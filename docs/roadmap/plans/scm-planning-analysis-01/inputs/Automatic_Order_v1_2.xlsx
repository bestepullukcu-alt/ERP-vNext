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ig/Documents/"/>
    </mc:Choice>
  </mc:AlternateContent>
  <xr:revisionPtr revIDLastSave="835" documentId="13_ncr:1_{D2F1EC26-9185-3849-B5E9-7E2C3EF4D921}" xr6:coauthVersionLast="47" xr6:coauthVersionMax="47" xr10:uidLastSave="{4D214A02-4C7D-4661-BFC7-945FB9B81036}"/>
  <bookViews>
    <workbookView xWindow="80" yWindow="500" windowWidth="51120" windowHeight="26260" xr2:uid="{637972E5-25FA-5949-A9E6-A9649083A84C}"/>
  </bookViews>
  <sheets>
    <sheet name="Order rows" sheetId="1" r:id="rId1"/>
    <sheet name="Order list" sheetId="4" r:id="rId2"/>
    <sheet name="Calculation" sheetId="2" r:id="rId3"/>
    <sheet name="Prototype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" l="1"/>
  <c r="E12" i="2"/>
  <c r="G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tc={11566958-3B53-4225-8D36-89F8210D55BC}</author>
    <author>tc={6BC0D412-3B74-4569-A273-6D14F36927D0}</author>
    <author>tc={61EAACEC-3BB7-45BE-B299-445AD7B3FD01}</author>
    <author>tc={05D6188D-D6EC-48D1-BDAD-156C4267BCCD}</author>
    <author>tc={01A003A5-3A97-4439-B092-C6F6B925C217}</author>
    <author>tc={23327F8C-8685-4904-857E-E74EB306832B}</author>
    <author>tc={C80E3989-00E2-4C5D-B4DF-1387B7510456}</author>
    <author>tc={0E070744-FAA5-4F86-BB58-CD5DA80B5399}</author>
    <author>tc={D49E2E34-2ED3-4617-91FA-6934B29AD35D}</author>
    <author>tc={85719A47-E617-4CF1-B512-F79E206EA364}</author>
    <author>Ali Tufanoglu</author>
  </authors>
  <commentList>
    <comment ref="BC3" authorId="0" shapeId="0" xr:uid="{11566958-3B53-4225-8D36-89F8210D55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Order mı ıptal oluyo yoksa ıcındekı bır urun mu?
</t>
      </text>
    </comment>
    <comment ref="BE3" authorId="1" shapeId="0" xr:uid="{6BC0D412-3B74-4569-A273-6D14F36927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Order mı reject oluyo yoksa ıcındekı bır urun mu?
</t>
      </text>
    </comment>
    <comment ref="BF3" authorId="2" shapeId="0" xr:uid="{61EAACEC-3BB7-45BE-B299-445AD7B3FD0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tüm ürün mü yoksa tek bir ürünmü update açılacak.
</t>
      </text>
    </comment>
    <comment ref="AJ11" authorId="3" shapeId="0" xr:uid="{05D6188D-D6EC-48D1-BDAD-156C4267BCCD}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ORDER STATUSDE SECILEBILECEK</t>
      </text>
    </comment>
    <comment ref="AM11" authorId="4" shapeId="0" xr:uid="{01A003A5-3A97-4439-B092-C6F6B925C2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make possible  decrease quantity </t>
      </text>
    </comment>
    <comment ref="AR16" authorId="5" shapeId="0" xr:uid="{23327F8C-8685-4904-857E-E74EB30683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Order mı ıptal oluyo yoksa ıcındekı bır urun mu?
</t>
      </text>
    </comment>
    <comment ref="AR18" authorId="6" shapeId="0" xr:uid="{C80E3989-00E2-4C5D-B4DF-1387B75104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Order mı reject oluyo yoksa ıcındekı bır urun mu?
</t>
      </text>
    </comment>
    <comment ref="AR19" authorId="7" shapeId="0" xr:uid="{0E070744-FAA5-4F86-BB58-CD5DA80B53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tüm ürün mü yoksa tek bir ürünmü update açılacak.
</t>
      </text>
    </comment>
    <comment ref="AV25" authorId="8" shapeId="0" xr:uid="{D49E2E34-2ED3-4617-91FA-6934B29AD35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Bir satır reject oluyor.
</t>
      </text>
    </comment>
    <comment ref="AU28" authorId="9" shapeId="0" xr:uid="{85719A47-E617-4CF1-B512-F79E206EA3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BATCH YARATIYOR
</t>
      </text>
    </comment>
    <comment ref="AV29" authorId="10" shapeId="0" xr:uid="{556B8518-0016-480B-BBE1-E1A1B290CFF6}">
      <text>
        <r>
          <rPr>
            <sz val="12"/>
            <color theme="1"/>
            <rFont val="Avenir Next"/>
            <family val="2"/>
          </rPr>
          <t>Ali Tufanoglu:
Cancel olursa batch release iptal olur. Production!a geri döner.
Datası silinmesin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tc={DF59ECC1-CC48-489B-831E-DAFBB0F0C7EF}</author>
    <author>tc={347EFFDC-AF0A-40B9-B040-BBF35D2075B0}</author>
    <author>tc={1160A4CF-A553-4821-A68F-A619BF71B237}</author>
  </authors>
  <commentList>
    <comment ref="P18" authorId="0" shapeId="0" xr:uid="{DF59ECC1-CC48-489B-831E-DAFBB0F0C7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Order mı ıptal oluyo yoksa ıcındekı bır urun mu?
</t>
      </text>
    </comment>
    <comment ref="P20" authorId="1" shapeId="0" xr:uid="{347EFFDC-AF0A-40B9-B040-BBF35D2075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Order mı reject oluyo yoksa ıcındekı bır urun mu?
</t>
      </text>
    </comment>
    <comment ref="P21" authorId="2" shapeId="0" xr:uid="{1160A4CF-A553-4821-A68F-A619BF71B2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tüm ürün mü yoksa tek bir ürünmü update açılacak.
</t>
      </text>
    </comment>
  </commentList>
</comments>
</file>

<file path=xl/sharedStrings.xml><?xml version="1.0" encoding="utf-8"?>
<sst xmlns="http://schemas.openxmlformats.org/spreadsheetml/2006/main" count="470" uniqueCount="217">
  <si>
    <t>CHOOS</t>
  </si>
  <si>
    <t>multy</t>
  </si>
  <si>
    <t>DEFOLT</t>
  </si>
  <si>
    <t>no</t>
  </si>
  <si>
    <t>all</t>
  </si>
  <si>
    <t>FILTER</t>
  </si>
  <si>
    <t>Country</t>
  </si>
  <si>
    <t>Brand</t>
  </si>
  <si>
    <t>GSKU</t>
  </si>
  <si>
    <t>Status-1</t>
  </si>
  <si>
    <t>Status-2</t>
  </si>
  <si>
    <t>PPP month</t>
  </si>
  <si>
    <t>apply</t>
  </si>
  <si>
    <t>SINGLE</t>
  </si>
  <si>
    <t>MULTI SECIM YAPILABILIR</t>
  </si>
  <si>
    <t>will be create during order</t>
  </si>
  <si>
    <t>MULTI</t>
  </si>
  <si>
    <t>REGULATORY</t>
  </si>
  <si>
    <t>ADDABLE</t>
  </si>
  <si>
    <t>AUTO-FULLFILL</t>
  </si>
  <si>
    <t>INPUT</t>
  </si>
  <si>
    <t>registration</t>
  </si>
  <si>
    <t> </t>
  </si>
  <si>
    <t>MONTHLY VIEW</t>
  </si>
  <si>
    <t>STOCK INFO &amp; FOLLOW</t>
  </si>
  <si>
    <t>POSITIONS</t>
  </si>
  <si>
    <t xml:space="preserve"> </t>
  </si>
  <si>
    <t>RA</t>
  </si>
  <si>
    <t>PM, PS, MD</t>
  </si>
  <si>
    <t>Qc, PM, MD</t>
  </si>
  <si>
    <t>CEO</t>
  </si>
  <si>
    <t>+add order</t>
  </si>
  <si>
    <t>PRODUCTION</t>
  </si>
  <si>
    <t>MANAGEMENT</t>
  </si>
  <si>
    <t>UPLOAD</t>
  </si>
  <si>
    <t>Kaç aylık stok olduğu hesaplanacak SAles Forecast illeri doğru ortalamasına göre hesaplanacak. WH Stock /AVG SAles Forest</t>
  </si>
  <si>
    <t>ORDER</t>
  </si>
  <si>
    <t xml:space="preserve">ARTWORK </t>
  </si>
  <si>
    <t xml:space="preserve">MOCK-UP </t>
  </si>
  <si>
    <t> FINISH PRODUCT</t>
  </si>
  <si>
    <t>QC</t>
  </si>
  <si>
    <t>ARTWORK</t>
  </si>
  <si>
    <t>MOCK UP</t>
  </si>
  <si>
    <t xml:space="preserve">RELEASE </t>
  </si>
  <si>
    <t>ALL</t>
  </si>
  <si>
    <t>MANUFACTURER</t>
  </si>
  <si>
    <t>CHECK BOX</t>
  </si>
  <si>
    <t>ORDER No</t>
  </si>
  <si>
    <t>DATE</t>
  </si>
  <si>
    <t>COUNTRY</t>
  </si>
  <si>
    <t>PRODUCTS</t>
  </si>
  <si>
    <t>GLOBAL CODE</t>
  </si>
  <si>
    <t>FINISH PRODUCT CODE</t>
  </si>
  <si>
    <t>DATA MATRIX CODE</t>
  </si>
  <si>
    <t>REG STATUS</t>
  </si>
  <si>
    <t>STOCK STATUS</t>
  </si>
  <si>
    <t>PROJECTED AVG INVENTORY</t>
  </si>
  <si>
    <t>FORECAST</t>
  </si>
  <si>
    <t>ACTUAL</t>
  </si>
  <si>
    <t>BOX</t>
  </si>
  <si>
    <t>FOIL</t>
  </si>
  <si>
    <t>LEAFLET</t>
  </si>
  <si>
    <t>BUTCH No</t>
  </si>
  <si>
    <t>EXP DATE</t>
  </si>
  <si>
    <t>CoA</t>
  </si>
  <si>
    <t>RELEASE</t>
  </si>
  <si>
    <t>Start date</t>
  </si>
  <si>
    <t>Finish Date</t>
  </si>
  <si>
    <t>BATCH RELASE</t>
  </si>
  <si>
    <t>REMAINING</t>
  </si>
  <si>
    <t>WAREHOUSE</t>
  </si>
  <si>
    <t>STATUS</t>
  </si>
  <si>
    <t>ACTION</t>
  </si>
  <si>
    <t>PM APP</t>
  </si>
  <si>
    <t>AN</t>
  </si>
  <si>
    <t>v</t>
  </si>
  <si>
    <t>UZ</t>
  </si>
  <si>
    <t>ALMIBA</t>
  </si>
  <si>
    <t>AL03</t>
  </si>
  <si>
    <t>AL03 BL MG 250 RUEN01 / RUEN01LA / RUEN01LE</t>
  </si>
  <si>
    <t>Material kısmındaki finish product code ile aynı olacak Ali bey ile görüşülecek</t>
  </si>
  <si>
    <t>almiba-datamatrix-JAN.PDF</t>
  </si>
  <si>
    <t>REGISTRED</t>
  </si>
  <si>
    <t>COMPLITED</t>
  </si>
  <si>
    <t>6 months</t>
  </si>
  <si>
    <t>+</t>
  </si>
  <si>
    <t>INPUT+UPL+APP</t>
  </si>
  <si>
    <t>UPL</t>
  </si>
  <si>
    <t>JAN</t>
  </si>
  <si>
    <t>PRODUCED</t>
  </si>
  <si>
    <t>---</t>
  </si>
  <si>
    <t>GE</t>
  </si>
  <si>
    <t>PROCESS</t>
  </si>
  <si>
    <t>N/A</t>
  </si>
  <si>
    <t>2 months</t>
  </si>
  <si>
    <t>APRIL</t>
  </si>
  <si>
    <t>OPEN ORDER</t>
  </si>
  <si>
    <t>ORDER CONFERMATION</t>
  </si>
  <si>
    <t>.=WSs stoсks+CWHs reserved stocks +PSs reserved stocks</t>
  </si>
  <si>
    <t>SORULACAK</t>
  </si>
  <si>
    <t>Stok sayısı gelmelidir stok düşerek gösterilmelidir. diğer ülkeler için de aynı üründen varsa forecast kadar düşür</t>
  </si>
  <si>
    <t>ORDER FORECAST</t>
  </si>
  <si>
    <t>CREATE</t>
  </si>
  <si>
    <t>manufacturer can be log-in on this page.</t>
  </si>
  <si>
    <t>BU nedir</t>
  </si>
  <si>
    <t>MOCKUP</t>
  </si>
  <si>
    <t>CANCEL</t>
  </si>
  <si>
    <t>REJECTED</t>
  </si>
  <si>
    <t>?</t>
  </si>
  <si>
    <t>PRINT</t>
  </si>
  <si>
    <t>UPDATED</t>
  </si>
  <si>
    <t>RELEASED</t>
  </si>
  <si>
    <t>REJECT</t>
  </si>
  <si>
    <t>UPDATE</t>
  </si>
  <si>
    <t xml:space="preserve">adjasting of orders the different countries and distributors should be by merging orders </t>
  </si>
  <si>
    <t>SEND</t>
  </si>
  <si>
    <t>artwork ve mockup yok ise estimated time görülecek.</t>
  </si>
  <si>
    <t>Add Button</t>
  </si>
  <si>
    <t>eğer mockup varsa bir sonraki order için disable olacak.</t>
  </si>
  <si>
    <t>Year</t>
  </si>
  <si>
    <t>PINK</t>
  </si>
  <si>
    <t>Month</t>
  </si>
  <si>
    <t>3rd party üretim için order çıkılabilir mi?</t>
  </si>
  <si>
    <t>PURPLE</t>
  </si>
  <si>
    <t>N/A Gelebilir</t>
  </si>
  <si>
    <t>YELLOW</t>
  </si>
  <si>
    <t>Production Plan sistemi yapıldıktan sonra ekleneccek</t>
  </si>
  <si>
    <t>PRODUCTION PLANNED</t>
  </si>
  <si>
    <t>Production plan yapıldı ama üretime girmedi</t>
  </si>
  <si>
    <t>ORANGE</t>
  </si>
  <si>
    <t>PRODUCTION ONGOING</t>
  </si>
  <si>
    <t>FINISH PRODUCT</t>
  </si>
  <si>
    <t>Prudction ongoing</t>
  </si>
  <si>
    <t>GSK</t>
  </si>
  <si>
    <t>MAVİ</t>
  </si>
  <si>
    <t>BATCH RELEASE</t>
  </si>
  <si>
    <t>Language Code</t>
  </si>
  <si>
    <t>YEŞİL</t>
  </si>
  <si>
    <t>aynı 2 ürün farklı order tarihlerinde send edilirse o ürün birleşmekte bu doğru mu? kasım ve aralık</t>
  </si>
  <si>
    <t>yeni eklenenin statusu manuel</t>
  </si>
  <si>
    <t>create: supply / production / ceo</t>
  </si>
  <si>
    <t>cancel: status "production" olana kadar yapılabilir.
Supply / production / manufacturer / ceo</t>
  </si>
  <si>
    <t>print: order forecast harici açık olur</t>
  </si>
  <si>
    <t>reject: order forecast hariç status "production" olana kadar yapılabilir.
Supply / production / manufacturer / ceo</t>
  </si>
  <si>
    <t>update: order forecast hariç status "production" olana kadar yapılabilir. Supply / production / manufacturer / ceo</t>
  </si>
  <si>
    <t>send: order forecast hariç
 seçilen orderların üreticiye iletilmesi
supply / production / ceo</t>
  </si>
  <si>
    <t xml:space="preserve">production: manufacturer değiştirebilir. </t>
  </si>
  <si>
    <t>Shipment Forecast</t>
  </si>
  <si>
    <t>MAIN WH Stock Actual/Forecast</t>
  </si>
  <si>
    <t>Order Forecast</t>
  </si>
  <si>
    <t>FORMUL: take the shipment forecast formula and month shipment forecast then take to account shiment and GSKU leadtimes and roundup by batch size</t>
  </si>
  <si>
    <t>Order Actual</t>
  </si>
  <si>
    <t>Production Actual/Preliminary</t>
  </si>
  <si>
    <t>MAX</t>
  </si>
  <si>
    <t xml:space="preserve">take higher one from MAX from all distributors limites </t>
  </si>
  <si>
    <t>SHIPMENT SETTINGS</t>
  </si>
  <si>
    <t>NEGOTIATION</t>
  </si>
  <si>
    <t>PREPARING CUSTOM DOCUMENTS</t>
  </si>
  <si>
    <t>LAB ANALYZES TIME</t>
  </si>
  <si>
    <t>PENETRATION</t>
  </si>
  <si>
    <t>CWH-&gt;WS</t>
  </si>
  <si>
    <t>SKU PRODUCTION SETTINGS</t>
  </si>
  <si>
    <t>FACTORY-CWH LEAD TIME, DAYS</t>
  </si>
  <si>
    <t>PRODUCTION LEAD TIME, DAYS</t>
  </si>
  <si>
    <t>CWH OBLIGATROY</t>
  </si>
  <si>
    <t>Months</t>
  </si>
  <si>
    <t>MIN PRODUCTION BATCH, units</t>
  </si>
  <si>
    <t>Registred</t>
  </si>
  <si>
    <t>Complited</t>
  </si>
  <si>
    <t>Process</t>
  </si>
  <si>
    <t>Single</t>
  </si>
  <si>
    <t>Multi</t>
  </si>
  <si>
    <t>Regulatory</t>
  </si>
  <si>
    <t>Addable</t>
  </si>
  <si>
    <t>Auto-FullFill</t>
  </si>
  <si>
    <t>Input</t>
  </si>
  <si>
    <t>Registration</t>
  </si>
  <si>
    <t>Order</t>
  </si>
  <si>
    <t>Artwork</t>
  </si>
  <si>
    <t>Mockup</t>
  </si>
  <si>
    <t>Scan Copy</t>
  </si>
  <si>
    <t>Manuf.</t>
  </si>
  <si>
    <t>⬜</t>
  </si>
  <si>
    <t>Order No</t>
  </si>
  <si>
    <t>Order Date</t>
  </si>
  <si>
    <t>Product</t>
  </si>
  <si>
    <t>Gsku</t>
  </si>
  <si>
    <t>Global Code</t>
  </si>
  <si>
    <t>DataMatrix Code</t>
  </si>
  <si>
    <t>Reg Status</t>
  </si>
  <si>
    <t>Stock Status</t>
  </si>
  <si>
    <t>Forecast</t>
  </si>
  <si>
    <t>Actual</t>
  </si>
  <si>
    <t>Upload</t>
  </si>
  <si>
    <t>Box</t>
  </si>
  <si>
    <t>Foil or Label</t>
  </si>
  <si>
    <t>Leaflet</t>
  </si>
  <si>
    <t>Batch No</t>
  </si>
  <si>
    <t>Exp. Date</t>
  </si>
  <si>
    <t>Status</t>
  </si>
  <si>
    <t>Batch Release</t>
  </si>
  <si>
    <t>Remaining</t>
  </si>
  <si>
    <t>PPP Months</t>
  </si>
  <si>
    <t>WareHouse</t>
  </si>
  <si>
    <t>...</t>
  </si>
  <si>
    <t>NT TB AN 30</t>
  </si>
  <si>
    <t>➕</t>
  </si>
  <si>
    <t>_____</t>
  </si>
  <si>
    <t>RUEN01</t>
  </si>
  <si>
    <t>👁️</t>
  </si>
  <si>
    <t>☑️</t>
  </si>
  <si>
    <t>RUEN01F</t>
  </si>
  <si>
    <t>RUEN01LE</t>
  </si>
  <si>
    <t>______</t>
  </si>
  <si>
    <t>Ox01 VL AN 20</t>
  </si>
  <si>
    <t>RUEN01LA</t>
  </si>
  <si>
    <t>MAN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</si>
</sst>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2"/>
      <color theme="1"/>
      <name val="Avenir Next"/>
      <family val="2"/>
    </font>
    <font>
      <b/>
      <sz val="12"/>
      <color theme="1"/>
      <name val="Avenir Next"/>
      <family val="2"/>
    </font>
    <font>
      <sz val="12"/>
      <color rgb="FFFF0000"/>
      <name val="Avenir Next"/>
      <family val="2"/>
    </font>
    <font>
      <sz val="14"/>
      <color rgb="FFFF0000"/>
      <name val="Avenir Next"/>
      <family val="2"/>
    </font>
    <font>
      <sz val="14"/>
      <color rgb="FFFF0000"/>
      <name val="Helvetica"/>
      <family val="2"/>
    </font>
    <font>
      <sz val="8"/>
      <color rgb="FFFF0000"/>
      <name val="Helvetica"/>
      <family val="2"/>
    </font>
    <font>
      <sz val="8"/>
      <color rgb="FF008000"/>
      <name val="Helvetica"/>
      <family val="2"/>
    </font>
    <font>
      <sz val="11"/>
      <color rgb="FFFF0000"/>
      <name val="Helvetica"/>
      <family val="2"/>
    </font>
    <font>
      <b/>
      <sz val="11"/>
      <name val="Calibri"/>
      <family val="2"/>
    </font>
    <font>
      <sz val="10"/>
      <color theme="1"/>
      <name val="Avenir Next"/>
      <family val="2"/>
    </font>
    <font>
      <sz val="10"/>
      <color rgb="FFFF0000"/>
      <name val="Avenir Next"/>
      <family val="2"/>
    </font>
    <font>
      <b/>
      <sz val="10"/>
      <name val="Calibri"/>
      <family val="2"/>
    </font>
    <font>
      <sz val="12"/>
      <color rgb="FF000000"/>
      <name val="Avenir Next"/>
      <family val="2"/>
    </font>
    <font>
      <sz val="12"/>
      <color rgb="FFFFFFFF"/>
      <name val="Avenir Next"/>
      <family val="2"/>
    </font>
    <font>
      <b/>
      <sz val="12"/>
      <color rgb="FF000000"/>
      <name val="Avenir Next"/>
      <family val="2"/>
    </font>
    <font>
      <b/>
      <sz val="12"/>
      <color rgb="FFFFFFFF"/>
      <name val="Avenir Next"/>
      <family val="2"/>
    </font>
    <font>
      <u/>
      <sz val="12"/>
      <color rgb="FF00B0F0"/>
      <name val="Avenir Next"/>
      <family val="2"/>
    </font>
    <font>
      <sz val="12"/>
      <color rgb="FF00B050"/>
      <name val="Avenir Next"/>
      <family val="2"/>
    </font>
    <font>
      <sz val="12"/>
      <color rgb="FF0070C0"/>
      <name val="Avenir Next"/>
      <family val="2"/>
    </font>
    <font>
      <sz val="20"/>
      <color rgb="FF00B0F0"/>
      <name val="Avenir Next"/>
      <family val="2"/>
    </font>
    <font>
      <b/>
      <sz val="10"/>
      <color rgb="FFFFFFFF"/>
      <name val="Calibri"/>
    </font>
    <font>
      <sz val="10"/>
      <color theme="1"/>
      <name val="Calibri"/>
    </font>
    <font>
      <sz val="10"/>
      <color rgb="FF000000"/>
      <name val="Calibri"/>
    </font>
    <font>
      <u/>
      <sz val="10"/>
      <color rgb="FF00B0F0"/>
      <name val="Calibri"/>
    </font>
    <font>
      <sz val="10"/>
      <color rgb="FFFFFFFF"/>
      <name val="Avenir Next"/>
      <family val="2"/>
    </font>
    <font>
      <sz val="10"/>
      <color rgb="FF000000"/>
      <name val="Avenir Next"/>
      <family val="2"/>
    </font>
    <font>
      <sz val="10"/>
      <color rgb="FFFFFFFF"/>
      <name val="Calibri"/>
    </font>
    <font>
      <sz val="8"/>
      <color theme="1"/>
      <name val="Avenir Next"/>
      <family val="2"/>
    </font>
    <font>
      <b/>
      <sz val="10"/>
      <color theme="1"/>
      <name val="Calibri"/>
    </font>
    <font>
      <b/>
      <sz val="10"/>
      <color rgb="FF000000"/>
      <name val="Calibri"/>
    </font>
    <font>
      <sz val="9"/>
      <color theme="1"/>
      <name val="Avenir Next"/>
      <family val="2"/>
    </font>
    <font>
      <sz val="9"/>
      <color rgb="FF000000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B8E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rgb="FFFF0000"/>
      </bottom>
      <diagonal/>
    </border>
    <border>
      <left style="medium">
        <color rgb="FFFF0000"/>
      </left>
      <right/>
      <top style="medium">
        <color rgb="FFFF0000"/>
      </top>
      <bottom style="thin">
        <color rgb="FFFF0000"/>
      </bottom>
      <diagonal/>
    </border>
    <border>
      <left/>
      <right/>
      <top style="medium">
        <color rgb="FFFF0000"/>
      </top>
      <bottom style="thin">
        <color rgb="FFFF0000"/>
      </bottom>
      <diagonal/>
    </border>
    <border>
      <left/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 style="medium">
        <color rgb="FFFF0000"/>
      </right>
      <top/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/>
      <bottom style="medium">
        <color rgb="FFFF0000"/>
      </bottom>
      <diagonal/>
    </border>
    <border>
      <left/>
      <right style="thin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/>
      <right/>
      <top/>
      <bottom style="medium">
        <color rgb="FFFF0000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7" fontId="5" fillId="0" borderId="0" xfId="0" applyNumberFormat="1" applyFont="1"/>
    <xf numFmtId="0" fontId="6" fillId="0" borderId="0" xfId="0" applyFont="1"/>
    <xf numFmtId="1" fontId="0" fillId="0" borderId="0" xfId="0" applyNumberFormat="1"/>
    <xf numFmtId="0" fontId="2" fillId="0" borderId="0" xfId="0" applyFont="1"/>
    <xf numFmtId="0" fontId="7" fillId="0" borderId="0" xfId="0" applyFont="1"/>
    <xf numFmtId="0" fontId="8" fillId="0" borderId="0" xfId="0" applyFont="1"/>
    <xf numFmtId="0" fontId="0" fillId="2" borderId="0" xfId="0" applyFill="1" applyAlignment="1">
      <alignment horizontal="center"/>
    </xf>
    <xf numFmtId="17" fontId="5" fillId="2" borderId="0" xfId="0" applyNumberFormat="1" applyFont="1" applyFill="1" applyAlignment="1">
      <alignment horizontal="center"/>
    </xf>
    <xf numFmtId="17" fontId="5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0" xfId="0" quotePrefix="1" applyFont="1" applyFill="1"/>
    <xf numFmtId="0" fontId="13" fillId="3" borderId="1" xfId="0" applyFont="1" applyFill="1" applyBorder="1"/>
    <xf numFmtId="0" fontId="14" fillId="0" borderId="0" xfId="0" applyFont="1"/>
    <xf numFmtId="0" fontId="12" fillId="0" borderId="5" xfId="0" applyFont="1" applyBorder="1"/>
    <xf numFmtId="0" fontId="12" fillId="0" borderId="11" xfId="0" applyFont="1" applyBorder="1"/>
    <xf numFmtId="0" fontId="12" fillId="0" borderId="12" xfId="0" applyFont="1" applyBorder="1"/>
    <xf numFmtId="14" fontId="12" fillId="0" borderId="11" xfId="0" applyNumberFormat="1" applyFont="1" applyBorder="1"/>
    <xf numFmtId="0" fontId="16" fillId="0" borderId="11" xfId="0" applyFont="1" applyBorder="1"/>
    <xf numFmtId="0" fontId="12" fillId="0" borderId="11" xfId="0" quotePrefix="1" applyFont="1" applyBorder="1"/>
    <xf numFmtId="0" fontId="17" fillId="0" borderId="0" xfId="0" applyFont="1"/>
    <xf numFmtId="0" fontId="12" fillId="0" borderId="6" xfId="0" applyFont="1" applyBorder="1"/>
    <xf numFmtId="0" fontId="18" fillId="0" borderId="0" xfId="0" applyFont="1"/>
    <xf numFmtId="0" fontId="12" fillId="0" borderId="0" xfId="0" applyFont="1" applyAlignment="1">
      <alignment wrapText="1"/>
    </xf>
    <xf numFmtId="0" fontId="12" fillId="0" borderId="11" xfId="0" quotePrefix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 indent="1"/>
    </xf>
    <xf numFmtId="0" fontId="0" fillId="5" borderId="0" xfId="0" applyFill="1" applyAlignment="1">
      <alignment horizontal="center" vertical="center" indent="1"/>
    </xf>
    <xf numFmtId="0" fontId="0" fillId="2" borderId="0" xfId="0" applyFill="1" applyAlignment="1">
      <alignment horizontal="center" vertical="center" indent="1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 indent="1"/>
    </xf>
    <xf numFmtId="0" fontId="12" fillId="6" borderId="0" xfId="0" applyFont="1" applyFill="1"/>
    <xf numFmtId="0" fontId="14" fillId="0" borderId="0" xfId="0" applyFont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15" fillId="3" borderId="5" xfId="0" applyFont="1" applyFill="1" applyBorder="1" applyAlignment="1">
      <alignment horizontal="center"/>
    </xf>
    <xf numFmtId="0" fontId="15" fillId="3" borderId="11" xfId="0" applyFont="1" applyFill="1" applyBorder="1" applyAlignment="1">
      <alignment horizontal="center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9" fillId="0" borderId="0" xfId="0" applyFont="1" applyAlignment="1">
      <alignment horizontal="left"/>
    </xf>
    <xf numFmtId="0" fontId="15" fillId="3" borderId="24" xfId="0" applyFont="1" applyFill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/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24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22" fillId="0" borderId="11" xfId="0" applyFont="1" applyBorder="1" applyAlignment="1">
      <alignment vertical="center"/>
    </xf>
    <xf numFmtId="0" fontId="22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22" fillId="0" borderId="11" xfId="0" applyNumberFormat="1" applyFont="1" applyBorder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6" fillId="8" borderId="11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27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2" fillId="10" borderId="11" xfId="0" applyFont="1" applyFill="1" applyBorder="1" applyAlignment="1">
      <alignment horizontal="center" vertical="center"/>
    </xf>
    <xf numFmtId="0" fontId="28" fillId="10" borderId="0" xfId="0" applyFont="1" applyFill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0" fillId="3" borderId="25" xfId="0" applyFont="1" applyFill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12" fillId="4" borderId="0" xfId="0" applyFont="1" applyFill="1"/>
    <xf numFmtId="0" fontId="26" fillId="8" borderId="28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0" fillId="3" borderId="32" xfId="0" applyFont="1" applyFill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2" fillId="10" borderId="35" xfId="0" applyFont="1" applyFill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0" fillId="3" borderId="28" xfId="0" applyFont="1" applyFill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0" borderId="32" xfId="0" applyFont="1" applyBorder="1" applyAlignment="1">
      <alignment vertical="center"/>
    </xf>
    <xf numFmtId="0" fontId="31" fillId="0" borderId="34" xfId="0" applyFont="1" applyBorder="1" applyAlignment="1">
      <alignment vertical="center"/>
    </xf>
    <xf numFmtId="0" fontId="31" fillId="0" borderId="11" xfId="0" applyFont="1" applyBorder="1" applyAlignment="1">
      <alignment vertical="center"/>
    </xf>
    <xf numFmtId="0" fontId="31" fillId="0" borderId="35" xfId="0" applyFont="1" applyBorder="1" applyAlignment="1">
      <alignment vertical="center"/>
    </xf>
    <xf numFmtId="0" fontId="31" fillId="10" borderId="32" xfId="0" applyFont="1" applyFill="1" applyBorder="1" applyAlignment="1">
      <alignment horizontal="center" vertical="center"/>
    </xf>
    <xf numFmtId="0" fontId="31" fillId="10" borderId="34" xfId="0" applyFont="1" applyFill="1" applyBorder="1" applyAlignment="1">
      <alignment horizontal="center" vertical="center"/>
    </xf>
    <xf numFmtId="0" fontId="31" fillId="10" borderId="11" xfId="0" applyFont="1" applyFill="1" applyBorder="1" applyAlignment="1">
      <alignment horizontal="center" vertical="center"/>
    </xf>
    <xf numFmtId="0" fontId="31" fillId="10" borderId="35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vertical="center"/>
    </xf>
    <xf numFmtId="0" fontId="20" fillId="3" borderId="4" xfId="0" applyFont="1" applyFill="1" applyBorder="1" applyAlignment="1">
      <alignment vertical="center"/>
    </xf>
    <xf numFmtId="0" fontId="14" fillId="0" borderId="4" xfId="0" applyFont="1" applyBorder="1"/>
    <xf numFmtId="0" fontId="0" fillId="0" borderId="0" xfId="0" applyAlignment="1">
      <alignment vertical="center" indent="1"/>
    </xf>
    <xf numFmtId="0" fontId="15" fillId="3" borderId="11" xfId="0" applyFont="1" applyFill="1" applyBorder="1"/>
    <xf numFmtId="0" fontId="12" fillId="0" borderId="11" xfId="0" applyFont="1" applyBorder="1" applyAlignment="1">
      <alignment vertical="center"/>
    </xf>
    <xf numFmtId="0" fontId="12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12" fillId="0" borderId="4" xfId="0" applyFont="1" applyBorder="1"/>
    <xf numFmtId="0" fontId="0" fillId="0" borderId="4" xfId="0" applyBorder="1"/>
    <xf numFmtId="0" fontId="0" fillId="11" borderId="4" xfId="0" applyFill="1" applyBorder="1"/>
    <xf numFmtId="0" fontId="15" fillId="7" borderId="4" xfId="0" applyFont="1" applyFill="1" applyBorder="1" applyAlignment="1">
      <alignment horizontal="center"/>
    </xf>
    <xf numFmtId="0" fontId="9" fillId="12" borderId="0" xfId="0" applyFont="1" applyFill="1"/>
    <xf numFmtId="0" fontId="0" fillId="12" borderId="0" xfId="0" applyFill="1"/>
    <xf numFmtId="0" fontId="11" fillId="12" borderId="0" xfId="0" applyFont="1" applyFill="1"/>
    <xf numFmtId="0" fontId="0" fillId="12" borderId="0" xfId="0" applyFill="1" applyAlignment="1">
      <alignment horizontal="center"/>
    </xf>
    <xf numFmtId="0" fontId="12" fillId="13" borderId="0" xfId="0" applyFont="1" applyFill="1"/>
    <xf numFmtId="0" fontId="12" fillId="14" borderId="0" xfId="0" applyFont="1" applyFill="1"/>
    <xf numFmtId="0" fontId="12" fillId="2" borderId="0" xfId="0" applyFont="1" applyFill="1"/>
    <xf numFmtId="0" fontId="12" fillId="15" borderId="0" xfId="0" applyFont="1" applyFill="1"/>
    <xf numFmtId="0" fontId="12" fillId="16" borderId="0" xfId="0" applyFont="1" applyFill="1"/>
    <xf numFmtId="0" fontId="12" fillId="11" borderId="0" xfId="0" applyFont="1" applyFill="1"/>
    <xf numFmtId="0" fontId="14" fillId="0" borderId="0" xfId="0" applyFont="1" applyAlignment="1">
      <alignment wrapText="1"/>
    </xf>
    <xf numFmtId="0" fontId="15" fillId="3" borderId="24" xfId="0" applyFont="1" applyFill="1" applyBorder="1" applyAlignment="1">
      <alignment horizontal="center" wrapText="1"/>
    </xf>
    <xf numFmtId="0" fontId="2" fillId="0" borderId="11" xfId="0" applyFont="1" applyBorder="1" applyAlignment="1">
      <alignment horizontal="center" vertical="center"/>
    </xf>
    <xf numFmtId="0" fontId="12" fillId="17" borderId="0" xfId="0" applyFont="1" applyFill="1"/>
    <xf numFmtId="0" fontId="14" fillId="0" borderId="2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19" xfId="0" applyFont="1" applyBorder="1" applyAlignment="1">
      <alignment wrapText="1"/>
    </xf>
    <xf numFmtId="0" fontId="14" fillId="0" borderId="20" xfId="0" applyFont="1" applyBorder="1" applyAlignment="1">
      <alignment wrapText="1"/>
    </xf>
    <xf numFmtId="0" fontId="14" fillId="0" borderId="21" xfId="0" applyFont="1" applyBorder="1" applyAlignment="1">
      <alignment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20" fillId="3" borderId="25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0" fillId="3" borderId="37" xfId="0" applyFont="1" applyFill="1" applyBorder="1" applyAlignment="1">
      <alignment horizontal="center" vertical="center"/>
    </xf>
    <xf numFmtId="0" fontId="20" fillId="3" borderId="29" xfId="0" applyFont="1" applyFill="1" applyBorder="1" applyAlignment="1">
      <alignment horizontal="center" vertical="center"/>
    </xf>
    <xf numFmtId="0" fontId="20" fillId="3" borderId="3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0" fillId="3" borderId="24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0" fontId="20" fillId="3" borderId="26" xfId="0" applyFont="1" applyFill="1" applyBorder="1" applyAlignment="1">
      <alignment horizontal="center" vertical="center"/>
    </xf>
    <xf numFmtId="0" fontId="20" fillId="3" borderId="27" xfId="0" applyFont="1" applyFill="1" applyBorder="1" applyAlignment="1">
      <alignment horizontal="center" vertical="center"/>
    </xf>
    <xf numFmtId="0" fontId="12" fillId="18" borderId="11" xfId="0" applyFont="1" applyFill="1" applyBorder="1"/>
    <xf numFmtId="0" fontId="13" fillId="3" borderId="2" xfId="0" applyFont="1" applyFill="1" applyBorder="1" applyAlignment="1"/>
    <xf numFmtId="0" fontId="13" fillId="3" borderId="3" xfId="0" applyFont="1" applyFill="1" applyBorder="1" applyAlignment="1"/>
    <xf numFmtId="0" fontId="13" fillId="3" borderId="4" xfId="0" applyFont="1" applyFill="1" applyBorder="1" applyAlignment="1"/>
    <xf numFmtId="0" fontId="12" fillId="0" borderId="13" xfId="0" applyFont="1" applyBorder="1" applyAlignment="1"/>
    <xf numFmtId="0" fontId="12" fillId="0" borderId="14" xfId="0" applyFont="1" applyBorder="1" applyAlignment="1"/>
    <xf numFmtId="0" fontId="12" fillId="0" borderId="15" xfId="0" applyFont="1" applyBorder="1" applyAlignment="1"/>
    <xf numFmtId="0" fontId="12" fillId="0" borderId="16" xfId="0" applyFont="1" applyBorder="1" applyAlignment="1"/>
    <xf numFmtId="0" fontId="12" fillId="0" borderId="17" xfId="0" applyFont="1" applyBorder="1" applyAlignment="1"/>
    <xf numFmtId="0" fontId="12" fillId="0" borderId="18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B8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28575</xdr:colOff>
      <xdr:row>12</xdr:row>
      <xdr:rowOff>171450</xdr:rowOff>
    </xdr:from>
    <xdr:to>
      <xdr:col>37</xdr:col>
      <xdr:colOff>1085850</xdr:colOff>
      <xdr:row>23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D7DA69-8DF8-50DF-1F47-C6C8F76AF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94300" y="2581275"/>
          <a:ext cx="3228975" cy="21526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atig Yusubov" id="{E6374F90-4C1E-4ED4-ACF5-7016C9476FEE}" userId="S::ny_gmgroup.ch#ext#@grandmedicalgroup321.onmicrosoft.com::0df9cd89-f4dc-4256-9dbb-e1a632c32eaf" providerId="AD"/>
  <person displayName="Ali Tufanoglu" id="{32C5D3E0-91A7-4EEE-A66B-21C923C32D06}" userId="S::a.tufanoglu_gmgroup.ch#ext#@grandmedicalgroup321.onmicrosoft.com::589b0550-72f6-4588-b834-ace7b9db451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C3" dT="2023-04-19T13:08:53.65" personId="{32C5D3E0-91A7-4EEE-A66B-21C923C32D06}" id="{11566958-3B53-4225-8D36-89F8210D55BC}">
    <text xml:space="preserve">Order mı ıptal oluyo yoksa ıcındekı bır urun mu?
</text>
  </threadedComment>
  <threadedComment ref="BE3" dT="2023-04-19T13:09:08.22" personId="{32C5D3E0-91A7-4EEE-A66B-21C923C32D06}" id="{6BC0D412-3B74-4569-A273-6D14F36927D0}">
    <text xml:space="preserve">Order mı reject oluyo yoksa ıcındekı bır urun mu?
</text>
  </threadedComment>
  <threadedComment ref="BF3" dT="2023-04-19T13:10:01.81" personId="{32C5D3E0-91A7-4EEE-A66B-21C923C32D06}" id="{61EAACEC-3BB7-45BE-B299-445AD7B3FD01}">
    <text xml:space="preserve">tüm ürün mü yoksa tek bir ürünmü update açılacak.
</text>
  </threadedComment>
  <threadedComment ref="AJ11" dT="2023-04-20T18:52:57.73" personId="{32C5D3E0-91A7-4EEE-A66B-21C923C32D06}" id="{05D6188D-D6EC-48D1-BDAD-156C4267BCCD}">
    <text>OPEN ORDER STATUSDE SECILEBILECEK</text>
  </threadedComment>
  <threadedComment ref="AM11" dT="2023-04-20T19:49:28.91" personId="{E6374F90-4C1E-4ED4-ACF5-7016C9476FEE}" id="{01A003A5-3A97-4439-B092-C6F6B925C217}">
    <text xml:space="preserve">make possible  decrease quantity </text>
  </threadedComment>
  <threadedComment ref="AR16" dT="2023-04-19T13:08:53.65" personId="{32C5D3E0-91A7-4EEE-A66B-21C923C32D06}" id="{23327F8C-8685-4904-857E-E74EB306832B}">
    <text xml:space="preserve">Order mı ıptal oluyo yoksa ıcındekı bır urun mu?
</text>
  </threadedComment>
  <threadedComment ref="AR18" dT="2023-04-19T13:09:08.22" personId="{32C5D3E0-91A7-4EEE-A66B-21C923C32D06}" id="{C80E3989-00E2-4C5D-B4DF-1387B7510456}">
    <text xml:space="preserve">Order mı reject oluyo yoksa ıcındekı bır urun mu?
</text>
  </threadedComment>
  <threadedComment ref="AR19" dT="2023-04-19T13:10:01.81" personId="{32C5D3E0-91A7-4EEE-A66B-21C923C32D06}" id="{0E070744-FAA5-4F86-BB58-CD5DA80B5399}">
    <text xml:space="preserve">tüm ürün mü yoksa tek bir ürünmü update açılacak.
</text>
  </threadedComment>
  <threadedComment ref="AV25" dT="2023-04-20T18:42:52.12" personId="{32C5D3E0-91A7-4EEE-A66B-21C923C32D06}" id="{D49E2E34-2ED3-4617-91FA-6934B29AD35D}">
    <text xml:space="preserve">Bir satır reject oluyor.
</text>
  </threadedComment>
  <threadedComment ref="AU28" dT="2023-04-20T19:12:58.10" personId="{32C5D3E0-91A7-4EEE-A66B-21C923C32D06}" id="{85719A47-E617-4CF1-B512-F79E206EA364}">
    <text xml:space="preserve">BATCH YARATIYOR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18" dT="2023-04-19T13:08:53.65" personId="{32C5D3E0-91A7-4EEE-A66B-21C923C32D06}" id="{DF59ECC1-CC48-489B-831E-DAFBB0F0C7EF}">
    <text xml:space="preserve">Order mı ıptal oluyo yoksa ıcındekı bır urun mu?
</text>
  </threadedComment>
  <threadedComment ref="P20" dT="2023-04-19T13:09:08.22" personId="{32C5D3E0-91A7-4EEE-A66B-21C923C32D06}" id="{347EFFDC-AF0A-40B9-B040-BBF35D2075B0}">
    <text xml:space="preserve">Order mı reject oluyo yoksa ıcındekı bır urun mu?
</text>
  </threadedComment>
  <threadedComment ref="P21" dT="2023-04-19T13:10:01.81" personId="{32C5D3E0-91A7-4EEE-A66B-21C923C32D06}" id="{1160A4CF-A553-4821-A68F-A619BF71B237}">
    <text xml:space="preserve">tüm ürün mü yoksa tek bir ürünmü update açılacak.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8F94-3484-D047-856F-048F05BC73D7}">
  <dimension ref="A1:BF47"/>
  <sheetViews>
    <sheetView tabSelected="1" topLeftCell="AN9" zoomScaleNormal="100" workbookViewId="0">
      <selection activeCell="K23" sqref="K23"/>
    </sheetView>
  </sheetViews>
  <sheetFormatPr defaultColWidth="11.5546875" defaultRowHeight="15" customHeight="1" outlineLevelCol="1"/>
  <cols>
    <col min="1" max="1" width="1.88671875" customWidth="1"/>
    <col min="2" max="2" width="17.109375" customWidth="1"/>
    <col min="3" max="3" width="12.77734375" customWidth="1"/>
    <col min="4" max="4" width="10.44140625" style="1" customWidth="1"/>
    <col min="5" max="7" width="10.6640625" style="1"/>
    <col min="8" max="8" width="13.88671875" style="1" customWidth="1" outlineLevel="1"/>
    <col min="9" max="9" width="12.88671875" style="1" customWidth="1" outlineLevel="1"/>
    <col min="10" max="11" width="50.109375" style="1" customWidth="1" outlineLevel="1"/>
    <col min="12" max="12" width="22.44140625" style="1" customWidth="1" outlineLevel="1"/>
    <col min="13" max="13" width="13.44140625" style="1" customWidth="1" outlineLevel="1"/>
    <col min="14" max="15" width="22.6640625" style="1" customWidth="1" outlineLevel="1"/>
    <col min="16" max="16" width="15" style="1" customWidth="1" outlineLevel="1"/>
    <col min="17" max="17" width="14.5546875" style="1" customWidth="1" outlineLevel="1"/>
    <col min="18" max="18" width="9.88671875" style="1" customWidth="1" outlineLevel="1"/>
    <col min="19" max="19" width="2.6640625" style="1" customWidth="1"/>
    <col min="20" max="22" width="10.6640625" style="1" customWidth="1" outlineLevel="1"/>
    <col min="23" max="23" width="2.6640625" style="1" customWidth="1"/>
    <col min="24" max="24" width="45.33203125" style="1" bestFit="1" customWidth="1" outlineLevel="1"/>
    <col min="25" max="25" width="14.77734375" style="1" bestFit="1" customWidth="1" outlineLevel="1"/>
    <col min="26" max="26" width="10.6640625" style="1" customWidth="1" outlineLevel="1"/>
    <col min="27" max="27" width="2.6640625" style="1" customWidth="1"/>
    <col min="28" max="34" width="10.6640625" customWidth="1" outlineLevel="1"/>
    <col min="35" max="35" width="2.6640625" style="1" customWidth="1"/>
    <col min="36" max="37" width="12.6640625" style="1" customWidth="1" outlineLevel="1"/>
    <col min="38" max="38" width="17.44140625" style="1" customWidth="1" outlineLevel="1"/>
    <col min="39" max="39" width="11.33203125" style="1" customWidth="1" outlineLevel="1"/>
    <col min="40" max="40" width="11.88671875" style="1" customWidth="1" outlineLevel="1"/>
    <col min="41" max="41" width="2.6640625" style="1" customWidth="1"/>
    <col min="42" max="42" width="10.6640625" customWidth="1" outlineLevel="1"/>
    <col min="43" max="43" width="21.33203125" style="1" customWidth="1" outlineLevel="1"/>
    <col min="44" max="44" width="16.109375" style="1" customWidth="1"/>
    <col min="45" max="45" width="4.6640625" customWidth="1"/>
    <col min="46" max="46" width="21.6640625" style="1" customWidth="1"/>
    <col min="47" max="48" width="20.6640625" style="1" customWidth="1"/>
    <col min="49" max="49" width="17.44140625" style="1" customWidth="1"/>
  </cols>
  <sheetData>
    <row r="1" spans="1:58" ht="22.5" customHeight="1">
      <c r="B1" s="41" t="s">
        <v>0</v>
      </c>
      <c r="C1" s="42" t="s">
        <v>1</v>
      </c>
      <c r="D1" s="42" t="s">
        <v>1</v>
      </c>
      <c r="E1" s="42" t="s">
        <v>1</v>
      </c>
      <c r="F1" s="42" t="s">
        <v>1</v>
      </c>
      <c r="G1" s="42" t="s">
        <v>1</v>
      </c>
      <c r="H1" s="42" t="s">
        <v>1</v>
      </c>
      <c r="I1" s="42" t="s">
        <v>1</v>
      </c>
      <c r="S1" s="43"/>
      <c r="W1" s="43"/>
      <c r="AA1" s="43"/>
      <c r="AI1" s="43"/>
      <c r="AO1" s="43"/>
    </row>
    <row r="2" spans="1:58" s="39" customFormat="1">
      <c r="B2" s="41" t="s">
        <v>2</v>
      </c>
      <c r="C2" s="39" t="s">
        <v>3</v>
      </c>
      <c r="D2" s="39" t="s">
        <v>4</v>
      </c>
      <c r="E2" s="39" t="s">
        <v>3</v>
      </c>
      <c r="F2" s="39" t="s">
        <v>4</v>
      </c>
      <c r="G2" s="39" t="s">
        <v>4</v>
      </c>
      <c r="H2" s="39" t="s">
        <v>4</v>
      </c>
      <c r="I2" s="39" t="s">
        <v>4</v>
      </c>
      <c r="S2" s="44"/>
      <c r="W2" s="44"/>
      <c r="AA2" s="44"/>
      <c r="AB2" s="127"/>
      <c r="AC2" s="127"/>
      <c r="AD2" s="127"/>
      <c r="AE2" s="127"/>
      <c r="AF2" s="127"/>
      <c r="AG2" s="127"/>
      <c r="AH2" s="127"/>
      <c r="AI2" s="44"/>
      <c r="AO2" s="44"/>
      <c r="AP2" s="127"/>
    </row>
    <row r="3" spans="1:58" s="39" customFormat="1" ht="15.75">
      <c r="B3" s="41" t="s">
        <v>5</v>
      </c>
      <c r="C3" s="137" t="s">
        <v>6</v>
      </c>
      <c r="D3" s="137"/>
      <c r="E3" s="137" t="s">
        <v>7</v>
      </c>
      <c r="F3" s="137" t="s">
        <v>8</v>
      </c>
      <c r="G3" s="137" t="s">
        <v>9</v>
      </c>
      <c r="H3" s="137" t="s">
        <v>10</v>
      </c>
      <c r="I3" s="48" t="s">
        <v>11</v>
      </c>
      <c r="M3" s="40" t="s">
        <v>12</v>
      </c>
      <c r="S3" s="44"/>
      <c r="W3" s="44"/>
      <c r="AA3" s="44"/>
      <c r="AB3" s="127"/>
      <c r="AC3" s="127"/>
      <c r="AD3" s="127"/>
      <c r="AE3" s="127"/>
      <c r="AF3" s="127"/>
      <c r="AG3" s="127"/>
      <c r="AH3" s="127"/>
      <c r="AI3" s="44"/>
      <c r="AO3" s="44"/>
      <c r="AP3" s="127"/>
      <c r="BA3" s="22"/>
    </row>
    <row r="4" spans="1:58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44"/>
      <c r="T4" s="22"/>
      <c r="U4" s="22"/>
      <c r="V4" s="22"/>
      <c r="W4" s="44"/>
      <c r="X4" s="22"/>
      <c r="Y4" s="22"/>
      <c r="Z4" s="22"/>
      <c r="AA4" s="44"/>
      <c r="AB4" s="22"/>
      <c r="AC4" s="22"/>
      <c r="AD4" s="22"/>
      <c r="AE4" s="22"/>
      <c r="AF4" s="22"/>
      <c r="AG4" s="22"/>
      <c r="AH4" s="22"/>
      <c r="AI4" s="44"/>
      <c r="AJ4" s="22"/>
      <c r="AK4" s="22"/>
      <c r="AL4" s="22"/>
      <c r="AM4" s="22"/>
      <c r="AN4" s="22"/>
      <c r="AO4" s="44"/>
      <c r="AP4" s="22"/>
      <c r="AQ4" s="22"/>
      <c r="AR4" s="22"/>
      <c r="AS4" s="22"/>
      <c r="AT4" s="22"/>
      <c r="AU4" s="22"/>
      <c r="AV4" s="22"/>
      <c r="AW4" s="22"/>
    </row>
    <row r="5" spans="1:58" ht="41.25" customHeight="1">
      <c r="A5" s="22"/>
      <c r="B5" s="88" t="s">
        <v>13</v>
      </c>
      <c r="C5" s="88" t="s">
        <v>14</v>
      </c>
      <c r="D5" s="88" t="s">
        <v>15</v>
      </c>
      <c r="E5" s="88" t="s">
        <v>15</v>
      </c>
      <c r="F5" s="88" t="s">
        <v>16</v>
      </c>
      <c r="G5" s="88" t="s">
        <v>16</v>
      </c>
      <c r="H5" s="88" t="s">
        <v>16</v>
      </c>
      <c r="I5" s="88" t="s">
        <v>17</v>
      </c>
      <c r="J5" s="88" t="s">
        <v>17</v>
      </c>
      <c r="K5" s="88"/>
      <c r="L5" s="88" t="s">
        <v>18</v>
      </c>
      <c r="M5" s="88" t="s">
        <v>17</v>
      </c>
      <c r="N5" s="53"/>
      <c r="O5" s="53"/>
      <c r="P5" s="160" t="s">
        <v>19</v>
      </c>
      <c r="Q5" s="160" t="s">
        <v>20</v>
      </c>
      <c r="R5" s="160" t="s">
        <v>18</v>
      </c>
      <c r="S5" s="44"/>
      <c r="T5" s="63" t="s">
        <v>21</v>
      </c>
      <c r="U5" s="64"/>
      <c r="V5" s="65"/>
      <c r="W5" s="44"/>
      <c r="X5" s="53" t="s">
        <v>22</v>
      </c>
      <c r="Y5" s="53" t="s">
        <v>22</v>
      </c>
      <c r="Z5" s="53" t="s">
        <v>22</v>
      </c>
      <c r="AA5" s="44"/>
      <c r="AB5" s="88" t="s">
        <v>22</v>
      </c>
      <c r="AC5" s="88" t="s">
        <v>22</v>
      </c>
      <c r="AD5" s="88" t="s">
        <v>22</v>
      </c>
      <c r="AE5" s="88" t="s">
        <v>22</v>
      </c>
      <c r="AF5" s="88" t="s">
        <v>22</v>
      </c>
      <c r="AG5" s="88"/>
      <c r="AH5" s="88"/>
      <c r="AI5" s="44"/>
      <c r="AJ5" s="160" t="s">
        <v>23</v>
      </c>
      <c r="AK5" s="53"/>
      <c r="AL5" s="53" t="s">
        <v>22</v>
      </c>
      <c r="AM5" s="160" t="s">
        <v>22</v>
      </c>
      <c r="AN5" s="160" t="s">
        <v>24</v>
      </c>
      <c r="AO5" s="44"/>
      <c r="AP5" s="88" t="s">
        <v>22</v>
      </c>
      <c r="AQ5" s="160" t="s">
        <v>22</v>
      </c>
      <c r="AR5" s="160" t="s">
        <v>22</v>
      </c>
      <c r="AS5" s="22"/>
      <c r="AT5" s="22"/>
      <c r="AU5" s="22"/>
      <c r="AV5" s="22"/>
      <c r="AW5" s="22"/>
    </row>
    <row r="6" spans="1:58">
      <c r="A6" s="22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54"/>
      <c r="O6" s="54"/>
      <c r="P6" s="161"/>
      <c r="Q6" s="161"/>
      <c r="R6" s="161"/>
      <c r="S6" s="44"/>
      <c r="T6" s="66"/>
      <c r="U6" s="67"/>
      <c r="V6" s="68"/>
      <c r="W6" s="44"/>
      <c r="X6" s="54"/>
      <c r="Y6" s="54"/>
      <c r="Z6" s="54"/>
      <c r="AA6" s="44"/>
      <c r="AB6" s="89"/>
      <c r="AC6" s="89"/>
      <c r="AD6" s="89"/>
      <c r="AE6" s="89"/>
      <c r="AF6" s="89"/>
      <c r="AG6" s="89"/>
      <c r="AH6" s="89"/>
      <c r="AI6" s="44"/>
      <c r="AJ6" s="161"/>
      <c r="AK6" s="54"/>
      <c r="AL6" s="54"/>
      <c r="AM6" s="161"/>
      <c r="AN6" s="161"/>
      <c r="AO6" s="44"/>
      <c r="AP6" s="89"/>
      <c r="AQ6" s="161"/>
      <c r="AR6" s="161"/>
      <c r="AS6" s="22"/>
      <c r="AT6" s="181" t="s">
        <v>25</v>
      </c>
      <c r="AU6" s="182"/>
      <c r="AV6" s="182"/>
      <c r="AW6" s="183"/>
    </row>
    <row r="7" spans="1:58">
      <c r="A7" s="22"/>
      <c r="B7" s="90"/>
      <c r="C7" s="90"/>
      <c r="D7" s="91"/>
      <c r="E7" s="91"/>
      <c r="F7" s="90"/>
      <c r="G7" s="90"/>
      <c r="H7" s="90"/>
      <c r="I7" s="90"/>
      <c r="J7" s="90"/>
      <c r="K7" s="90"/>
      <c r="L7" s="90"/>
      <c r="M7" s="90"/>
      <c r="N7" s="55"/>
      <c r="O7" s="55"/>
      <c r="P7" s="162"/>
      <c r="Q7" s="162"/>
      <c r="R7" s="162"/>
      <c r="S7" s="44"/>
      <c r="T7" s="69"/>
      <c r="U7" s="70"/>
      <c r="V7" s="71"/>
      <c r="W7" s="44"/>
      <c r="X7" s="55"/>
      <c r="Y7" s="55"/>
      <c r="Z7" s="55"/>
      <c r="AA7" s="44"/>
      <c r="AB7" s="90"/>
      <c r="AC7" s="90"/>
      <c r="AD7" s="90"/>
      <c r="AE7" s="90"/>
      <c r="AF7" s="90"/>
      <c r="AG7" s="90"/>
      <c r="AH7" s="90"/>
      <c r="AI7" s="44"/>
      <c r="AJ7" s="162"/>
      <c r="AK7" s="55"/>
      <c r="AL7" s="55"/>
      <c r="AM7" s="162"/>
      <c r="AN7" s="162"/>
      <c r="AO7" s="44"/>
      <c r="AP7" s="90"/>
      <c r="AQ7" s="162"/>
      <c r="AR7" s="162"/>
      <c r="AS7" s="22" t="s">
        <v>26</v>
      </c>
      <c r="AT7" s="22" t="s">
        <v>27</v>
      </c>
      <c r="AU7" s="22" t="s">
        <v>28</v>
      </c>
      <c r="AV7" s="22" t="s">
        <v>29</v>
      </c>
      <c r="AW7" s="22" t="s">
        <v>30</v>
      </c>
    </row>
    <row r="8" spans="1:58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44"/>
      <c r="T8" s="22"/>
      <c r="U8" s="22"/>
      <c r="V8" s="22"/>
      <c r="W8" s="44"/>
      <c r="X8" s="22"/>
      <c r="Y8" s="22"/>
      <c r="Z8" s="22"/>
      <c r="AA8" s="44"/>
      <c r="AB8" s="22"/>
      <c r="AC8" s="22"/>
      <c r="AD8" s="22"/>
      <c r="AE8" s="22"/>
      <c r="AF8" s="22"/>
      <c r="AG8" s="22"/>
      <c r="AH8" s="22"/>
      <c r="AI8" s="44"/>
      <c r="AJ8" s="22"/>
      <c r="AK8" s="22"/>
      <c r="AL8" s="22"/>
      <c r="AM8" s="22"/>
      <c r="AN8" s="22"/>
      <c r="AO8" s="44"/>
      <c r="AP8" s="22"/>
      <c r="AQ8" s="22"/>
      <c r="AR8" s="24" t="s">
        <v>31</v>
      </c>
      <c r="AS8" s="22"/>
      <c r="AT8" s="25" t="s">
        <v>17</v>
      </c>
      <c r="AU8" s="23" t="s">
        <v>32</v>
      </c>
      <c r="AV8" s="23"/>
      <c r="AW8" s="23" t="s">
        <v>33</v>
      </c>
    </row>
    <row r="9" spans="1:58" ht="105.7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 t="s">
        <v>34</v>
      </c>
      <c r="M9" s="26"/>
      <c r="N9" s="26"/>
      <c r="O9" s="148" t="s">
        <v>35</v>
      </c>
      <c r="P9" s="163" t="s">
        <v>36</v>
      </c>
      <c r="Q9" s="164"/>
      <c r="R9" s="165"/>
      <c r="S9" s="44"/>
      <c r="T9" s="61" t="s">
        <v>37</v>
      </c>
      <c r="U9" s="61"/>
      <c r="V9" s="62"/>
      <c r="W9" s="44"/>
      <c r="X9" s="61" t="s">
        <v>38</v>
      </c>
      <c r="Y9" s="61"/>
      <c r="Z9" s="62"/>
      <c r="AA9" s="44"/>
      <c r="AB9" s="154" t="s">
        <v>39</v>
      </c>
      <c r="AC9" s="154"/>
      <c r="AD9" s="154"/>
      <c r="AE9" s="154"/>
      <c r="AF9" s="126"/>
      <c r="AG9" s="152" t="s">
        <v>40</v>
      </c>
      <c r="AH9" s="153"/>
      <c r="AI9" s="44"/>
      <c r="AJ9" s="26"/>
      <c r="AK9" s="26"/>
      <c r="AL9" s="26"/>
      <c r="AM9" s="26"/>
      <c r="AN9" s="26"/>
      <c r="AO9" s="44"/>
      <c r="AP9" s="26"/>
      <c r="AQ9" s="26"/>
      <c r="AR9" s="26"/>
      <c r="AS9" s="22"/>
      <c r="AT9" s="27" t="s">
        <v>41</v>
      </c>
      <c r="AU9" s="28" t="s">
        <v>42</v>
      </c>
      <c r="AV9" s="29" t="s">
        <v>43</v>
      </c>
      <c r="AW9" s="29" t="s">
        <v>44</v>
      </c>
    </row>
    <row r="10" spans="1:58" ht="36">
      <c r="A10" s="46"/>
      <c r="B10" s="47" t="s">
        <v>45</v>
      </c>
      <c r="C10" s="48" t="s">
        <v>46</v>
      </c>
      <c r="D10" s="48" t="s">
        <v>47</v>
      </c>
      <c r="E10" s="48" t="s">
        <v>48</v>
      </c>
      <c r="F10" s="48" t="s">
        <v>49</v>
      </c>
      <c r="G10" s="48"/>
      <c r="H10" s="48" t="s">
        <v>50</v>
      </c>
      <c r="I10" s="48" t="s">
        <v>8</v>
      </c>
      <c r="J10" s="49" t="s">
        <v>51</v>
      </c>
      <c r="K10" s="49" t="s">
        <v>52</v>
      </c>
      <c r="L10" s="50" t="s">
        <v>53</v>
      </c>
      <c r="M10" s="50" t="s">
        <v>54</v>
      </c>
      <c r="N10" s="57" t="s">
        <v>55</v>
      </c>
      <c r="O10" s="149" t="s">
        <v>56</v>
      </c>
      <c r="P10" s="51" t="s">
        <v>57</v>
      </c>
      <c r="Q10" s="52" t="s">
        <v>58</v>
      </c>
      <c r="R10" s="52" t="s">
        <v>34</v>
      </c>
      <c r="S10" s="44"/>
      <c r="T10" s="52" t="s">
        <v>59</v>
      </c>
      <c r="U10" s="52" t="s">
        <v>60</v>
      </c>
      <c r="V10" s="52" t="s">
        <v>61</v>
      </c>
      <c r="W10" s="44"/>
      <c r="X10" s="52" t="s">
        <v>59</v>
      </c>
      <c r="Y10" s="52" t="s">
        <v>60</v>
      </c>
      <c r="Z10" s="52" t="s">
        <v>61</v>
      </c>
      <c r="AA10" s="44"/>
      <c r="AB10" s="128" t="s">
        <v>62</v>
      </c>
      <c r="AC10" s="128" t="s">
        <v>63</v>
      </c>
      <c r="AD10" s="128" t="s">
        <v>59</v>
      </c>
      <c r="AE10" s="128" t="s">
        <v>60</v>
      </c>
      <c r="AF10" s="128" t="s">
        <v>61</v>
      </c>
      <c r="AG10" s="52" t="s">
        <v>64</v>
      </c>
      <c r="AH10" s="128" t="s">
        <v>65</v>
      </c>
      <c r="AI10" s="44"/>
      <c r="AJ10" s="48" t="s">
        <v>66</v>
      </c>
      <c r="AK10" s="48" t="s">
        <v>67</v>
      </c>
      <c r="AL10" s="48" t="s">
        <v>68</v>
      </c>
      <c r="AM10" s="48" t="s">
        <v>69</v>
      </c>
      <c r="AN10" s="48" t="s">
        <v>70</v>
      </c>
      <c r="AO10" s="44"/>
      <c r="AP10" s="128" t="s">
        <v>71</v>
      </c>
      <c r="AQ10" s="48" t="s">
        <v>71</v>
      </c>
      <c r="AR10" s="48" t="s">
        <v>72</v>
      </c>
      <c r="AS10" s="22"/>
      <c r="AT10" s="27" t="s">
        <v>42</v>
      </c>
      <c r="AU10" s="28" t="s">
        <v>73</v>
      </c>
      <c r="AV10" s="29"/>
      <c r="AW10" s="29" t="s">
        <v>22</v>
      </c>
    </row>
    <row r="11" spans="1:58">
      <c r="A11" s="22"/>
      <c r="B11" s="27" t="s">
        <v>74</v>
      </c>
      <c r="C11" s="38" t="s">
        <v>75</v>
      </c>
      <c r="D11" s="38">
        <v>1</v>
      </c>
      <c r="E11" s="30">
        <v>45006</v>
      </c>
      <c r="F11" s="38" t="s">
        <v>76</v>
      </c>
      <c r="G11" s="28"/>
      <c r="H11" s="38" t="s">
        <v>77</v>
      </c>
      <c r="I11" s="58" t="s">
        <v>78</v>
      </c>
      <c r="J11" s="28" t="s">
        <v>79</v>
      </c>
      <c r="K11" s="180" t="s">
        <v>80</v>
      </c>
      <c r="L11" s="31" t="s">
        <v>81</v>
      </c>
      <c r="M11" s="38" t="s">
        <v>82</v>
      </c>
      <c r="N11" s="150" t="s">
        <v>83</v>
      </c>
      <c r="O11" s="38" t="s">
        <v>84</v>
      </c>
      <c r="P11" s="38">
        <v>3000</v>
      </c>
      <c r="Q11" s="38">
        <v>10000</v>
      </c>
      <c r="R11" s="37" t="s">
        <v>85</v>
      </c>
      <c r="S11" s="44"/>
      <c r="T11" s="28" t="s">
        <v>22</v>
      </c>
      <c r="U11" s="28" t="s">
        <v>22</v>
      </c>
      <c r="V11" s="28" t="s">
        <v>22</v>
      </c>
      <c r="W11" s="44"/>
      <c r="X11" s="28" t="s">
        <v>86</v>
      </c>
      <c r="Y11" s="28" t="s">
        <v>86</v>
      </c>
      <c r="Z11" s="28" t="s">
        <v>86</v>
      </c>
      <c r="AA11" s="44"/>
      <c r="AB11" s="28" t="s">
        <v>22</v>
      </c>
      <c r="AC11" s="28" t="s">
        <v>22</v>
      </c>
      <c r="AD11" s="28" t="s">
        <v>86</v>
      </c>
      <c r="AE11" s="28" t="s">
        <v>86</v>
      </c>
      <c r="AF11" s="28" t="s">
        <v>86</v>
      </c>
      <c r="AG11" s="129" t="s">
        <v>87</v>
      </c>
      <c r="AH11" s="129" t="s">
        <v>75</v>
      </c>
      <c r="AI11" s="44"/>
      <c r="AJ11" s="58" t="s">
        <v>88</v>
      </c>
      <c r="AK11" s="58"/>
      <c r="AL11" s="38">
        <v>9988</v>
      </c>
      <c r="AM11" s="38">
        <v>12</v>
      </c>
      <c r="AN11" s="58" t="s">
        <v>74</v>
      </c>
      <c r="AO11" s="44"/>
      <c r="AP11" s="28" t="s">
        <v>22</v>
      </c>
      <c r="AQ11" s="28" t="s">
        <v>89</v>
      </c>
      <c r="AR11" s="32" t="s">
        <v>90</v>
      </c>
      <c r="AS11" s="22"/>
      <c r="AT11" s="27" t="s">
        <v>73</v>
      </c>
      <c r="AU11" s="28"/>
      <c r="AV11" s="29"/>
      <c r="AW11" s="29" t="s">
        <v>22</v>
      </c>
    </row>
    <row r="12" spans="1:58">
      <c r="A12" s="22"/>
      <c r="B12" s="27" t="s">
        <v>74</v>
      </c>
      <c r="C12" s="38" t="s">
        <v>75</v>
      </c>
      <c r="D12" s="38">
        <v>1</v>
      </c>
      <c r="E12" s="30">
        <v>45006</v>
      </c>
      <c r="F12" s="38" t="s">
        <v>91</v>
      </c>
      <c r="G12" s="28"/>
      <c r="H12" s="38" t="s">
        <v>77</v>
      </c>
      <c r="I12" s="58" t="s">
        <v>78</v>
      </c>
      <c r="J12" s="28" t="s">
        <v>79</v>
      </c>
      <c r="K12" s="28"/>
      <c r="L12" s="31" t="s">
        <v>81</v>
      </c>
      <c r="M12" s="38" t="s">
        <v>92</v>
      </c>
      <c r="N12" s="150" t="s">
        <v>93</v>
      </c>
      <c r="O12" s="38" t="s">
        <v>94</v>
      </c>
      <c r="P12" s="38">
        <v>4320</v>
      </c>
      <c r="Q12" s="38">
        <v>12000</v>
      </c>
      <c r="R12" s="37" t="s">
        <v>85</v>
      </c>
      <c r="S12" s="44"/>
      <c r="T12" s="28" t="s">
        <v>22</v>
      </c>
      <c r="U12" s="28" t="s">
        <v>22</v>
      </c>
      <c r="V12" s="28" t="s">
        <v>22</v>
      </c>
      <c r="W12" s="44"/>
      <c r="X12" s="28" t="s">
        <v>22</v>
      </c>
      <c r="Y12" s="28" t="s">
        <v>22</v>
      </c>
      <c r="Z12" s="28" t="s">
        <v>22</v>
      </c>
      <c r="AA12" s="44"/>
      <c r="AB12" s="28" t="s">
        <v>22</v>
      </c>
      <c r="AC12" s="28" t="s">
        <v>22</v>
      </c>
      <c r="AD12" s="28"/>
      <c r="AE12" s="28"/>
      <c r="AF12" s="28"/>
      <c r="AG12" s="28"/>
      <c r="AH12" s="28"/>
      <c r="AI12" s="44"/>
      <c r="AJ12" s="58" t="s">
        <v>95</v>
      </c>
      <c r="AK12" s="58"/>
      <c r="AL12" s="28" t="s">
        <v>22</v>
      </c>
      <c r="AM12" s="28" t="s">
        <v>22</v>
      </c>
      <c r="AN12" s="28" t="s">
        <v>22</v>
      </c>
      <c r="AO12" s="44"/>
      <c r="AP12" s="28" t="s">
        <v>22</v>
      </c>
      <c r="AQ12" s="28" t="s">
        <v>96</v>
      </c>
      <c r="AR12" s="32" t="s">
        <v>90</v>
      </c>
      <c r="AS12" s="22"/>
      <c r="AT12" s="27"/>
      <c r="AU12" s="28" t="s">
        <v>97</v>
      </c>
      <c r="AV12" s="29"/>
      <c r="AW12" s="29" t="s">
        <v>22</v>
      </c>
    </row>
    <row r="13" spans="1:58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151">
        <v>150000</v>
      </c>
      <c r="O13" s="22"/>
      <c r="P13" s="22"/>
      <c r="Q13" s="22"/>
      <c r="R13" s="22"/>
      <c r="S13" s="44"/>
      <c r="T13" s="22"/>
      <c r="U13" s="22"/>
      <c r="V13" s="22"/>
      <c r="W13" s="44"/>
      <c r="X13" s="22"/>
      <c r="Y13" s="22"/>
      <c r="Z13" s="22"/>
      <c r="AA13" s="44"/>
      <c r="AB13" s="22"/>
      <c r="AC13" s="22"/>
      <c r="AD13" s="22"/>
      <c r="AE13" s="22"/>
      <c r="AF13" s="22"/>
      <c r="AG13" s="22"/>
      <c r="AH13" s="22"/>
      <c r="AI13" s="44"/>
      <c r="AJ13" s="22"/>
      <c r="AK13" s="22"/>
      <c r="AL13" s="22"/>
      <c r="AM13" s="22"/>
      <c r="AN13" s="22"/>
      <c r="AO13" s="44"/>
      <c r="AP13" s="22"/>
      <c r="AQ13" s="22"/>
      <c r="AR13" s="22"/>
      <c r="AS13" s="22"/>
      <c r="AT13" s="27" t="s">
        <v>22</v>
      </c>
      <c r="AU13" s="28" t="s">
        <v>96</v>
      </c>
      <c r="AV13" s="29"/>
      <c r="AW13" s="29" t="s">
        <v>22</v>
      </c>
    </row>
    <row r="14" spans="1:58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98</v>
      </c>
      <c r="O14" s="22"/>
      <c r="P14" s="22"/>
      <c r="Q14" s="22"/>
      <c r="R14" s="22"/>
      <c r="S14" s="44"/>
      <c r="T14" s="99" t="s">
        <v>99</v>
      </c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22"/>
      <c r="AK14" s="22"/>
      <c r="AL14" s="99"/>
      <c r="AM14" s="22"/>
      <c r="AN14" s="22"/>
      <c r="AO14" s="44"/>
      <c r="AP14" s="22"/>
      <c r="AQ14" s="22"/>
      <c r="AR14" s="22"/>
      <c r="AS14" s="22"/>
      <c r="AT14" s="27" t="s">
        <v>22</v>
      </c>
      <c r="AU14" s="28" t="s">
        <v>32</v>
      </c>
      <c r="AV14" s="29"/>
      <c r="AW14" s="29" t="s">
        <v>22</v>
      </c>
    </row>
    <row r="15" spans="1:58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 t="s">
        <v>100</v>
      </c>
      <c r="O15" s="22"/>
      <c r="P15" s="22"/>
      <c r="Q15" s="22"/>
      <c r="R15" s="22"/>
      <c r="S15" s="44"/>
      <c r="T15" s="22"/>
      <c r="U15" s="22"/>
      <c r="V15" s="22"/>
      <c r="W15" s="44"/>
      <c r="X15" s="22"/>
      <c r="Y15" s="22"/>
      <c r="Z15" s="22"/>
      <c r="AA15" s="44"/>
      <c r="AB15" s="22"/>
      <c r="AC15" s="22"/>
      <c r="AD15" s="22"/>
      <c r="AE15" s="22"/>
      <c r="AF15" s="22"/>
      <c r="AG15" s="22"/>
      <c r="AH15" s="22"/>
      <c r="AI15" s="44"/>
      <c r="AJ15" s="22"/>
      <c r="AK15" s="22"/>
      <c r="AL15" s="22"/>
      <c r="AM15" s="22"/>
      <c r="AN15" s="22"/>
      <c r="AO15" s="44"/>
      <c r="AP15" s="22" t="s">
        <v>41</v>
      </c>
      <c r="AQ15" s="33" t="s">
        <v>101</v>
      </c>
      <c r="AR15" s="22" t="s">
        <v>102</v>
      </c>
      <c r="AS15" s="22"/>
      <c r="AT15" s="27" t="s">
        <v>22</v>
      </c>
      <c r="AU15" s="28" t="s">
        <v>89</v>
      </c>
      <c r="AV15" s="29"/>
      <c r="AW15" s="29" t="s">
        <v>22</v>
      </c>
    </row>
    <row r="16" spans="1:58">
      <c r="A16" s="22"/>
      <c r="B16" s="157" t="s">
        <v>103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60" t="s">
        <v>104</v>
      </c>
      <c r="O16" s="60"/>
      <c r="P16" s="22"/>
      <c r="Q16" s="22"/>
      <c r="R16" s="60" t="s">
        <v>104</v>
      </c>
      <c r="S16" s="44"/>
      <c r="T16" s="22"/>
      <c r="U16" s="22"/>
      <c r="V16" s="22"/>
      <c r="W16" s="44"/>
      <c r="X16" s="22"/>
      <c r="Y16" s="22"/>
      <c r="Z16" s="22"/>
      <c r="AA16" s="44"/>
      <c r="AB16" s="22"/>
      <c r="AC16" s="22"/>
      <c r="AD16" s="22"/>
      <c r="AE16" s="22"/>
      <c r="AF16" s="22"/>
      <c r="AG16" s="22"/>
      <c r="AH16" s="22"/>
      <c r="AI16" s="44"/>
      <c r="AJ16" s="22"/>
      <c r="AK16" s="22"/>
      <c r="AL16" s="22"/>
      <c r="AM16" s="22"/>
      <c r="AN16" s="22"/>
      <c r="AO16" s="44"/>
      <c r="AP16" s="22" t="s">
        <v>105</v>
      </c>
      <c r="AQ16" s="33" t="s">
        <v>36</v>
      </c>
      <c r="AR16" s="22" t="s">
        <v>106</v>
      </c>
      <c r="AS16" s="22"/>
      <c r="AT16" s="27" t="s">
        <v>22</v>
      </c>
      <c r="AU16" s="28" t="s">
        <v>107</v>
      </c>
      <c r="AV16" s="29"/>
      <c r="AW16" s="29" t="s">
        <v>22</v>
      </c>
    </row>
    <row r="17" spans="1:54">
      <c r="A17" s="22"/>
      <c r="B17" s="158"/>
      <c r="C17" s="22"/>
      <c r="D17" s="22"/>
      <c r="E17" s="22"/>
      <c r="F17" s="22"/>
      <c r="G17" s="22"/>
      <c r="H17" s="22"/>
      <c r="I17" s="22"/>
      <c r="L17" s="22"/>
      <c r="M17" s="22"/>
      <c r="N17" s="22">
        <f>N13-P12</f>
        <v>145680</v>
      </c>
      <c r="O17" s="22"/>
      <c r="P17" s="22"/>
      <c r="Q17" s="22"/>
      <c r="R17" s="22"/>
      <c r="S17" s="44"/>
      <c r="T17" s="22"/>
      <c r="U17" s="22"/>
      <c r="V17" s="22"/>
      <c r="W17" s="44"/>
      <c r="X17" s="22"/>
      <c r="Y17" s="22"/>
      <c r="Z17" s="22"/>
      <c r="AA17" s="44"/>
      <c r="AB17" s="22"/>
      <c r="AC17" s="22"/>
      <c r="AD17" s="22"/>
      <c r="AE17" s="22"/>
      <c r="AF17" s="22"/>
      <c r="AG17" s="22"/>
      <c r="AH17" s="22"/>
      <c r="AI17" s="44"/>
      <c r="AJ17" s="22"/>
      <c r="AK17" s="22"/>
      <c r="AL17" s="22" t="s">
        <v>108</v>
      </c>
      <c r="AM17" s="22"/>
      <c r="AN17" s="22"/>
      <c r="AO17" s="44"/>
      <c r="AP17" s="22" t="s">
        <v>73</v>
      </c>
      <c r="AQ17" s="33" t="s">
        <v>97</v>
      </c>
      <c r="AR17" s="22" t="s">
        <v>109</v>
      </c>
      <c r="AS17" s="22"/>
      <c r="AT17" s="34" t="s">
        <v>22</v>
      </c>
      <c r="AU17" s="29" t="s">
        <v>110</v>
      </c>
      <c r="AV17" s="29"/>
      <c r="AW17" s="29" t="s">
        <v>22</v>
      </c>
    </row>
    <row r="18" spans="1:54">
      <c r="A18" s="22"/>
      <c r="B18" s="159"/>
      <c r="C18" s="22"/>
      <c r="D18" s="22"/>
      <c r="E18" s="22"/>
      <c r="F18" s="22"/>
      <c r="G18" s="22"/>
      <c r="H18" s="22"/>
      <c r="I18" s="22"/>
      <c r="L18" s="22"/>
      <c r="M18" s="22"/>
      <c r="N18" s="22"/>
      <c r="O18" s="22"/>
      <c r="P18" s="22"/>
      <c r="Q18" s="22"/>
      <c r="R18" s="22"/>
      <c r="S18" s="44"/>
      <c r="T18" s="22"/>
      <c r="U18" s="22"/>
      <c r="V18" s="22"/>
      <c r="W18" s="44"/>
      <c r="X18" s="22"/>
      <c r="Y18" s="22"/>
      <c r="Z18" s="22"/>
      <c r="AA18" s="44"/>
      <c r="AB18" s="22"/>
      <c r="AC18" s="22"/>
      <c r="AD18" s="22"/>
      <c r="AE18" s="22"/>
      <c r="AF18" s="22"/>
      <c r="AG18" s="22"/>
      <c r="AH18" s="22"/>
      <c r="AI18" s="44"/>
      <c r="AJ18" s="22"/>
      <c r="AK18" s="22"/>
      <c r="AL18" s="22" t="s">
        <v>108</v>
      </c>
      <c r="AM18" s="22"/>
      <c r="AN18" s="22"/>
      <c r="AO18" s="44"/>
      <c r="AP18" s="22" t="s">
        <v>111</v>
      </c>
      <c r="AQ18" s="33" t="s">
        <v>96</v>
      </c>
      <c r="AR18" s="22" t="s">
        <v>112</v>
      </c>
      <c r="AS18" s="22"/>
      <c r="AT18" s="184" t="s">
        <v>22</v>
      </c>
      <c r="AU18" s="185"/>
      <c r="AV18" s="185"/>
      <c r="AW18" s="186"/>
    </row>
    <row r="19" spans="1:54">
      <c r="A19" s="22"/>
      <c r="B19" s="22"/>
      <c r="C19" s="22"/>
      <c r="D19" s="22"/>
      <c r="E19" s="22"/>
      <c r="F19" s="22"/>
      <c r="G19" s="22"/>
      <c r="H19" s="22"/>
      <c r="I19" s="22"/>
      <c r="L19" s="22"/>
      <c r="M19" s="22"/>
      <c r="N19" s="22"/>
      <c r="O19" s="22"/>
      <c r="P19" s="22"/>
      <c r="Q19" s="22"/>
      <c r="R19" s="22"/>
      <c r="S19" s="44"/>
      <c r="T19" s="22"/>
      <c r="U19" s="22"/>
      <c r="V19" s="22"/>
      <c r="W19" s="44"/>
      <c r="X19" s="22"/>
      <c r="Y19" s="22"/>
      <c r="Z19" s="22"/>
      <c r="AA19" s="44"/>
      <c r="AB19" s="22"/>
      <c r="AC19" s="22"/>
      <c r="AD19" s="22"/>
      <c r="AE19" s="22"/>
      <c r="AF19" s="22"/>
      <c r="AG19" s="22"/>
      <c r="AH19" s="22"/>
      <c r="AI19" s="44"/>
      <c r="AJ19" s="22"/>
      <c r="AK19" s="22"/>
      <c r="AL19" s="22"/>
      <c r="AM19" s="22"/>
      <c r="AN19" s="22"/>
      <c r="AO19" s="44"/>
      <c r="AP19" s="22"/>
      <c r="AQ19" s="33" t="s">
        <v>32</v>
      </c>
      <c r="AR19" s="22" t="s">
        <v>113</v>
      </c>
      <c r="AS19" s="22"/>
      <c r="AT19" s="187"/>
      <c r="AU19" s="188"/>
      <c r="AV19" s="188"/>
      <c r="AW19" s="189"/>
    </row>
    <row r="20" spans="1:54">
      <c r="A20" s="22"/>
      <c r="B20" s="157" t="s">
        <v>114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44"/>
      <c r="T20" s="22"/>
      <c r="U20" s="22"/>
      <c r="V20" s="22"/>
      <c r="W20" s="44"/>
      <c r="X20" s="22"/>
      <c r="Y20" s="22"/>
      <c r="Z20" s="22"/>
      <c r="AA20" s="44"/>
      <c r="AB20" s="22"/>
      <c r="AC20" s="22"/>
      <c r="AD20" s="22"/>
      <c r="AE20" s="22"/>
      <c r="AF20" s="22"/>
      <c r="AG20" s="22"/>
      <c r="AH20" s="22"/>
      <c r="AI20" s="44"/>
      <c r="AJ20" s="22"/>
      <c r="AK20" s="22"/>
      <c r="AL20" s="22"/>
      <c r="AM20" s="22"/>
      <c r="AN20" s="22"/>
      <c r="AO20" s="44"/>
      <c r="AP20" s="22"/>
      <c r="AQ20" s="33" t="s">
        <v>89</v>
      </c>
      <c r="AR20" s="22" t="s">
        <v>115</v>
      </c>
      <c r="AS20" s="22"/>
      <c r="AT20" s="22"/>
      <c r="AU20" s="22"/>
      <c r="AV20" s="22"/>
      <c r="AW20" s="22"/>
    </row>
    <row r="21" spans="1:54">
      <c r="A21" s="22"/>
      <c r="B21" s="158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44"/>
      <c r="T21" s="22"/>
      <c r="U21" s="22" t="s">
        <v>116</v>
      </c>
      <c r="V21" s="22"/>
      <c r="W21" s="44"/>
      <c r="X21" s="22"/>
      <c r="Y21" s="22"/>
      <c r="Z21" s="22"/>
      <c r="AA21" s="44"/>
      <c r="AB21" s="22"/>
      <c r="AC21" s="22"/>
      <c r="AD21" s="22"/>
      <c r="AE21" s="22"/>
      <c r="AF21" s="22"/>
      <c r="AG21" s="22"/>
      <c r="AH21" s="22"/>
      <c r="AI21" s="44"/>
      <c r="AJ21" s="22"/>
      <c r="AK21" s="22"/>
      <c r="AL21" s="22"/>
      <c r="AM21" s="22"/>
      <c r="AN21" s="22"/>
      <c r="AO21" s="44"/>
      <c r="AP21" s="22"/>
      <c r="AQ21" s="35" t="s">
        <v>107</v>
      </c>
      <c r="AR21" s="22" t="s">
        <v>32</v>
      </c>
      <c r="AS21" s="22"/>
    </row>
    <row r="22" spans="1:54" ht="30.75" customHeight="1">
      <c r="A22" s="22"/>
      <c r="B22" s="159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44"/>
      <c r="T22" s="22"/>
      <c r="U22" s="22"/>
      <c r="V22" s="22"/>
      <c r="W22" s="44"/>
      <c r="X22" s="22"/>
      <c r="Y22" s="22"/>
      <c r="Z22" s="22"/>
      <c r="AA22" s="44"/>
      <c r="AB22" s="22"/>
      <c r="AC22" s="22"/>
      <c r="AD22" s="22"/>
      <c r="AE22" s="22"/>
      <c r="AF22" s="22"/>
      <c r="AG22" s="22"/>
      <c r="AH22" s="22"/>
      <c r="AI22" s="44"/>
      <c r="AJ22" s="22"/>
      <c r="AK22" s="22"/>
      <c r="AL22" s="22"/>
      <c r="AM22" s="22"/>
      <c r="AN22" s="22"/>
      <c r="AO22" s="44"/>
      <c r="AP22" s="22"/>
      <c r="AQ22" s="22" t="s">
        <v>110</v>
      </c>
      <c r="AR22" s="8"/>
      <c r="AS22" s="22"/>
      <c r="AZ22" s="22"/>
      <c r="BA22" s="22"/>
      <c r="BB22" s="22"/>
    </row>
    <row r="23" spans="1:54" ht="15.75">
      <c r="A23" s="22"/>
      <c r="B23" s="22"/>
      <c r="C23" s="22"/>
      <c r="D23" s="26" t="s">
        <v>117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44"/>
      <c r="T23" s="22"/>
      <c r="U23" s="22"/>
      <c r="V23" s="22"/>
      <c r="W23" s="44"/>
      <c r="X23" s="22" t="s">
        <v>118</v>
      </c>
      <c r="Y23" s="22"/>
      <c r="Z23" s="22"/>
      <c r="AA23" s="44"/>
      <c r="AB23" s="22"/>
      <c r="AC23" s="22"/>
      <c r="AD23" s="22"/>
      <c r="AE23" s="22"/>
      <c r="AF23" s="22"/>
      <c r="AG23" s="22"/>
      <c r="AH23" s="22"/>
      <c r="AI23" s="44"/>
      <c r="AJ23" s="22"/>
      <c r="AK23" s="22"/>
      <c r="AL23" s="22"/>
      <c r="AM23" s="22"/>
      <c r="AN23" s="22"/>
      <c r="AO23" s="44"/>
      <c r="AP23" s="22"/>
      <c r="AQ23" s="8"/>
      <c r="AR23" s="22"/>
      <c r="AS23" s="22"/>
      <c r="AT23" s="132" t="s">
        <v>71</v>
      </c>
      <c r="AU23" s="155" t="s">
        <v>72</v>
      </c>
      <c r="AV23" s="156"/>
      <c r="AW23" s="156"/>
    </row>
    <row r="24" spans="1:54">
      <c r="A24" s="22"/>
      <c r="B24" s="22"/>
      <c r="C24" s="22"/>
      <c r="D24" s="22" t="s">
        <v>119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44"/>
      <c r="T24" s="22"/>
      <c r="U24" s="22"/>
      <c r="V24" s="22"/>
      <c r="W24" s="44"/>
      <c r="X24" s="22"/>
      <c r="Y24" s="22"/>
      <c r="Z24" s="22"/>
      <c r="AA24" s="44"/>
      <c r="AB24" s="22"/>
      <c r="AC24" s="22"/>
      <c r="AD24" s="22"/>
      <c r="AE24" s="22"/>
      <c r="AF24" s="22"/>
      <c r="AG24" s="22"/>
      <c r="AH24" s="22"/>
      <c r="AI24" s="44"/>
      <c r="AJ24" s="22"/>
      <c r="AK24" s="22"/>
      <c r="AL24" s="22"/>
      <c r="AM24" s="22"/>
      <c r="AN24" s="22"/>
      <c r="AO24" s="44"/>
      <c r="AP24" s="22"/>
      <c r="AQ24" s="22"/>
      <c r="AR24" s="142" t="s">
        <v>120</v>
      </c>
      <c r="AS24" s="22"/>
      <c r="AT24" s="133" t="s">
        <v>101</v>
      </c>
      <c r="AU24" s="134" t="s">
        <v>115</v>
      </c>
      <c r="AV24" s="130" t="s">
        <v>106</v>
      </c>
      <c r="AW24" s="131"/>
    </row>
    <row r="25" spans="1:54">
      <c r="A25" s="22"/>
      <c r="B25" s="22"/>
      <c r="C25" s="22"/>
      <c r="D25" s="22" t="s">
        <v>121</v>
      </c>
      <c r="E25" s="22"/>
      <c r="F25" s="22"/>
      <c r="G25" s="22"/>
      <c r="H25" s="22"/>
      <c r="I25" s="22"/>
      <c r="J25" s="22" t="s">
        <v>122</v>
      </c>
      <c r="K25" s="22"/>
      <c r="L25" s="22"/>
      <c r="M25" s="22"/>
      <c r="N25" s="22"/>
      <c r="O25" s="22"/>
      <c r="P25" s="22"/>
      <c r="Q25" s="22"/>
      <c r="R25" s="22"/>
      <c r="S25" s="44"/>
      <c r="T25" s="22"/>
      <c r="U25" s="22"/>
      <c r="V25" s="22"/>
      <c r="W25" s="44"/>
      <c r="X25" s="22"/>
      <c r="Y25" s="22"/>
      <c r="Z25" s="22"/>
      <c r="AA25" s="44"/>
      <c r="AB25" s="22"/>
      <c r="AC25" s="22"/>
      <c r="AD25" s="22"/>
      <c r="AE25" s="22"/>
      <c r="AF25" s="22"/>
      <c r="AG25" s="22"/>
      <c r="AH25" s="22"/>
      <c r="AI25" s="44"/>
      <c r="AJ25" s="22"/>
      <c r="AK25" s="22"/>
      <c r="AL25" s="22"/>
      <c r="AM25" s="22"/>
      <c r="AN25" s="22"/>
      <c r="AO25" s="44"/>
      <c r="AP25" s="22"/>
      <c r="AQ25" s="22"/>
      <c r="AR25" s="143" t="s">
        <v>123</v>
      </c>
      <c r="AS25" s="22"/>
      <c r="AT25" s="133" t="s">
        <v>36</v>
      </c>
      <c r="AU25" s="134" t="s">
        <v>97</v>
      </c>
      <c r="AV25" s="130" t="s">
        <v>112</v>
      </c>
      <c r="AW25" s="131" t="s">
        <v>113</v>
      </c>
    </row>
    <row r="26" spans="1:54">
      <c r="A26" s="22"/>
      <c r="B26" s="22"/>
      <c r="C26" s="22"/>
      <c r="D26" s="22" t="s">
        <v>6</v>
      </c>
      <c r="E26" s="22"/>
      <c r="F26" s="22" t="s">
        <v>124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44"/>
      <c r="T26" s="22"/>
      <c r="U26" s="22"/>
      <c r="V26" s="22"/>
      <c r="W26" s="44"/>
      <c r="X26" s="22"/>
      <c r="Y26" s="22"/>
      <c r="Z26" s="22"/>
      <c r="AA26" s="44"/>
      <c r="AB26" s="22"/>
      <c r="AC26" s="22"/>
      <c r="AD26" s="22"/>
      <c r="AE26" s="22"/>
      <c r="AF26" s="22"/>
      <c r="AG26" s="22"/>
      <c r="AH26" s="22"/>
      <c r="AI26" s="44"/>
      <c r="AJ26" s="22"/>
      <c r="AK26" s="22"/>
      <c r="AL26" s="22"/>
      <c r="AM26" s="22"/>
      <c r="AN26" s="22"/>
      <c r="AO26" s="44"/>
      <c r="AP26" s="22"/>
      <c r="AQ26" s="22"/>
      <c r="AR26" s="144" t="s">
        <v>125</v>
      </c>
      <c r="AS26" s="22"/>
      <c r="AT26" s="133" t="s">
        <v>96</v>
      </c>
      <c r="AU26" s="134"/>
      <c r="AV26" s="131" t="s">
        <v>112</v>
      </c>
      <c r="AW26" s="131" t="s">
        <v>113</v>
      </c>
      <c r="AX26" t="s">
        <v>126</v>
      </c>
    </row>
    <row r="27" spans="1:54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44"/>
      <c r="T27" s="22"/>
      <c r="U27" s="22"/>
      <c r="V27" s="22"/>
      <c r="W27" s="44"/>
      <c r="X27" s="22"/>
      <c r="Y27" s="22"/>
      <c r="Z27" s="22"/>
      <c r="AA27" s="44"/>
      <c r="AB27" s="22"/>
      <c r="AC27" s="22"/>
      <c r="AD27" s="22"/>
      <c r="AE27" s="22"/>
      <c r="AF27" s="22"/>
      <c r="AG27" s="22"/>
      <c r="AH27" s="22"/>
      <c r="AI27" s="44"/>
      <c r="AJ27" s="22"/>
      <c r="AK27" s="22"/>
      <c r="AL27" s="22"/>
      <c r="AM27" s="22"/>
      <c r="AN27" s="22"/>
      <c r="AO27" s="44"/>
      <c r="AP27" s="22"/>
      <c r="AQ27" s="22"/>
      <c r="AR27" s="144"/>
      <c r="AS27" s="22"/>
      <c r="AT27" s="133" t="s">
        <v>127</v>
      </c>
      <c r="AU27" s="134"/>
      <c r="AV27" s="131"/>
      <c r="AW27" s="131"/>
      <c r="AX27" t="s">
        <v>128</v>
      </c>
    </row>
    <row r="28" spans="1:54">
      <c r="A28" s="22"/>
      <c r="B28" s="22"/>
      <c r="C28" s="22"/>
      <c r="D28" s="22" t="s">
        <v>7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44"/>
      <c r="T28" s="22"/>
      <c r="U28" s="22"/>
      <c r="V28" s="22"/>
      <c r="W28" s="44"/>
      <c r="X28" s="22"/>
      <c r="Y28" s="22"/>
      <c r="Z28" s="22"/>
      <c r="AA28" s="44"/>
      <c r="AB28" s="22"/>
      <c r="AC28" s="22"/>
      <c r="AD28" s="22"/>
      <c r="AE28" s="22"/>
      <c r="AF28" s="22"/>
      <c r="AG28" s="22"/>
      <c r="AH28" s="22"/>
      <c r="AI28" s="44"/>
      <c r="AJ28" s="22"/>
      <c r="AK28" s="22"/>
      <c r="AL28" s="22"/>
      <c r="AM28" s="22"/>
      <c r="AN28" s="22"/>
      <c r="AO28" s="44"/>
      <c r="AP28" s="22"/>
      <c r="AQ28" s="22"/>
      <c r="AR28" s="145" t="s">
        <v>129</v>
      </c>
      <c r="AS28" s="22"/>
      <c r="AT28" s="133" t="s">
        <v>130</v>
      </c>
      <c r="AU28" s="136" t="s">
        <v>131</v>
      </c>
      <c r="AV28" s="130"/>
      <c r="AW28" s="131"/>
      <c r="AX28" t="s">
        <v>132</v>
      </c>
    </row>
    <row r="29" spans="1:54">
      <c r="A29" s="22"/>
      <c r="B29" s="22"/>
      <c r="C29" s="22"/>
      <c r="D29" s="22" t="s">
        <v>133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44"/>
      <c r="T29" s="22"/>
      <c r="U29" s="22"/>
      <c r="V29" s="22"/>
      <c r="W29" s="44"/>
      <c r="X29" s="22"/>
      <c r="Y29" s="22"/>
      <c r="Z29" s="22"/>
      <c r="AA29" s="44"/>
      <c r="AB29" s="22"/>
      <c r="AC29" s="22"/>
      <c r="AD29" s="22"/>
      <c r="AE29" s="22"/>
      <c r="AF29" s="22"/>
      <c r="AG29" s="22"/>
      <c r="AH29" s="22"/>
      <c r="AI29" s="44"/>
      <c r="AJ29" s="22"/>
      <c r="AK29" s="22"/>
      <c r="AL29" s="22"/>
      <c r="AM29" s="22"/>
      <c r="AN29" s="22"/>
      <c r="AO29" s="44"/>
      <c r="AP29" s="22"/>
      <c r="AQ29" s="22"/>
      <c r="AR29" s="146" t="s">
        <v>134</v>
      </c>
      <c r="AS29" s="22"/>
      <c r="AT29" s="133" t="s">
        <v>89</v>
      </c>
      <c r="AU29" s="134" t="s">
        <v>135</v>
      </c>
      <c r="AV29" s="130" t="s">
        <v>106</v>
      </c>
      <c r="AW29" s="131"/>
      <c r="AX29" s="133" t="s">
        <v>127</v>
      </c>
    </row>
    <row r="30" spans="1:54">
      <c r="A30" s="22"/>
      <c r="B30" s="22"/>
      <c r="C30" s="22"/>
      <c r="D30" s="22" t="s">
        <v>136</v>
      </c>
      <c r="E30" s="22"/>
      <c r="F30" s="22"/>
      <c r="G30" s="22"/>
      <c r="H30" s="22"/>
      <c r="I30" s="22"/>
      <c r="J30" s="22"/>
      <c r="K30" s="22"/>
      <c r="L30" s="22"/>
      <c r="M30" s="22"/>
      <c r="P30" s="22"/>
      <c r="Q30" s="22"/>
      <c r="R30" s="22"/>
      <c r="S30" s="45"/>
      <c r="T30" s="22"/>
      <c r="U30" s="22"/>
      <c r="V30" s="22"/>
      <c r="W30" s="45"/>
      <c r="X30" s="22"/>
      <c r="Y30" s="22"/>
      <c r="Z30" s="22"/>
      <c r="AA30" s="45"/>
      <c r="AB30" s="22"/>
      <c r="AC30" s="22"/>
      <c r="AD30" s="22"/>
      <c r="AE30" s="22"/>
      <c r="AF30" s="22"/>
      <c r="AG30" s="22"/>
      <c r="AH30" s="22"/>
      <c r="AI30" s="45"/>
      <c r="AJ30" s="22"/>
      <c r="AK30" s="22"/>
      <c r="AL30" s="22"/>
      <c r="AM30" s="22"/>
      <c r="AN30" s="22"/>
      <c r="AO30" s="45"/>
      <c r="AP30" s="22"/>
      <c r="AQ30" s="22"/>
      <c r="AR30" s="147" t="s">
        <v>137</v>
      </c>
      <c r="AS30" s="22"/>
      <c r="AT30" s="133" t="s">
        <v>111</v>
      </c>
      <c r="AU30" s="135" t="s">
        <v>106</v>
      </c>
      <c r="AV30" s="131"/>
      <c r="AW30" s="131"/>
      <c r="AX30" s="133" t="s">
        <v>130</v>
      </c>
    </row>
    <row r="31" spans="1:54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45"/>
      <c r="T31" s="22"/>
      <c r="U31" s="22"/>
      <c r="V31" s="22"/>
      <c r="W31" s="45"/>
      <c r="X31" s="22"/>
      <c r="Y31" s="22"/>
      <c r="Z31" s="22"/>
      <c r="AA31" s="45"/>
      <c r="AB31" s="22"/>
      <c r="AC31" s="22"/>
      <c r="AD31" s="22"/>
      <c r="AE31" s="22"/>
      <c r="AF31" s="22"/>
      <c r="AG31" s="22"/>
      <c r="AH31" s="22"/>
      <c r="AI31" s="45"/>
      <c r="AJ31" s="22"/>
      <c r="AK31" s="22"/>
      <c r="AL31" s="22"/>
      <c r="AM31" s="22"/>
      <c r="AN31" s="22"/>
      <c r="AO31" s="45"/>
      <c r="AP31" s="22"/>
      <c r="AR31" s="22"/>
      <c r="AS31" s="22"/>
      <c r="AU31" s="22"/>
      <c r="AV31" s="22"/>
      <c r="AW31" s="22"/>
    </row>
    <row r="32" spans="1:54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45"/>
      <c r="T32" s="22"/>
      <c r="U32" s="22"/>
      <c r="V32" s="22"/>
      <c r="W32" s="45"/>
      <c r="X32" s="22"/>
      <c r="Y32" s="22"/>
      <c r="Z32" s="22"/>
      <c r="AA32" s="45"/>
      <c r="AB32" s="22"/>
      <c r="AC32" s="22"/>
      <c r="AD32" s="22"/>
      <c r="AE32" s="22"/>
      <c r="AF32" s="22"/>
      <c r="AG32" s="22"/>
      <c r="AH32" s="22"/>
      <c r="AI32" s="45"/>
      <c r="AJ32" s="22"/>
      <c r="AK32" s="22"/>
      <c r="AL32" s="22"/>
      <c r="AM32" s="22"/>
      <c r="AN32" s="22"/>
      <c r="AO32" s="45"/>
      <c r="AP32" s="22"/>
      <c r="AR32" s="22"/>
      <c r="AS32" s="22"/>
      <c r="AU32" s="22"/>
      <c r="AV32" s="22"/>
      <c r="AW32" s="22"/>
      <c r="AX32" t="s">
        <v>138</v>
      </c>
    </row>
    <row r="33" spans="1:49">
      <c r="A33" s="22"/>
      <c r="B33" s="22"/>
      <c r="C33" s="22"/>
      <c r="D33" s="22" t="s">
        <v>139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45"/>
      <c r="T33" s="22"/>
      <c r="U33" s="22"/>
      <c r="V33" s="22"/>
      <c r="W33" s="45"/>
      <c r="X33" s="22"/>
      <c r="Y33" s="22"/>
      <c r="Z33" s="22"/>
      <c r="AA33" s="45"/>
      <c r="AB33" s="22"/>
      <c r="AC33" s="22"/>
      <c r="AD33" s="22"/>
      <c r="AE33" s="22"/>
      <c r="AF33" s="22"/>
      <c r="AG33" s="22"/>
      <c r="AH33" s="22"/>
      <c r="AI33" s="45"/>
      <c r="AJ33" s="22"/>
      <c r="AK33" s="22"/>
      <c r="AL33" s="22"/>
      <c r="AM33" s="22"/>
      <c r="AN33" s="22"/>
      <c r="AO33" s="45"/>
      <c r="AP33" s="22"/>
      <c r="AR33" s="22"/>
      <c r="AS33" s="22"/>
      <c r="AU33" s="22"/>
      <c r="AV33" s="22"/>
      <c r="AW33" s="22"/>
    </row>
    <row r="34" spans="1:49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45"/>
      <c r="T34" s="22"/>
      <c r="U34" s="22"/>
      <c r="V34" s="22"/>
      <c r="W34" s="45"/>
      <c r="X34" s="22"/>
      <c r="Y34" s="22"/>
      <c r="Z34" s="22"/>
      <c r="AA34" s="45"/>
      <c r="AB34" s="22"/>
      <c r="AC34" s="22"/>
      <c r="AD34" s="22"/>
      <c r="AE34" s="22"/>
      <c r="AF34" s="22"/>
      <c r="AG34" s="22"/>
      <c r="AH34" s="22"/>
      <c r="AI34" s="45"/>
      <c r="AJ34" s="22"/>
      <c r="AK34" s="22"/>
      <c r="AL34" s="22"/>
      <c r="AM34" s="22"/>
      <c r="AN34" s="22"/>
      <c r="AO34" s="45"/>
      <c r="AP34" s="22"/>
      <c r="AR34" s="22"/>
      <c r="AS34" s="22"/>
      <c r="AU34" s="22"/>
      <c r="AV34" s="22"/>
      <c r="AW34" s="22"/>
    </row>
    <row r="35" spans="1:49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45"/>
      <c r="T35" s="22"/>
      <c r="U35" s="22"/>
      <c r="V35" s="22"/>
      <c r="W35" s="45"/>
      <c r="X35" s="22"/>
      <c r="Y35" s="22"/>
      <c r="Z35" s="22"/>
      <c r="AA35" s="45"/>
      <c r="AB35" s="22"/>
      <c r="AC35" s="22"/>
      <c r="AD35" s="22"/>
      <c r="AE35" s="22"/>
      <c r="AF35" s="22"/>
      <c r="AG35" s="22"/>
      <c r="AH35" s="22"/>
      <c r="AI35" s="45"/>
      <c r="AJ35" s="22"/>
      <c r="AK35" s="22"/>
      <c r="AL35" s="22"/>
      <c r="AM35" s="22"/>
      <c r="AN35" s="22"/>
      <c r="AO35" s="45"/>
      <c r="AP35" s="22"/>
      <c r="AR35" s="22"/>
      <c r="AS35" s="22"/>
      <c r="AT35" s="22"/>
      <c r="AU35" s="22"/>
      <c r="AV35" s="22"/>
      <c r="AW35" s="22"/>
    </row>
    <row r="36" spans="1:49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R36" s="22"/>
      <c r="AS36" s="22"/>
      <c r="AT36" s="22"/>
      <c r="AU36" s="22"/>
      <c r="AV36" s="22"/>
      <c r="AW36" s="22"/>
    </row>
    <row r="37" spans="1:49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R37" s="22"/>
      <c r="AS37" s="22"/>
      <c r="AT37" s="22"/>
      <c r="AU37" s="22"/>
      <c r="AV37" s="22"/>
      <c r="AW37" s="22"/>
    </row>
    <row r="38" spans="1:49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R38" s="22"/>
      <c r="AS38" s="22"/>
      <c r="AT38" s="22"/>
      <c r="AU38" s="22"/>
      <c r="AV38" s="22"/>
      <c r="AW38" s="22"/>
    </row>
    <row r="39" spans="1:49"/>
    <row r="40" spans="1:49" ht="15" customHeight="1">
      <c r="AQ40" s="22"/>
    </row>
    <row r="41" spans="1:49" ht="15" customHeight="1">
      <c r="AQ41" s="22" t="s">
        <v>140</v>
      </c>
    </row>
    <row r="42" spans="1:49" ht="15" customHeight="1">
      <c r="AQ42" s="36" t="s">
        <v>141</v>
      </c>
    </row>
    <row r="43" spans="1:49" ht="15" customHeight="1">
      <c r="AQ43" s="22" t="s">
        <v>142</v>
      </c>
    </row>
    <row r="44" spans="1:49" ht="15" customHeight="1">
      <c r="AQ44" s="36" t="s">
        <v>143</v>
      </c>
    </row>
    <row r="45" spans="1:49" ht="15" customHeight="1">
      <c r="AQ45" s="8" t="s">
        <v>144</v>
      </c>
    </row>
    <row r="46" spans="1:49" ht="15" customHeight="1">
      <c r="AQ46" s="36" t="s">
        <v>145</v>
      </c>
    </row>
    <row r="47" spans="1:49" ht="15" customHeight="1">
      <c r="AQ47" s="22" t="s">
        <v>146</v>
      </c>
    </row>
  </sheetData>
  <mergeCells count="16">
    <mergeCell ref="AG9:AH9"/>
    <mergeCell ref="AB9:AE9"/>
    <mergeCell ref="AU23:AW23"/>
    <mergeCell ref="B20:B22"/>
    <mergeCell ref="AR5:AR7"/>
    <mergeCell ref="B16:B18"/>
    <mergeCell ref="P5:P7"/>
    <mergeCell ref="Q5:Q7"/>
    <mergeCell ref="R5:R7"/>
    <mergeCell ref="AT6:AW6"/>
    <mergeCell ref="AT18:AW19"/>
    <mergeCell ref="AM5:AM7"/>
    <mergeCell ref="AJ5:AJ7"/>
    <mergeCell ref="AN5:AN7"/>
    <mergeCell ref="AQ5:AQ7"/>
    <mergeCell ref="P9:R9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3300-0FD0-476D-BD8D-155D56BB8F6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E8D16-351F-6647-960F-6E5C73145947}">
  <dimension ref="A4:Z41"/>
  <sheetViews>
    <sheetView workbookViewId="0">
      <selection activeCell="G18" sqref="G18"/>
    </sheetView>
  </sheetViews>
  <sheetFormatPr defaultColWidth="11.5546875" defaultRowHeight="17.100000000000001"/>
  <cols>
    <col min="2" max="2" width="13" bestFit="1" customWidth="1"/>
    <col min="3" max="3" width="6.88671875" customWidth="1"/>
    <col min="4" max="4" width="25.109375" bestFit="1" customWidth="1"/>
    <col min="5" max="5" width="6.109375" style="1" bestFit="1" customWidth="1"/>
    <col min="6" max="6" width="7.44140625" style="1" customWidth="1"/>
    <col min="7" max="24" width="7" style="1" customWidth="1"/>
  </cols>
  <sheetData>
    <row r="4" spans="1:26" ht="18.95">
      <c r="B4" s="4"/>
      <c r="E4" s="11"/>
      <c r="M4" s="11"/>
    </row>
    <row r="5" spans="1:26" ht="20.100000000000001">
      <c r="B5" s="3"/>
      <c r="E5" s="11"/>
      <c r="M5" s="11"/>
    </row>
    <row r="6" spans="1:26">
      <c r="A6" s="5">
        <v>44927</v>
      </c>
      <c r="B6" s="5">
        <v>44958</v>
      </c>
      <c r="C6" s="5">
        <v>44986</v>
      </c>
      <c r="D6" s="5">
        <v>45017</v>
      </c>
      <c r="E6" s="12">
        <v>45047</v>
      </c>
      <c r="F6" s="13">
        <v>45078</v>
      </c>
      <c r="G6" s="13">
        <v>45108</v>
      </c>
      <c r="H6" s="13">
        <v>45139</v>
      </c>
      <c r="I6" s="13">
        <v>45170</v>
      </c>
      <c r="J6" s="13">
        <v>45200</v>
      </c>
      <c r="K6" s="13">
        <v>45231</v>
      </c>
      <c r="L6" s="13">
        <v>45261</v>
      </c>
      <c r="M6" s="12">
        <v>45292</v>
      </c>
      <c r="N6" s="13">
        <v>45323</v>
      </c>
      <c r="O6" s="13">
        <v>45352</v>
      </c>
      <c r="P6" s="13">
        <v>45383</v>
      </c>
      <c r="Q6" s="13">
        <v>45413</v>
      </c>
      <c r="R6" s="13">
        <v>45444</v>
      </c>
      <c r="S6" s="13">
        <v>45474</v>
      </c>
      <c r="T6" s="13">
        <v>45505</v>
      </c>
      <c r="U6" s="13">
        <v>45536</v>
      </c>
      <c r="V6" s="13">
        <v>45566</v>
      </c>
      <c r="W6" s="13">
        <v>45597</v>
      </c>
      <c r="X6" s="13">
        <v>45627</v>
      </c>
    </row>
    <row r="7" spans="1:26" ht="20.100000000000001">
      <c r="B7" s="3"/>
      <c r="C7" s="6">
        <v>8754</v>
      </c>
      <c r="D7" s="6">
        <v>3556</v>
      </c>
      <c r="E7" s="14">
        <v>3316</v>
      </c>
      <c r="F7" s="15">
        <v>5890</v>
      </c>
      <c r="G7" s="15">
        <v>2559</v>
      </c>
      <c r="H7" s="15">
        <v>7483</v>
      </c>
      <c r="I7" s="15">
        <v>4162</v>
      </c>
      <c r="J7" s="15">
        <v>4282</v>
      </c>
      <c r="K7" s="15">
        <v>6599</v>
      </c>
      <c r="L7" s="15">
        <v>7655</v>
      </c>
      <c r="M7" s="14">
        <v>5225</v>
      </c>
      <c r="N7" s="15">
        <v>3509</v>
      </c>
      <c r="O7" s="15">
        <v>4200</v>
      </c>
      <c r="P7" s="15">
        <v>5400</v>
      </c>
      <c r="Q7" s="15">
        <v>4800</v>
      </c>
      <c r="R7" s="15">
        <v>4800</v>
      </c>
      <c r="S7" s="15">
        <v>4200</v>
      </c>
      <c r="T7" s="15">
        <v>4200</v>
      </c>
      <c r="U7" s="15">
        <v>5400</v>
      </c>
      <c r="V7" s="15">
        <v>6000</v>
      </c>
      <c r="W7" s="15">
        <v>6000</v>
      </c>
      <c r="X7" s="15">
        <v>5400</v>
      </c>
      <c r="Z7" s="7"/>
    </row>
    <row r="8" spans="1:26" ht="20.100000000000001">
      <c r="B8" s="3"/>
      <c r="E8" s="11"/>
      <c r="M8" s="11"/>
    </row>
    <row r="9" spans="1:26" ht="20.100000000000001">
      <c r="B9" s="3"/>
      <c r="E9" s="11"/>
      <c r="I9" s="16"/>
      <c r="M9" s="11"/>
    </row>
    <row r="10" spans="1:26">
      <c r="D10" s="9" t="s">
        <v>147</v>
      </c>
      <c r="E10" s="11"/>
      <c r="M10" s="17">
        <v>24932</v>
      </c>
      <c r="O10" s="18">
        <v>2176</v>
      </c>
      <c r="P10" s="18"/>
      <c r="Q10" s="18"/>
      <c r="R10" s="18">
        <v>6914</v>
      </c>
      <c r="S10" s="18"/>
      <c r="T10" s="18"/>
      <c r="U10" s="18"/>
      <c r="V10" s="18"/>
      <c r="W10" s="18">
        <v>6145</v>
      </c>
    </row>
    <row r="11" spans="1:26" ht="18.95">
      <c r="B11" s="4"/>
      <c r="D11" s="9" t="s">
        <v>148</v>
      </c>
      <c r="E11" s="11"/>
      <c r="L11" s="18">
        <v>14932</v>
      </c>
      <c r="M11" s="11"/>
    </row>
    <row r="12" spans="1:26" ht="25.5">
      <c r="B12" s="3"/>
      <c r="D12" s="9" t="s">
        <v>149</v>
      </c>
      <c r="E12" s="11">
        <f>ROUNDUP((M10-L11)/G38,0)*G38</f>
        <v>12000</v>
      </c>
      <c r="F12" s="56" t="s">
        <v>150</v>
      </c>
      <c r="M12" s="11"/>
    </row>
    <row r="13" spans="1:26" ht="20.100000000000001">
      <c r="B13" s="3"/>
      <c r="D13" s="9" t="s">
        <v>151</v>
      </c>
      <c r="E13" s="11">
        <v>12000</v>
      </c>
      <c r="M13" s="11"/>
    </row>
    <row r="14" spans="1:26" ht="20.100000000000001">
      <c r="B14" s="3"/>
      <c r="D14" s="8"/>
      <c r="E14" s="11"/>
      <c r="M14" s="11"/>
    </row>
    <row r="15" spans="1:26" ht="20.100000000000001">
      <c r="B15" s="3"/>
      <c r="D15" s="9" t="s">
        <v>152</v>
      </c>
      <c r="E15" s="11"/>
      <c r="H15" s="11">
        <v>12000</v>
      </c>
      <c r="M15" s="11"/>
    </row>
    <row r="16" spans="1:26">
      <c r="D16" s="8"/>
      <c r="E16" s="11"/>
      <c r="M16" s="11"/>
    </row>
    <row r="17" spans="2:13">
      <c r="D17" s="20"/>
      <c r="E17" s="11"/>
      <c r="M17" s="11"/>
    </row>
    <row r="18" spans="2:13">
      <c r="C18" s="19"/>
      <c r="D18" s="20"/>
    </row>
    <row r="19" spans="2:13">
      <c r="C19" s="19"/>
      <c r="D19" s="19"/>
    </row>
    <row r="20" spans="2:13">
      <c r="C20" s="19"/>
      <c r="D20" s="19"/>
    </row>
    <row r="21" spans="2:13">
      <c r="C21" s="19"/>
      <c r="D21" s="19"/>
      <c r="G21" s="2" t="s">
        <v>153</v>
      </c>
      <c r="H21" s="59" t="s">
        <v>154</v>
      </c>
    </row>
    <row r="22" spans="2:13">
      <c r="B22" s="138" t="s">
        <v>155</v>
      </c>
      <c r="C22" s="139"/>
      <c r="D22" s="140" t="s">
        <v>156</v>
      </c>
      <c r="E22" s="141"/>
      <c r="F22" s="141"/>
      <c r="G22" s="141">
        <v>10</v>
      </c>
      <c r="H22" s="141"/>
      <c r="I22" s="141"/>
    </row>
    <row r="23" spans="2:13">
      <c r="B23" s="138" t="s">
        <v>155</v>
      </c>
      <c r="C23" s="139"/>
      <c r="D23" s="140" t="s">
        <v>157</v>
      </c>
      <c r="E23" s="141"/>
      <c r="F23" s="141"/>
      <c r="G23" s="141">
        <v>10</v>
      </c>
      <c r="H23" s="141"/>
      <c r="I23" s="141"/>
    </row>
    <row r="24" spans="2:13">
      <c r="B24" s="138" t="s">
        <v>155</v>
      </c>
      <c r="C24" s="139"/>
      <c r="D24" s="140" t="s">
        <v>158</v>
      </c>
      <c r="E24" s="141"/>
      <c r="F24" s="141"/>
      <c r="G24" s="141">
        <v>10</v>
      </c>
      <c r="H24" s="141"/>
      <c r="I24" s="141"/>
    </row>
    <row r="25" spans="2:13">
      <c r="B25" s="138" t="s">
        <v>155</v>
      </c>
      <c r="C25" s="139"/>
      <c r="D25" s="140" t="s">
        <v>159</v>
      </c>
      <c r="E25" s="141"/>
      <c r="F25" s="141"/>
      <c r="G25" s="141">
        <v>20</v>
      </c>
      <c r="H25" s="141"/>
      <c r="I25" s="141"/>
    </row>
    <row r="26" spans="2:13">
      <c r="B26" s="138" t="s">
        <v>155</v>
      </c>
      <c r="C26" s="139"/>
      <c r="D26" s="140" t="s">
        <v>160</v>
      </c>
      <c r="E26" s="141"/>
      <c r="F26" s="141"/>
      <c r="G26" s="141">
        <v>20</v>
      </c>
      <c r="H26" s="141"/>
      <c r="I26" s="141"/>
    </row>
    <row r="27" spans="2:13">
      <c r="B27" s="138" t="s">
        <v>161</v>
      </c>
      <c r="C27" s="139"/>
      <c r="D27" s="140" t="s">
        <v>162</v>
      </c>
      <c r="E27" s="141"/>
      <c r="F27" s="141"/>
      <c r="G27" s="141">
        <v>20</v>
      </c>
      <c r="H27" s="141"/>
      <c r="I27" s="141"/>
    </row>
    <row r="28" spans="2:13">
      <c r="B28" s="138"/>
      <c r="C28" s="139"/>
      <c r="D28" s="140"/>
      <c r="E28" s="141"/>
      <c r="F28" s="141"/>
      <c r="G28" s="141"/>
      <c r="H28" s="141"/>
      <c r="I28" s="141"/>
    </row>
    <row r="29" spans="2:13">
      <c r="B29" s="138" t="s">
        <v>161</v>
      </c>
      <c r="C29" s="139"/>
      <c r="D29" s="140" t="s">
        <v>163</v>
      </c>
      <c r="E29" s="141"/>
      <c r="F29" s="141"/>
      <c r="G29" s="141">
        <v>90</v>
      </c>
      <c r="H29" s="141"/>
      <c r="I29" s="141"/>
    </row>
    <row r="30" spans="2:13">
      <c r="B30" s="19"/>
      <c r="D30" s="21"/>
    </row>
    <row r="31" spans="2:13">
      <c r="B31" s="19"/>
      <c r="D31" s="21"/>
    </row>
    <row r="32" spans="2:13">
      <c r="B32" s="19"/>
      <c r="D32" s="21" t="s">
        <v>164</v>
      </c>
      <c r="G32" s="1">
        <v>30</v>
      </c>
    </row>
    <row r="33" spans="2:7">
      <c r="B33" s="19"/>
      <c r="D33" s="21"/>
    </row>
    <row r="34" spans="2:7">
      <c r="B34" s="19"/>
      <c r="D34" s="21" t="s">
        <v>165</v>
      </c>
      <c r="G34" s="1">
        <f>SUM(G22:G33)/-30</f>
        <v>-7</v>
      </c>
    </row>
    <row r="35" spans="2:7">
      <c r="B35" s="19"/>
      <c r="D35" s="21"/>
    </row>
    <row r="36" spans="2:7">
      <c r="B36" s="19"/>
      <c r="D36" s="21"/>
    </row>
    <row r="37" spans="2:7">
      <c r="B37" s="19"/>
      <c r="D37" s="21"/>
    </row>
    <row r="38" spans="2:7">
      <c r="B38" s="19" t="s">
        <v>161</v>
      </c>
      <c r="D38" s="21" t="s">
        <v>166</v>
      </c>
      <c r="G38" s="1">
        <v>3000</v>
      </c>
    </row>
    <row r="39" spans="2:7">
      <c r="B39" s="19"/>
      <c r="D39" s="21"/>
    </row>
    <row r="40" spans="2:7">
      <c r="C40" s="19"/>
      <c r="D40" s="10"/>
    </row>
    <row r="41" spans="2:7">
      <c r="C41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931C-F01A-40BB-8F88-4896DCDD95F3}">
  <dimension ref="B4:AU38"/>
  <sheetViews>
    <sheetView topLeftCell="O6" workbookViewId="0">
      <selection activeCell="M28" sqref="M28"/>
    </sheetView>
  </sheetViews>
  <sheetFormatPr defaultColWidth="8.88671875" defaultRowHeight="20.25" customHeight="1"/>
  <cols>
    <col min="1" max="1" width="8.88671875" style="79"/>
    <col min="2" max="2" width="7.77734375" style="82" customWidth="1"/>
    <col min="3" max="3" width="5.77734375" style="79" customWidth="1"/>
    <col min="4" max="4" width="7.77734375" style="79" customWidth="1"/>
    <col min="5" max="5" width="9" style="82" bestFit="1" customWidth="1"/>
    <col min="6" max="7" width="7.77734375" style="79" customWidth="1"/>
    <col min="8" max="8" width="5.77734375" style="79" customWidth="1"/>
    <col min="9" max="10" width="14.77734375" style="79" customWidth="1"/>
    <col min="11" max="15" width="8.88671875" style="79"/>
    <col min="16" max="16" width="5.33203125" style="115" customWidth="1"/>
    <col min="17" max="17" width="3.77734375" style="79" customWidth="1"/>
    <col min="18" max="18" width="5.77734375" style="79" customWidth="1"/>
    <col min="19" max="19" width="5.33203125" style="115" customWidth="1"/>
    <col min="20" max="20" width="3.77734375" style="79" customWidth="1"/>
    <col min="21" max="21" width="5.77734375" style="79" customWidth="1"/>
    <col min="22" max="22" width="5.33203125" style="115" customWidth="1"/>
    <col min="23" max="23" width="3.77734375" style="79" customWidth="1"/>
    <col min="24" max="24" width="5.77734375" style="79" customWidth="1"/>
    <col min="25" max="25" width="5.33203125" style="115" customWidth="1"/>
    <col min="26" max="26" width="3.77734375" style="79" customWidth="1"/>
    <col min="27" max="27" width="4.88671875" style="79" customWidth="1"/>
    <col min="28" max="28" width="5.33203125" style="115" customWidth="1"/>
    <col min="29" max="29" width="3.6640625" style="79" customWidth="1"/>
    <col min="30" max="30" width="4.88671875" style="79" customWidth="1"/>
    <col min="31" max="31" width="5.33203125" style="115" customWidth="1"/>
    <col min="32" max="32" width="3.5546875" style="79" customWidth="1"/>
    <col min="33" max="33" width="4.88671875" style="79" customWidth="1"/>
    <col min="34" max="44" width="8.88671875" style="79"/>
    <col min="45" max="45" width="5.77734375" style="79" customWidth="1"/>
    <col min="46" max="16384" width="8.88671875" style="79"/>
  </cols>
  <sheetData>
    <row r="4" spans="2:47" ht="20.25" customHeight="1">
      <c r="G4" s="92"/>
    </row>
    <row r="5" spans="2:47" ht="20.25" customHeight="1">
      <c r="K5" s="84" t="s">
        <v>167</v>
      </c>
      <c r="L5" s="86" t="s">
        <v>168</v>
      </c>
    </row>
    <row r="6" spans="2:47" ht="20.25" customHeight="1">
      <c r="K6" s="85" t="s">
        <v>169</v>
      </c>
      <c r="L6" s="87" t="s">
        <v>93</v>
      </c>
    </row>
    <row r="8" spans="2:47" ht="20.25" customHeight="1">
      <c r="B8" s="93" t="s">
        <v>170</v>
      </c>
      <c r="C8" s="93" t="s">
        <v>171</v>
      </c>
      <c r="D8" s="166" t="s">
        <v>15</v>
      </c>
      <c r="E8" s="166"/>
      <c r="F8" s="166" t="s">
        <v>171</v>
      </c>
      <c r="G8" s="166"/>
      <c r="H8" s="166" t="s">
        <v>172</v>
      </c>
      <c r="I8" s="166"/>
      <c r="J8" s="93" t="s">
        <v>173</v>
      </c>
      <c r="K8" s="93" t="s">
        <v>172</v>
      </c>
      <c r="L8" s="82"/>
      <c r="M8" s="93" t="s">
        <v>174</v>
      </c>
      <c r="N8" s="95" t="s">
        <v>175</v>
      </c>
      <c r="O8" s="93" t="s">
        <v>173</v>
      </c>
      <c r="P8" s="172" t="s">
        <v>176</v>
      </c>
      <c r="Q8" s="172"/>
      <c r="R8" s="172"/>
      <c r="S8" s="172"/>
      <c r="T8" s="172"/>
      <c r="U8" s="172"/>
      <c r="V8" s="172"/>
      <c r="W8" s="172"/>
      <c r="X8" s="172"/>
      <c r="Y8" s="172"/>
      <c r="Z8" s="172"/>
      <c r="AA8" s="172"/>
      <c r="AB8" s="172"/>
      <c r="AC8" s="172"/>
      <c r="AD8" s="172"/>
      <c r="AE8" s="172"/>
      <c r="AF8" s="172"/>
      <c r="AG8" s="172"/>
      <c r="AH8" s="172"/>
      <c r="AI8" s="172"/>
      <c r="AJ8" s="172"/>
      <c r="AK8" s="172"/>
    </row>
    <row r="9" spans="2:47" ht="20.25" customHeight="1">
      <c r="B9" s="79"/>
      <c r="E9" s="79"/>
    </row>
    <row r="10" spans="2:47" ht="20.25" customHeight="1">
      <c r="M10" s="170" t="s">
        <v>177</v>
      </c>
      <c r="N10" s="171"/>
      <c r="O10" s="171"/>
      <c r="P10" s="170" t="s">
        <v>178</v>
      </c>
      <c r="Q10" s="171"/>
      <c r="R10" s="171"/>
      <c r="S10" s="171"/>
      <c r="T10" s="171"/>
      <c r="U10" s="171"/>
      <c r="V10" s="171"/>
      <c r="W10" s="171"/>
      <c r="X10" s="171"/>
      <c r="Y10" s="170" t="s">
        <v>179</v>
      </c>
      <c r="Z10" s="171"/>
      <c r="AA10" s="171"/>
      <c r="AB10" s="171"/>
      <c r="AC10" s="171"/>
      <c r="AD10" s="171"/>
      <c r="AE10" s="171"/>
      <c r="AF10" s="171"/>
      <c r="AG10" s="175"/>
      <c r="AH10" s="177" t="s">
        <v>180</v>
      </c>
      <c r="AI10" s="177"/>
      <c r="AJ10" s="178"/>
      <c r="AK10" s="179"/>
    </row>
    <row r="11" spans="2:47" ht="20.25" customHeight="1">
      <c r="B11" s="73" t="s">
        <v>181</v>
      </c>
      <c r="C11" s="74" t="s">
        <v>182</v>
      </c>
      <c r="D11" s="74" t="s">
        <v>183</v>
      </c>
      <c r="E11" s="74" t="s">
        <v>184</v>
      </c>
      <c r="F11" s="74" t="s">
        <v>6</v>
      </c>
      <c r="G11" s="74" t="s">
        <v>185</v>
      </c>
      <c r="H11" s="74" t="s">
        <v>186</v>
      </c>
      <c r="I11" s="75" t="s">
        <v>187</v>
      </c>
      <c r="J11" s="76" t="s">
        <v>188</v>
      </c>
      <c r="K11" s="76" t="s">
        <v>189</v>
      </c>
      <c r="L11" s="77" t="s">
        <v>190</v>
      </c>
      <c r="M11" s="102" t="s">
        <v>191</v>
      </c>
      <c r="N11" s="78" t="s">
        <v>192</v>
      </c>
      <c r="O11" s="110" t="s">
        <v>193</v>
      </c>
      <c r="P11" s="169" t="s">
        <v>194</v>
      </c>
      <c r="Q11" s="168"/>
      <c r="R11" s="168"/>
      <c r="S11" s="167" t="s">
        <v>195</v>
      </c>
      <c r="T11" s="168"/>
      <c r="U11" s="168"/>
      <c r="V11" s="167" t="s">
        <v>196</v>
      </c>
      <c r="W11" s="168"/>
      <c r="X11" s="168"/>
      <c r="Y11" s="169" t="s">
        <v>194</v>
      </c>
      <c r="Z11" s="168"/>
      <c r="AA11" s="168"/>
      <c r="AB11" s="167" t="s">
        <v>195</v>
      </c>
      <c r="AC11" s="168"/>
      <c r="AD11" s="168"/>
      <c r="AE11" s="167" t="s">
        <v>196</v>
      </c>
      <c r="AF11" s="168"/>
      <c r="AG11" s="176"/>
      <c r="AH11" s="101" t="s">
        <v>194</v>
      </c>
      <c r="AI11" s="97" t="s">
        <v>195</v>
      </c>
      <c r="AJ11" s="124" t="s">
        <v>196</v>
      </c>
      <c r="AK11" s="125"/>
      <c r="AL11" s="78" t="s">
        <v>197</v>
      </c>
      <c r="AM11" s="78" t="s">
        <v>198</v>
      </c>
      <c r="AN11" s="78" t="s">
        <v>199</v>
      </c>
      <c r="AO11" s="78" t="s">
        <v>200</v>
      </c>
      <c r="AP11" s="78" t="s">
        <v>201</v>
      </c>
      <c r="AQ11" s="78" t="s">
        <v>202</v>
      </c>
      <c r="AR11" s="173" t="s">
        <v>203</v>
      </c>
      <c r="AS11" s="174"/>
      <c r="AT11" s="78" t="s">
        <v>199</v>
      </c>
      <c r="AU11" s="78" t="s">
        <v>204</v>
      </c>
    </row>
    <row r="12" spans="2:47" ht="20.25" customHeight="1">
      <c r="B12" s="81" t="s">
        <v>74</v>
      </c>
      <c r="C12" s="72" t="s">
        <v>182</v>
      </c>
      <c r="D12" s="72"/>
      <c r="E12" s="83"/>
      <c r="F12" s="72" t="s">
        <v>76</v>
      </c>
      <c r="G12" s="72" t="s">
        <v>77</v>
      </c>
      <c r="H12" s="72" t="s">
        <v>78</v>
      </c>
      <c r="I12" s="80" t="s">
        <v>205</v>
      </c>
      <c r="J12" s="96" t="s">
        <v>206</v>
      </c>
      <c r="K12" s="84" t="s">
        <v>167</v>
      </c>
      <c r="L12" s="100" t="s">
        <v>168</v>
      </c>
      <c r="M12" s="103">
        <v>3000</v>
      </c>
      <c r="N12" s="94" t="s">
        <v>207</v>
      </c>
      <c r="O12" s="111" t="s">
        <v>206</v>
      </c>
      <c r="P12" s="116" t="s">
        <v>208</v>
      </c>
      <c r="Q12" s="72" t="s">
        <v>209</v>
      </c>
      <c r="R12" s="72" t="s">
        <v>210</v>
      </c>
      <c r="S12" s="118" t="s">
        <v>211</v>
      </c>
      <c r="T12" s="72" t="s">
        <v>209</v>
      </c>
      <c r="U12" s="72" t="s">
        <v>210</v>
      </c>
      <c r="V12" s="118" t="s">
        <v>212</v>
      </c>
      <c r="W12" s="72" t="s">
        <v>209</v>
      </c>
      <c r="X12" s="113" t="s">
        <v>210</v>
      </c>
      <c r="Y12" s="120" t="s">
        <v>207</v>
      </c>
      <c r="Z12" s="96" t="s">
        <v>206</v>
      </c>
      <c r="AA12" s="72" t="s">
        <v>182</v>
      </c>
      <c r="AB12" s="122" t="s">
        <v>207</v>
      </c>
      <c r="AC12" s="96" t="s">
        <v>206</v>
      </c>
      <c r="AD12" s="72" t="s">
        <v>182</v>
      </c>
      <c r="AE12" s="122" t="s">
        <v>207</v>
      </c>
      <c r="AF12" s="96" t="s">
        <v>206</v>
      </c>
      <c r="AG12" s="106" t="s">
        <v>182</v>
      </c>
      <c r="AH12" s="96" t="s">
        <v>206</v>
      </c>
      <c r="AI12" s="96" t="s">
        <v>206</v>
      </c>
      <c r="AJ12" s="96" t="s">
        <v>206</v>
      </c>
      <c r="AK12" s="72" t="s">
        <v>182</v>
      </c>
      <c r="AL12" s="72"/>
      <c r="AM12" s="72"/>
      <c r="AN12" s="72"/>
      <c r="AO12" s="72"/>
      <c r="AP12" s="72"/>
      <c r="AQ12" s="72"/>
      <c r="AR12" s="72"/>
      <c r="AS12" s="72" t="s">
        <v>209</v>
      </c>
      <c r="AT12" s="72"/>
      <c r="AU12" s="98" t="s">
        <v>204</v>
      </c>
    </row>
    <row r="13" spans="2:47" ht="20.25" customHeight="1">
      <c r="B13" s="81" t="s">
        <v>74</v>
      </c>
      <c r="C13" s="72" t="s">
        <v>182</v>
      </c>
      <c r="D13" s="72"/>
      <c r="E13" s="83"/>
      <c r="F13" s="72" t="s">
        <v>91</v>
      </c>
      <c r="G13" s="72" t="s">
        <v>77</v>
      </c>
      <c r="H13" s="72" t="s">
        <v>78</v>
      </c>
      <c r="I13" s="80" t="s">
        <v>205</v>
      </c>
      <c r="J13" s="96" t="s">
        <v>206</v>
      </c>
      <c r="K13" s="85" t="s">
        <v>169</v>
      </c>
      <c r="L13" s="87" t="s">
        <v>93</v>
      </c>
      <c r="M13" s="103">
        <v>4320</v>
      </c>
      <c r="N13" s="94" t="s">
        <v>213</v>
      </c>
      <c r="O13" s="111" t="s">
        <v>206</v>
      </c>
      <c r="P13" s="116" t="s">
        <v>208</v>
      </c>
      <c r="Q13" s="72" t="s">
        <v>209</v>
      </c>
      <c r="R13" s="72" t="s">
        <v>182</v>
      </c>
      <c r="S13" s="118" t="s">
        <v>211</v>
      </c>
      <c r="T13" s="72" t="s">
        <v>209</v>
      </c>
      <c r="U13" s="72" t="s">
        <v>182</v>
      </c>
      <c r="V13" s="118" t="s">
        <v>212</v>
      </c>
      <c r="W13" s="72" t="s">
        <v>209</v>
      </c>
      <c r="X13" s="113" t="s">
        <v>182</v>
      </c>
      <c r="Y13" s="120" t="s">
        <v>213</v>
      </c>
      <c r="Z13" s="96" t="s">
        <v>206</v>
      </c>
      <c r="AA13" s="72" t="s">
        <v>182</v>
      </c>
      <c r="AB13" s="122" t="s">
        <v>213</v>
      </c>
      <c r="AC13" s="96" t="s">
        <v>206</v>
      </c>
      <c r="AD13" s="72" t="s">
        <v>182</v>
      </c>
      <c r="AE13" s="122" t="s">
        <v>213</v>
      </c>
      <c r="AF13" s="96" t="s">
        <v>206</v>
      </c>
      <c r="AG13" s="106" t="s">
        <v>182</v>
      </c>
      <c r="AH13" s="96" t="s">
        <v>206</v>
      </c>
      <c r="AI13" s="96" t="s">
        <v>206</v>
      </c>
      <c r="AJ13" s="96" t="s">
        <v>206</v>
      </c>
      <c r="AK13" s="72" t="s">
        <v>182</v>
      </c>
      <c r="AL13" s="72"/>
      <c r="AM13" s="72"/>
      <c r="AN13" s="72"/>
      <c r="AO13" s="72"/>
      <c r="AP13" s="72"/>
      <c r="AQ13" s="72"/>
      <c r="AR13" s="72"/>
      <c r="AS13" s="72" t="s">
        <v>209</v>
      </c>
      <c r="AT13" s="72"/>
      <c r="AU13" s="98" t="s">
        <v>204</v>
      </c>
    </row>
    <row r="14" spans="2:47" ht="20.25" customHeight="1">
      <c r="B14" s="81" t="s">
        <v>74</v>
      </c>
      <c r="C14" s="72" t="s">
        <v>182</v>
      </c>
      <c r="D14" s="72"/>
      <c r="E14" s="83"/>
      <c r="F14" s="72" t="s">
        <v>91</v>
      </c>
      <c r="G14" s="72" t="s">
        <v>77</v>
      </c>
      <c r="H14" s="72" t="s">
        <v>78</v>
      </c>
      <c r="I14" s="80" t="s">
        <v>214</v>
      </c>
      <c r="J14" s="96" t="s">
        <v>206</v>
      </c>
      <c r="K14" s="85" t="s">
        <v>169</v>
      </c>
      <c r="L14" s="87" t="s">
        <v>93</v>
      </c>
      <c r="M14" s="104">
        <v>4320</v>
      </c>
      <c r="N14" s="105" t="s">
        <v>213</v>
      </c>
      <c r="O14" s="112" t="s">
        <v>206</v>
      </c>
      <c r="P14" s="117" t="s">
        <v>208</v>
      </c>
      <c r="Q14" s="107" t="s">
        <v>206</v>
      </c>
      <c r="R14" s="108" t="s">
        <v>182</v>
      </c>
      <c r="S14" s="119" t="s">
        <v>215</v>
      </c>
      <c r="T14" s="107" t="s">
        <v>206</v>
      </c>
      <c r="U14" s="108" t="s">
        <v>182</v>
      </c>
      <c r="V14" s="119" t="s">
        <v>212</v>
      </c>
      <c r="W14" s="107" t="s">
        <v>206</v>
      </c>
      <c r="X14" s="114" t="s">
        <v>182</v>
      </c>
      <c r="Y14" s="121" t="s">
        <v>213</v>
      </c>
      <c r="Z14" s="107" t="s">
        <v>206</v>
      </c>
      <c r="AA14" s="108" t="s">
        <v>182</v>
      </c>
      <c r="AB14" s="123" t="s">
        <v>213</v>
      </c>
      <c r="AC14" s="107" t="s">
        <v>206</v>
      </c>
      <c r="AD14" s="108" t="s">
        <v>182</v>
      </c>
      <c r="AE14" s="123" t="s">
        <v>213</v>
      </c>
      <c r="AF14" s="107" t="s">
        <v>206</v>
      </c>
      <c r="AG14" s="109" t="s">
        <v>182</v>
      </c>
      <c r="AH14" s="96" t="s">
        <v>206</v>
      </c>
      <c r="AI14" s="96" t="s">
        <v>206</v>
      </c>
      <c r="AJ14" s="96" t="s">
        <v>206</v>
      </c>
      <c r="AK14" s="72" t="s">
        <v>182</v>
      </c>
      <c r="AL14" s="72"/>
      <c r="AM14" s="72"/>
      <c r="AN14" s="72"/>
      <c r="AO14" s="72"/>
      <c r="AP14" s="72"/>
      <c r="AQ14" s="72"/>
      <c r="AR14" s="72"/>
      <c r="AS14" s="72" t="s">
        <v>209</v>
      </c>
      <c r="AT14" s="72"/>
      <c r="AU14" s="98" t="s">
        <v>204</v>
      </c>
    </row>
    <row r="17" spans="12:16" ht="20.25" customHeight="1">
      <c r="L17" s="22" t="s">
        <v>101</v>
      </c>
      <c r="M17" s="44"/>
      <c r="P17" s="22" t="s">
        <v>102</v>
      </c>
    </row>
    <row r="18" spans="12:16" ht="20.25" customHeight="1">
      <c r="L18" s="22" t="s">
        <v>115</v>
      </c>
      <c r="M18" s="44"/>
      <c r="P18" s="22" t="s">
        <v>106</v>
      </c>
    </row>
    <row r="19" spans="12:16" ht="20.25" customHeight="1">
      <c r="L19" s="33" t="s">
        <v>97</v>
      </c>
      <c r="M19" s="44"/>
      <c r="P19" s="22" t="s">
        <v>109</v>
      </c>
    </row>
    <row r="20" spans="12:16" ht="20.25" customHeight="1">
      <c r="L20" s="33" t="s">
        <v>96</v>
      </c>
      <c r="M20" s="44"/>
      <c r="P20" s="22" t="s">
        <v>112</v>
      </c>
    </row>
    <row r="21" spans="12:16" ht="20.25" customHeight="1">
      <c r="L21" s="33" t="s">
        <v>32</v>
      </c>
      <c r="M21" s="44"/>
      <c r="P21" s="22" t="s">
        <v>113</v>
      </c>
    </row>
    <row r="22" spans="12:16" ht="20.25" customHeight="1">
      <c r="L22" s="33" t="s">
        <v>89</v>
      </c>
      <c r="M22" s="44"/>
      <c r="P22" s="22" t="s">
        <v>115</v>
      </c>
    </row>
    <row r="23" spans="12:16" ht="20.25" customHeight="1">
      <c r="L23" s="35" t="s">
        <v>107</v>
      </c>
      <c r="M23" s="44"/>
      <c r="P23" s="22" t="s">
        <v>32</v>
      </c>
    </row>
    <row r="24" spans="12:16" ht="20.25" customHeight="1">
      <c r="P24" s="79"/>
    </row>
    <row r="35" spans="35:35" ht="20.25" customHeight="1">
      <c r="AI35" s="22" t="s">
        <v>41</v>
      </c>
    </row>
    <row r="36" spans="35:35" ht="20.25" customHeight="1">
      <c r="AI36" s="22" t="s">
        <v>105</v>
      </c>
    </row>
    <row r="37" spans="35:35" ht="20.25" customHeight="1">
      <c r="AI37" s="22" t="s">
        <v>73</v>
      </c>
    </row>
    <row r="38" spans="35:35" ht="20.25" customHeight="1">
      <c r="AI38" s="22" t="s">
        <v>216</v>
      </c>
    </row>
  </sheetData>
  <mergeCells count="16">
    <mergeCell ref="AH8:AK8"/>
    <mergeCell ref="AR11:AS11"/>
    <mergeCell ref="Y10:AG10"/>
    <mergeCell ref="Y11:AA11"/>
    <mergeCell ref="AB11:AD11"/>
    <mergeCell ref="AE11:AG11"/>
    <mergeCell ref="AH10:AK10"/>
    <mergeCell ref="P8:AG8"/>
    <mergeCell ref="F8:G8"/>
    <mergeCell ref="H8:I8"/>
    <mergeCell ref="D8:E8"/>
    <mergeCell ref="S11:U11"/>
    <mergeCell ref="V11:X11"/>
    <mergeCell ref="P11:R11"/>
    <mergeCell ref="P10:X10"/>
    <mergeCell ref="M10:O10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C76A5FC337244AAC7F15FC083C69BA" ma:contentTypeVersion="3" ma:contentTypeDescription="Create a new document." ma:contentTypeScope="" ma:versionID="146dca8e530f3bc4576716d0fb79fb89">
  <xsd:schema xmlns:xsd="http://www.w3.org/2001/XMLSchema" xmlns:xs="http://www.w3.org/2001/XMLSchema" xmlns:p="http://schemas.microsoft.com/office/2006/metadata/properties" xmlns:ns2="25b80838-10b4-41d8-96e3-0a4d5ca6621b" targetNamespace="http://schemas.microsoft.com/office/2006/metadata/properties" ma:root="true" ma:fieldsID="d1543139124710bbe3d283538ebf4b87" ns2:_="">
    <xsd:import namespace="25b80838-10b4-41d8-96e3-0a4d5ca662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80838-10b4-41d8-96e3-0a4d5ca662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CF820E-095E-466E-B27B-CF1118113ED3}"/>
</file>

<file path=customXml/itemProps2.xml><?xml version="1.0" encoding="utf-8"?>
<ds:datastoreItem xmlns:ds="http://schemas.openxmlformats.org/officeDocument/2006/customXml" ds:itemID="{46C10931-DEC6-422A-94C7-CB49E407DFDA}"/>
</file>

<file path=customXml/itemProps3.xml><?xml version="1.0" encoding="utf-8"?>
<ds:datastoreItem xmlns:ds="http://schemas.openxmlformats.org/officeDocument/2006/customXml" ds:itemID="{6CFEA214-58ED-4FD9-AF10-E422669A52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Beste Pullukçu</cp:lastModifiedBy>
  <cp:revision/>
  <dcterms:created xsi:type="dcterms:W3CDTF">2023-03-13T16:54:28Z</dcterms:created>
  <dcterms:modified xsi:type="dcterms:W3CDTF">2023-10-12T14:50:16Z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0x01010048C76A5FC337244AAC7F15FC083C69BA</vt:lpwstr>
  </property>
</Properties>
</file>