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atig/Library/CloudStorage/GoogleDrive-back.office@grandmedical.eu/My Drive/R&amp;D/DiTEN/"/>
    </mc:Choice>
  </mc:AlternateContent>
  <xr:revisionPtr revIDLastSave="0" documentId="13_ncr:20001_{058DF9A5-BCA4-5040-9E27-3250B25D9C1E}" xr6:coauthVersionLast="47" xr6:coauthVersionMax="47" xr10:uidLastSave="{00000000-0000-0000-0000-000000000000}"/>
  <bookViews>
    <workbookView xWindow="0" yWindow="600" windowWidth="33600" windowHeight="19360" firstSheet="1" activeTab="1" xr2:uid="{00000000-000D-0000-FFFF-FFFF00000000}"/>
  </bookViews>
  <sheets>
    <sheet name="Development Governance Matrix" sheetId="1" r:id="rId1"/>
    <sheet name="PVG" sheetId="16" r:id="rId2"/>
    <sheet name="Treasury Core Capability Stack" sheetId="2" r:id="rId3"/>
    <sheet name="RA DLE" sheetId="3" r:id="rId4"/>
    <sheet name="HR &amp; TEP" sheetId="4" r:id="rId5"/>
    <sheet name="Sheet1" sheetId="5" r:id="rId6"/>
    <sheet name="Supply Chain-Qulaity Cap Block" sheetId="6" r:id="rId7"/>
    <sheet name="Integrated R&amp;D–RA Lifecycle Man" sheetId="7" r:id="rId8"/>
    <sheet name="AI Agent Platform Cap Block" sheetId="17" r:id="rId9"/>
    <sheet name="Supply Planning Procure Cap Blo" sheetId="18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7" l="1"/>
  <c r="F84" i="7"/>
  <c r="E84" i="7"/>
  <c r="D84" i="7"/>
  <c r="G83" i="7"/>
  <c r="F83" i="7"/>
  <c r="E83" i="7"/>
  <c r="D83" i="7"/>
  <c r="G82" i="7"/>
  <c r="F82" i="7"/>
  <c r="E82" i="7"/>
  <c r="D82" i="7"/>
  <c r="G81" i="7"/>
  <c r="F81" i="7"/>
  <c r="E81" i="7"/>
  <c r="D81" i="7"/>
  <c r="G80" i="7"/>
  <c r="F80" i="7"/>
  <c r="E80" i="7"/>
  <c r="D80" i="7"/>
  <c r="G79" i="7"/>
  <c r="F79" i="7"/>
  <c r="E79" i="7"/>
  <c r="D79" i="7"/>
  <c r="G78" i="7"/>
  <c r="F78" i="7"/>
  <c r="E78" i="7"/>
  <c r="D78" i="7"/>
  <c r="G77" i="7"/>
  <c r="F77" i="7"/>
  <c r="E77" i="7"/>
  <c r="D77" i="7"/>
  <c r="M7" i="7"/>
  <c r="K7" i="7"/>
</calcChain>
</file>

<file path=xl/sharedStrings.xml><?xml version="1.0" encoding="utf-8"?>
<sst xmlns="http://schemas.openxmlformats.org/spreadsheetml/2006/main" count="3562" uniqueCount="2107">
  <si>
    <t>Level</t>
  </si>
  <si>
    <t>Mandatory Document</t>
  </si>
  <si>
    <t>Description</t>
  </si>
  <si>
    <t>AI Governance Assets Required</t>
  </si>
  <si>
    <t>Portfolio</t>
  </si>
  <si>
    <t>Enterprise Blueprint</t>
  </si>
  <si>
    <t>Defines domains, capability areas, capability blocks, modules, ownership boundaries, and target architecture.</t>
  </si>
  <si>
    <t>Enterprise Architecture Prompt, Capability Taxonomy Rules, Naming Rules</t>
  </si>
  <si>
    <t>Master Development Plan</t>
  </si>
  <si>
    <t>Defines development standards, module statuses, execution waves, architecture rules, coding rules, and AI development rules.</t>
  </si>
  <si>
    <t>Core Development Prompt, Clean Architecture Rules, CQRS Rules, Validation Rules</t>
  </si>
  <si>
    <t>Blueprint - Master Plan Reconciliation Matrix</t>
  </si>
  <si>
    <t>Maps Blueprint domains/modules to Master Plan implementation modules, priorities, dependencies, and execution ownership.</t>
  </si>
  <si>
    <t>Mapping Rules, Dependency Rules, Traceability Rules</t>
  </si>
  <si>
    <t>AI Prompt &amp; Skill Governance Registry</t>
  </si>
  <si>
    <t>Defines approved system prompts, master prompts, review prompts, skill packs, rule packs, and validation prompts.</t>
  </si>
  <si>
    <t>Prompt Governance Rules, Skill Pack Registry, AI Output Validation Rules</t>
  </si>
  <si>
    <t>Block</t>
  </si>
  <si>
    <t>Capability Block Documentation</t>
  </si>
  <si>
    <t>Defines the block scope, purpose, included modules, architecture boundaries, business value, ownership, and governance rules.</t>
  </si>
  <si>
    <t>Capability Block Prompt, Boundary Rules, Capability Modeling Rules</t>
  </si>
  <si>
    <t>Capability Block Execution Plan</t>
  </si>
  <si>
    <t>Defines module sequencing, parallel workstreams, delivery phases, milestones, blockers, and rollout approach.</t>
  </si>
  <si>
    <t>Execution Planning Prompt, Sequencing Rules, Parallelization Rules</t>
  </si>
  <si>
    <t>Capability Block Dependency &amp; Integration Map</t>
  </si>
  <si>
    <t>Defines module dependencies, APIs, events, shared services, infrastructure dependencies, and external integrations.</t>
  </si>
  <si>
    <t>Dependency Analysis Skill, API/Event Rules, Integration Rules</t>
  </si>
  <si>
    <t>Capability Block Acceptance &amp; Risk Register</t>
  </si>
  <si>
    <t>Defines block-level readiness criteria, risks, blockers, compliance risks, integration risks, and release conditions.</t>
  </si>
  <si>
    <t>Risk Analysis Prompt, Block Acceptance Rules</t>
  </si>
  <si>
    <t>Module</t>
  </si>
  <si>
    <t>Module Specification</t>
  </si>
  <si>
    <t>Defines module scope, objectives, business logic, domain boundaries, lifecycle states, permissions, integrations, and exclusions.</t>
  </si>
  <si>
    <t>Module System Prompt, Domain Modeling Rules, Business Logic Rules</t>
  </si>
  <si>
    <t>Module Development Plan</t>
  </si>
  <si>
    <t>Defines step-by-step implementation order for backend, frontend, persistence, integration, testing, migration, and deployment.</t>
  </si>
  <si>
    <t>AI Development Workflow Prompt, Backend Rules, Frontend Rules, Migration Rules</t>
  </si>
  <si>
    <t>Module API / UI / Data / Integration Specification</t>
  </si>
  <si>
    <t>Defines endpoints, request/response models, UI screens, database design, events, DTOs, validations, localization, and persistence rules.</t>
  </si>
  <si>
    <t>API Design Rules, UI Rules, Database Rules, Event Contract Rules</t>
  </si>
  <si>
    <t>Module Security &amp; Permission Matrix</t>
  </si>
  <si>
    <t>Defines roles, permissions, actor types, RBAC/ABAC rules, entitlement checks, tenant isolation, and restricted actions.</t>
  </si>
  <si>
    <t>Security Rules, Permission Matrix Prompt, Tenant Isolation Rules</t>
  </si>
  <si>
    <t>Module Test Plan &amp; Definition of Done</t>
  </si>
  <si>
    <t>Defines test coverage, acceptance criteria, gateway smoke tests, browser smoke tests, security checks, and completion criteria.</t>
  </si>
  <si>
    <t>QA Prompt, Testing Rules, Smoke Test Rules, DoD Rules</t>
  </si>
  <si>
    <t>Delivery</t>
  </si>
  <si>
    <t>Work Package Checklist</t>
  </si>
  <si>
    <t>Tracks concrete execution tasks, coding, validation, review, documentation, localization, testing, and completion status.</t>
  </si>
  <si>
    <t>Delivery Checklist Rules, Completion Validation Rules</t>
  </si>
  <si>
    <t>Code Review Checklist</t>
  </si>
  <si>
    <t>Verifies architecture compliance, naming, CQRS, DDD, security, tenancy, audit, localization, and test coverage.</t>
  </si>
  <si>
    <t>Code Review Prompt, Quality Gate Rules</t>
  </si>
  <si>
    <t>QA / Acceptance Report</t>
  </si>
  <si>
    <t>Records test evidence, acceptance status, defects, unresolved risks, production readiness, and approval decision.</t>
  </si>
  <si>
    <t>QA Review Prompt, Acceptance Rules, Audit Rules</t>
  </si>
  <si>
    <t>Deployment Checklist &amp; Release Notes</t>
  </si>
  <si>
    <t>Confirms environment readiness, secrets, gateway routes, migrations, smoke tests, rollback, delivered scope, and known limitations.</t>
  </si>
  <si>
    <t>Deployment Rules, Release Notes Prompt, Rollback Rules</t>
  </si>
  <si>
    <t>PVG Capability Block — Readiness-Adjusted Development Sequence</t>
  </si>
  <si>
    <t>Updated from the 2026-08-03 platform readiness audit. The sequence count is unchanged. Seq. 1 is now a mandatory remediation gate: RBAC, audit, workflow and controlled-document capabilities can be reused after hardening, while masking, evidence linking, canonical IDs, metric registry and lakehouse capabilities require implementation or boundary repair before a production PV release.</t>
  </si>
  <si>
    <t>Foundation gate</t>
  </si>
  <si>
    <t>BLOCKED</t>
  </si>
  <si>
    <t>Reusable after hardening</t>
  </si>
  <si>
    <t>Missing / rebuild capabilities</t>
  </si>
  <si>
    <t>Urgent target</t>
  </si>
  <si>
    <t>MOD-0234</t>
  </si>
  <si>
    <t>Evidence basis</t>
  </si>
  <si>
    <t>Static repo audit</t>
  </si>
  <si>
    <t>No runtime PASS</t>
  </si>
  <si>
    <t>Seq.</t>
  </si>
  <si>
    <t>Stage / Wave</t>
  </si>
  <si>
    <t>Module / Capability</t>
  </si>
  <si>
    <t>Required development scope</t>
  </si>
  <si>
    <t>Dependency / completion gate</t>
  </si>
  <si>
    <t>Delivery role</t>
  </si>
  <si>
    <t>Current code-reality status</t>
  </si>
  <si>
    <t>PV readiness / recommendation</t>
  </si>
  <si>
    <t>Required action before gate</t>
  </si>
  <si>
    <t>Plan impact</t>
  </si>
  <si>
    <t>1</t>
  </si>
  <si>
    <t>Urgent foundation remediation — W-3A0</t>
  </si>
  <si>
    <t>MOD-0004, MOD-0018, MOD-0019, MOD-0021, MOD-0023, MOD-0028, MOD-0031, MOD-0040, MOD-0063</t>
  </si>
  <si>
    <t>Shared PV Foundation and Safety Case SoR Gate</t>
  </si>
  <si>
    <t>Establish the minimum production foundation for PV: governed metrics, PV permissions/data scope, patient and reporter masking, audit, workflow, controlled documents, evidence links, canonical/external identifiers, correlation, analytical datasets and the approved native Safety Case ownership model.</t>
  </si>
  <si>
    <t>Gate closes only when: MOD-0040 identity conflict is resolved; MOD-0019 masking is runtime-proven; MOD-0031 evidence linking is implemented; minimum MOD-0004 and MOD-0063 contracts are operational; MOD-0018/0021/0023/0028 hardening and authenticated smokes pass; MOD-0028 FU06 startup blocker is closed.</t>
  </si>
  <si>
    <t>Mandatory platform, privacy and ownership foundation</t>
  </si>
  <si>
    <t>MIXED / NOT RELEASE-READY. Reusable after hardening: MOD-0018, MOD-0021, MOD-0023, MOD-0028. Missing or boundary-blocked: MOD-0004, MOD-0019, MOD-0031, MOD-0040, MOD-0063.</t>
  </si>
  <si>
    <t>BLOCKED. Apply HARDEN_BEFORE_USE to MOD-0018/0021/0023/0028; IMPLEMENT/COMPLETE foundation for MOD-0019/0031; REBUILD MOD-0040 boundary; do not use MOD-0004/0063 yet.</t>
  </si>
  <si>
    <t>Run as parallel foundation lanes inside Seq. 1: P0 masking; canonical-ID boundary correction; evidence-linking MVP; metric and analytical-contract MVP; hardening/runtime proof for reusable modules.</t>
  </si>
  <si>
    <t>Seq. 2–5 may proceed with contract/spec work, but no production PV golden flow can be accepted until this gate is closed.</t>
  </si>
  <si>
    <t>2</t>
  </si>
  <si>
    <t>Urgent — W-3A</t>
  </si>
  <si>
    <t>MOD-0230</t>
  </si>
  <si>
    <t>Case Intake &amp; Triage</t>
  </si>
  <si>
    <t>Implement minimum valid-case checks, reporter/event/product capture, duplicate screening, triage, routing, assignment, SLA monitoring, follow-up initiation and controlled evidence intake.</t>
  </si>
  <si>
    <t>Requires Seq. 1 privacy, audit, workflow, evidence and identifier contracts. Stable case, reporter, event and product identifiers are mandatory.</t>
  </si>
  <si>
    <t>Safety-data entry foundation</t>
  </si>
  <si>
    <t>PV module code reality was not assessed by the supplied platform-foundation reports.</t>
  </si>
  <si>
    <t>PLAN-READY / RUNTIME-BLOCKED BY SEQ. 1.</t>
  </si>
  <si>
    <t>Prepare approved module pack and vertical-slice contracts. Bind permissions to MOD-0018, masking to MOD-0019, audit to MOD-0021, workflow to MOD-0023 and evidence to MOD-0031.</t>
  </si>
  <si>
    <t>Development can begin after contract freeze; production testing waits for Seq. 1 stop-ship items.</t>
  </si>
  <si>
    <t>3</t>
  </si>
  <si>
    <t>Urgent — W-3B</t>
  </si>
  <si>
    <t>MOD-0231</t>
  </si>
  <si>
    <t>Case Processing — Signal Minimum Scope</t>
  </si>
  <si>
    <t>Deliver seriousness, expectedness, listedness, causality, outcome, exposure, patient factors, narrative, follow-up status and case lifecycle data required for signal evaluation.</t>
  </si>
  <si>
    <t>Requires MOD-0230 plus server-side masking, audit, evidence and concurrency controls. Minimum completeness, freshness and data-quality thresholds must pass before MOD-0234 activation.</t>
  </si>
  <si>
    <t>Signal assessment foundation</t>
  </si>
  <si>
    <t>PLAN-READY / RUNTIME-BLOCKED BY SEQ. 1–2.</t>
  </si>
  <si>
    <t>Implement only the signal-minimum vertical slice first; preserve extension points for the complete ICSR lifecycle in Seq. 6.</t>
  </si>
  <si>
    <t>Retain sequence. Do not expand to full ICSR processing before the urgent signal dataset is stable.</t>
  </si>
  <si>
    <t>4</t>
  </si>
  <si>
    <t>Urgent — W-3C</t>
  </si>
  <si>
    <t>MOD-0232</t>
  </si>
  <si>
    <t>MedDRA Coding</t>
  </si>
  <si>
    <t>Implement MedDRA dictionary/version binding, event and indication coding, coding review, recoding, SMQ support, coding history and audit export.</t>
  </si>
  <si>
    <t>Requires MOD-0231 case/event records. Each assignment must retain case ID, coded term, MedDRA version, actor, UTC timestamp and audit correlation ID.</t>
  </si>
  <si>
    <t>Signal terminology foundation</t>
  </si>
  <si>
    <t>PLAN-READY / RUNTIME-BLOCKED BY SEQ. 1–3.</t>
  </si>
  <si>
    <t>Define governed terminology import/version contracts and coding audit events before UI development. Do not embed dictionary ownership inside MOD-0232 without an approved source contract.</t>
  </si>
  <si>
    <t>Retain sequence; coding contract can be developed in parallel with late MOD-0231 work.</t>
  </si>
  <si>
    <t>5</t>
  </si>
  <si>
    <t>Urgent — W-3D</t>
  </si>
  <si>
    <t>Signal Management</t>
  </si>
  <si>
    <t>Implement potential-signal registration, source linkage, validation, prioritisation, evaluation, review-committee decisions, action plans, evidence, due dates, metrics, monitoring, closure and controlled reopening.</t>
  </si>
  <si>
    <t>Master dependencies MOD-0004 and MOD-0063 are currently unavailable. Production release also requires MOD-0019 masking, MOD-0031 evidence linking, corrected MOD-0040 canonical IDs and a qualified MOD-0230–0232 source feed.</t>
  </si>
  <si>
    <t>Urgent target capability</t>
  </si>
  <si>
    <t>RUNTIME-BLOCKED by unavailable metric/lakehouse foundations and unresolved privacy/evidence/identifier capabilities.</t>
  </si>
  <si>
    <t>DO NOT START AS A SHELL. Specification, object model, workflow and interface contracts can proceed; runtime implementation must use approved minimum MOD-0004/MOD-0063 data products.</t>
  </si>
  <si>
    <t>Define a thin, production-grade Signal MVP contract within MOD-0004 and MOD-0063; complete P0 privacy and evidence controls; then execute the MOD-0234 vertical slice.</t>
  </si>
  <si>
    <t>Urgent target remains unchanged, but its go-live date is controlled by Seq. 1 rather than by MOD-0230–0232 alone.</t>
  </si>
  <si>
    <t>6</t>
  </si>
  <si>
    <t>Next stage — W-4A</t>
  </si>
  <si>
    <t>MOD-0231, MOD-0244, MOD-0258</t>
  </si>
  <si>
    <t>Full Case Processing and Conditional Source Integrations</t>
  </si>
  <si>
    <t>Extend MOD-0231 into the complete ICSR lifecycle. Add Clinical SAE linkage and Argus/ArisG integration only where an approved operating model requires them.</t>
  </si>
  <si>
    <t>Begin after MOD-0234 stabilises. MOD-0244 requires corrected MOD-0040 and integration reconciliation. MOD-0258 must not create a second authoritative Safety Case record.</t>
  </si>
  <si>
    <t>Complete case processing and optional source integration</t>
  </si>
  <si>
    <t>Target-module readiness was not assessed. MOD-0040 dependency is currently boundary-blocked.</t>
  </si>
  <si>
    <t>NEXT-STAGE / DEPENDENCY-RISK.</t>
  </si>
  <si>
    <t>Audit MOD-0244/MOD-0258 code reality before committing scope. Resolve SoR and migration/coexistence rules first.</t>
  </si>
  <si>
    <t>Conditional integrations remain deferred; no impact on the native urgent path.</t>
  </si>
  <si>
    <t>7A</t>
  </si>
  <si>
    <t>Next stage — W-4B</t>
  </si>
  <si>
    <t>MOD-0233, MOD-0022, MOD-0030</t>
  </si>
  <si>
    <t>Reporting, Submissions and Regulatory Controls</t>
  </si>
  <si>
    <t>Implement reportability assessment, schedules, E2B-compatible packages, validation, signatures, amendments, retransmission, acknowledgements, immutable submission records and retention controls.</t>
  </si>
  <si>
    <t>Requires full MOD-0231 and MOD-0232. MOD-0022 and MOD-0030 were not included in the supplied readiness audit and require separate runtime verification.</t>
  </si>
  <si>
    <t>Regulatory case-reporting output</t>
  </si>
  <si>
    <t>NOT ASSESSED in the supplied platform-readiness reports.</t>
  </si>
  <si>
    <t>SEPARATE READINESS AUDIT REQUIRED.</t>
  </si>
  <si>
    <t>Inspect e-signature, records-management and submission dependencies before module-pack approval.</t>
  </si>
  <si>
    <t>Retain next-stage position; readiness must not be inferred from module existence.</t>
  </si>
  <si>
    <t>7B</t>
  </si>
  <si>
    <t>Next stage — W-4B, parallel</t>
  </si>
  <si>
    <t>MOD-0272</t>
  </si>
  <si>
    <t>Regulatory Gateway Integration</t>
  </si>
  <si>
    <t>Implement FDA/EMA/PMDA profiles, secure transport, acknowledgements, rejection handling, retries, monitoring and submission reconciliation.</t>
  </si>
  <si>
    <t>Develop in parallel with Seq. 7A. Provider certification, acknowledgement processing and reconciliation must pass before electronic submission go-live.</t>
  </si>
  <si>
    <t>Regulatory transport boundary</t>
  </si>
  <si>
    <t>Confirm whether MOD-0272 is an external-provider register only or includes an implemented adapter/runtime boundary.</t>
  </si>
  <si>
    <t>Retain parallel sequence; block production submission until provider-specific evidence exists.</t>
  </si>
  <si>
    <t>8</t>
  </si>
  <si>
    <t>Next stage — W-4C</t>
  </si>
  <si>
    <t>MOD-0235, MOD-0229, MOD-0208</t>
  </si>
  <si>
    <t>PV Quality, Audit Packs and CAPA Linkage</t>
  </si>
  <si>
    <t>Implement case/signal quality reviews, sampling, compliance monitoring, overdue controls, inspection packs, findings, CAPA initiation, due dates and effectiveness checks.</t>
  </si>
  <si>
    <t>Requires production-proven audit/workflow/document foundations. MOD-0229 and MOD-0208 readiness were not included in the supplied audit.</t>
  </si>
  <si>
    <t>PV quality and inspection control</t>
  </si>
  <si>
    <t>PARTIAL FOUNDATION SUPPORT: MOD-0021, MOD-0023 and MOD-0028 are reusable only after hardening; target modules not assessed.</t>
  </si>
  <si>
    <t>NEXT-STAGE / HARDEN FOUNDATIONS FIRST.</t>
  </si>
  <si>
    <t>Close audit tamper-evidence/runtime smoke, workflow golden-flow smoke and MOD-0028 FU06 startup blocker. Then audit MOD-0229 and MOD-0208.</t>
  </si>
  <si>
    <t>Retain sequence; closed-loop quality cannot be claimed until CAPA and audit-pack flows are runtime-proven.</t>
  </si>
  <si>
    <t>9</t>
  </si>
  <si>
    <t>Next stage — W-5A</t>
  </si>
  <si>
    <t>Canonical FU/module required</t>
  </si>
  <si>
    <t>Aggregate Safety Reporting</t>
  </si>
  <si>
    <t>Implement PSUR/PBRER and applicable DSUR schedules, data-lock points, case/exposure aggregation, benefit-risk evaluation, authoring, review, approval and submission.</t>
  </si>
  <si>
    <t>Requires complete MOD-0231–MOD-0234 data and a production analytical foundation.</t>
  </si>
  <si>
    <t>Aggregate benefit-risk reporting</t>
  </si>
  <si>
    <t>No canonical module identity and no code-readiness evidence in supplied reports.</t>
  </si>
  <si>
    <t>GOVERNANCE-GATED.</t>
  </si>
  <si>
    <t>Approve existing-module fit versus FU/child versus new canonical module; then perform code-reality assessment.</t>
  </si>
  <si>
    <t>Planning only; exclude from committed delivery baseline until identity and SoR are approved.</t>
  </si>
  <si>
    <t>10</t>
  </si>
  <si>
    <t>Next stage — W-5B</t>
  </si>
  <si>
    <t>PV Governance, PSMF and QPPV Oversight</t>
  </si>
  <si>
    <t>Govern QPPV/delegates, PV organisation, system inventory, PSMF sections and annexes, procedural controls, changes and compliance oversight.</t>
  </si>
  <si>
    <t>Requires MOD-0235 plus controlled documents, records management, audit and organisation/person reference data.</t>
  </si>
  <si>
    <t>PV system governance</t>
  </si>
  <si>
    <t>Approve SoR and canonical identity. Reuse MOD-0028 only after FU06/runtime hardening; do not use embedded document references as a substitute for MOD-0031.</t>
  </si>
  <si>
    <t>Planning only until governance decision.</t>
  </si>
  <si>
    <t>11</t>
  </si>
  <si>
    <t>Next stage — W-5C</t>
  </si>
  <si>
    <t>Risk Management Plans</t>
  </si>
  <si>
    <t>Manage identified and potential risks, missing information, RMP versions, pharmacovigilance activities, commitments, reviews and approvals.</t>
  </si>
  <si>
    <t>Requires confirmed MOD-0234 decisions and regulatory/labeling integration.</t>
  </si>
  <si>
    <t>Safety-risk governance</t>
  </si>
  <si>
    <t>Approve independent SoR or FU placement before specification approval.</t>
  </si>
  <si>
    <t>12</t>
  </si>
  <si>
    <t>Next stage — W-5D</t>
  </si>
  <si>
    <t>Risk-Minimisation Measures</t>
  </si>
  <si>
    <t>Manage routine and additional measures, controlled materials, implementation plans, distribution, target populations and effectiveness evaluation.</t>
  </si>
  <si>
    <t>Requires approved RMPs, evidence, metrics, labeling and change-control interfaces.</t>
  </si>
  <si>
    <t>Risk-control execution</t>
  </si>
  <si>
    <t>Approve ownership and interfaces; metric and evidence foundations must be operational.</t>
  </si>
  <si>
    <t>13</t>
  </si>
  <si>
    <t>Next stage — W-5E</t>
  </si>
  <si>
    <t>Literature Surveillance</t>
  </si>
  <si>
    <t>Implement search strategies, schedules, source ingestion, screening, assessment, duplicate checks, exclusions, case creation and compliance metrics.</t>
  </si>
  <si>
    <t>Requires MOD-0230, product references, controlled evidence/document services and MedDRA coding.</t>
  </si>
  <si>
    <t>External safety-source surveillance</t>
  </si>
  <si>
    <t>Evaluate MOD-0230 FU placement and define document/evidence contracts after MOD-0031 is operational.</t>
  </si>
  <si>
    <t>14</t>
  </si>
  <si>
    <t>Next stage — W-5F</t>
  </si>
  <si>
    <t>Partner and Affiliate Safety Exchange</t>
  </si>
  <si>
    <t>Govern safety-data agreements, partner profiles, timelines, inbound/outbound exchange, reconciliation, breaches and compliance metrics.</t>
  </si>
  <si>
    <t>Requires corrected canonical identifiers, integration reconciliation, case processing and regulatory timelines.</t>
  </si>
  <si>
    <t>Partner safety integration</t>
  </si>
  <si>
    <t>No canonical module identity. MOD-0040 dependency is currently boundary-blocked.</t>
  </si>
  <si>
    <t>GOVERNANCE-GATED / IDENTITY-RISK.</t>
  </si>
  <si>
    <t>Resolve MOD-0040 first; approve ownership and partner-exchange contract.</t>
  </si>
  <si>
    <t>Planning only until identity and SoR decisions.</t>
  </si>
  <si>
    <t>15</t>
  </si>
  <si>
    <t>Next stage — W-5G</t>
  </si>
  <si>
    <t>PASS Oversight</t>
  </si>
  <si>
    <t>Manage post-authorisation study commitments, protocols, milestones, status, safety outputs, regulatory communications and results.</t>
  </si>
  <si>
    <t>Requires risk-management decisions and integration with relevant study-management capabilities.</t>
  </si>
  <si>
    <t>Post-authorisation surveillance</t>
  </si>
  <si>
    <t>Map to existing study modules or approve a PV-specific FU/module; then perform readiness audit.</t>
  </si>
  <si>
    <t>16</t>
  </si>
  <si>
    <t>Next stage — W-5H</t>
  </si>
  <si>
    <t>Safety Communication and Labeling Linkage</t>
  </si>
  <si>
    <t>Convert confirmed safety decisions into labeling changes, DHPC/safety communications, approvals, controlled distribution and effectiveness evidence.</t>
  </si>
  <si>
    <t>Requires MOD-0234 decisions, approved risk controls and labeling/change-control integration.</t>
  </si>
  <si>
    <t>Regulatory safety action</t>
  </si>
  <si>
    <t>Approve cross-module ownership: PV owns safety decision; labeling module owns label change.</t>
  </si>
  <si>
    <t>17</t>
  </si>
  <si>
    <t>Next stage — W-5I</t>
  </si>
  <si>
    <t>Reference Safety Information and Special Situations</t>
  </si>
  <si>
    <t>Govern reference safety information, expectedness sources, effective dates and regional applicability. Support pregnancy, paediatric, overdose, misuse, medication error, lack of efficacy and other special situations.</t>
  </si>
  <si>
    <t>Requires product master, labeling, full MOD-0230/MOD-0231 processing and MOD-0234 surveillance contracts.</t>
  </si>
  <si>
    <t>PV reference and specialised surveillance</t>
  </si>
  <si>
    <t>Approve SoR for reference safety information and determine which special situations are MOD-0230/0231 extensions.</t>
  </si>
  <si>
    <t>Platform Foundation Readiness — Evidence-Based Input to Seq. 1</t>
  </si>
  <si>
    <t>Actual status</t>
  </si>
  <si>
    <t>Completion %</t>
  </si>
  <si>
    <t>Production readiness %</t>
  </si>
  <si>
    <t>PV readiness</t>
  </si>
  <si>
    <t>Main blocker</t>
  </si>
  <si>
    <t>Recommendation</t>
  </si>
  <si>
    <t>PV plan use</t>
  </si>
  <si>
    <t>MOD-0004</t>
  </si>
  <si>
    <t>SPECIFICATION_ONLY</t>
  </si>
  <si>
    <t>5–10%</t>
  </si>
  <si>
    <t>0%</t>
  </si>
  <si>
    <t>NOT_AVAILABLE</t>
  </si>
  <si>
    <t>No code; prerequisite registries absent</t>
  </si>
  <si>
    <t>DO_NOT_USE_YET</t>
  </si>
  <si>
    <t>Build minimum metric/semantic registry inside Seq. 1 before MOD-0234 runtime</t>
  </si>
  <si>
    <t>MOD-0018</t>
  </si>
  <si>
    <t>PARTIALLY_IMPLEMENTED</t>
  </si>
  <si>
    <t>62–75%</t>
  </si>
  <si>
    <t>55%</t>
  </si>
  <si>
    <t>FOUNDATION_AVAILABLE</t>
  </si>
  <si>
    <t>ABAC/data-scope and admin UI missing</t>
  </si>
  <si>
    <t>HARDEN_BEFORE_USE</t>
  </si>
  <si>
    <t>Reuse RBAC core; add pv.* permissions and data-scope controls</t>
  </si>
  <si>
    <t>MOD-0019</t>
  </si>
  <si>
    <t>NOT_IMPLEMENTED</t>
  </si>
  <si>
    <t>8–15%</t>
  </si>
  <si>
    <t>No masking policy engine</t>
  </si>
  <si>
    <t>IMPLEMENT_MISSING_FLOW — P0</t>
  </si>
  <si>
    <t>Stop-ship for any patient/reporter PII PV flow</t>
  </si>
  <si>
    <t>MOD-0021</t>
  </si>
  <si>
    <t>IMPLEMENTED_BUT_RUNTIME_NOT_PROVEN</t>
  </si>
  <si>
    <t>70–80%</t>
  </si>
  <si>
    <t>Tamper-evidence and authenticated smoke missing</t>
  </si>
  <si>
    <t>Reuse after non-repudiation/tamper controls and runtime proof</t>
  </si>
  <si>
    <t>MOD-0023</t>
  </si>
  <si>
    <t>60–72%</t>
  </si>
  <si>
    <t>50%</t>
  </si>
  <si>
    <t>Dedicated golden-flow smoke and designer UI maturity</t>
  </si>
  <si>
    <t>Reuse workflow runtime after PV-specific transition smoke</t>
  </si>
  <si>
    <t>MOD-0028</t>
  </si>
  <si>
    <t>68–78%</t>
  </si>
  <si>
    <t>FU06 Mongo partial-index startup blocker</t>
  </si>
  <si>
    <t>Reuse controlled documents after FU06 fix and runtime proof</t>
  </si>
  <si>
    <t>MOD-0031</t>
  </si>
  <si>
    <t>8–12%</t>
  </si>
  <si>
    <t>CONTRACT_ONLY</t>
  </si>
  <si>
    <t>No runtime code; pack only</t>
  </si>
  <si>
    <t>COMPLETE_FOUNDATION</t>
  </si>
  <si>
    <t>Build canonical evidence-linking MVP before PV evidence workflows</t>
  </si>
  <si>
    <t>MOD-0040</t>
  </si>
  <si>
    <t>FOUNDATION_ONLY / WRONG_BOUNDARY</t>
  </si>
  <si>
    <t>25–35%</t>
  </si>
  <si>
    <t>25%</t>
  </si>
  <si>
    <t>Registry identity conflict; canonical/external ID model absent</t>
  </si>
  <si>
    <t>REBUILD_BOUNDARY</t>
  </si>
  <si>
    <t>Resolve CONF-01, then build canonical/external ID mapping</t>
  </si>
  <si>
    <t>MOD-0063</t>
  </si>
  <si>
    <t>5%</t>
  </si>
  <si>
    <t>No code; Data Contract Registry absent</t>
  </si>
  <si>
    <t>Build minimum governed analytical dataset/lineage slice for signals</t>
  </si>
  <si>
    <t>Evidence basis: platform-modules-final-status-report.md, platform-modules-capability-matrix.md and platform-modules-current-state-report.md, dated 2026-08-03. The audit is based on static repository evidence. dotnet tests and authenticated runtime smoke were not executed in that audit; file/test existence must not be treated as PASS.</t>
  </si>
  <si>
    <t>Priority</t>
  </si>
  <si>
    <t>Current position</t>
  </si>
  <si>
    <t>Improvements required</t>
  </si>
  <si>
    <t>PV-specific requirement</t>
  </si>
  <si>
    <t>Completion / exit gate</t>
  </si>
  <si>
    <t>MOD-0040 — Canonical ID &amp; Correlation Standard</t>
  </si>
  <si>
    <t>Foundation-only; registry identity conflicts with the canonical Blueprint definition</t>
  </si>
  <si>
    <t>First resolve the registry conflict through Enterprise Architecture governance. Create an approved MOD-0040 module pack. Implement canonical object IDs, external-reference mappings, source-system identifiers, correlation propagation, trace stitching, duplicate/conflict controls, and API/event contract tests across services.</t>
  </si>
  <si>
    <t>Provide stable identifiers for Safety Case, Event, Reporter, Product, Signal, SAE, Submission and external Argus/ArisG references.</t>
  </si>
  <si>
    <t>Registry and Blueprint are aligned; one external identifier cannot resolve to multiple canonical records; the same correlation ID is visible across gateway, API, event, audit and background-job execution.</t>
  </si>
  <si>
    <t>MOD-0019 — Data Masking &amp; Row/Field Security</t>
  </si>
  <si>
    <t>Not implemented; current helper functions provide log redaction only</t>
  </si>
  <si>
    <t>Build a real policy engine with field classification, masking policies, row/field rules, role and purpose bindings, server-side query enforcement, response-serialization masking, export controls, policy simulation and a test harness. Add management APIs and an administration UI.</t>
  </si>
  <si>
    <t>Classify and protect patient, reporter, contact, medical narrative and confidential assessment fields. Verify that UI, API, export, logs, traces and audit payloads apply the same policy.</t>
  </si>
  <si>
    <t>A restricted PV user receives masked data from both UI and API; an authorized medical reviewer receives approved full values; unauthorized cross-tenant and cross-scope access is denied server-side.</t>
  </si>
  <si>
    <t>MOD-0031 — Evidence Linking Service</t>
  </si>
  <si>
    <t>Specification and module-pack only; no runtime implementation</t>
  </si>
  <si>
    <r>
      <t xml:space="preserve">Implement the canonical </t>
    </r>
    <r>
      <rPr>
        <sz val="9"/>
        <color theme="1"/>
        <rFont val="Arial Unicode MS"/>
        <family val="2"/>
      </rPr>
      <t>EvidenceLink</t>
    </r>
    <r>
      <rPr>
        <sz val="9"/>
        <color theme="1"/>
        <rFont val="Play"/>
        <family val="2"/>
      </rPr>
      <t xml:space="preserve">, </t>
    </r>
    <r>
      <rPr>
        <sz val="9"/>
        <color theme="1"/>
        <rFont val="Arial Unicode MS"/>
        <family val="2"/>
      </rPr>
      <t>EvidenceBundle</t>
    </r>
    <r>
      <rPr>
        <sz val="9"/>
        <color theme="1"/>
        <rFont val="Play"/>
        <family val="2"/>
      </rPr>
      <t xml:space="preserve"> and </t>
    </r>
    <r>
      <rPr>
        <sz val="9"/>
        <color theme="1"/>
        <rFont val="Arial Unicode MS"/>
        <family val="2"/>
      </rPr>
      <t>EvidenceRequirement</t>
    </r>
    <r>
      <rPr>
        <sz val="9"/>
        <color theme="1"/>
        <rFont val="Play"/>
        <family val="2"/>
      </rPr>
      <t xml:space="preserve"> systems of record. Add version-specific object-to-evidence links, provenance, integrity validation, coverage queries, adoption/supersession impact, APIs/events, RBAC, audit and UI surfaces.</t>
    </r>
  </si>
  <si>
    <t>Support links from cases, signals, assessments, committee decisions, CAPAs and submissions to controlled evidence without storing duplicate documents inside PV modules.</t>
  </si>
  <si>
    <t>Create link → reload → view provenance → replace evidence version → retain history → include in audit/export pack. Data survives L3 cold-start replay.</t>
  </si>
  <si>
    <t>MOD-0018 — RBAC/ABAC Authorization</t>
  </si>
  <si>
    <t>RBAC core is operational; ABAC/data scope and administration are incomplete</t>
  </si>
  <si>
    <t>Complete the real-data-scope resolver, attribute-based policies and the RBAC administration UI. Add policy explanation, scope simulation, effective-date controls and regression tests for endpoint and record-level authorization. Preserve AuthService as the central permission authority.</t>
  </si>
  <si>
    <r>
      <t xml:space="preserve">Introduce a governed </t>
    </r>
    <r>
      <rPr>
        <sz val="9"/>
        <color theme="1"/>
        <rFont val="Arial Unicode MS"/>
        <family val="2"/>
      </rPr>
      <t>pv.*</t>
    </r>
    <r>
      <rPr>
        <sz val="9"/>
        <color theme="1"/>
        <rFont val="Play"/>
        <family val="2"/>
      </rPr>
      <t xml:space="preserve"> permission catalogue and data scopes such as tenant, legal entity, product, country, study and assigned-case scope.</t>
    </r>
  </si>
  <si>
    <t>PV viewer/editor/medical reviewer/signal reviewer roles are enforced server-side; unauthorized requests return controlled denial; data-scope leakage tests pass across two tenants and two product scopes.</t>
  </si>
  <si>
    <t>MOD-0021 — Audit Trail Service</t>
  </si>
  <si>
    <t>Broad implementation exists, but runtime proof and cryptographic tamper evidence are missing</t>
  </si>
  <si>
    <t>Add a cryptographic hash/previous-hash chain or equivalent tamper-evidence mechanism. Define fail-closed behavior for regulated writes when audit append fails. Route remaining local audit publishers through the canonical append path. Complete authenticated runtime smoke, export, retention and outbox-recovery validation.</t>
  </si>
  <si>
    <t>Audit case creation, coding changes, assessment updates, signal validation, committee decisions, closure/reopening, evidence changes and permission-sensitive access. Avoid clear-text PII in audit payloads.</t>
  </si>
  <si>
    <t>Audit records contain actor, tenant, UTC timestamp, action, object/version and correlation ID; tampering is detectable; an audit outage cannot leave an unaudited regulated write.</t>
  </si>
  <si>
    <t>MOD-0023 — Workflow Designer</t>
  </si>
  <si>
    <t>Backend capability is substantial; dedicated end-to-end runtime evidence and designer maturity are incomplete</t>
  </si>
  <si>
    <t>Complete the workflow designer UI and publishable consumption contracts. Execute dedicated golden-flow testing for definition → version → publish → instance → task → approve/reject/request-information/delegate → history. Validate escalation, SLA, concurrency and invalid transitions.</t>
  </si>
  <si>
    <t>Configure reusable PV workflows for case triage, medical review, signal validation, signal evaluation, committee decision, quality review and evidence request. PV modules retain their business-state ownership.</t>
  </si>
  <si>
    <t>A versioned PV workflow can be published, started, completed and reloaded; unauthorized transitions fail; stale-version updates produce a controlled conflict; audit and SLA events are visible.</t>
  </si>
  <si>
    <t>MOD-0028 — Documentation Management</t>
  </si>
  <si>
    <t>Broad implementation exists; FU06 causes a platform-startup blocker</t>
  </si>
  <si>
    <r>
      <t xml:space="preserve">Fix the Mongo partial-index </t>
    </r>
    <r>
      <rPr>
        <sz val="9"/>
        <color theme="1"/>
        <rFont val="Arial Unicode MS"/>
        <family val="2"/>
      </rPr>
      <t>$ne</t>
    </r>
    <r>
      <rPr>
        <sz val="9"/>
        <color theme="1"/>
        <rFont val="Play"/>
        <family val="2"/>
      </rPr>
      <t xml:space="preserve"> defect in FU06. Stabilize list, language and evidence-related runtime behaviour. Complete tenant-isolation, permission, persistence and regression checks. Finish checksum/version comparison and ensure document approval uses shared workflow/e-signature services rather than local duplicates.</t>
    </r>
  </si>
  <si>
    <t>Store PV source documents and attachments with controlled metadata, versions, classification and retention context. Evidence relationships must be delegated to MOD-0031.</t>
  </si>
  <si>
    <t>Platform starts cleanly; create/upload/version/reopen flows pass authenticated runtime smoke; tenant isolation and permission checks pass; checksum and version history remain consistent after restart.</t>
  </si>
  <si>
    <t>MOD-0004 — Metric &amp; Semantic Registry</t>
  </si>
  <si>
    <t>Specification-only; no registry entry, module pack or runtime code</t>
  </si>
  <si>
    <t>Establish canonical registration and an approved module pack. Implement metric definitions, semantic identifiers, calculation contracts, units, dimensions, certification, ownership, versioning, effective dates, query APIs, RBAC, audit and a minimal administration UI.</t>
  </si>
  <si>
    <t>Define certified Signal Management and PV Quality metrics so MOD-0234 does not hard-code metric formulas or meanings.</t>
  </si>
  <si>
    <t>Metric definition → calculation contract → certification → reload → consumer query works at runtime, with version and owner traceability.</t>
  </si>
  <si>
    <t>MOD-0063 — Data Warehouse / Lakehouse</t>
  </si>
  <si>
    <t>Specification-only; no pack or implementation</t>
  </si>
  <si>
    <t>Create an approved module pack and minimum analytical vertical slice: dataset registry, data contracts, ingestion run history, schema/version validation, ACLs, retention, lineage, quality checks, replay, query access and operational monitoring. Do not use the lakehouse as the Safety Case system of record.</t>
  </si>
  <si>
    <t>Deliver a governed PV signal dataset containing approved case/event/product/coding/assessment projections, source timestamps, freshness and quality status.</t>
  </si>
  <si>
    <t>Contract-bound ingestion persists data, rejects invalid schemas, records lineage and run history, enforces tenant/data ACLs, and provides a qualified dataset to MOD-0234.</t>
  </si>
  <si>
    <t>#</t>
  </si>
  <si>
    <t>Module ID</t>
  </si>
  <si>
    <t>Readiness %</t>
  </si>
  <si>
    <t>Key Evidence</t>
  </si>
  <si>
    <t>Notes</t>
  </si>
  <si>
    <t>MOD-0002</t>
  </si>
  <si>
    <t>Interface Registry</t>
  </si>
  <si>
    <t>Not in repo</t>
  </si>
  <si>
    <t>—</t>
  </si>
  <si>
    <t>MOD-0003</t>
  </si>
  <si>
    <t>Data Contract Registry</t>
  </si>
  <si>
    <t>AuthService admin routes functional</t>
  </si>
  <si>
    <t>11 commits + 35 reports incl. release-readiness + production-cutover-readiness</t>
  </si>
  <si>
    <t xml:space="preserve"> Metric &amp; Semantic Registry</t>
  </si>
  <si>
    <t>Browser CORS preflight gap</t>
  </si>
  <si>
    <t>7 commits incl. contract-alignment-v1-surface + canonical-tree workspace + baseline catalog UI + governance ops; 8 reports</t>
  </si>
  <si>
    <t>MOD-0008</t>
  </si>
  <si>
    <t>Module Catalog Assignable Expose</t>
  </si>
  <si>
    <t>Planning docs only</t>
  </si>
  <si>
    <t>Catalog alignment proven</t>
  </si>
  <si>
    <t>Only 1 commit on this branch but 82 reports (ranges batch-00..batch-10+) — work is on another branch; consistent with "ready" status</t>
  </si>
  <si>
    <t>MOD-0009</t>
  </si>
  <si>
    <t>Tenant Registry Lifecycle Events</t>
  </si>
  <si>
    <t>Partial domain modeling</t>
  </si>
  <si>
    <t>Foundation closure PASS</t>
  </si>
  <si>
    <t>NY</t>
  </si>
  <si>
    <t>Authorization / RBAC</t>
  </si>
  <si>
    <t>MOD-0018-authorization-readiness-audit-v4.md verdict Partial; routes + tests present</t>
  </si>
  <si>
    <t>Audit Explorer / Trail</t>
  </si>
  <si>
    <t>MOD-0021-audit_trail-readiness-audit-v4.md; Mongo persist + 20 tests pass</t>
  </si>
  <si>
    <t>Reference only</t>
  </si>
  <si>
    <t>Workflow Designer</t>
  </si>
  <si>
    <t>mod0023-workflow-readiness-inspection.md BLOCKED; 6 routes, Save Draft is stub</t>
  </si>
  <si>
    <t>MOD-0026</t>
  </si>
  <si>
    <t>Background Job Scheduler</t>
  </si>
  <si>
    <t>MOD-0027</t>
  </si>
  <si>
    <t>Notification / Email Service</t>
  </si>
  <si>
    <t>Worker tenancy context issue; no impl</t>
  </si>
  <si>
    <t>No backend</t>
  </si>
  <si>
    <t>Document / Evidence Metadata</t>
  </si>
  <si>
    <r>
      <rPr>
        <sz val="409"/>
        <color rgb="FF002060"/>
        <rFont val="Play"/>
      </rPr>
      <t>services/Diten.Platform/.../Mod0028/</t>
    </r>
    <r>
      <rPr>
        <sz val="409"/>
        <color rgb="FF002060"/>
        <rFont val="Play Regular"/>
      </rPr>
      <t>; collection + API + tests pass</t>
    </r>
  </si>
  <si>
    <t>Contracts incomplete</t>
  </si>
  <si>
    <t>Evidence Linking</t>
  </si>
  <si>
    <t>mod0031-openapi-schema-parity-audit-v5.md; dispatcher + outbox runtime-proven</t>
  </si>
  <si>
    <t>Golden flow not runtime-proven</t>
  </si>
  <si>
    <t>MOD-0032</t>
  </si>
  <si>
    <t>API Gateway Hardening</t>
  </si>
  <si>
    <t>Ocelot config + MOD-0289/0269 live smoke closures</t>
  </si>
  <si>
    <t>Live sink proof blocked</t>
  </si>
  <si>
    <t>MOD-0035</t>
  </si>
  <si>
    <t>Event Bus / Internal Events</t>
  </si>
  <si>
    <t>In-process events only</t>
  </si>
  <si>
    <t>Template persistence missing</t>
  </si>
  <si>
    <t>MOD-0037</t>
  </si>
  <si>
    <t xml:space="preserve"> Integration Monitoring &amp; Reconciliation</t>
  </si>
  <si>
    <t>MOD-0039</t>
  </si>
  <si>
    <t>Schema Compatibility Governance</t>
  </si>
  <si>
    <t>MOD-0041</t>
  </si>
  <si>
    <t>Logging / Monitoring</t>
  </si>
  <si>
    <t>Health + correlation IDs wired</t>
  </si>
  <si>
    <t>Lifecycle partial</t>
  </si>
  <si>
    <t>MOD-0043</t>
  </si>
  <si>
    <t>Tenant Architecture Foundation</t>
  </si>
  <si>
    <t>Multi-tenancy proven in MOD-0289 live smoke</t>
  </si>
  <si>
    <t>Contract closure done</t>
  </si>
  <si>
    <t>MOD-0044</t>
  </si>
  <si>
    <t>Tenant Manager</t>
  </si>
  <si>
    <t>Wired + isolation proven</t>
  </si>
  <si>
    <t>CORS/login plumbing gaps</t>
  </si>
  <si>
    <t>MOD-0046</t>
  </si>
  <si>
    <t>Tenant Core UI</t>
  </si>
  <si>
    <t>Frontend layout + authenticated routes work</t>
  </si>
  <si>
    <t>No external broker</t>
  </si>
  <si>
    <t>MOD-0046+</t>
  </si>
  <si>
    <t>Tenant Core UI Extensions</t>
  </si>
  <si>
    <t>Partial menu/page wiring</t>
  </si>
  <si>
    <t>MOD-0048</t>
  </si>
  <si>
    <t>Reference Data / Lookups</t>
  </si>
  <si>
    <t>mod0048-final-readiness-after-governance-v5.md READY w/ waivers; gateway routes live</t>
  </si>
  <si>
    <t>MOD-0057</t>
  </si>
  <si>
    <t>Taxonomy / Semantic Tagging</t>
  </si>
  <si>
    <t>mod0057 B5 residual closure rerun; 72/72 DataTable pass</t>
  </si>
  <si>
    <t>No dashboards</t>
  </si>
  <si>
    <t>not started</t>
  </si>
  <si>
    <t xml:space="preserve">MOD-0118 </t>
  </si>
  <si>
    <t>General Ledger</t>
  </si>
  <si>
    <t>Runtime-proven</t>
  </si>
  <si>
    <t>MOD-0119</t>
  </si>
  <si>
    <t>Accounts Payable Source Schedule</t>
  </si>
  <si>
    <t>MOD0119-FOUNDATION-CLOSURE-M1-report.md PASS 2026-05-12; 14 routes, 493 LOC</t>
  </si>
  <si>
    <t>Live gateway smoke PASS</t>
  </si>
  <si>
    <t>MOD-0120</t>
  </si>
  <si>
    <t>Accounts Receivable Source Schedule</t>
  </si>
  <si>
    <t>MOD0120-SPEC-INSPECTION-M1-report.md Mockup PASS, Production BLOCKED</t>
  </si>
  <si>
    <t>MOD-0121</t>
  </si>
  <si>
    <t>Bank Reconciliation</t>
  </si>
  <si>
    <t>Some flags missing</t>
  </si>
  <si>
    <t>MOD-0122</t>
  </si>
  <si>
    <t>Bank Statement Actuals / Thin Actuals</t>
  </si>
  <si>
    <t>Partial treasury refs; no closure</t>
  </si>
  <si>
    <t>Catalog alignment fixed</t>
  </si>
  <si>
    <t>MOD-0124</t>
  </si>
  <si>
    <t>Cash Positioning</t>
  </si>
  <si>
    <t>MOD0124-PATH-GATE-M1-readiness-remediation.md BLOCKED; controller + threshold tests pass</t>
  </si>
  <si>
    <t>Immutability/idempotency proven</t>
  </si>
  <si>
    <t>MOD-0125</t>
  </si>
  <si>
    <t>Cash Forecasting / 13-week</t>
  </si>
  <si>
    <t>Refs only, no impl</t>
  </si>
  <si>
    <t>Treasury suite green</t>
  </si>
  <si>
    <t>MOD-0126</t>
  </si>
  <si>
    <t>Payment Proposals / Approvals</t>
  </si>
  <si>
    <t>MOD0126-EVIDENCE-AUDIT-M1-report.md CONDITIONAL PASS; MOD-0031 evidence integrated</t>
  </si>
  <si>
    <t>Frontend prototype only</t>
  </si>
  <si>
    <t>MOD-0127</t>
  </si>
  <si>
    <t>FX Exposure Management</t>
  </si>
  <si>
    <t>MOD-0128</t>
  </si>
  <si>
    <t>Tax / VAT / Withholding</t>
  </si>
  <si>
    <t>Placeholder scope</t>
  </si>
  <si>
    <t>MOD-0140</t>
  </si>
  <si>
    <t>Supplier Onboarding / Master</t>
  </si>
  <si>
    <t>foundation-proof-closure-summary-v5 CONDITIONAL GO; pass-ready proof</t>
  </si>
  <si>
    <t>Service placement decision open</t>
  </si>
  <si>
    <t>MOD-0141</t>
  </si>
  <si>
    <t>Procurement commitment source</t>
  </si>
  <si>
    <t>MOD-0142</t>
  </si>
  <si>
    <t>Receiving / GRN control sourc</t>
  </si>
  <si>
    <t xml:space="preserve">MOD-0143 </t>
  </si>
  <si>
    <t>Invoice Capture &amp; 3-Way Match</t>
  </si>
  <si>
    <t>MOD-0146</t>
  </si>
  <si>
    <t>Payment Run Support</t>
  </si>
  <si>
    <t>Minimal refs</t>
  </si>
  <si>
    <t>MOD-0149</t>
  </si>
  <si>
    <t>Customer 360 / Account Hierarchy</t>
  </si>
  <si>
    <t>Compile blocker resolved</t>
  </si>
  <si>
    <t>MOD-0168</t>
  </si>
  <si>
    <t>Order Capture</t>
  </si>
  <si>
    <t>MOD-0169</t>
  </si>
  <si>
    <t>Billing &amp; Invoicing</t>
  </si>
  <si>
    <t>MOD-0171</t>
  </si>
  <si>
    <t>Disputes / Claims</t>
  </si>
  <si>
    <t>MOD-0217</t>
  </si>
  <si>
    <t>Contract Lifecycle</t>
  </si>
  <si>
    <t>foundation-proof-closure-summary-v5 CONDITIONAL GO; preflight runtime proof</t>
  </si>
  <si>
    <t>Δ</t>
  </si>
  <si>
    <t>MOD-0220</t>
  </si>
  <si>
    <t>Legal Entities</t>
  </si>
  <si>
    <t>mod0220-final-readiness-v5.md READY w/ 3 P3 waivers; create golden flow live</t>
  </si>
  <si>
    <t>MOD-0266</t>
  </si>
  <si>
    <t>Blob / File Storage Provider</t>
  </si>
  <si>
    <t>MOD-0048 catalog aligned</t>
  </si>
  <si>
    <t>MOD-0269</t>
  </si>
  <si>
    <t>Banks / SWIFT / Payments Gateway</t>
  </si>
  <si>
    <t>mod0289-mod0269-release-packaging-manifest live gateway smoke PASS</t>
  </si>
  <si>
    <t>Browser flow PASS</t>
  </si>
  <si>
    <t>MOD-0289</t>
  </si>
  <si>
    <t>Bank Master &amp; Account Registry</t>
  </si>
  <si>
    <t>MOD-0289 batch-99 closure FULL GO w/ formal waivers; 75+ batches</t>
  </si>
  <si>
    <t>MOD-0291</t>
  </si>
  <si>
    <t>Financial Dimensions</t>
  </si>
  <si>
    <t>Protected reference contract closed</t>
  </si>
  <si>
    <t>MOD-0297</t>
  </si>
  <si>
    <t>Tenant Subscription Lifecycle</t>
  </si>
  <si>
    <t>Proven in multi-tenant closures</t>
  </si>
  <si>
    <t>API/release/Ocelot all PASS</t>
  </si>
  <si>
    <t>MOD-0298</t>
  </si>
  <si>
    <t>Tenant Module Entitlement</t>
  </si>
  <si>
    <t>Entitlement enforced at gateway/platform</t>
  </si>
  <si>
    <t>NEW-001</t>
  </si>
  <si>
    <t>Secrets Management</t>
  </si>
  <si>
    <t>NEW-002</t>
  </si>
  <si>
    <t>Platform Administrators Mgmt</t>
  </si>
  <si>
    <t>Admin seeding + RBAC proven</t>
  </si>
  <si>
    <t>Runtime-tested</t>
  </si>
  <si>
    <t>Evidence</t>
  </si>
  <si>
    <t>PSS-004</t>
  </si>
  <si>
    <t>Tenant Login &amp; Security</t>
  </si>
  <si>
    <t>Auth service login + gateway path live</t>
  </si>
  <si>
    <t>3 commits + 9 reports incl. default-taxonomy-register-seed (re-run 2026-05-24)</t>
  </si>
  <si>
    <t>PSS-005</t>
  </si>
  <si>
    <t>Module Catalog</t>
  </si>
  <si>
    <t>MOD-0048 catalog seed + 72/72 contract</t>
  </si>
  <si>
    <t>1 commit on branch + 6 reports; status unchanged from foundation audit</t>
  </si>
  <si>
    <t>PSS-006</t>
  </si>
  <si>
    <t>Subscription Plan Catalog</t>
  </si>
  <si>
    <t>Plan provisioning wiring proven</t>
  </si>
  <si>
    <t>1 commit on branch + 3 reports</t>
  </si>
  <si>
    <t>PSS-007</t>
  </si>
  <si>
    <t>Subscription Feature Management</t>
  </si>
  <si>
    <t>Feature flags + MOD-0298 gates enforced</t>
  </si>
  <si>
    <t>0 commits on branch + 3 reports</t>
  </si>
  <si>
    <r>
      <rPr>
        <sz val="409"/>
        <color rgb="FFCCCCCC"/>
        <rFont val="Play"/>
      </rPr>
      <t>1 commit on branch (the MOD-0266 auth-seed catalog extension at </t>
    </r>
    <r>
      <rPr>
        <sz val="409"/>
        <color rgb="FFCCCCCC"/>
        <rFont val="Courier New"/>
        <family val="1"/>
      </rPr>
      <t>d9f0cd23</t>
    </r>
    <r>
      <rPr>
        <sz val="409"/>
        <color rgb="FFCCCCCC"/>
        <rFont val="Arial"/>
        <family val="2"/>
      </rPr>
      <t> added 21 keys) + 4 reports</t>
    </r>
  </si>
  <si>
    <t>2 commits + 3 reports</t>
  </si>
  <si>
    <t>1 commit + 1 report</t>
  </si>
  <si>
    <t>0 commits + 1 report (only the foundation pack); still essentially un-started</t>
  </si>
  <si>
    <t>0 commits + 0 reports + no module-pack file located</t>
  </si>
  <si>
    <t>0 commits on branch + 3 reports (foundation audit only); no module-pack file located</t>
  </si>
  <si>
    <t>Wave</t>
  </si>
  <si>
    <t>Modules that can be developed in parallel</t>
  </si>
  <si>
    <t>Wave 1</t>
  </si>
  <si>
    <r>
      <rPr>
        <b/>
        <sz val="409"/>
        <color rgb="FFFF0000"/>
        <rFont val="Play"/>
      </rPr>
      <t>MOD-0149</t>
    </r>
    <r>
      <rPr>
        <sz val="409"/>
        <color rgb="FFFF0000"/>
        <rFont val="Play"/>
        <family val="2"/>
      </rPr>
      <t xml:space="preserve">, </t>
    </r>
    <r>
      <rPr>
        <b/>
        <sz val="409"/>
        <color rgb="FFFF0000"/>
        <rFont val="Play"/>
        <family val="2"/>
      </rPr>
      <t>MOD-0128</t>
    </r>
    <r>
      <rPr>
        <sz val="409"/>
        <color rgb="FFFF0000"/>
        <rFont val="Play"/>
        <family val="2"/>
      </rPr>
      <t xml:space="preserve">, </t>
    </r>
    <r>
      <rPr>
        <b/>
        <sz val="409"/>
        <color rgb="FFFF0000"/>
        <rFont val="Play"/>
        <family val="2"/>
      </rPr>
      <t>MOD-0291</t>
    </r>
    <r>
      <rPr>
        <sz val="409"/>
        <color rgb="FFFF0000"/>
        <rFont val="Play"/>
        <family val="2"/>
      </rPr>
      <t xml:space="preserve">, </t>
    </r>
    <r>
      <rPr>
        <b/>
        <sz val="409"/>
        <color rgb="FFFF0000"/>
        <rFont val="Play"/>
        <family val="2"/>
      </rPr>
      <t>MOD-0122</t>
    </r>
    <r>
      <rPr>
        <sz val="409"/>
        <color rgb="FFFF0000"/>
        <rFont val="Play"/>
        <family val="2"/>
      </rPr>
      <t xml:space="preserve">, </t>
    </r>
    <r>
      <rPr>
        <b/>
        <sz val="409"/>
        <color rgb="FFFF0000"/>
        <rFont val="Play"/>
        <family val="2"/>
      </rPr>
      <t>MOD-0146</t>
    </r>
    <r>
      <rPr>
        <sz val="409"/>
        <color rgb="FFFF0000"/>
        <rFont val="Play"/>
        <family val="2"/>
      </rPr>
      <t xml:space="preserve">, </t>
    </r>
    <r>
      <rPr>
        <b/>
        <sz val="409"/>
        <color rgb="FFFF0000"/>
        <rFont val="Play"/>
        <family val="2"/>
      </rPr>
      <t>MOD-0127</t>
    </r>
  </si>
  <si>
    <t>Wave 2</t>
  </si>
  <si>
    <r>
      <rPr>
        <b/>
        <sz val="409"/>
        <color rgb="FFFF0000"/>
        <rFont val="Play"/>
      </rPr>
      <t>MOD-0168</t>
    </r>
    <r>
      <rPr>
        <sz val="409"/>
        <color rgb="FFFF0000"/>
        <rFont val="Play"/>
        <family val="2"/>
      </rPr>
      <t xml:space="preserve">, </t>
    </r>
    <r>
      <rPr>
        <b/>
        <sz val="409"/>
        <color rgb="FFFF0000"/>
        <rFont val="Play"/>
        <family val="2"/>
      </rPr>
      <t>MOD-0143</t>
    </r>
    <r>
      <rPr>
        <sz val="409"/>
        <color rgb="FFFF0000"/>
        <rFont val="Play"/>
        <family val="2"/>
      </rPr>
      <t xml:space="preserve">, </t>
    </r>
    <r>
      <rPr>
        <b/>
        <sz val="409"/>
        <color rgb="FFFF0000"/>
        <rFont val="Play"/>
        <family val="2"/>
      </rPr>
      <t>MOD-0122</t>
    </r>
    <r>
      <rPr>
        <sz val="409"/>
        <color rgb="FFFF0000"/>
        <rFont val="Play"/>
        <family val="2"/>
      </rPr>
      <t xml:space="preserve">, </t>
    </r>
    <r>
      <rPr>
        <b/>
        <sz val="409"/>
        <color rgb="FFFF0000"/>
        <rFont val="Play"/>
        <family val="2"/>
      </rPr>
      <t>MOD-0146</t>
    </r>
    <r>
      <rPr>
        <sz val="409"/>
        <color rgb="FFFF0000"/>
        <rFont val="Play"/>
        <family val="2"/>
      </rPr>
      <t xml:space="preserve">, </t>
    </r>
    <r>
      <rPr>
        <b/>
        <sz val="409"/>
        <color rgb="FFFF0000"/>
        <rFont val="Play"/>
        <family val="2"/>
      </rPr>
      <t>MOD-0127</t>
    </r>
  </si>
  <si>
    <t>Wave 3</t>
  </si>
  <si>
    <r>
      <rPr>
        <b/>
        <sz val="409"/>
        <color rgb="FFFF0000"/>
        <rFont val="Play"/>
      </rPr>
      <t>MOD-0169</t>
    </r>
    <r>
      <rPr>
        <sz val="409"/>
        <color rgb="FFFF0000"/>
        <rFont val="Play"/>
        <family val="2"/>
      </rPr>
      <t xml:space="preserve">, </t>
    </r>
    <r>
      <rPr>
        <b/>
        <sz val="409"/>
        <color rgb="FFFF0000"/>
        <rFont val="Play"/>
        <family val="2"/>
      </rPr>
      <t>MOD-0121</t>
    </r>
    <r>
      <rPr>
        <sz val="409"/>
        <color rgb="FFFF0000"/>
        <rFont val="Play"/>
        <family val="2"/>
      </rPr>
      <t xml:space="preserve">, </t>
    </r>
    <r>
      <rPr>
        <b/>
        <sz val="409"/>
        <color rgb="FFFF0000"/>
        <rFont val="Play"/>
        <family val="2"/>
      </rPr>
      <t>MOD-0125-M0</t>
    </r>
  </si>
  <si>
    <t>Wave 4</t>
  </si>
  <si>
    <t>MOD-0125 full build</t>
  </si>
  <si>
    <t>Wave 5</t>
  </si>
  <si>
    <t>Cross-module hardening: MOD-0121, MOD-0122, MOD-0125, MOD-0146, MOD-0127</t>
  </si>
  <si>
    <t>RA DLE SCOPE — MERGED INTO INTEGRATED R&amp;D–RA LIFECYCLE MANAGEMENT BLOCK</t>
  </si>
  <si>
    <t>All required RA development capabilities are governed through the Integrated R&amp;D–RA Lifecycle Management Block.
Primary management sheet: Optimized Master Plan
Detailed technical backlog: R&amp;D-RA Dev Requirements
Architecture registers: Software Capability Matrix, Interface Registry, Shared Evidence Matrix</t>
  </si>
  <si>
    <t>Release</t>
  </si>
  <si>
    <t>Capability Block</t>
  </si>
  <si>
    <t>Lane</t>
  </si>
  <si>
    <t>Module Code</t>
  </si>
  <si>
    <t>Module Name</t>
  </si>
  <si>
    <t>Type</t>
  </si>
  <si>
    <t>Output / Role</t>
  </si>
  <si>
    <t>Done</t>
  </si>
  <si>
    <t>R0</t>
  </si>
  <si>
    <t>Platform Backbone + HR Source Readiness</t>
  </si>
  <si>
    <t>R0-A</t>
  </si>
  <si>
    <t>RBAC / Authorization</t>
  </si>
  <si>
    <t>Backbone readiness</t>
  </si>
  <si>
    <t>HR and TEP permission control</t>
  </si>
  <si>
    <t>Audit Trail</t>
  </si>
  <si>
    <t>Access, change, export, approval audit</t>
  </si>
  <si>
    <t>MOD-0030</t>
  </si>
  <si>
    <t>Records Management / Retention / Legal Hold</t>
  </si>
  <si>
    <t>HR/TEP retention and legal hold</t>
  </si>
  <si>
    <t>R0-B</t>
  </si>
  <si>
    <t>Workflow</t>
  </si>
  <si>
    <t>Approval, dispute, review workflows</t>
  </si>
  <si>
    <t>Documentation &amp; Evidence Management</t>
  </si>
  <si>
    <t>Internal evidence/document storage</t>
  </si>
  <si>
    <t>Evidence Linking Service</t>
  </si>
  <si>
    <t>Link evidence to HR/TEP objects</t>
  </si>
  <si>
    <t>R0-C</t>
  </si>
  <si>
    <t>HR/TEP controlled values</t>
  </si>
  <si>
    <t>Skills, roles, categories, tags</t>
  </si>
  <si>
    <t>R0-D</t>
  </si>
  <si>
    <t>MOD-0251</t>
  </si>
  <si>
    <t>Core HR / Employee Master</t>
  </si>
  <si>
    <t>Native HCM master readiness</t>
  </si>
  <si>
    <t>Employee legal profile, employment status, job/employment record</t>
  </si>
  <si>
    <t>MOD-0279</t>
  </si>
  <si>
    <t>Native Payroll Engine</t>
  </si>
  <si>
    <t>Native HCM payroll readiness</t>
  </si>
  <si>
    <t>Payroll calculation, payroll runs, payroll results</t>
  </si>
  <si>
    <t>MOD-0280</t>
  </si>
  <si>
    <t>Time, Attendance &amp; Leave Management</t>
  </si>
  <si>
    <t>Native HCM time/leave readiness</t>
  </si>
  <si>
    <t>Time entries, attendance, leave balances, schedules</t>
  </si>
  <si>
    <t>MOD-0281</t>
  </si>
  <si>
    <t>Payroll Governance &amp; Payroll Controls</t>
  </si>
  <si>
    <t>Native HCM payroll governance readiness</t>
  </si>
  <si>
    <t>Payroll controls, approvals, exceptions, governance</t>
  </si>
  <si>
    <t>Ali</t>
  </si>
  <si>
    <t>MOD-0288</t>
  </si>
  <si>
    <t>Organization, Person &amp; Position Directory</t>
  </si>
  <si>
    <t>Native HCM / platform directory readiness</t>
  </si>
  <si>
    <t>Internal person/org/position foundation</t>
  </si>
  <si>
    <t>R1</t>
  </si>
  <si>
    <t>Human Capital Management Foundation MVP</t>
  </si>
  <si>
    <t>R1-A</t>
  </si>
  <si>
    <t>HR Capability Block Shell</t>
  </si>
  <si>
    <t>Native HCM MVP</t>
  </si>
  <si>
    <t>HR workspace shell</t>
  </si>
  <si>
    <t>Employee Profile Workspace</t>
  </si>
  <si>
    <t>Employee profile workspace over internal employee master</t>
  </si>
  <si>
    <t>R1-B</t>
  </si>
  <si>
    <t>MOD-0299</t>
  </si>
  <si>
    <t>Position &amp; Organization Assignment</t>
  </si>
  <si>
    <t>Employee-position-org-manager assignment</t>
  </si>
  <si>
    <t>R1-C</t>
  </si>
  <si>
    <t>MOD-0314</t>
  </si>
  <si>
    <t>HR Governance &amp; Sensitive Access Controls</t>
  </si>
  <si>
    <t>Native HCM governance</t>
  </si>
  <si>
    <t>HR-sensitive visibility and access rules</t>
  </si>
  <si>
    <t>R1-D</t>
  </si>
  <si>
    <t>MOD-0305</t>
  </si>
  <si>
    <t>Offboarding &amp; Exit Management</t>
  </si>
  <si>
    <t>Governed offboarding + TEP handoff payload</t>
  </si>
  <si>
    <t>R2</t>
  </si>
  <si>
    <t>Industry Talent Ecosystem Platform — Reference Network MVP</t>
  </si>
  <si>
    <t>R2-A</t>
  </si>
  <si>
    <t>MOD-0321</t>
  </si>
  <si>
    <t>Talent Ecosystem Platform Shell</t>
  </si>
  <si>
    <t>TEP MVP</t>
  </si>
  <si>
    <t>TEP workspace shell</t>
  </si>
  <si>
    <t>MOD-0323</t>
  </si>
  <si>
    <t>Association Membership &amp; Member Company Registry</t>
  </si>
  <si>
    <t>Association/company membership registry</t>
  </si>
  <si>
    <t>MOD-0324</t>
  </si>
  <si>
    <t>Verified HR Participant &amp; Company Access</t>
  </si>
  <si>
    <t>Verified HR/company access</t>
  </si>
  <si>
    <t>R2-B</t>
  </si>
  <si>
    <t>MOD-0325</t>
  </si>
  <si>
    <t>Consent, Visibility &amp; Access Policy</t>
  </si>
  <si>
    <t>Consent and visibility rules</t>
  </si>
  <si>
    <t>MOD-0326</t>
  </si>
  <si>
    <t>Talent Ecosystem Governance &amp; Review Board</t>
  </si>
  <si>
    <t>Review board workflow</t>
  </si>
  <si>
    <t>MOD-0330</t>
  </si>
  <si>
    <t>Trust Level &amp; Multi-Signature Engine</t>
  </si>
  <si>
    <t>Trust level validation</t>
  </si>
  <si>
    <t>R2-C</t>
  </si>
  <si>
    <t>MOD-0322</t>
  </si>
  <si>
    <t>Industry Candidate Identity &amp; Talent Profile</t>
  </si>
  <si>
    <t>Sector candidate identity</t>
  </si>
  <si>
    <t>R2-D</t>
  </si>
  <si>
    <t>MOD-0327</t>
  </si>
  <si>
    <t>Industry Exit Reference Record Registry</t>
  </si>
  <si>
    <t>Cross-company exit reference records</t>
  </si>
  <si>
    <t>MOD-0328</t>
  </si>
  <si>
    <t>Reference Exchange Marketplace</t>
  </si>
  <si>
    <t>HR-to-HR reference exchange</t>
  </si>
  <si>
    <t>MOD-0329</t>
  </si>
  <si>
    <t>Rehire Recommendation Network</t>
  </si>
  <si>
    <t>Rehire recommendation</t>
  </si>
  <si>
    <t>MOD-0331</t>
  </si>
  <si>
    <t>Candidate Response &amp; Dispute Management</t>
  </si>
  <si>
    <t>Candidate response/dispute flow</t>
  </si>
  <si>
    <t>R2-E</t>
  </si>
  <si>
    <t>Notification</t>
  </si>
  <si>
    <t>Backbone extension</t>
  </si>
  <si>
    <t>HR/candidate/reference notifications</t>
  </si>
  <si>
    <t>MOD-0263</t>
  </si>
  <si>
    <t>Notification Delivery Service</t>
  </si>
  <si>
    <t>Internal notification delivery channel</t>
  </si>
  <si>
    <t>MOD-0029</t>
  </si>
  <si>
    <t>Controlled Documents</t>
  </si>
  <si>
    <t>Reference templates and controlled policies</t>
  </si>
  <si>
    <t>MOD-0262</t>
  </si>
  <si>
    <t>Internal Document Repository Service</t>
  </si>
  <si>
    <t>Internal document repository support for evidence/reference packages</t>
  </si>
  <si>
    <t>R3</t>
  </si>
  <si>
    <t>Human Capital Management Foundation Completion</t>
  </si>
  <si>
    <t>R3-A</t>
  </si>
  <si>
    <t>MOD-0300</t>
  </si>
  <si>
    <t>Recruitment / Applicant Intake</t>
  </si>
  <si>
    <t>HCM completion</t>
  </si>
  <si>
    <t>Applicant intake</t>
  </si>
  <si>
    <t>MOD-0301</t>
  </si>
  <si>
    <t>Candidate Pipeline &amp; Interview Management</t>
  </si>
  <si>
    <t>Recruiting pipeline and interviews</t>
  </si>
  <si>
    <t>MOD-0302</t>
  </si>
  <si>
    <t>Offer Management</t>
  </si>
  <si>
    <t>Offer workflow</t>
  </si>
  <si>
    <t>MOD-0303</t>
  </si>
  <si>
    <t>Employee Onboarding</t>
  </si>
  <si>
    <t>Onboarding lifecycle</t>
  </si>
  <si>
    <t>R3-B</t>
  </si>
  <si>
    <t>MOD-0304</t>
  </si>
  <si>
    <t>Employment Change / Transfer / Promotion</t>
  </si>
  <si>
    <t>Internal role-change workflow</t>
  </si>
  <si>
    <t>R3-C</t>
  </si>
  <si>
    <t>MOD-0306</t>
  </si>
  <si>
    <t>Performance Review Management</t>
  </si>
  <si>
    <t>Performance reviews</t>
  </si>
  <si>
    <t>MOD-0307</t>
  </si>
  <si>
    <t>Competency &amp; Skills Assessment</t>
  </si>
  <si>
    <t>Skills/competency assessments</t>
  </si>
  <si>
    <t>MOD-0308</t>
  </si>
  <si>
    <t>Development Plan Management</t>
  </si>
  <si>
    <t>Development plans</t>
  </si>
  <si>
    <t>MOD-0309</t>
  </si>
  <si>
    <t>Learning / Training Records</t>
  </si>
  <si>
    <t>Employee training records</t>
  </si>
  <si>
    <t>MOD-0320</t>
  </si>
  <si>
    <t>Succession &amp; High-Potential Tracking</t>
  </si>
  <si>
    <t>Succession and HiPo tracking</t>
  </si>
  <si>
    <t>R3-D</t>
  </si>
  <si>
    <t>MOD-0310</t>
  </si>
  <si>
    <t>Workforce Planning</t>
  </si>
  <si>
    <t>Workforce planning</t>
  </si>
  <si>
    <t>MOD-0311</t>
  </si>
  <si>
    <t>Headcount &amp; Position Budget Planning</t>
  </si>
  <si>
    <t>Headcount and position budget</t>
  </si>
  <si>
    <t>R3-E</t>
  </si>
  <si>
    <t>MOD-0312</t>
  </si>
  <si>
    <t>HR KPI &amp; Analytics Facade</t>
  </si>
  <si>
    <t>HR KPI facade over shared analytics</t>
  </si>
  <si>
    <t>MOD-0313</t>
  </si>
  <si>
    <t>HR Documentation &amp; Evidence Workspace</t>
  </si>
  <si>
    <t>HR workspace over shared docs/evidence</t>
  </si>
  <si>
    <t>MOD-0315</t>
  </si>
  <si>
    <t>Time, Attendance &amp; Leave Workspace</t>
  </si>
  <si>
    <t>HR/manager workspace over internal time, attendance, and leave records</t>
  </si>
  <si>
    <t>MOD-0316</t>
  </si>
  <si>
    <t>Compensation &amp; Benefits Management</t>
  </si>
  <si>
    <t>Native HCM compensation</t>
  </si>
  <si>
    <t>Compensation packages, benefits assignments, compensation reference data</t>
  </si>
  <si>
    <t>MOD-0319</t>
  </si>
  <si>
    <t>Employee / Manager Self-Service Channel</t>
  </si>
  <si>
    <t>Employee/manager interaction channel</t>
  </si>
  <si>
    <t>R3-F</t>
  </si>
  <si>
    <t>MOD-0317</t>
  </si>
  <si>
    <t>Employee Relations &amp; HR Case Management</t>
  </si>
  <si>
    <t>Grievance, disciplinary, investigation cases</t>
  </si>
  <si>
    <t>MOD-0318</t>
  </si>
  <si>
    <t>HR Compliance &amp; Statutory Reporting</t>
  </si>
  <si>
    <t>HR compliance reporting</t>
  </si>
  <si>
    <t>R3-G</t>
  </si>
  <si>
    <t>Metric &amp; Semantic Registry</t>
  </si>
  <si>
    <t>Analytics backbone</t>
  </si>
  <si>
    <t>Metric semantic governance</t>
  </si>
  <si>
    <t>MOD-0059</t>
  </si>
  <si>
    <t>KPI Catalog</t>
  </si>
  <si>
    <t>KPI catalog</t>
  </si>
  <si>
    <t>MOD-0060</t>
  </si>
  <si>
    <t>Metric Definitions &amp; Ownership</t>
  </si>
  <si>
    <t>Metric definitions and ownership</t>
  </si>
  <si>
    <t>MOD-0061</t>
  </si>
  <si>
    <t>Scorecards / Dashboards</t>
  </si>
  <si>
    <t>HR/TEP dashboard layer</t>
  </si>
  <si>
    <t>MOD-0062</t>
  </si>
  <si>
    <t>Baseline &amp; Experiment Measurement</t>
  </si>
  <si>
    <t>Program impact measurement</t>
  </si>
  <si>
    <t>Data Warehouse / Lakehouse</t>
  </si>
  <si>
    <t>Data foundation</t>
  </si>
  <si>
    <t>MOD-0064</t>
  </si>
  <si>
    <t>ETL / ELT Pipelines</t>
  </si>
  <si>
    <t>Data pipeline foundation</t>
  </si>
  <si>
    <t>R4</t>
  </si>
  <si>
    <t>Industry Talent Ecosystem Platform Completion</t>
  </si>
  <si>
    <t>R4-A</t>
  </si>
  <si>
    <t>MOD-0332</t>
  </si>
  <si>
    <t>Hiring Risk Indicators</t>
  </si>
  <si>
    <t>TEP completion</t>
  </si>
  <si>
    <t>Rule-based hiring risk signals</t>
  </si>
  <si>
    <t>MOD-0333</t>
  </si>
  <si>
    <t>Early Warning Signals</t>
  </si>
  <si>
    <t>Cross-company pattern detection</t>
  </si>
  <si>
    <t>MOD-0334</t>
  </si>
  <si>
    <t>Restricted Integrity Registry</t>
  </si>
  <si>
    <t>Serious restricted integrity cases</t>
  </si>
  <si>
    <t>R4-B</t>
  </si>
  <si>
    <t>MOD-0335</t>
  </si>
  <si>
    <t>Professional Reputation Ledger</t>
  </si>
  <si>
    <t>Positive professional reputation signals</t>
  </si>
  <si>
    <t>MOD-0336</t>
  </si>
  <si>
    <t>Talent Data Foundation</t>
  </si>
  <si>
    <t>Talent data foundation</t>
  </si>
  <si>
    <t>R4-C</t>
  </si>
  <si>
    <t>MOD-0337</t>
  </si>
  <si>
    <t>Industry Talent Pool</t>
  </si>
  <si>
    <t>Trusted talent pool</t>
  </si>
  <si>
    <t>MOD-0338</t>
  </si>
  <si>
    <t>Industry Skill Passport</t>
  </si>
  <si>
    <t>Verified skill passport</t>
  </si>
  <si>
    <t>MOD-0339</t>
  </si>
  <si>
    <t>Candidate Career Passport</t>
  </si>
  <si>
    <t>Career passport</t>
  </si>
  <si>
    <t>MOD-0340</t>
  </si>
  <si>
    <t>Talent Development Network</t>
  </si>
  <si>
    <t>Talent development pathways</t>
  </si>
  <si>
    <t>MOD-0341</t>
  </si>
  <si>
    <t>Industry Succession Pool</t>
  </si>
  <si>
    <t>Sector succession pool</t>
  </si>
  <si>
    <t>MOD-0342</t>
  </si>
  <si>
    <t>Verified Certification Registry</t>
  </si>
  <si>
    <t>Verified certifications</t>
  </si>
  <si>
    <t>MOD-0343</t>
  </si>
  <si>
    <t>Mentorship &amp; Recommendation Network</t>
  </si>
  <si>
    <t>Mentorship/recommendation network</t>
  </si>
  <si>
    <t>R4-D</t>
  </si>
  <si>
    <t>MOD-0344</t>
  </si>
  <si>
    <t>Shared Salary Benchmarking</t>
  </si>
  <si>
    <t>Sector salary benchmarking from internal payroll/compensation data</t>
  </si>
  <si>
    <t>MOD-0345</t>
  </si>
  <si>
    <t>Workforce Analytics</t>
  </si>
  <si>
    <t>Workforce analytics</t>
  </si>
  <si>
    <t>MOD-0346</t>
  </si>
  <si>
    <t>Sector Talent Trends</t>
  </si>
  <si>
    <t>Sector talent trends</t>
  </si>
  <si>
    <t>MOD-0347</t>
  </si>
  <si>
    <t>Talent Supply &amp; Demand Forecasting</t>
  </si>
  <si>
    <t>Talent supply/demand forecasting</t>
  </si>
  <si>
    <t>MOD-0348</t>
  </si>
  <si>
    <t>Skills Gap Heatmap</t>
  </si>
  <si>
    <t>Skills gap intelligence</t>
  </si>
  <si>
    <t>MOD-0349</t>
  </si>
  <si>
    <t>Sector Mobility Intelligence</t>
  </si>
  <si>
    <t>Talent mobility intelligence</t>
  </si>
  <si>
    <t>R4-E</t>
  </si>
  <si>
    <t>MOD-0350</t>
  </si>
  <si>
    <t>Association Operations</t>
  </si>
  <si>
    <t>Association operating workflows</t>
  </si>
  <si>
    <t>MOD-0351</t>
  </si>
  <si>
    <t>Industry Knowledge Network</t>
  </si>
  <si>
    <t>Knowledge library/community layer</t>
  </si>
  <si>
    <t>Seq</t>
  </si>
  <si>
    <t>Capability Area</t>
  </si>
  <si>
    <t>P0</t>
  </si>
  <si>
    <t>Platform Backbone + SCQ Source Readiness</t>
  </si>
  <si>
    <t>Platform Backbone / Security</t>
  </si>
  <si>
    <t>RBAC / ABAC Authorization</t>
  </si>
  <si>
    <t>Required Dependency</t>
  </si>
  <si>
    <t>Platform Backbone / Audit</t>
  </si>
  <si>
    <t>Audit Trail Service</t>
  </si>
  <si>
    <t>Platform Backbone / Workflow</t>
  </si>
  <si>
    <t>Platform Backbone / Approval Control</t>
  </si>
  <si>
    <t>MOD-0022</t>
  </si>
  <si>
    <t>e-Signature Service</t>
  </si>
  <si>
    <t>Platform Backbone / Evidence</t>
  </si>
  <si>
    <t>Platform Backbone / Controlled Docs</t>
  </si>
  <si>
    <t>Platform Backbone / Records</t>
  </si>
  <si>
    <t>Records Management</t>
  </si>
  <si>
    <t>Platform Backbone / Evidence Linking</t>
  </si>
  <si>
    <t>Platform Backbone / Traceability</t>
  </si>
  <si>
    <t>Canonical ID &amp; Correlation Standard</t>
  </si>
  <si>
    <t>Data Backbone / Reference Data</t>
  </si>
  <si>
    <t>Reference Data Management</t>
  </si>
  <si>
    <t>Data Backbone / Taxonomy</t>
  </si>
  <si>
    <t>Semantic Tagging &amp; Taxonomy Management</t>
  </si>
  <si>
    <t>Master Data Backbone</t>
  </si>
  <si>
    <t>MOD-0290</t>
  </si>
  <si>
    <t>Product / Item / SKU Master</t>
  </si>
  <si>
    <t>Master Readiness</t>
  </si>
  <si>
    <t>Procurement / Supplier Master</t>
  </si>
  <si>
    <t>Supplier Onboarding</t>
  </si>
  <si>
    <t>P1</t>
  </si>
  <si>
    <t>Procurement / Purchasing / P2P Foundation MVP</t>
  </si>
  <si>
    <t>Procurement / Sourcing</t>
  </si>
  <si>
    <t>MOD-0145</t>
  </si>
  <si>
    <t>Sourcing / RFQ / RFP</t>
  </si>
  <si>
    <t>Core MVP</t>
  </si>
  <si>
    <t>Procurement / Purchasing</t>
  </si>
  <si>
    <t>Requisition &amp; Purchase Orders</t>
  </si>
  <si>
    <t>P2</t>
  </si>
  <si>
    <t>Procurement / Contracts</t>
  </si>
  <si>
    <t>MOD-0144</t>
  </si>
  <si>
    <t>Contracting &amp; Clause Library</t>
  </si>
  <si>
    <t>Core / Legal Bridge</t>
  </si>
  <si>
    <t>Procurement / Receiving</t>
  </si>
  <si>
    <t>Receiving / GRN</t>
  </si>
  <si>
    <t>Procurement / Invoice Control</t>
  </si>
  <si>
    <t>MOD-0143</t>
  </si>
  <si>
    <t>Procurement / Payment Bridge</t>
  </si>
  <si>
    <t>Conditional Bridge</t>
  </si>
  <si>
    <t>Procurement / Supplier Governance</t>
  </si>
  <si>
    <t>MOD-0147</t>
  </si>
  <si>
    <t>Supplier Performance &amp; Risk</t>
  </si>
  <si>
    <t>Core Completion</t>
  </si>
  <si>
    <t>Procurement / Supplier Collaboration</t>
  </si>
  <si>
    <t>MOD-0148</t>
  </si>
  <si>
    <t>Supplier Portal</t>
  </si>
  <si>
    <t>Optional Extension</t>
  </si>
  <si>
    <t>Inventory / Warehouse / Traceability MVP</t>
  </si>
  <si>
    <t>Inventory / Ledger</t>
  </si>
  <si>
    <t>MOD-0173</t>
  </si>
  <si>
    <t>Inventory Ledger &amp; Valuation</t>
  </si>
  <si>
    <t>Inventory / Traceability</t>
  </si>
  <si>
    <t>MOD-0174</t>
  </si>
  <si>
    <t>Lot / Batch / Serial Tracking</t>
  </si>
  <si>
    <t>Inventory / Quality Hold</t>
  </si>
  <si>
    <t>MOD-0175</t>
  </si>
  <si>
    <t>Quarantine / Blocked Stock</t>
  </si>
  <si>
    <t>Inventory / FEFO</t>
  </si>
  <si>
    <t>MOD-0176</t>
  </si>
  <si>
    <t>Expiry / FEFO Management</t>
  </si>
  <si>
    <t>Inventory / Recall</t>
  </si>
  <si>
    <t>MOD-0177</t>
  </si>
  <si>
    <t>Recall Readiness</t>
  </si>
  <si>
    <t>Warehouse / Execution</t>
  </si>
  <si>
    <t>MOD-0178</t>
  </si>
  <si>
    <t>Putaway / Picking / Packing</t>
  </si>
  <si>
    <t>Warehouse / Control</t>
  </si>
  <si>
    <t>MOD-0181</t>
  </si>
  <si>
    <t>Cycle Counting</t>
  </si>
  <si>
    <t>Warehouse / Scanning</t>
  </si>
  <si>
    <t>MOD-0182</t>
  </si>
  <si>
    <t>Barcode / RFID</t>
  </si>
  <si>
    <t>Warehouse / External Integration</t>
  </si>
  <si>
    <t>MOD-0179</t>
  </si>
  <si>
    <t>3PL Integration</t>
  </si>
  <si>
    <t>Integration Bridge</t>
  </si>
  <si>
    <t>Warehouse / Planning</t>
  </si>
  <si>
    <t>MOD-0180</t>
  </si>
  <si>
    <t>Wave Planning</t>
  </si>
  <si>
    <t>QC / LIMS / QMS Release Governance MVP</t>
  </si>
  <si>
    <t>QMS / Document Control</t>
  </si>
  <si>
    <t>MOD-0206</t>
  </si>
  <si>
    <t>Document Control</t>
  </si>
  <si>
    <t>QMS / Change Control</t>
  </si>
  <si>
    <t>MOD-0209</t>
  </si>
  <si>
    <t>Change Control</t>
  </si>
  <si>
    <t>QMS / Nonconformance</t>
  </si>
  <si>
    <t>MOD-0207</t>
  </si>
  <si>
    <t>Deviations / Nonconformances</t>
  </si>
  <si>
    <t>QMS / CAPA</t>
  </si>
  <si>
    <t>MOD-0208</t>
  </si>
  <si>
    <t>CAPA</t>
  </si>
  <si>
    <t>QC / LIMS</t>
  </si>
  <si>
    <t>MOD-0202</t>
  </si>
  <si>
    <t>Sample Management</t>
  </si>
  <si>
    <t>MOD-0203</t>
  </si>
  <si>
    <t>Test Results &amp; CoA</t>
  </si>
  <si>
    <t>QC / Stability</t>
  </si>
  <si>
    <t>MOD-0204</t>
  </si>
  <si>
    <t>Stability Studies</t>
  </si>
  <si>
    <t>QC / Analytics</t>
  </si>
  <si>
    <t>MOD-0205</t>
  </si>
  <si>
    <t>Trend Analysis</t>
  </si>
  <si>
    <t>Supplier Quality</t>
  </si>
  <si>
    <t>MOD-0210</t>
  </si>
  <si>
    <t>Quality / Complaints</t>
  </si>
  <si>
    <t>MOD-0211</t>
  </si>
  <si>
    <t>Complaints &amp; Investigations</t>
  </si>
  <si>
    <t>Optional Core</t>
  </si>
  <si>
    <t>Supply Chain Planning / Logistics Completion</t>
  </si>
  <si>
    <t>Planning / Demand</t>
  </si>
  <si>
    <t>MOD-0188</t>
  </si>
  <si>
    <t>Demand Planning</t>
  </si>
  <si>
    <t>Planning / Replenishment</t>
  </si>
  <si>
    <t>MOD-0189</t>
  </si>
  <si>
    <t>MRP &amp; Replenishment</t>
  </si>
  <si>
    <t>Planning / Inventory Policy</t>
  </si>
  <si>
    <t>MOD-0191</t>
  </si>
  <si>
    <t>Safety Stock Optimization</t>
  </si>
  <si>
    <t>Planning / Governance</t>
  </si>
  <si>
    <t>MOD-0190</t>
  </si>
  <si>
    <t>S&amp;OP Workflow &amp; Sign-offs</t>
  </si>
  <si>
    <t>Planning / Capacity</t>
  </si>
  <si>
    <t>MOD-0192</t>
  </si>
  <si>
    <t>Capacity Planning</t>
  </si>
  <si>
    <t>Logistics / Shipment Visibility</t>
  </si>
  <si>
    <t>MOD-0183</t>
  </si>
  <si>
    <t>Shipment Tracking &amp; POD</t>
  </si>
  <si>
    <t>Logistics / Carrier</t>
  </si>
  <si>
    <t>MOD-0184</t>
  </si>
  <si>
    <t>Carrier Management</t>
  </si>
  <si>
    <t>Logistics / Routing</t>
  </si>
  <si>
    <t>MOD-0185</t>
  </si>
  <si>
    <t>Routing &amp; Load Planning</t>
  </si>
  <si>
    <t>Logistics / Returns</t>
  </si>
  <si>
    <t>MOD-0186</t>
  </si>
  <si>
    <t>Reverse Logistics</t>
  </si>
  <si>
    <t>Logistics / Claims</t>
  </si>
  <si>
    <t>MOD-0187</t>
  </si>
  <si>
    <t>Claims Management</t>
  </si>
  <si>
    <t>P3</t>
  </si>
  <si>
    <t>R5</t>
  </si>
  <si>
    <t>Adjacent / Conditional Bridges</t>
  </si>
  <si>
    <t>R5-A</t>
  </si>
  <si>
    <t>Supplier / Risk Bridge</t>
  </si>
  <si>
    <t>MOD-0216</t>
  </si>
  <si>
    <t>Third-Party Risk Management</t>
  </si>
  <si>
    <t>Legal / Contract Bridge</t>
  </si>
  <si>
    <t>Contract Lifecycle Management</t>
  </si>
  <si>
    <t>Legal / Clause Bridge</t>
  </si>
  <si>
    <t>MOD-0218</t>
  </si>
  <si>
    <t>Clause Library</t>
  </si>
  <si>
    <t>R5-B</t>
  </si>
  <si>
    <t>Maintenance / Spare Parts</t>
  </si>
  <si>
    <t>MOD-0201</t>
  </si>
  <si>
    <t>Spare Parts Management</t>
  </si>
  <si>
    <t>Manufacturing Dependency</t>
  </si>
  <si>
    <t>MOD-0193</t>
  </si>
  <si>
    <t>BOM &amp; Routings</t>
  </si>
  <si>
    <t>MOD-0194</t>
  </si>
  <si>
    <t>Work Orders</t>
  </si>
  <si>
    <t>MOD-0195</t>
  </si>
  <si>
    <t>Batch Execution / eBR</t>
  </si>
  <si>
    <t>MOD-0197</t>
  </si>
  <si>
    <t>Co-Manufacturer Management</t>
  </si>
  <si>
    <t>Capability Group</t>
  </si>
  <si>
    <t>Wave 0</t>
  </si>
  <si>
    <t>Backbone / Traceability</t>
  </si>
  <si>
    <t>SCQ-CB-DOC-001 Capability Block Overview / Charter</t>
  </si>
  <si>
    <t>Defines block purpose, business value, included modules, excluded modules, MVP vs full scope, sponsors, and success definition.</t>
  </si>
  <si>
    <t>Capability Block Prompt, Scope Rules, MVP Boundary Rules</t>
  </si>
  <si>
    <t>Backbone / Approval Control</t>
  </si>
  <si>
    <t>SCQ-CB-DOC-002 Target Operating Model</t>
  </si>
  <si>
    <t>Defines how Procurement, Inventory, Warehouse, QA, QC, Supplier Quality, and TPRM operate together; includes roles, responsibilities, approval points, and escalation model.</t>
  </si>
  <si>
    <t>Operating Model Prompt, RACI Rules, Approval Governance Rules</t>
  </si>
  <si>
    <t>Backbone / Controlled Document Lifecycle</t>
  </si>
  <si>
    <t>SCQ-CB-DOC-003 System Architecture &amp; Boundary Design</t>
  </si>
  <si>
    <t>Defines technical architecture, module boundaries, consumed backbone services, APIs/events, storage, workflow, audit, document, and evidence architecture.</t>
  </si>
  <si>
    <t>Architecture Prompt, Boundary Rules, Shared Service Reuse Rules</t>
  </si>
  <si>
    <t>Backbone / Records Governance</t>
  </si>
  <si>
    <t>SCQ-CB-DOC-004 Module Scope &amp; Ownership Map</t>
  </si>
  <si>
    <t>Lists all 16 business MVP modules + 4 backbone dependencies; defines SoR ownership, consumed services, duplicate-ownership exclusions, and module handoff rules.</t>
  </si>
  <si>
    <t>SoR Mapping Rules, Ownership Rules, Capability Taxonomy Rules</t>
  </si>
  <si>
    <t>Master Data / Product Foundation</t>
  </si>
  <si>
    <t>SCQ-CB-DOC-005 End-to-End Workflow</t>
  </si>
  <si>
    <t>Defines full operational flow: supplier approval → item/SKU → inventory/lot → quarantine → sample → test result/CoA → release/reject → deviation/CAPA/change → warehouse execution.</t>
  </si>
  <si>
    <t>Workflow Prompt, State Machine Rules, Golden Flow Rules</t>
  </si>
  <si>
    <t>Inventory</t>
  </si>
  <si>
    <t>SCQ-CB-DOC-006 Data Model &amp; Object Registry</t>
  </si>
  <si>
    <t>Defines core objects: item, SKU, lot, inventory movement, quarantine hold, sample, test result, CoA, deviation, CAPA, change request, supplier quality approval, TPRM risk record.</t>
  </si>
  <si>
    <t>Data Modeling Rules, Object Registry Rules, Data Contract Rules</t>
  </si>
  <si>
    <t>SCQ-CB-DOC-007 Dependency &amp; Integration Map</t>
  </si>
  <si>
    <t>Defines cross-module dependencies, API/event contracts, consumed Treasury/backbone modules, upstream/downstream systems, and integration constraints.</t>
  </si>
  <si>
    <t>Interface Contract Prompt, Dependency Analysis Skill, Event/API Rules</t>
  </si>
  <si>
    <t>Quality Assurance / QMS</t>
  </si>
  <si>
    <t>SCQ-CB-DOC-008 Security, RBAC &amp; Segregation of Duties Matrix</t>
  </si>
  <si>
    <t>Defines role permissions for procurement, warehouse, QC analyst, QA reviewer, supplier quality, TPRM, admin, approver, and viewer roles.</t>
  </si>
  <si>
    <t>RBAC Matrix Prompt, SoD Rules, Tenant Isolation Rules</t>
  </si>
  <si>
    <t>SCQ-CB-DOC-009 Audit, Evidence &amp; Records Policy</t>
  </si>
  <si>
    <t>Defines audit events, evidence links, CoA evidence, QC release records, CAPA evidence, change-control evidence, and retention/legal-hold requirements.</t>
  </si>
  <si>
    <t>Audit Rules, Evidence Linking Rules, Records Governance Rules</t>
  </si>
  <si>
    <t>SCQ-CB-DOC-010 Document Control &amp; Versioning Policy</t>
  </si>
  <si>
    <t>Defines controlled specs, SOPs, test methods, sampling plans, stability protocols, approval states, effective dates, supersession, and change history.</t>
  </si>
  <si>
    <t>Versioning Rules, Controlled Document Rules, Changelog Rules</t>
  </si>
  <si>
    <t>Inventory / Quality Control</t>
  </si>
  <si>
    <t>SCQ-CB-DOC-011 Quality Review &amp; Approval Policy</t>
  </si>
  <si>
    <t>Defines review/approval rules for QC results, CoA, quarantine release, supplier quality approval, CAPA closure, change approval, and stability conclusions.</t>
  </si>
  <si>
    <t>Human Review Prompt, Approval Rules, e-Signature Compatibility Rules</t>
  </si>
  <si>
    <t>SCQ-CB-DOC-012 Task / Exception / Escalation Policy</t>
  </si>
  <si>
    <t>Defines how quality findings, failed QC, OOS/OOT, supplier issues, overdue CAPA, blocked stock, and missing evidence create tasks and escalations.</t>
  </si>
  <si>
    <t>Task Generation Rules, Exception Handling Rules, SLA Rules</t>
  </si>
  <si>
    <t>Quality Control / LIMS</t>
  </si>
  <si>
    <t>SCQ-CB-DOC-013 UI / Page-Level Specification</t>
  </si>
  <si>
    <t>Defines dashboards and pages: item master, inventory ledger, lot detail, quarantine board, sample register, CoA view, deviation register, CAPA board, change register, supplier quality profile.</t>
  </si>
  <si>
    <t>Page Spec Prompt, UI Rules, UX Acceptance Rules</t>
  </si>
  <si>
    <t>SCQ-CB-DOC-014 Reporting / Export / Release Package Policy</t>
  </si>
  <si>
    <t>Defines controlled exports: CoA, QC release package, supplier approval package, CAPA summary, change-control package, audit extracts, and inventory/quality reports.</t>
  </si>
  <si>
    <t>Export Rules, Report Rules, Evidence Package Rules</t>
  </si>
  <si>
    <t>Quality Assurance / Supplier Quality</t>
  </si>
  <si>
    <t>SCQ-CB-DOC-015 Validation &amp; Test Strategy</t>
  </si>
  <si>
    <t>Defines scripted testing, negative testing, requirements-to-test traceability, UAT, release evidence, regression testing, and MVP acceptance criteria.</t>
  </si>
  <si>
    <t>QA Prompt, Test Strategy Rules, Traceability Matrix Rules</t>
  </si>
  <si>
    <t>Procurement / Supplier Risk</t>
  </si>
  <si>
    <t>SCQ-CB-DOC-016 Execution Plan / Wave Plan</t>
  </si>
  <si>
    <t>Defines build waves, parallel lanes, sequencing, blockers, readiness gates, module-by-module implementation order, and hardening wave.</t>
  </si>
  <si>
    <t>Demand Planning / Sales Forecast</t>
  </si>
  <si>
    <t>Planning / Demand Forecasting</t>
  </si>
  <si>
    <t>SCQ-CB-DOC-017 Acceptance &amp; Risk Register</t>
  </si>
  <si>
    <t>Defines block-level acceptance criteria, open risks, dependency blockers, compliance risks, integration risks, and release/no-release decision criteria.</t>
  </si>
  <si>
    <t>Risk Analysis Prompt, Acceptance Rules, Release Gate Rules</t>
  </si>
  <si>
    <t>Quality Control / Stability</t>
  </si>
  <si>
    <t>SCQ-CB-DOC-018 Deployment Checklist &amp; Release Notes</t>
  </si>
  <si>
    <t>Confirms migrations, routes, feature flags, seed/reference data, smoke tests, rollback, known limitations, and release scope.</t>
  </si>
  <si>
    <t>Deployment Rules, Rollback Rules, Release Notes Prompt</t>
  </si>
  <si>
    <t>Planning / Procurement Planning</t>
  </si>
  <si>
    <t>Warehouse Operations</t>
  </si>
  <si>
    <t>All 22 relevant modules</t>
  </si>
  <si>
    <t>Cross-module hardening</t>
  </si>
  <si>
    <t>Integrated MVP Acceptance</t>
  </si>
  <si>
    <t>Development theme</t>
  </si>
  <si>
    <t>MOD-0040, MOD-0022, MOD-0029, MOD-0030</t>
  </si>
  <si>
    <t>Backbone foundation: canonical traceability, e-signature, controlled document lifecycle, records retention / legal hold</t>
  </si>
  <si>
    <t>MOD-0290, MOD-0173, MOD-0174, MOD-0206, MOD-0207, MOD-0208</t>
  </si>
  <si>
    <t>Product/SKU, inventory ledger, lot/batch/serial, QMS document control, deviation/NC, CAPA</t>
  </si>
  <si>
    <t>MOD-0175, MOD-0176, MOD-0202, MOD-0203, MOD-0210, MOD-0216, MOD-0188</t>
  </si>
  <si>
    <t>Quarantine, expiry/FEFO, QC sample/result, supplier quality approval, third-party risk, demand forecast foundation</t>
  </si>
  <si>
    <t>MOD-0204, MOD-0209, MOD-0147, MOD-0189</t>
  </si>
  <si>
    <t>Stability studies, change control, supplier performance/risk, MRP and replenishment planning</t>
  </si>
  <si>
    <t>Warehouse execution: putaway, picking, packing</t>
  </si>
  <si>
    <t>Cross-module hardening: MOD-0040, MOD-0022, MOD-0029, MOD-0030, MOD-0147, MOD-0173, MOD-0174, MOD-0175, MOD-0176, MOD-0178, MOD-0188, MOD-0189, MOD-0202, MOD-0203, MOD-0204, MOD-0206, MOD-0207, MOD-0208, MOD-0209, MOD-0210, MOD-0216, MOD-0290</t>
  </si>
  <si>
    <t>End-to-end MVP hardening across traceability, approvals, records, controlled documents, supplier quality, TPRM, QC release, stability, QA cases, inventory, demand planning, replenishment, and warehouse execution</t>
  </si>
  <si>
    <t>Required block-level documents</t>
  </si>
  <si>
    <t>For Supply Chain–Quality Block, this must define</t>
  </si>
  <si>
    <t>Scope, purpose, business value, MVP modules, excluded modules, boundaries, ownership, governance rules</t>
  </si>
  <si>
    <t>Waves, module sequencing, parallel-safe workstreams, blockers, milestones, rollout approach</t>
  </si>
  <si>
    <t>Module dependencies, consumed Treasury/backbone services, APIs, events, external integrations, shared services</t>
  </si>
  <si>
    <t>Block readiness criteria, compliance risks, integration risks, open blockers, release conditions</t>
  </si>
  <si>
    <r>
      <t xml:space="preserve">So for this block, you do </t>
    </r>
    <r>
      <rPr>
        <b/>
        <sz val="10"/>
        <color theme="1"/>
        <rFont val="Play"/>
        <family val="2"/>
      </rPr>
      <t>not</t>
    </r>
    <r>
      <rPr>
        <sz val="10"/>
        <color theme="1"/>
        <rFont val="Play"/>
        <family val="2"/>
      </rPr>
      <t xml:space="preserve"> need 18 mandatory block documents.</t>
    </r>
  </si>
  <si>
    <r>
      <t xml:space="preserve">You need </t>
    </r>
    <r>
      <rPr>
        <b/>
        <sz val="10"/>
        <color theme="1"/>
        <rFont val="Play"/>
        <family val="2"/>
      </rPr>
      <t>4 block-level governance documents</t>
    </r>
    <r>
      <rPr>
        <sz val="10"/>
        <color theme="1"/>
        <rFont val="Play"/>
        <family val="2"/>
      </rPr>
      <t>.</t>
    </r>
  </si>
  <si>
    <t>1. Capability Block Documentation</t>
  </si>
  <si>
    <t>Document purpose</t>
  </si>
  <si>
    <r>
      <t xml:space="preserve">This is the </t>
    </r>
    <r>
      <rPr>
        <b/>
        <sz val="10"/>
        <color theme="1"/>
        <rFont val="Play"/>
        <family val="2"/>
      </rPr>
      <t>main block definition document</t>
    </r>
    <r>
      <rPr>
        <sz val="10"/>
        <color theme="1"/>
        <rFont val="Play"/>
        <family val="2"/>
      </rPr>
      <t>.</t>
    </r>
  </si>
  <si>
    <t>Section</t>
  </si>
  <si>
    <t>Must include</t>
  </si>
  <si>
    <t>Block name</t>
  </si>
  <si>
    <t>Supply Chain–Quality Capability Block</t>
  </si>
  <si>
    <t>Block purpose</t>
  </si>
  <si>
    <t>Inventory, warehouse, supplier quality, QC/LIMS, QA/QMS, TPRM, release governance</t>
  </si>
  <si>
    <t>Business value</t>
  </si>
  <si>
    <t>Controlled supplier approval, raw material QC, finished product release, traceable inventory, quality governance</t>
  </si>
  <si>
    <t>MVP module list</t>
  </si>
  <si>
    <t>The 16 business modules</t>
  </si>
  <si>
    <t>Backbone dependencies</t>
  </si>
  <si>
    <t>The 4 minimized backbone modules</t>
  </si>
  <si>
    <t>Excluded modules</t>
  </si>
  <si>
    <t>Treasury, finance, platform backbone, P2P modules already developed or in process</t>
  </si>
  <si>
    <t>Architecture boundary</t>
  </si>
  <si>
    <t>What this block owns vs consumes</t>
  </si>
  <si>
    <t>System-of-record ownership</t>
  </si>
  <si>
    <t>Object → owner module</t>
  </si>
  <si>
    <t>Governance rules</t>
  </si>
  <si>
    <t>Audit, evidence, RBAC, SoD, controlled release, document control, retention</t>
  </si>
  <si>
    <t>MVP success definition</t>
  </si>
  <si>
    <t>End-to-end controlled flow works and is tested</t>
  </si>
  <si>
    <t>Output of this document</t>
  </si>
  <si>
    <r>
      <t xml:space="preserve">It becomes the </t>
    </r>
    <r>
      <rPr>
        <b/>
        <sz val="10"/>
        <color theme="1"/>
        <rFont val="Play"/>
        <family val="2"/>
      </rPr>
      <t>source of truth for module scope</t>
    </r>
    <r>
      <rPr>
        <sz val="10"/>
        <color theme="1"/>
        <rFont val="Play"/>
        <family val="2"/>
      </rPr>
      <t>.</t>
    </r>
  </si>
  <si>
    <t>2. Capability Block Execution Plan</t>
  </si>
  <si>
    <r>
      <t xml:space="preserve">This is the </t>
    </r>
    <r>
      <rPr>
        <b/>
        <sz val="10"/>
        <color theme="1"/>
        <rFont val="Play"/>
        <family val="2"/>
      </rPr>
      <t>development sequencing document</t>
    </r>
    <r>
      <rPr>
        <sz val="10"/>
        <color theme="1"/>
        <rFont val="Play"/>
        <family val="2"/>
      </rPr>
      <t>.</t>
    </r>
  </si>
  <si>
    <t>Backbone dependency enablement</t>
  </si>
  <si>
    <t>Product/SKU, inventory ledger, lot/batch/serial, QMS foundation</t>
  </si>
  <si>
    <t>Quarantine, FEFO, sample/result, supplier quality, TPRM</t>
  </si>
  <si>
    <t>Stability, change control, supplier performance</t>
  </si>
  <si>
    <t>Warehouse execution</t>
  </si>
  <si>
    <t>Parallel-safe lanes</t>
  </si>
  <si>
    <t>Which modules can be developed at the same time</t>
  </si>
  <si>
    <t>Dependencies</t>
  </si>
  <si>
    <t>What must be completed before each wave</t>
  </si>
  <si>
    <t>Blockers</t>
  </si>
  <si>
    <t>Missing contracts, missing backbone capability, unclear ownership</t>
  </si>
  <si>
    <t>Milestones</t>
  </si>
  <si>
    <t>Inspection, implementation, integration, hardening, release</t>
  </si>
  <si>
    <t>Rollout approach</t>
  </si>
  <si>
    <t>MVP first, full version later</t>
  </si>
  <si>
    <r>
      <t xml:space="preserve">It tells developers </t>
    </r>
    <r>
      <rPr>
        <b/>
        <sz val="10"/>
        <color theme="1"/>
        <rFont val="Play"/>
        <family val="2"/>
      </rPr>
      <t>what to build first, what can run in parallel, and what must wait</t>
    </r>
    <r>
      <rPr>
        <sz val="10"/>
        <color theme="1"/>
        <rFont val="Play"/>
        <family val="2"/>
      </rPr>
      <t>.</t>
    </r>
  </si>
  <si>
    <t>3. Capability Block Dependency &amp; Integration Map</t>
  </si>
  <si>
    <r>
      <t xml:space="preserve">This is the </t>
    </r>
    <r>
      <rPr>
        <b/>
        <sz val="10"/>
        <color theme="1"/>
        <rFont val="Play"/>
        <family val="2"/>
      </rPr>
      <t>cross-module contract map</t>
    </r>
    <r>
      <rPr>
        <sz val="10"/>
        <color theme="1"/>
        <rFont val="Play"/>
        <family val="2"/>
      </rPr>
      <t>.</t>
    </r>
  </si>
  <si>
    <t>Internal dependencies</t>
  </si>
  <si>
    <t>MOD-0290 → MOD-0173 → MOD-0174 → MOD-0175 → MOD-0202 → MOD-0203 etc.</t>
  </si>
  <si>
    <t>Consumed Treasury/P2P modules</t>
  </si>
  <si>
    <t>Supplier master, procurement commitment, receiving/GRN, invoice match, payment, AP, GL, bank master, legal entity</t>
  </si>
  <si>
    <t>Consumed backbone modules</t>
  </si>
  <si>
    <t>RBAC, audit, workflow, docs/evidence, event bus, gateway, logging, reference data, taxonomy</t>
  </si>
  <si>
    <t>Additional backbone modules</t>
  </si>
  <si>
    <t>API contracts</t>
  </si>
  <si>
    <t>Command/query APIs between modules</t>
  </si>
  <si>
    <t>Event contracts</t>
  </si>
  <si>
    <t>State-change events such as lot quarantined, sample created, test approved, stock released</t>
  </si>
  <si>
    <t>Integration risks</t>
  </si>
  <si>
    <t>Missing contract, schema mismatch, event ownership ambiguity</t>
  </si>
  <si>
    <t>External systems</t>
  </si>
  <si>
    <t>LIMS, 3PL, barcode/RFID, ERP, QMS, supplier portal if later in scope</t>
  </si>
  <si>
    <t>It prevents teams from inventing contracts or duplicating ownership.</t>
  </si>
  <si>
    <t>4. Capability Block Acceptance &amp; Risk Register</t>
  </si>
  <si>
    <r>
      <t xml:space="preserve">This is the </t>
    </r>
    <r>
      <rPr>
        <b/>
        <sz val="10"/>
        <color theme="1"/>
        <rFont val="Play"/>
        <family val="2"/>
      </rPr>
      <t>readiness and go/no-go control document</t>
    </r>
    <r>
      <rPr>
        <sz val="10"/>
        <color theme="1"/>
        <rFont val="Play"/>
        <family val="2"/>
      </rPr>
      <t>.</t>
    </r>
  </si>
  <si>
    <t>Block acceptance criteria</t>
  </si>
  <si>
    <t>What must be true for MVP to be accepted</t>
  </si>
  <si>
    <t>Golden flow acceptance</t>
  </si>
  <si>
    <t>Supplier approval → item/SKU → inventory/lot → quarantine → sample → result/CoA → release/reject → deviation/CAPA/change → WMS</t>
  </si>
  <si>
    <t>Risk register</t>
  </si>
  <si>
    <t>Compliance, integration, data, workflow, security, audit, release risks</t>
  </si>
  <si>
    <t>Known limitations</t>
  </si>
  <si>
    <t>What is accepted for MVP and what is deferred</t>
  </si>
  <si>
    <t>Open issues preventing development or release</t>
  </si>
  <si>
    <t>Release conditions</t>
  </si>
  <si>
    <t>Minimum smoke tests, browser tests, API tests, audit checks, RBAC checks</t>
  </si>
  <si>
    <t>Negative tests</t>
  </si>
  <si>
    <t>Permission denial, failed QC, missing evidence, rejected approval, blocked release</t>
  </si>
  <si>
    <t>Final verdict model</t>
  </si>
  <si>
    <t>PASS / CONDITIONAL PASS / PARTIAL / BLOCKED / FAIL</t>
  </si>
  <si>
    <r>
      <t xml:space="preserve">It is used to decide whether the block is </t>
    </r>
    <r>
      <rPr>
        <b/>
        <sz val="10"/>
        <color theme="1"/>
        <rFont val="Play"/>
        <family val="2"/>
      </rPr>
      <t>ready to build, ready to integrate, and ready to release</t>
    </r>
    <r>
      <rPr>
        <sz val="10"/>
        <color theme="1"/>
        <rFont val="Play"/>
        <family val="2"/>
      </rPr>
      <t>.</t>
    </r>
  </si>
  <si>
    <t>Minimum block-level document set</t>
  </si>
  <si>
    <t>Document Code</t>
  </si>
  <si>
    <t>Mandatory Block Document</t>
  </si>
  <si>
    <t>Required before module specs?</t>
  </si>
  <si>
    <t>SCQ-CB-BLK-001</t>
  </si>
  <si>
    <t>Yes</t>
  </si>
  <si>
    <t>SCQ-CB-BLK-002</t>
  </si>
  <si>
    <t>SCQ-CB-BLK-003</t>
  </si>
  <si>
    <t>SCQ-CB-BLK-004</t>
  </si>
  <si>
    <t>What must be developed from these block documents?</t>
  </si>
  <si>
    <t>These 4 block documents must produce the following development inputs:</t>
  </si>
  <si>
    <t>Development input</t>
  </si>
  <si>
    <t>Comes from block document</t>
  </si>
  <si>
    <t>Final MVP module list</t>
  </si>
  <si>
    <t>Final excluded module list</t>
  </si>
  <si>
    <t>System-of-record ownership map</t>
  </si>
  <si>
    <t>Development waves</t>
  </si>
  <si>
    <t>Execution Plan</t>
  </si>
  <si>
    <t>Module dependency order</t>
  </si>
  <si>
    <t>Execution Plan + Dependency Map</t>
  </si>
  <si>
    <t>API/event contract stubs</t>
  </si>
  <si>
    <t>Dependency &amp; Integration Map</t>
  </si>
  <si>
    <t>Consumed backbone/Treasury services</t>
  </si>
  <si>
    <t>Block-level acceptance criteria</t>
  </si>
  <si>
    <t>Acceptance &amp; Risk Register</t>
  </si>
  <si>
    <t>Block-level test scope</t>
  </si>
  <si>
    <t>Release/no-release decision rules</t>
  </si>
  <si>
    <t>Then module-level specs are developed from them</t>
  </si>
  <si>
    <t>After the 4 block documents are done, you can generate module-level documents.</t>
  </si>
  <si>
    <t>For each module, you then create:</t>
  </si>
  <si>
    <t>Module-level document</t>
  </si>
  <si>
    <t>Source from block documents</t>
  </si>
  <si>
    <t>Scope, ownership, workflow, dependencies</t>
  </si>
  <si>
    <t>Execution wave and build sequence</t>
  </si>
  <si>
    <t>Dependency map and data ownership</t>
  </si>
  <si>
    <t>Block RBAC / SoD rules</t>
  </si>
  <si>
    <t>Block acceptance and risk criteria</t>
  </si>
  <si>
    <t>Integrated R&amp;D–RA Lifecycle Management Block — Consolidated Management Plan v5</t>
  </si>
  <si>
    <t>Integrated R&amp;D–RA Lifecycle Management Block — Detailed Development Backlog</t>
  </si>
  <si>
    <t>Management rows are consolidated by canonical Primary Module where ownership and release gates are shared. MOD-0117 combines Packs 1–4; MOD-0206 combines Document Control, source-document approval and Pack 7; MOD-0236 combines dossier, CTD readiness, Pack 9, authority response and submission archive. All original pack-level rows are retained in the Merged Pack Child Backlog sheet.</t>
  </si>
  <si>
    <t>Portfolio Development Indicators</t>
  </si>
  <si>
    <t>Wave G conditional rows</t>
  </si>
  <si>
    <t>Core management rows</t>
  </si>
  <si>
    <t>P0 critical rows</t>
  </si>
  <si>
    <t>Packs at 0%</t>
  </si>
  <si>
    <t>Highest pack readiness</t>
  </si>
  <si>
    <t>Overall code-reality readiness</t>
  </si>
  <si>
    <t>Pack</t>
  </si>
  <si>
    <t>Capability Pack</t>
  </si>
  <si>
    <t>Readiness</t>
  </si>
  <si>
    <t>Current State</t>
  </si>
  <si>
    <t>Critical Blocker</t>
  </si>
  <si>
    <t>Next Gate</t>
  </si>
  <si>
    <t>Primary Owner</t>
  </si>
  <si>
    <t>Project Route &amp; Planner Configuration</t>
  </si>
  <si>
    <t>Not started</t>
  </si>
  <si>
    <t>Product Master, PPM, country requirements and rules engine are absent.</t>
  </si>
  <si>
    <t>Build Wave B/C foundations and product planner.</t>
  </si>
  <si>
    <t>PPM / Product Master</t>
  </si>
  <si>
    <t>Finite Project</t>
  </si>
  <si>
    <t>MOD-0117 PPM is absent.</t>
  </si>
  <si>
    <t>Implement finite-project MVP after product identity.</t>
  </si>
  <si>
    <t>PPM</t>
  </si>
  <si>
    <t>Development &amp; Technology Transfer</t>
  </si>
  <si>
    <t>Planning scope</t>
  </si>
  <si>
    <t>Stage planning can be developed; manufacturing, batch, capacity, equipment, procurement and QC execution remain external integrations.</t>
  </si>
  <si>
    <t>Implement S0–S9 stage planning and external-execution dependency model.</t>
  </si>
  <si>
    <t>R&amp;D–RA / PPM</t>
  </si>
  <si>
    <t>Stage-Gate Decision</t>
  </si>
  <si>
    <t>Infrastructure only</t>
  </si>
  <si>
    <t>Workflow is partial; PPM stage-gate and rules engine are absent.</t>
  </si>
  <si>
    <t>Activate workflow and implement PPM/rules stage-gate slice.</t>
  </si>
  <si>
    <t>PPM / Workflow</t>
  </si>
  <si>
    <t>Source-Document Requirement Engine</t>
  </si>
  <si>
    <t>Backbone fragments only</t>
  </si>
  <si>
    <t>Documents are partial, but dossier, rules, evidence linking and Pack 5 runtime are absent.</t>
  </si>
  <si>
    <t>Complete Waves A+B+C before Pack 5 runtime.</t>
  </si>
  <si>
    <t>Evidence / RIM</t>
  </si>
  <si>
    <t>Work Package / Task / Process Instance</t>
  </si>
  <si>
    <t>Partial backbone only</t>
  </si>
  <si>
    <t>Workflow/scheduler/notifications are partial; persistent task backend is only 12%.</t>
  </si>
  <si>
    <t>Build task engine and integrate workflow, scheduler and notifications.</t>
  </si>
  <si>
    <t>Task / Workflow</t>
  </si>
  <si>
    <t>Controlled Source-Document Version</t>
  </si>
  <si>
    <t>Partial — blocked</t>
  </si>
  <si>
    <t>Document stack is ~80%, but approval integration, records and full e-signature controls are incomplete.</t>
  </si>
  <si>
    <t>Close MOD-0029×0023, retention and cold-start proof.</t>
  </si>
  <si>
    <t>CTD Readiness &amp; RA Tasks</t>
  </si>
  <si>
    <t>Dossier, rules and evidence linking are absent; task engine is only a mock.</t>
  </si>
  <si>
    <t>Complete backbone, then implement CTD readiness.</t>
  </si>
  <si>
    <t>RA / RIM</t>
  </si>
  <si>
    <t>CTD Section &amp; Dossier Version</t>
  </si>
  <si>
    <t>Dossier, market requirements, labeling and variations are absent.</t>
  </si>
  <si>
    <t>Implement Wave E regulatory domain foundation.</t>
  </si>
  <si>
    <t>Lifecycle Trigger &amp; Work Order</t>
  </si>
  <si>
    <t>Obligations, variations, task engine and MOD-0204 stability lifecycle runtime are absent.</t>
  </si>
  <si>
    <t>Implement Wave F obligations, variations, stability and trigger-to-work-order flows.</t>
  </si>
  <si>
    <t>RA / Stability / Compliance</t>
  </si>
  <si>
    <t>Consolidation rule: rows are merged only when they share the same canonical Primary Module, system-of-record boundary and completion gate. The merged management row does not merge underlying object ownership. Pack-level acceptance criteria, interfaces, failure paths and tests remain separate child backlog items.</t>
  </si>
  <si>
    <t>Layer</t>
  </si>
  <si>
    <t>Primary Module</t>
  </si>
  <si>
    <t>Related Modules</t>
  </si>
  <si>
    <t>Capability / Development Part</t>
  </si>
  <si>
    <t>Required Development Scope</t>
  </si>
  <si>
    <t>Packs</t>
  </si>
  <si>
    <t>Scope Class</t>
  </si>
  <si>
    <t>Confidence</t>
  </si>
  <si>
    <t>Evidence / Data Quality Note</t>
  </si>
  <si>
    <t>Completion / Dependency Gate</t>
  </si>
  <si>
    <t>Code-Reality Status</t>
  </si>
  <si>
    <t>Architecture Governance</t>
  </si>
  <si>
    <t>Governance Artifact</t>
  </si>
  <si>
    <t>All block modules</t>
  </si>
  <si>
    <t>Capability and SoR baseline — Master 8.1</t>
  </si>
  <si>
    <t>Approve object ownership, pack-to-module mapping, Master 8.1 canonical identities, boundaries, manual alternatives and release scope.</t>
  </si>
  <si>
    <t>1–10</t>
  </si>
  <si>
    <t>P0 Critical</t>
  </si>
  <si>
    <t>High</t>
  </si>
  <si>
    <t>Capability matrix exists as workbook content; owner approval remains.</t>
  </si>
  <si>
    <t>Approve DLE-SW-CAP-001 before module-pack development.</t>
  </si>
  <si>
    <t>GOVERNANCE ONLY</t>
  </si>
  <si>
    <t>Integration Governance</t>
  </si>
  <si>
    <t>All cross-module dependencies</t>
  </si>
  <si>
    <t>API/Event contract baseline — Master 8.1</t>
  </si>
  <si>
    <t>Approve commands, queries, events, payload versions, authorization, idempotency, retries and failure behavior.</t>
  </si>
  <si>
    <t>Governance Artifact / Shared Platform</t>
  </si>
  <si>
    <t>Interface Registry runtime partly exists; versioned payload contracts remain incomplete.</t>
  </si>
  <si>
    <t>Publish approved v1 interface contracts.</t>
  </si>
  <si>
    <t>PARTIAL</t>
  </si>
  <si>
    <t>Decision Governance</t>
  </si>
  <si>
    <t>MOD-0007</t>
  </si>
  <si>
    <t>MOD-0021; MOD-0028; MOD-0031; MOD-0357</t>
  </si>
  <si>
    <t>Decision &amp; Rationale Log</t>
  </si>
  <si>
    <t>Provide authoritative decision records, rationale, alternatives, consequences and decision-to-evidence links for stage gates, dossier decisions and lifecycle exceptions.</t>
  </si>
  <si>
    <t>Shared Governance Dependency</t>
  </si>
  <si>
    <t>Low</t>
  </si>
  <si>
    <t>Master 8.1 canonical module; not covered by the 26 July repository audit.</t>
  </si>
  <si>
    <t>Decision records are versioned, evidence-linked and queryable from project, gate, dossier and lifecycle objects.</t>
  </si>
  <si>
    <t>NOT ASSESSED</t>
  </si>
  <si>
    <t>Security</t>
  </si>
  <si>
    <t>All modules</t>
  </si>
  <si>
    <t>Implement product-, project-, task-, document-, dossier- and market-scoped permissions with tenant isolation.</t>
  </si>
  <si>
    <t>Shared Platform Dependency</t>
  </si>
  <si>
    <t>Platform authorization exists; DLE scopes and claim wiring are incomplete.</t>
  </si>
  <si>
    <t>Server-side positive, negative and cross-tenant tests pass.</t>
  </si>
  <si>
    <t>Audit</t>
  </si>
  <si>
    <t>Record plan, task, approval, document, gate, dossier, submission and lifecycle state changes.</t>
  </si>
  <si>
    <t>Audit runtime exists; DLE event taxonomy and object bindings are missing.</t>
  </si>
  <si>
    <t>Every regulated mutation emits queryable audit evidence.</t>
  </si>
  <si>
    <t>Reference Data</t>
  </si>
  <si>
    <t>MOD-0117; MOD-0236; MOD-0239</t>
  </si>
  <si>
    <t>Govern routes, stages, gates, legal bases, markets, statuses, dossier types and lifecycle triggers.</t>
  </si>
  <si>
    <t>Reference-data APIs exist; DLE-specific values and effective-dated bindings are missing.</t>
  </si>
  <si>
    <t>DLE catalogues are seeded, approved and API-accessible.</t>
  </si>
  <si>
    <t>Electronic Approval</t>
  </si>
  <si>
    <t>MOD-0023; MOD-0029; MOD-0206; MOD-0117; MOD-0236; MOD-0358</t>
  </si>
  <si>
    <t>Bind identity, intent, meaning, timestamp and signed object version to approvals.</t>
  </si>
  <si>
    <t>4, 7, 9</t>
  </si>
  <si>
    <t>Document-level signature capability exists; gate and dossier bindings are absent.</t>
  </si>
  <si>
    <t>Gate, document and dossier signature golden flows pass.</t>
  </si>
  <si>
    <t>Authority Governance</t>
  </si>
  <si>
    <t>MOD-0358</t>
  </si>
  <si>
    <t>MOD-0018; MOD-0022; MOD-0023; MOD-0288</t>
  </si>
  <si>
    <t>Delegated Authority &amp; Approval Limits</t>
  </si>
  <si>
    <t>Govern authority policies, approval limits, grants, mandates, temporary authority instruments, exceptions and revocations used by project, gate, dossier and lifecycle approvals.</t>
  </si>
  <si>
    <t>2, 4, 7, 8, 9, 10</t>
  </si>
  <si>
    <t>Shared Management &amp; Governance Dependency</t>
  </si>
  <si>
    <t>New Master 8.1 canonical module; no repository readiness evidence was supplied.</t>
  </si>
  <si>
    <t>Approval eligibility and limits are queryable and enforced by workflow without duplicating identity or workflow ownership.</t>
  </si>
  <si>
    <t>Governance Structure</t>
  </si>
  <si>
    <t>MOD-0359</t>
  </si>
  <si>
    <t>MOD-0357; MOD-0023; MOD-0029; MOD-0220; MOD-0288</t>
  </si>
  <si>
    <t>Governance Bodies, Charters &amp; Accountability Registry</t>
  </si>
  <si>
    <t>Govern persistent review boards, steering committees, charter versions, mandates, membership terms, decision rights and accountability matrices.</t>
  </si>
  <si>
    <t>1–4, 8–10</t>
  </si>
  <si>
    <t>P1 High</t>
  </si>
  <si>
    <t>Governance bodies and accountability are queryable without duplicating review instances, controlled documents or legal-entity records.</t>
  </si>
  <si>
    <t>Records Governance</t>
  </si>
  <si>
    <t>MOD-0029; MOD-0236</t>
  </si>
  <si>
    <t>Records Management (Retention/Legal Hold)</t>
  </si>
  <si>
    <t>Implement retention classes, legal hold, disposition, archive retrieval and submission-record governance.</t>
  </si>
  <si>
    <t>7, 9, 10</t>
  </si>
  <si>
    <t>Document/audit retention exists partially; legal hold and submission archive are absent.</t>
  </si>
  <si>
    <t>Regulated-record lifecycle and archive retrieval pass.</t>
  </si>
  <si>
    <t>Resilience</t>
  </si>
  <si>
    <t>All persisted modules</t>
  </si>
  <si>
    <t>Backup &amp; Restore</t>
  </si>
  <si>
    <t>Validate recovery of projects, tasks, documents, dossiers, audit and lifecycle records.</t>
  </si>
  <si>
    <t>No regulated restore-validation runtime was found.</t>
  </si>
  <si>
    <t>Restore and recovery-evidence test passes.</t>
  </si>
  <si>
    <t>NOT STARTED</t>
  </si>
  <si>
    <t>Metadata Governance</t>
  </si>
  <si>
    <t>MOD-0052</t>
  </si>
  <si>
    <t>MOD-0290; MOD-0028; MOD-0236</t>
  </si>
  <si>
    <t>Metadata Catalog</t>
  </si>
  <si>
    <t>Govern definitions, ownership, lineage and controlled discovery.</t>
  </si>
  <si>
    <t>5, 7, 8, 9</t>
  </si>
  <si>
    <t>Shared Data-Governance Dependency</t>
  </si>
  <si>
    <t>Existing module catalogue is not an R&amp;D–RA metadata catalogue.</t>
  </si>
  <si>
    <t>Metadata ownership and lineage become queryable.</t>
  </si>
  <si>
    <t>Wave A</t>
  </si>
  <si>
    <t>MOD-0117; MOD-0024; MOD-0029; MOD-0236</t>
  </si>
  <si>
    <t>Workflow Designer (Approvals/SLAs/Escalations)</t>
  </si>
  <si>
    <t>Complete templates, versions, instances, approvals, transitions, permissions and runtime smoke tests.</t>
  </si>
  <si>
    <t>4, 6, 7, 8, 9</t>
  </si>
  <si>
    <t>Workflow features and gateway routes exist; complete runtime evidence is missing.</t>
  </si>
  <si>
    <t>Workflow golden flow and failure paths pass.</t>
  </si>
  <si>
    <t>Document/Evidence</t>
  </si>
  <si>
    <t>MOD-0029; MOD-0031</t>
  </si>
  <si>
    <t>Stabilize persistence, metadata, language, tenant isolation, queries and evidence registration.</t>
  </si>
  <si>
    <t>Broad runtime exists; remaining list/language failures must be closed.</t>
  </si>
  <si>
    <t>Runtime failures resolved and regression suite passes.</t>
  </si>
  <si>
    <t>MOD-0028; MOD-0023; MOD-0022; MOD-0030</t>
  </si>
  <si>
    <t>Controlled Documents (SOPs/Work Instructions)</t>
  </si>
  <si>
    <t>Stabilize SOP/work-instruction controlled states, approvals and training linkages; MOD-0029 does not own all controlled quality source documents.</t>
  </si>
  <si>
    <t>7, 9</t>
  </si>
  <si>
    <t>Major document functions exist; workflow integration and cold-start proof are incomplete.</t>
  </si>
  <si>
    <t>Controlled-document lifecycle passes at L3 persistence.</t>
  </si>
  <si>
    <t>Quality Document Control</t>
  </si>
  <si>
    <t>MOD-0028; MOD-0029; MOD-0023; MOD-0022; MOD-0021; MOD-0030; MOD-0031</t>
  </si>
  <si>
    <t>Controlled Quality Document Lifecycle and Pack 7 Runtime</t>
  </si>
  <si>
    <t>Implement controlled quality-document semantics for protocols, specifications, reports and other GxP/QMS source documents; create deliverables from tasks; manage version, review, approval, electronic signature, effective state, expiry, supersession and retention; link evidence, CTD/dossier references and budget/effort references.</t>
  </si>
  <si>
    <t>4, 5, 7, 8, 9</t>
  </si>
  <si>
    <t>QMS Dependency / R&amp;D–RA Vertical Slice</t>
  </si>
  <si>
    <t>MOD-0206 dedicated runtime is not started. Supporting MOD-0028/MOD-0029 document capabilities are partial, but workflow integration, QMS ownership, retention and end-to-end approval remain incomplete.</t>
  </si>
  <si>
    <t>Task-to-approved-quality-document golden flow, version lifecycle, signature, evidence links, retention, idempotency, tenant isolation and L3 persistence pass.</t>
  </si>
  <si>
    <t>Scheduling</t>
  </si>
  <si>
    <t>MOD-0024; MOD-0219; MOD-0204; MOD-0357</t>
  </si>
  <si>
    <t>Scheduler / Job Orchestration</t>
  </si>
  <si>
    <t>Implement job management, retry, cancel, history, monitoring, deduplication and failure visibility.</t>
  </si>
  <si>
    <t>6, 10</t>
  </si>
  <si>
    <t>Background-job infrastructure exists; operational controls and DLE triggers are incomplete.</t>
  </si>
  <si>
    <t>Scheduler operational and failure-path tests pass.</t>
  </si>
  <si>
    <t>Notifications</t>
  </si>
  <si>
    <t>MOD-0023; MOD-0024; MOD-0026</t>
  </si>
  <si>
    <t>Notification Service (Email/SMS/WhatsApp)</t>
  </si>
  <si>
    <t>Implement assignment, approval, overdue, reminder, delivery, retry and escalation behavior.</t>
  </si>
  <si>
    <t>4–10</t>
  </si>
  <si>
    <t>Notification runtime exists but uses a fake provider; real delivery is missing.</t>
  </si>
  <si>
    <t>Real delivery channel and overdue escalation pass.</t>
  </si>
  <si>
    <t>Wave B</t>
  </si>
  <si>
    <t>Task Backbone</t>
  </si>
  <si>
    <t>MOD-0024</t>
  </si>
  <si>
    <t>MOD-0023; MOD-0026; MOD-0027</t>
  </si>
  <si>
    <t>Task &amp; Checklist Engine</t>
  </si>
  <si>
    <t>Implement work package, task, checklist, work order, dependencies, assignment, status, effort and closure evidence.</t>
  </si>
  <si>
    <t>4, 5, 6, 8, 10</t>
  </si>
  <si>
    <t>Only an in-memory frontend mock exists; no persistent backend engine.</t>
  </si>
  <si>
    <t>Persistent L3 task runtime, RBAC, audit and tenant tests pass.</t>
  </si>
  <si>
    <t>Rules Backbone</t>
  </si>
  <si>
    <t>MOD-0025</t>
  </si>
  <si>
    <t>MOD-0117; MOD-0236; MOD-0219</t>
  </si>
  <si>
    <t>Business Rules Engine</t>
  </si>
  <si>
    <t>Implement versioned rules, effective dates, evaluation, simulation, explanation and publication.</t>
  </si>
  <si>
    <t>1, 4, 5, 8, 10</t>
  </si>
  <si>
    <t>No rules-engine implementation was found.</t>
  </si>
  <si>
    <t>Applicability, readiness and trigger rule families pass.</t>
  </si>
  <si>
    <t>Evidence Backbone</t>
  </si>
  <si>
    <t>MOD-0028; MOD-0029; MOD-0236</t>
  </si>
  <si>
    <t>Evidence Linking Service (object ↔ evidence)</t>
  </si>
  <si>
    <t>Implement version-specific requirement, task, document, shared-scope and CTD links with coverage queries.</t>
  </si>
  <si>
    <t>Medium</t>
  </si>
  <si>
    <t>Repository audit found no implementation; prior readiness values conflict.</t>
  </si>
  <si>
    <t>Reinspection confirms baseline, then full linking runtime passes.</t>
  </si>
  <si>
    <t>Shared Evidence</t>
  </si>
  <si>
    <t>Composite Capability</t>
  </si>
  <si>
    <t>MOD-0028; MOD-0031; MOD-0025; MOD-0140; MOD-0220; MOD-0290</t>
  </si>
  <si>
    <t>Shared Evidence Management</t>
  </si>
  <si>
    <t>Implement reusable substance, site, supplier, material and legal-entity evidence with adoption and impact propagation.</t>
  </si>
  <si>
    <t>5, 7, 8, 9, 10</t>
  </si>
  <si>
    <t>Composite R&amp;D–RA Capability</t>
  </si>
  <si>
    <t>Document services exist, but shared-scope resolution and adoption do not.</t>
  </si>
  <si>
    <t>Shared-evidence ownership and resolution APIs pass.</t>
  </si>
  <si>
    <t>Wave C</t>
  </si>
  <si>
    <t>Product Master Integration</t>
  </si>
  <si>
    <t>MOD-0140; MOD-0220; relevant MDM modules</t>
  </si>
  <si>
    <t>Product / Item / SKU Master Integration</t>
  </si>
  <si>
    <t>Supply product, strength, dosage form, route, pack and master-scope references.</t>
  </si>
  <si>
    <t>External Master Dependency</t>
  </si>
  <si>
    <t>No Product/SKU Master runtime was found.</t>
  </si>
  <si>
    <t>Valid Product Presentation query is available to R&amp;D–RA.</t>
  </si>
  <si>
    <t>Product Lifecycle</t>
  </si>
  <si>
    <t>MOD-0290; MOD-0117; MOD-0236; MOD-0237; MOD-0219</t>
  </si>
  <si>
    <t>Product Lifecycle Record</t>
  </si>
  <si>
    <t>Implement permanent product lifecycle context linking projects, dossiers, registrations, obligations and decisions.</t>
  </si>
  <si>
    <t>No canonical lifecycle-record runtime exists.</t>
  </si>
  <si>
    <t>SoR approved and lifecycle record survives project closure.</t>
  </si>
  <si>
    <t>Work Structuring</t>
  </si>
  <si>
    <t>MOD-0354</t>
  </si>
  <si>
    <t>MOD-0117; MOD-0024; MOD-0023; MOD-0031</t>
  </si>
  <si>
    <t>Decomposition &amp; Work Structuring Engine</t>
  </si>
  <si>
    <t>Provide reusable structure definitions, node definitions, hierarchy rules, templates, instances, nodes, structural dependencies and baseline snapshots for project, stage, dossier and lifecycle work structures.</t>
  </si>
  <si>
    <t>1, 2, 3, 5, 6, 8, 9, 10</t>
  </si>
  <si>
    <t>Structural mechanics are reusable while project ownership remains MOD-0117, tasks remain MOD-0024 and workflows remain MOD-0023.</t>
  </si>
  <si>
    <t>Business Process Governance</t>
  </si>
  <si>
    <t>MOD-0355</t>
  </si>
  <si>
    <t>MOD-0354; MOD-0023; MOD-0024; MOD-0029; MOD-0288</t>
  </si>
  <si>
    <t>Business Process Architecture &amp; Modeling</t>
  </si>
  <si>
    <t>Govern process architectures, domains, families, processes, models, versions, activities, control points, role bindings and KPI bindings used by product development and RA operating processes.</t>
  </si>
  <si>
    <t>Process definitions and versions are governed; workflow runs remain MOD-0023-owned and operational tasks remain MOD-0024-owned.</t>
  </si>
  <si>
    <t>Product Planning &amp; Project Management</t>
  </si>
  <si>
    <t>MOD-0117</t>
  </si>
  <si>
    <t>MOD-0290; MOD-0239; MOD-0354; MOD-0355; MOD-0357; MOD-0023; MOD-0024; MOD-0025; MOD-0022; MOD-0206; MOD-0007; MOD-0358; MOD-0359; MOD-0136; MOD-0137; MOD-0291</t>
  </si>
  <si>
    <t>Product Planning, Finite Project, Development Stages and Stage-Gate Management</t>
  </si>
  <si>
    <t>Implement product route, target markets, legal basis and planning assumptions; create an approved Product Plan Baseline; manage finite-project charter, WBS, schedule, milestones, risks, budgets and forecasts; instantiate S0–S9 development/TT stages with entry/exit criteria and work packages; execute stage-gate readiness, review and approve/condition/hold/rework/stop decisions; close projects and hand over to the Product Lifecycle Record.</t>
  </si>
  <si>
    <t>1, 2, 3, 4</t>
  </si>
  <si>
    <t>Core R&amp;D–RA Domain</t>
  </si>
  <si>
    <t>No PPM/product-planner, finite-project, Development/TT stage or stage-gate runtime exists. Workflow and document dependencies are only partially implemented.</t>
  </si>
  <si>
    <t>Product plan baseline, finite project, S0–S9 stage plan, gate decision, budget/forecast references, audit, evidence, reload persistence and project closure golden flows pass.</t>
  </si>
  <si>
    <t>Management Review</t>
  </si>
  <si>
    <t>MOD-0357</t>
  </si>
  <si>
    <t>MOD-0359; MOD-0007; MOD-0023; MOD-0024; MOD-0028</t>
  </si>
  <si>
    <t>Management Review &amp; Cadence</t>
  </si>
  <si>
    <t>Govern recurring stage-gate, portfolio, dossier and lifecycle review cycles, instances, agendas, review packs, attendance, outcomes and cadence configurations.</t>
  </si>
  <si>
    <t>2, 4, 8, 9, 10</t>
  </si>
  <si>
    <t>Review instances and outcomes are governed without taking ownership of bodies, decisions, tasks, reports or evidence.</t>
  </si>
  <si>
    <t>R&amp;D–RA Work Execution</t>
  </si>
  <si>
    <t>MOD-0354; MOD-0355; MOD-0117; MOD-0024; MOD-0023; MOD-0026; MOD-0027</t>
  </si>
  <si>
    <t>Pack 6 — Work Package, Task and Process Instance</t>
  </si>
  <si>
    <t>Implement product/project/stage-aware tasks, process instances, schedules, assignments, completion evidence and folders.</t>
  </si>
  <si>
    <t>Shared workflow exists partially; task backend and PPM context are absent.</t>
  </si>
  <si>
    <t>Product task executes, persists, completes and links evidence.</t>
  </si>
  <si>
    <t>Project Financial Integration</t>
  </si>
  <si>
    <t>MOD-0136</t>
  </si>
  <si>
    <t>MOD-0137; MOD-0291; MOD-0117; MOD-0024</t>
  </si>
  <si>
    <t>Product, project, task and document budgeting</t>
  </si>
  <si>
    <t>Implement cost objects, budget baseline, allocations, forecasts, commitments, actual references and variance visibility.</t>
  </si>
  <si>
    <t>1, 2, 3, 6, 7</t>
  </si>
  <si>
    <t>External Finance Dependency</t>
  </si>
  <si>
    <t>No R&amp;D–RA budgeting or forecast integration runtime exists.</t>
  </si>
  <si>
    <t>Budget and forecast contracts work without duplicating finance ownership.</t>
  </si>
  <si>
    <t>Requirement Runtime</t>
  </si>
  <si>
    <t>MOD-0117; MOD-0290; MOD-0354; MOD-0355; MOD-0025; MOD-0024; MOD-0031; MOD-0028; MOD-0206</t>
  </si>
  <si>
    <t>Pack 5 — Source-Document Requirement Engine</t>
  </si>
  <si>
    <t>Import and version the catalogue, evaluate applicability, resolve reuse, and generate evidence register, gaps, tasks, folders, budgets and gate bindings.</t>
  </si>
  <si>
    <t>5, 8</t>
  </si>
  <si>
    <t>Document services partially exist; product, planner, rules, task and linking foundations are missing.</t>
  </si>
  <si>
    <t>Product-specific source-document tasks generate deterministically.</t>
  </si>
  <si>
    <t>Wave E</t>
  </si>
  <si>
    <t>Regulatory Master</t>
  </si>
  <si>
    <t>MOD-0239</t>
  </si>
  <si>
    <t>MOD-0048; MOD-0117; MOD-0236</t>
  </si>
  <si>
    <t>Country and Market Requirements</t>
  </si>
  <si>
    <t>Implement authority, procedure, legal basis, submission type, local requirements, language and effective dates.</t>
  </si>
  <si>
    <t>1, 8, 9</t>
  </si>
  <si>
    <t>No country/market requirements runtime exists.</t>
  </si>
  <si>
    <t>Effective market requirements drive planner and dossier behavior.</t>
  </si>
  <si>
    <t>Regulatory Information &amp; Submission Management</t>
  </si>
  <si>
    <t>MOD-0236</t>
  </si>
  <si>
    <t>MOD-0239; MOD-0238; MOD-0237; MOD-0025; MOD-0031; MOD-0024; MOD-0206; MOD-0030; MOD-0007; MOD-0358; MOD-0359</t>
  </si>
  <si>
    <t>Regulatory Dossier, CTD Readiness, Submission and Authority Interaction Management</t>
  </si>
  <si>
    <t>Implement dossier cycles and the CTD Module 1–5 hierarchy with 58 section instances; map evidence to sections; calculate readiness, missing/expired evidence and exceptions; generate RA authoring/review/approval tasks; manage section and dossier versions, core/regional variants, quality gates, approval, lock and manifests; manage authority questions and deficiency-response work packages; package submissions and retain immutable submission, receipt and correspondence records.</t>
  </si>
  <si>
    <t>5, 8, 9, 10</t>
  </si>
  <si>
    <t>No Dossier/RIM, CTD-section, readiness, authority-response or locked-submission runtime exists. Rules, evidence linking and task dependencies are also incomplete.</t>
  </si>
  <si>
    <t>Dossier cycle, 58-section readiness, RA tasks, section/dossier versions, approval authority, submission package, authority-response and immutable archive golden flows pass.</t>
  </si>
  <si>
    <t>Labeling</t>
  </si>
  <si>
    <t>MOD-0238</t>
  </si>
  <si>
    <t>MOD-0236; MOD-0237; MOD-0239</t>
  </si>
  <si>
    <t>Labeling Lifecycle</t>
  </si>
  <si>
    <t>Implement core and regional product-information versions, SmPC/PIL/label approval and market status.</t>
  </si>
  <si>
    <t>9, 10</t>
  </si>
  <si>
    <t>No labeling lifecycle runtime exists.</t>
  </si>
  <si>
    <t>Label version is linked to dossier, market and variation.</t>
  </si>
  <si>
    <t>Wave F</t>
  </si>
  <si>
    <t>Regulatory Lifecycle</t>
  </si>
  <si>
    <t>MOD-0237</t>
  </si>
  <si>
    <t>MOD-0236; MOD-0238; MOD-0239</t>
  </si>
  <si>
    <t>Variations and Renewals</t>
  </si>
  <si>
    <t>Implement classification, affected products, markets and sections, evidence, dates, packages and authority correspondence.</t>
  </si>
  <si>
    <t>No variations or renewals runtime exists.</t>
  </si>
  <si>
    <t>Variation/renewal end-to-end flow passes.</t>
  </si>
  <si>
    <t>Obligations</t>
  </si>
  <si>
    <t>MOD-0219</t>
  </si>
  <si>
    <t>MOD-0236; MOD-0237; MOD-0026; MOD-0027</t>
  </si>
  <si>
    <t>Obligations and Renewal Tracking</t>
  </si>
  <si>
    <t>Implement obligation source, product/market scope, owner, due date, recurrence, evidence, escalation and fulfilment.</t>
  </si>
  <si>
    <t>No regulatory-obligation runtime exists.</t>
  </si>
  <si>
    <t>Obligation generates due work and closes with evidence.</t>
  </si>
  <si>
    <t>Lifecycle Automation</t>
  </si>
  <si>
    <t>MOD-0219; MOD-0237; MOD-0026; MOD-0024; MOD-0027; MOD-0204; MOD-0354; MOD-0355; MOD-0357</t>
  </si>
  <si>
    <t>Pack 10 — Lifecycle Trigger and Work Order</t>
  </si>
  <si>
    <t>Implement expiry, review, commitment, renewal, variation and stability triggers that generate new work without reopening completed tasks.</t>
  </si>
  <si>
    <t>Scheduler exists partially; obligation, variation, stability and persistent task contexts are absent.</t>
  </si>
  <si>
    <t>Trigger deduplication, idempotency and work-order lineage pass.</t>
  </si>
  <si>
    <t>Stability Lifecycle</t>
  </si>
  <si>
    <t>MOD-0219; MOD-0026; MOD-0024; MOD-0237; MOD-0236; MOD-0206</t>
  </si>
  <si>
    <t>Stability Planning and Lifecycle Integration</t>
  </si>
  <si>
    <t>Implement stability plans, protocols, time points, due events, approved result references, overdue escalation, CTD evidence impact and lifecycle work-order generation.</t>
  </si>
  <si>
    <t>3, 5, 7, 8, 10</t>
  </si>
  <si>
    <t>Mandatory Lifecycle Integration</t>
  </si>
  <si>
    <t>No stability runtime exists; prior repository text matches were false positives.</t>
  </si>
  <si>
    <t>Stability time points generate governed obligations, evidence impact and new work orders.</t>
  </si>
  <si>
    <t>Wave G</t>
  </si>
  <si>
    <t>AI Governance</t>
  </si>
  <si>
    <t>MOD-0068</t>
  </si>
  <si>
    <t>Prompt Registry and Approval Workflow</t>
  </si>
  <si>
    <t>Version and approve prompts used for extraction, classification, drafting and review assistance; record owner, intended use and risk tier.</t>
  </si>
  <si>
    <t>5, 8, 9</t>
  </si>
  <si>
    <t>Conditional AI Capability</t>
  </si>
  <si>
    <t>A prompt-governance document exists, but no Prompt Registry runtime exists.</t>
  </si>
  <si>
    <t>Activate only after an approved AI intended-use decision.</t>
  </si>
  <si>
    <t>AI Assurance</t>
  </si>
  <si>
    <t>MOD-0069</t>
  </si>
  <si>
    <t>Human-in-the-Loop Verification</t>
  </si>
  <si>
    <t>Implement reviewer assignment, verification, override, rejection, acceptance and evidence for AI/OCR outputs.</t>
  </si>
  <si>
    <t>No Human-in-the-Loop verification runtime exists.</t>
  </si>
  <si>
    <t>Activate with any approved AI/OCR production workflow.</t>
  </si>
  <si>
    <t>MOD-0066</t>
  </si>
  <si>
    <t>Model Registry and Versioning</t>
  </si>
  <si>
    <t>Record provider, model/version, approved use, validation evidence, deployment context and retirement state.</t>
  </si>
  <si>
    <t>No Model Registry implementation exists.</t>
  </si>
  <si>
    <t>Activate before controlled production model use.</t>
  </si>
  <si>
    <t>Agent Governance</t>
  </si>
  <si>
    <t>MOD-0292</t>
  </si>
  <si>
    <t>MOD-0293</t>
  </si>
  <si>
    <t>Agent Registry and Execution Ledger</t>
  </si>
  <si>
    <t>Register operational agents and persist run, step, checkpoint, trace, failure and human-approval history.</t>
  </si>
  <si>
    <t>P2 Later</t>
  </si>
  <si>
    <t>No Agent Registry or execution-ledger implementation exists.</t>
  </si>
  <si>
    <t>Required only when governed agents execute R&amp;D–RA work.</t>
  </si>
  <si>
    <t>Agent Tooling</t>
  </si>
  <si>
    <t>MOD-0294</t>
  </si>
  <si>
    <t>MOD-0295</t>
  </si>
  <si>
    <t>Agent Tool Gateway and Operational Workspace</t>
  </si>
  <si>
    <t>Control tool/API access and scopes; provide recommendations, pending approvals, run review and exception handling.</t>
  </si>
  <si>
    <t>No agent tool gateway or operational workspace exists.</t>
  </si>
  <si>
    <t>Agents must use approved adapters and scopes.</t>
  </si>
  <si>
    <t>AI Monitoring</t>
  </si>
  <si>
    <t>MOD-0067</t>
  </si>
  <si>
    <t>MOD-0110</t>
  </si>
  <si>
    <t>Evaluation, Drift and AI Ethics Controls</t>
  </si>
  <si>
    <t>Run regression and evaluation checks, monitor quality and drift, and govern ethical and responsible-use reviews.</t>
  </si>
  <si>
    <t>No evaluation, drift or AI ethics runtime exists.</t>
  </si>
  <si>
    <t>Activate after production AI scope is approved.</t>
  </si>
  <si>
    <t>Build-Wave Summary</t>
  </si>
  <si>
    <t>Primary Outcome</t>
  </si>
  <si>
    <t>Approve Master 8.1 ownership, interfaces, decisions, authority, governance bodies and regulated controls.</t>
  </si>
  <si>
    <t>Stabilize workflow, document/evidence services and the consolidated MOD-0206 quality-document runtime.</t>
  </si>
  <si>
    <t>Build task, rules, evidence-linking and shared-evidence backbone.</t>
  </si>
  <si>
    <t>Deliver product context, work/process structures, consolidated MOD-0117 planning/project/stage/gate capability, reviews, tasks, budgets and Pack 5.</t>
  </si>
  <si>
    <t>Deliver country rules, consolidated MOD-0236 dossier/CTD/submission capability and labeling.</t>
  </si>
  <si>
    <t>Deliver variations, obligations, stability and lifecycle work orders.</t>
  </si>
  <si>
    <t>Conditional AI and agent governance and runtime.</t>
  </si>
  <si>
    <t>Integration X</t>
  </si>
  <si>
    <t>External study, manufacturing, capacity, Work Orders, Calibration, procurement, QC/LIMS and QMS change integrations.</t>
  </si>
  <si>
    <t>Permissions, tenant isolation and segregation of duties</t>
  </si>
  <si>
    <t>Positive/negative authorization and cross-tenant tests</t>
  </si>
  <si>
    <t>Immutable audit events and correlation</t>
  </si>
  <si>
    <t>Audit evidence for all critical regulated actions</t>
  </si>
  <si>
    <t>Compliance</t>
  </si>
  <si>
    <t>Frontend runtime flows, empty states and failure handling</t>
  </si>
  <si>
    <t>Browser evidence for list/detail/create/edit/error states</t>
  </si>
  <si>
    <t>Frontend</t>
  </si>
  <si>
    <t>Where UI applies</t>
  </si>
  <si>
    <t>Cross-module API and event contracts</t>
  </si>
  <si>
    <t>Versioned contracts and consumer tests</t>
  </si>
  <si>
    <t>Integration</t>
  </si>
  <si>
    <t>Idempotency, retry, deduplication and concurrency</t>
  </si>
  <si>
    <t>Duplicate/retry/concurrency test evidence</t>
  </si>
  <si>
    <t>Reliability</t>
  </si>
  <si>
    <t>Unit, integration, golden-flow and failure-path tests</t>
  </si>
  <si>
    <t>Passing automated suites and runtime smoke reports</t>
  </si>
  <si>
    <t>QA</t>
  </si>
  <si>
    <t>Cold-start persistence, backup and restore verification</t>
  </si>
  <si>
    <t>Restart, data retention and restore evidence</t>
  </si>
  <si>
    <t>Persistence</t>
  </si>
  <si>
    <t>Retention, e-signature and locked-version controls</t>
  </si>
  <si>
    <t>Records, signature and package-lock evidence</t>
  </si>
  <si>
    <t>GxP</t>
  </si>
  <si>
    <t>Where regulated</t>
  </si>
  <si>
    <t>Release, rollback, monitoring and operational evidence</t>
  </si>
  <si>
    <t>Deployment, rollback, monitoring and release report</t>
  </si>
  <si>
    <t>Unified Critical Path</t>
  </si>
  <si>
    <t>Order</t>
  </si>
  <si>
    <t>Critical Path Capability</t>
  </si>
  <si>
    <t>Required Exit</t>
  </si>
  <si>
    <t>Unlocks</t>
  </si>
  <si>
    <t>Decision Type</t>
  </si>
  <si>
    <t>Owner</t>
  </si>
  <si>
    <t>Master 8.1 reconciliation, SoR decisions, MOD-0007, MOD-0358 and MOD-0359</t>
  </si>
  <si>
    <t>Canonical plan updated; new modules not yet code-audited</t>
  </si>
  <si>
    <t>Approved ownership, decision, authority and governance baseline</t>
  </si>
  <si>
    <t>All packs</t>
  </si>
  <si>
    <t>Architecture</t>
  </si>
  <si>
    <t>Enterprise Architecture</t>
  </si>
  <si>
    <t>RBAC, audit, records, reference data, metadata, backup and e-signature</t>
  </si>
  <si>
    <t>Partially implemented or missing DLE bindings</t>
  </si>
  <si>
    <t>Cross-cutting regulated controls runtime-proven</t>
  </si>
  <si>
    <t>Development</t>
  </si>
  <si>
    <t>Platform / Compliance</t>
  </si>
  <si>
    <t>MOD-0023, MOD-0028, MOD-0029 and MOD-0206</t>
  </si>
  <si>
    <t>Shared document stack partial; QMS Document Control not started</t>
  </si>
  <si>
    <t>Workflow active and task-to-approved-quality-document L3 flow</t>
  </si>
  <si>
    <t>Packs 4–9</t>
  </si>
  <si>
    <t>Platform / QMS</t>
  </si>
  <si>
    <t>MOD-0024, MOD-0025, MOD-0031 and Shared Evidence</t>
  </si>
  <si>
    <t>Missing, mocked or blocked</t>
  </si>
  <si>
    <t>Persistent task, rules, evidence and reuse backbone</t>
  </si>
  <si>
    <t>Packs 1,4,5,6,8,10</t>
  </si>
  <si>
    <t>Platform</t>
  </si>
  <si>
    <t>MOD-0290, MOD-0117, MOD-0354 and MOD-0355</t>
  </si>
  <si>
    <t>Product/PPM not started; M&amp;G modules not assessed</t>
  </si>
  <si>
    <t>Product identity, planning, work structures and process definitions</t>
  </si>
  <si>
    <t>Packs 1–6</t>
  </si>
  <si>
    <t>MDM / PPM / M&amp;G</t>
  </si>
  <si>
    <t>MOD-0357 plus projects, tasks and finance</t>
  </si>
  <si>
    <t>Not started/not assessed</t>
  </si>
  <si>
    <t>Review cadence, finite projects, gates, tasks, budgets and controlled evidence</t>
  </si>
  <si>
    <t>Packs 2–7</t>
  </si>
  <si>
    <t>PPM / M&amp;G / Finance</t>
  </si>
  <si>
    <t>MOD-0239, MOD-0236, MOD-0238 and MOD-0206</t>
  </si>
  <si>
    <t>Not implemented</t>
  </si>
  <si>
    <t>Market requirements, CTD, dossier, labeling and submission foundation</t>
  </si>
  <si>
    <t>Packs 5,8,9</t>
  </si>
  <si>
    <t>RA / RIM / QMS</t>
  </si>
  <si>
    <t>MOD-0237, MOD-0219, MOD-0204 and MOD-0357</t>
  </si>
  <si>
    <t>Not implemented/not assessed</t>
  </si>
  <si>
    <t>Variations, obligations, stability, review cadence and lifecycle automation</t>
  </si>
  <si>
    <t>Pack 10</t>
  </si>
  <si>
    <t>RA / Quality / M&amp;G</t>
  </si>
  <si>
    <t>MOD-0199 Work Orders, MOD-0200 Calibration and other external contracts</t>
  </si>
  <si>
    <t>Outside core; contracts absent</t>
  </si>
  <si>
    <t>Versioned external contracts or controlled manual evidence modes</t>
  </si>
  <si>
    <t>Packs 1–10</t>
  </si>
  <si>
    <t>External Integration</t>
  </si>
  <si>
    <t>Domain Owners</t>
  </si>
  <si>
    <t>Procurement</t>
  </si>
  <si>
    <t>Exit Gate</t>
  </si>
  <si>
    <t>Release Outcome</t>
  </si>
  <si>
    <t>Conditional</t>
  </si>
  <si>
    <t>Company-facing AI Interface + OpenAI Agent Layer — Capability Block</t>
  </si>
  <si>
    <t>Target: Soft System company-facing Operational Agent Workspace backed by governed agent runtime, tool gateway, OpenAI API adapter, shared workflow/RBAC/audit, and GQMS document/knowledge services. OpenAI is an external intelligence provider, not a business-object SoR.</t>
  </si>
  <si>
    <t>Planning Metric</t>
  </si>
  <si>
    <t>Value</t>
  </si>
  <si>
    <t>Architecture Control</t>
  </si>
  <si>
    <t>Decision</t>
  </si>
  <si>
    <t>Governance Control</t>
  </si>
  <si>
    <t>Boundary</t>
  </si>
  <si>
    <t>Rule</t>
  </si>
  <si>
    <t>Consolidated sequences</t>
  </si>
  <si>
    <t>Primary company-facing UI</t>
  </si>
  <si>
    <t>Agent identity/lifecycle</t>
  </si>
  <si>
    <t>Business SoR</t>
  </si>
  <si>
    <t>Domain modules remain SoR; agent modules own only agent/workspace/runtime/policy artifacts.</t>
  </si>
  <si>
    <t>Canonical core AI modules</t>
  </si>
  <si>
    <t>OpenAI/API control point</t>
  </si>
  <si>
    <t>Policy / guardrails</t>
  </si>
  <si>
    <t>MOD-0296</t>
  </si>
  <si>
    <t>OpenAI</t>
  </si>
  <si>
    <t>Provider/adapter behind MOD-0294; no browser-direct model calls and no direct unrestricted DB access.</t>
  </si>
  <si>
    <t>New canonical MOD IDs required</t>
  </si>
  <si>
    <t>Execution truth / ledger</t>
  </si>
  <si>
    <t>Human approval</t>
  </si>
  <si>
    <t>MOD-0069 + MOD-0023</t>
  </si>
  <si>
    <t>Controlled actions</t>
  </si>
  <si>
    <t>MOD-0296 policy + MOD-0069 HITL + MOD-0023 workflow gate before state-changing execution.</t>
  </si>
  <si>
    <t>Wave / Lane</t>
  </si>
  <si>
    <t>Related / Reused Modules</t>
  </si>
  <si>
    <t>Primary Soft Pages / Surfaces</t>
  </si>
  <si>
    <t>Dependency / Completion Gate</t>
  </si>
  <si>
    <t>Minimum Integration Contracts</t>
  </si>
  <si>
    <t>SoR / Boundary Rule</t>
  </si>
  <si>
    <t>AI Risk</t>
  </si>
  <si>
    <t>Current Readiness</t>
  </si>
  <si>
    <t>Completion / Release Gate</t>
  </si>
  <si>
    <t>Runtime Vertical-Slice / Golden-Flow Requirement</t>
  </si>
  <si>
    <t>Wave 0 — Foundation</t>
  </si>
  <si>
    <t>Identity / Security</t>
  </si>
  <si>
    <t>MOD-0017; MOD-0020; MOD-0012; MOD-0021; MOD-0041</t>
  </si>
  <si>
    <t>Identity, authorization, SoD, secrets, audit and observability baseline</t>
  </si>
  <si>
    <t>Enforce SSO identity, server-side RBAC/ABAC, SoD, secret isolation, immutable audit hooks, correlation IDs and redacted logging for every AI request/tool action.</t>
  </si>
  <si>
    <t>Access policy view; audit trace; security exception view</t>
  </si>
  <si>
    <t>SSO/MFA available; permission taxonomy approved; audit event contract and secrets handling frozen.</t>
  </si>
  <si>
    <t>PLAT-BASE; AuditEvent v1; Correlation-ID; OTel; secrets hook</t>
  </si>
  <si>
    <t>Identity/security modules remain authoritative. Agent modules consume user/role/tenant context and must not create a second permission system.</t>
  </si>
  <si>
    <t>Foundation reuse / hardening required</t>
  </si>
  <si>
    <t>Existing platform capabilities are reused; production AI must not proceed until server-side permissions and audit are runtime-proven.</t>
  </si>
  <si>
    <t>G0 — Security &amp; Audit Baseline</t>
  </si>
  <si>
    <t>Authenticated user invokes allowed read action; denied role gets server-side rejection; tenant isolation and audit/correlation evidence verified.</t>
  </si>
  <si>
    <t>Workflow / Work Management</t>
  </si>
  <si>
    <t>MOD-0024; MOD-0025; MOD-0026; MOD-0027</t>
  </si>
  <si>
    <t>Workflow, tasks, rules, scheduling and notification mechanics</t>
  </si>
  <si>
    <t>Provide approval checkpoints, reviewer tasks, remediation tasks, rule evaluation, scheduled sweeps and notification/escalation without duplicating workflow inside agent modules.</t>
  </si>
  <si>
    <t>Approval queue; task/checklist; escalation state</t>
  </si>
  <si>
    <t>Workflow golden flow and persistent task engine available; business-rule versioning approved.</t>
  </si>
  <si>
    <t>WORKFLOW-BUNDLE; task/checklist contract; rules contract; notification event</t>
  </si>
  <si>
    <t>MOD-0023 owns generic workflow; MOD-0024 owns task mechanics. Source/domain module retains business lifecycle semantics.</t>
  </si>
  <si>
    <t>Partial / requires runtime completion</t>
  </si>
  <si>
    <t>Current project reports show workflow/scheduling pieces exist partially; persistent task/rules capabilities require completion.</t>
  </si>
  <si>
    <t>G1 — Human Workflow Ready</t>
  </si>
  <si>
    <t>Agent recommendation creates governed review task; reviewer approves/rejects; decision, evidence, SLA and audit persist at L3.</t>
  </si>
  <si>
    <t>Integration Backbone</t>
  </si>
  <si>
    <t>MOD-0033; MOD-0034; MOD-0035; MOD-0041</t>
  </si>
  <si>
    <t>API gateway, credentials, webhooks/events and integration observability</t>
  </si>
  <si>
    <t>Route browser traffic only through company backend/gateway; standardize service-to-service auth, quotas, retries, webhook/event patterns and correlation propagation.</t>
  </si>
  <si>
    <t>API Gateway Console; route/adapter health; retry/exception view</t>
  </si>
  <si>
    <t>Gateway/auth contracts approved; no frontend direct calls to service ports or OpenAI.</t>
  </si>
  <si>
    <t>API Gateway v1; OAuth/JWT service auth; Error Model; Correlation-ID; OTel</t>
  </si>
  <si>
    <t>MOD-0032 owns interface routing. Domain APIs remain owned by domain modules. External AI calls are server-side only.</t>
  </si>
  <si>
    <t>Existing shared service / integrate</t>
  </si>
  <si>
    <t>Blueprint already defines gateway and API-consumer management as shared platform capabilities.</t>
  </si>
  <si>
    <t>G1 — Integration Boundary Ready</t>
  </si>
  <si>
    <t>Frontend action → gateway → agent backend → approved tool/provider; trace visible end-to-end; failure returns controlled error with no orphan state.</t>
  </si>
  <si>
    <t>Wave 1 — AI Governance</t>
  </si>
  <si>
    <t>Model / Prompt / HITL</t>
  </si>
  <si>
    <t>MOD-0068; MOD-0069</t>
  </si>
  <si>
    <t>Model registry, prompt registry and human verification</t>
  </si>
  <si>
    <t>Register provider/model/version/intended use; version and approve prompts; require reviewer assignment, verification, override/reject/accept evidence for controlled outputs.</t>
  </si>
  <si>
    <t>Model Registry; Prompt Registry; HITL Review Queue</t>
  </si>
  <si>
    <t>AI intended-use decision approved; model and prompt owners assigned; validation evidence available.</t>
  </si>
  <si>
    <t>MODEL-REG; PROMPT-REG; HITL verification contract; AuditEvent v1</t>
  </si>
  <si>
    <t>These modules govern model/prompt/review artifacts; they do not own domain records created or assessed by AI.</t>
  </si>
  <si>
    <t>0–5% / not runtime-ready</t>
  </si>
  <si>
    <t>Current planning evidence indicates Prompt Registry ~5%; Model Registry and HITL runtime not implemented.</t>
  </si>
  <si>
    <t>G2 — AI Intended Use Approved</t>
  </si>
  <si>
    <t>Approved model + approved prompt executes a read/analysis task; output cannot affect controlled record until human verification is completed.</t>
  </si>
  <si>
    <t>Wave 1 — AI Assurance</t>
  </si>
  <si>
    <t>Evaluation / Responsible AI</t>
  </si>
  <si>
    <t>Evaluation, regression, drift and AI ethics controls</t>
  </si>
  <si>
    <t>Define test sets, acceptance thresholds, regression runs, drift signals, failure escalation, bias/fairness review where applicable and retirement triggers.</t>
  </si>
  <si>
    <t>Evaluation Dashboard; Drift Monitor; Ethics Review Panel</t>
  </si>
  <si>
    <t>Model/prompt registry operational; representative evaluation dataset approved.</t>
  </si>
  <si>
    <t>EVAL-BUNDLE; model-version reference; quality metric events; incident/escalation hooks</t>
  </si>
  <si>
    <t>Evaluation owns AI-quality evidence only; business KPI truth remains in certified metric/domain modules.</t>
  </si>
  <si>
    <t>Not implemented / conditional</t>
  </si>
  <si>
    <t>No evaluation/drift runtime evidence in current reports; required before production-scale agent operation.</t>
  </si>
  <si>
    <t>G3 — AI Assurance Ready</t>
  </si>
  <si>
    <t>Run pinned regression suite against approved model/prompt version; threshold breach blocks promotion and creates governed review/incident.</t>
  </si>
  <si>
    <t>Wave 1 — Agent Foundation</t>
  </si>
  <si>
    <t>MOD-0296; MOD-0066; MOD-0068; MOD-0069; MOD-0018</t>
  </si>
  <si>
    <t>Agent registry, lifecycle, owner/risk classification and action policy</t>
  </si>
  <si>
    <t>Create governed AgentID/version/owner/risk/operating-mode/deployment-state registry plus allow/deny/escalate/approval thresholds and blocked-action policies.</t>
  </si>
  <si>
    <t>Agent Registry Console; Agent Definition Detail; Policy Console; Guardrail Rule Builder</t>
  </si>
  <si>
    <t>MOD-0066/0068/0069 and RBAC available; agent operating modes and risk taxonomy approved.</t>
  </si>
  <si>
    <t>AGENT-REG-BUNDLE; AGENT-POLICY-BUNDLE; AI-RISK-BUNDLE; WORKFLOW-BUNDLE</t>
  </si>
  <si>
    <t>MOD-0292 owns agent identity/lifecycle. MOD-0296 owns agent policy decisions. Neither owns domain business objects.</t>
  </si>
  <si>
    <t>0% / canonical, not implemented</t>
  </si>
  <si>
    <t>Master 8.1 explicitly defines both modules; current status evidence shows no production implementation.</t>
  </si>
  <si>
    <t>G4 — Agent Governance Ready</t>
  </si>
  <si>
    <t>Register versioned read-only GQMS agent; policy allows search/analyse, blocks approval/delete, and records every decision with actor/tenant/trace.</t>
  </si>
  <si>
    <t>Wave 2 — Agent Runtime</t>
  </si>
  <si>
    <t>Execution Runtime</t>
  </si>
  <si>
    <t>MOD-0292; MOD-0296; MOD-0069; MOD-0021; MOD-0041</t>
  </si>
  <si>
    <t>Agent orchestration runtime and execution ledger</t>
  </si>
  <si>
    <t>Persist AgentRun, RunStep, checkpoints, runtime state, trace references, retries/failures and human approval checkpoint references. Support deterministic resumability and idempotency.</t>
  </si>
  <si>
    <t>Run Detail; Execution Trace; Failure/Retry View</t>
  </si>
  <si>
    <t>Agent registry and guardrail foundation stable; audit/observability contracts proven.</t>
  </si>
  <si>
    <t>AGENT-RUNTIME-BUNDLE; AuditEvent v1; Correlation-ID; OTel</t>
  </si>
  <si>
    <t>MOD-0293 is execution truth for agent runs; MOD-0021 remains immutable enterprise audit SoR.</t>
  </si>
  <si>
    <t>0% / not implemented</t>
  </si>
  <si>
    <t>Master 8.1 backlog says build after registry and guardrails are stable due to higher operational risk.</t>
  </si>
  <si>
    <t>G5 — Runtime Ledger Ready</t>
  </si>
  <si>
    <t>Start agent run → execute multiple governed steps → checkpoint → retry/resume → finish; complete trace persists at L3 with no duplicate side effects.</t>
  </si>
  <si>
    <t>Tool / Provider Integration</t>
  </si>
  <si>
    <t>MOD-0032; MOD-0033; MOD-0012; MOD-0296</t>
  </si>
  <si>
    <t>Agent Tool Gateway + OpenAI API adapter</t>
  </si>
  <si>
    <t>Create controlled tool catalog, adapters, access scopes, invocation records, health monitoring and secrets hook. Implement OpenAI as an approved external intelligence-provider adapter behind this gateway.</t>
  </si>
  <si>
    <t>Tool Catalog; Adapter Detail; Tool Scope Manager; Invocation Monitor; Provider Health</t>
  </si>
  <si>
    <t>MOD-0296 policy enforcement and secrets/gateway foundation ready; approved OpenAI provider/security/DPA configuration exists.</t>
  </si>
  <si>
    <t>AGENT-TOOL-BUNDLE; provider adapter contract; tool invocation request/response; Error Model; OTel</t>
  </si>
  <si>
    <t>Tool gateway owns tool definitions/adapters/invocations only. OpenAI is not SoR. Domain modules remain authoritative and expose business functions, not raw unrestricted DB access.</t>
  </si>
  <si>
    <t>Master 8.1 defines MOD-0294 specifically to prevent uncontrolled direct domain-system access.</t>
  </si>
  <si>
    <t>G6 — Controlled Tooling Ready</t>
  </si>
  <si>
    <t>Agent requests approved tool → policy validates scope → adapter invokes OpenAI/domain API → response recorded; forbidden tool is blocked; secret never reaches client/log.</t>
  </si>
  <si>
    <t>Wave 3 — Experience</t>
  </si>
  <si>
    <t>Company-facing AI Work Center</t>
  </si>
  <si>
    <t>MOD-0285; MOD-0286; MOD-0287; MOD-0288; MOD-0293; MOD-0296</t>
  </si>
  <si>
    <t>Operational Agent Workspace embedded in company Soft System</t>
  </si>
  <si>
    <t>Build Agent Inbox, Recommendations, Pending Human Approvals, Exceptions, Run Review and Performance Dashboard using existing navigation, UI patterns, personalization and org/person routing.</t>
  </si>
  <si>
    <t>Agent Inbox; Recommendations; Pending Approvals; Exceptions; Performance Dashboard</t>
  </si>
  <si>
    <t>MOD-0293 runtime + MOD-0296 policy ready; navigation/UI/user preference/directory contracts stable.</t>
  </si>
  <si>
    <t>AGENT-WORKSPACE-BUNDLE; NAV-RUNTIME; UI-GOV-BUNDLE; USER-PREF-BUNDLE</t>
  </si>
  <si>
    <t>MOD-0295 owns workspace presentation artifacts only. Execution truth stays in MOD-0293; policy truth in MOD-0296; domain task/business truth stays with source modules.</t>
  </si>
  <si>
    <t>Master 8.1 explicitly defines this as the unified business-facing workspace; experience layer follows runtime/governance foundations.</t>
  </si>
  <si>
    <t>G7 — Company-facing Workspace Ready</t>
  </si>
  <si>
    <t>User opens Work Center, submits governed AI task, sees progress/result, reviews evidence, approves/rejects where permitted, and can reopen run/audit trace after reload.</t>
  </si>
  <si>
    <t>Wave 3 — GQMS Enablement</t>
  </si>
  <si>
    <t>Documents / Evidence / Repository</t>
  </si>
  <si>
    <t>MOD-0029; MOD-0030; MOD-0031; MOD-0262</t>
  </si>
  <si>
    <t>Controlled GQMS document, record, evidence and binary repository services</t>
  </si>
  <si>
    <t>Expose controlled document metadata/version/status, immutable record/retention rules, evidence links and repository access to agents through governed APIs. No agent-owned shadow document SoR.</t>
  </si>
  <si>
    <t>Document search/detail; Evidence Viewer; Records/Retention view</t>
  </si>
  <si>
    <t>Document/repository contracts runtime-proven; controlled write paths remain human-approved.</t>
  </si>
  <si>
    <t>DOCS-BASE; DOC-REPO-BUNDLE; Evidence-Link; AuditEvent v1</t>
  </si>
  <si>
    <t>Controlled documents/records remain authoritative in existing modules. Derived AI index is disposable/rebuildable.</t>
  </si>
  <si>
    <t>Partial platform foundation</t>
  </si>
  <si>
    <t>Existing document stack is the strongest foundation but requires approval/retention/evidence hardening for regulated operation.</t>
  </si>
  <si>
    <t>G8 — GQMS Evidence Plane Ready</t>
  </si>
  <si>
    <t>Read effective controlled document + version + evidence links; AI drafts proposal only; approved change uses governed workflow and preserves version/audit/retention.</t>
  </si>
  <si>
    <t>Wave 3 — Knowledge Enablement</t>
  </si>
  <si>
    <t>Search / Metadata / Knowledge Graph</t>
  </si>
  <si>
    <t>MOD-0056</t>
  </si>
  <si>
    <t>MOD-0052; MOD-0053; MOD-0057; MOD-0058; MOD-0040</t>
  </si>
  <si>
    <t>Enterprise retrieval, taxonomy and relationship/impact index</t>
  </si>
  <si>
    <t>Index governed metadata and relationships for W2-style questions; support search, semantic tagging, entity linking and impact traversal while retaining source register/document authority.</t>
  </si>
  <si>
    <t>Enterprise Search; Metadata Explorer; Relationship/Impact View</t>
  </si>
  <si>
    <t>Canonical IDs/metadata taxonomy agreed; source adapters available; derived index rebuild process defined.</t>
  </si>
  <si>
    <t>SEARCH contract; METADATA contract; TAXONOMY contract; KG/edge contract; Correlation-ID</t>
  </si>
  <si>
    <t>Search/graph is a lens, not authority. If derived index conflicts with authoritative source, source wins and index is rebuilt.</t>
  </si>
  <si>
    <t>Foundation modules planned / mixed readiness</t>
  </si>
  <si>
    <t>Blueprint contains all required knowledge-plane modules; implementation maturity must be audited before GQMS-wide indexing.</t>
  </si>
  <si>
    <t>G9 — Governed Retrieval Ready</t>
  </si>
  <si>
    <t>Question resolves canonical object → traverses approved relationships → returns affected codes/paths with source/version provenance; unresolved edges are stated explicitly.</t>
  </si>
  <si>
    <t>Wave 4 — GQMS Agent Services</t>
  </si>
  <si>
    <t>Domain Agent Service Pack</t>
  </si>
  <si>
    <t>Composite — no new MOD</t>
  </si>
  <si>
    <t>MOD-0292–0296; MOD-0023–0031; MOD-0052–0058; MOD-0066–0069</t>
  </si>
  <si>
    <t>GQMS Orchestrator + W1 Sweep + W2 Question + W3 Controlled Change</t>
  </si>
  <si>
    <t>Register GQMS specialist agents; expose W1 deterministic conformance sweep, W2 impact/dependency queries and W3 proposal→review→approval→controlled execution. Keep deterministic checks outside LLM prompts where possible.</t>
  </si>
  <si>
    <t>GQMS AI Task; Sweep Findings; Impact Result; Change Proposal; Execution Evidence</t>
  </si>
  <si>
    <t>G0–G9 gates complete for intended scope; GQMS URS/validation strategy and permission profile approved.</t>
  </si>
  <si>
    <t>GQMS-SERVICE contracts over AGENT-TOOL/RUNTIME/WORKSPACE/POLICY bundles</t>
  </si>
  <si>
    <t>No new business SoR. W1/W2 derived outputs are working evidence; W3 may execute only exact approved actions through deterministic services.</t>
  </si>
  <si>
    <t>Design-defined / implementation pending</t>
  </si>
  <si>
    <t>The existing GQMS workflow note already defines W1/W2/W3 boundaries; this sequence operationalizes them through the canonical agent platform modules.</t>
  </si>
  <si>
    <t>G10 — GQMS AI Operational Release</t>
  </si>
  <si>
    <t>End-to-end: user launches W1/W2 from company Work Center; recommendation becomes governed task; human approves W3 proposal; executor performs hash/audit-verified action; post-change sweep proves result.</t>
  </si>
  <si>
    <t>Capability Block Governance Notes</t>
  </si>
  <si>
    <t>Do not create a new ChatGPT/AI Work Center module. MOD-0295 is the company-facing Operational Agent Workspace.</t>
  </si>
  <si>
    <t>Do not expose OpenAI directly to browser, database, or uncontrolled file system. OpenAI integration is a provider adapter/tool path under MOD-0294.</t>
  </si>
  <si>
    <t>MOD-0292–0296 own only agent definitions, runs, tools, workspace artifacts and policy decisions. Domain modules remain SoR for business objects.</t>
  </si>
  <si>
    <t>Mandatory runtime rule</t>
  </si>
  <si>
    <t>All state-changing screens and actions follow the Runtime Vertical-Slice rules: real persistence, server-side RBAC, tenant isolation, audit, concurrency, idempotency and failure-path validation.</t>
  </si>
  <si>
    <t>Build governance</t>
  </si>
  <si>
    <t>Because this is cross-cutting/multi-module work, prepare a Delivery Capability Pack first, then approved/ready-for-dev module packs before coding.</t>
  </si>
  <si>
    <t>Release recommendation</t>
  </si>
  <si>
    <t>Phase 1 should be read/analyse/draft only. Activate controlled execution only after policy/HITL/runtime/tool-gateway evidence is validated.</t>
  </si>
  <si>
    <t>Supply Planning, Procurement, Inventory, Warehouse &amp; BOM — Capability Block</t>
  </si>
  <si>
    <t>Target operating chain: Product/Item/SKU → Inventory truth → Procurement core + BOM foundation (parallel lanes) → Demand/MRP/Safety Stock → Warehouse execution → Integrated S&amp;OP/Capacity/Logistics. Domain ownership remains single-SoR; planning modules propose requirements while purchasing/inventory/warehouse modules execute transactions.</t>
  </si>
  <si>
    <t>Sequence Control</t>
  </si>
  <si>
    <t>Ownership Control</t>
  </si>
  <si>
    <t>Architecture Boundary</t>
  </si>
  <si>
    <t>MVP count</t>
  </si>
  <si>
    <t>Foundation</t>
  </si>
  <si>
    <t>MVP-1</t>
  </si>
  <si>
    <t>Product master SoR</t>
  </si>
  <si>
    <t>MRP</t>
  </si>
  <si>
    <t>Creates/plans replenishment/material requirements; does not own purchase orders.</t>
  </si>
  <si>
    <t>Primary critical-spine modules</t>
  </si>
  <si>
    <t>Parallel lane A</t>
  </si>
  <si>
    <t>MVP-2 Procurement</t>
  </si>
  <si>
    <t>Inventory SoR</t>
  </si>
  <si>
    <t>Warehouse</t>
  </si>
  <si>
    <t>Executes putaway/pick/pack/count; does not create a second inventory ledger.</t>
  </si>
  <si>
    <t>Parallel lanes after MVP-1</t>
  </si>
  <si>
    <t>Parallel lane B</t>
  </si>
  <si>
    <t>MVP-3 BOM</t>
  </si>
  <si>
    <t>Purchase transaction SoR</t>
  </si>
  <si>
    <t>BOM</t>
  </si>
  <si>
    <t>Defines manufacturing material/routing structure; product/item identity remains MOD-0290.</t>
  </si>
  <si>
    <t>New canonical module IDs</t>
  </si>
  <si>
    <t>Planning convergence</t>
  </si>
  <si>
    <t>MVP-4 Demand + MRP</t>
  </si>
  <si>
    <t>BOM/routing SoR</t>
  </si>
  <si>
    <t>S&amp;OP</t>
  </si>
  <si>
    <t>Governed integration of demand, supply, capacity and inventory plans; source operational records stay in their owning modules.</t>
  </si>
  <si>
    <t>MVP</t>
  </si>
  <si>
    <t>Primary Module(s)</t>
  </si>
  <si>
    <t>Related / Supporting Modules</t>
  </si>
  <si>
    <t>Primary Business Golden Flow</t>
  </si>
  <si>
    <t>Key Interfaces / Events</t>
  </si>
  <si>
    <t>Readiness / Status</t>
  </si>
  <si>
    <t>Parallelization / Sequencing Note</t>
  </si>
  <si>
    <t>Runtime Vertical-Slice Requirement</t>
  </si>
  <si>
    <t>MOD-0290; MOD-0173; MOD-0174; MOD-0175; MOD-0176; MOD-0177</t>
  </si>
  <si>
    <t>MOD-0040; MOD-0048; MOD-0018; MOD-0021; MOD-0031</t>
  </si>
  <si>
    <t>Product + Inventory Foundation</t>
  </si>
  <si>
    <t>Establish canonical product/item/SKU/UoM identity and authoritative inventory balance/valuation with lot-batch-serial traceability, quarantine/blocked stock, expiry/FEFO and recall-readiness controls.</t>
  </si>
  <si>
    <t>Create/consume product item → receive opening/initial stock → assign lot/batch/serial → place available/quarantine status → query authoritative stock position and trace.</t>
  </si>
  <si>
    <t>Canonical IDs, reference data, RBAC, audit and evidence contracts ready. No downstream MVP may create competing product or inventory truth.</t>
  </si>
  <si>
    <t>PRODUCT-MASTER-BUNDLE; inventory ledger API/events; lot trace event; stock-status event; evidence link</t>
  </si>
  <si>
    <t>MOD-0290 owns product/item/SKU reference master. MOD-0173 owns stock balance/valuation. MOD-0174–0177 own traceability/status policies, not duplicate balances.</t>
  </si>
  <si>
    <t>Foundation / first release</t>
  </si>
  <si>
    <t>This is the dependency anchor for purchasing, MRP, warehouse and BOM. Treat data quality and canonical identity as stop-ship gates.</t>
  </si>
  <si>
    <t>G1 — Product &amp; Inventory Truth Ready</t>
  </si>
  <si>
    <t>Must complete before MVP-2/3. After contracts stabilize, procurement and BOM can develop in parallel.</t>
  </si>
  <si>
    <t>Real create/read/update flows, L3 persistence for inventory/traceability, server-side RBAC/tenant isolation, audit, concurrency and idempotent stock movements.</t>
  </si>
  <si>
    <t>Reliable product and stock truth</t>
  </si>
  <si>
    <t>MVP-2</t>
  </si>
  <si>
    <t>Parallel Lane A after MVP-1</t>
  </si>
  <si>
    <t>MOD-0140; MOD-0141; MOD-0142; MOD-0143; MOD-0145</t>
  </si>
  <si>
    <t>MOD-0144; MOD-0023; MOD-0024; MOD-0021; MOD-0290; MOD-0173</t>
  </si>
  <si>
    <t>Procurement / Purchasing Core</t>
  </si>
  <si>
    <t>Deliver supplier onboarding, sourcing/RFQ, requisition and purchase order lifecycle, receiving/GRN and invoice capture/3-way match. Include contract linkage where required without making contract management a blocker for the thin core.</t>
  </si>
  <si>
    <t>Supplier approved → source/select supplier → create requisition → approval → issue PO → receive/GRN → inventory updated → invoice matched against PO/GRN.</t>
  </si>
  <si>
    <t>MVP-1 product/inventory contracts ready; supplier, workflow, audit and purchasing permissions approved.</t>
  </si>
  <si>
    <t>Supplier reference; requisition/PO API; approval events; GRN event; inventory receipt event; invoice-match contract</t>
  </si>
  <si>
    <t>MOD-0141 owns requisition/PO transaction. MOD-0142 owns receipt/GRN. MOD-0143 owns invoice matching. Inventory posting updates MOD-0173; procurement must not maintain shadow stock.</t>
  </si>
  <si>
    <t>Core P2P MVP</t>
  </si>
  <si>
    <t>MOD-0144 Contracting can be a controlled extension; MOD-0147/0148 are intentionally deferred to MVP-6.</t>
  </si>
  <si>
    <t>G2A — Procure-to-Receive Ready</t>
  </si>
  <si>
    <t>Can run in parallel with MVP-3 once MVP-1 contracts freeze.</t>
  </si>
  <si>
    <t>End-to-end requisition→PO→GRN→inventory→invoice-match golden flow with L3 persistence, approval/audit, failure rollback and duplicate-submit protection.</t>
  </si>
  <si>
    <t>Operational procure-to-receive / P2P</t>
  </si>
  <si>
    <t>MVP-3</t>
  </si>
  <si>
    <t>Parallel Lane B after MVP-1</t>
  </si>
  <si>
    <t>MOD-0290; MOD-0209; MOD-0040; MOD-0003</t>
  </si>
  <si>
    <t>BOM &amp; Routings Foundation</t>
  </si>
  <si>
    <t>Create governed BOM versions, component lines, quantities/UoM, effective dates, alternate/substitute relationships where approved, routing steps and controlled change linkage. Keep the MVP thin enough to unblock dependent-demand planning.</t>
  </si>
  <si>
    <t>Select product/item → create BOM version → add components/routing → validate references/UoM → approve/effect version → query current effective structure.</t>
  </si>
  <si>
    <t>MVP-1 item/SKU master stable; BOM ownership and change-control contract approved.</t>
  </si>
  <si>
    <t>BOM schema/API; BOM-version event; component requirement contract; change-control reference</t>
  </si>
  <si>
    <t>MOD-0193 owns BOM/routing structures. MOD-0290 remains item/product identity SoR. Change-control lifecycle is consumed rather than duplicated.</t>
  </si>
  <si>
    <t>Foundation for manufacturing-grade MRP</t>
  </si>
  <si>
    <t>If the business is distribution-only, this MVP can be deferred; for manufacturing/pharma it should precede full MRP.</t>
  </si>
  <si>
    <t>G2B — BOM Structure Ready</t>
  </si>
  <si>
    <t>Runs parallel with MVP-2. Both MVP-2 and MVP-3 feed MVP-4.</t>
  </si>
  <si>
    <t>Versioned BOM/routing records persist at L3, optimistic concurrency on revisions, controlled effective-state transition, audit/evidence on change.</t>
  </si>
  <si>
    <t>Governed material structure</t>
  </si>
  <si>
    <t>MVP-4</t>
  </si>
  <si>
    <t>Planning Convergence</t>
  </si>
  <si>
    <t>MOD-0188; MOD-0189; MOD-0191</t>
  </si>
  <si>
    <t>MOD-0290; MOD-0173; MOD-0193; MOD-0141; MOD-0142</t>
  </si>
  <si>
    <t>Demand + MRP / Replenishment</t>
  </si>
  <si>
    <t>Implement demand plans/forecasts, MRP/net requirements, replenishment proposals and safety-stock policies. Consume current inventory, open supply, lead times and BOM-dependent demand where applicable.</t>
  </si>
  <si>
    <t>Forecast demand → explode BOM if manufacturing → net against inventory/open supply → apply safety stock/lead time → calculate requirement → create replenishment/purchase proposal → hand off approved requirement to MOD-0141.</t>
  </si>
  <si>
    <t>G2A Procurement and G2B BOM ready for relevant scope; inventory snapshots and planning parameters reliable.</t>
  </si>
  <si>
    <t>Demand-plan contract; inventory availability query; open-PO/supply query; BOM explosion contract; replenishment proposal event; purchase-requisition handoff</t>
  </si>
  <si>
    <t>MOD-0188 owns demand plan. MOD-0189 owns planning calculations/proposals, not POs. MOD-0191 owns safety-stock policy/optimization. MOD-0141 remains purchase transaction SoR.</t>
  </si>
  <si>
    <t>Planning MVP</t>
  </si>
  <si>
    <t>MRP quality depends on inventory accuracy, lead-time data and BOM completeness. Flag degraded-mode planning if any source is incomplete.</t>
  </si>
  <si>
    <t>G3 — Replenishment Planning Ready</t>
  </si>
  <si>
    <t>Begins after both parallel lanes are sufficiently stable; warehouse execution is not a hard prerequisite.</t>
  </si>
  <si>
    <t>Forecast/planning save-reload, reproducible calculation snapshot, explainable netting inputs, idempotent proposal generation, approval/audit for release to purchasing.</t>
  </si>
  <si>
    <t>Forecast-to-replenishment operational planning</t>
  </si>
  <si>
    <t>MVP-5</t>
  </si>
  <si>
    <t>Warehouse Execution</t>
  </si>
  <si>
    <t>MOD-0178; MOD-0180; MOD-0181; MOD-0182</t>
  </si>
  <si>
    <t>MOD-0179; MOD-0173; MOD-0174; MOD-0142; MOD-0035</t>
  </si>
  <si>
    <t>Deliver putaway, bin/location execution, picking, packing, wave planning, cycle counting and barcode/RFID support. Treat 3PL integration as conditional unless required for launch.</t>
  </si>
  <si>
    <t>GRN/inventory receipt → putaway → locate stock → release pick/wave → pick → pack → confirm movement → cycle count/adjust under governed controls.</t>
  </si>
  <si>
    <t>MVP-1 inventory/lot contracts stable; receiving event available; warehouse location model and permissions approved.</t>
  </si>
  <si>
    <t>GRN-to-putaway event; inventory movement API/event; pick/pack contract; count adjustment contract; barcode scan contract</t>
  </si>
  <si>
    <t>Warehouse modules own physical execution instructions/status. MOD-0173 remains authoritative inventory ledger; every warehouse movement posts through governed inventory contract.</t>
  </si>
  <si>
    <t>Execution MVP</t>
  </si>
  <si>
    <t>Can start detailed design in parallel with late MVP-4; production go-live depends on stable inventory transaction semantics.</t>
  </si>
  <si>
    <t>G4 — Warehouse Execution Ready</t>
  </si>
  <si>
    <t>Does not have to block MVP-4. Can be developed after MVP-1 while procurement/MRP mature, but integration smoke must use real inventory postings.</t>
  </si>
  <si>
    <t>Putaway/pick/pack/count golden flows with per-row/server authorization, idempotent scans/movements, concurrency handling, partial-failure markers for bulk/wave actions.</t>
  </si>
  <si>
    <t>Controlled physical warehouse execution</t>
  </si>
  <si>
    <t>MVP-6</t>
  </si>
  <si>
    <t>Integrated Planning + Logistics</t>
  </si>
  <si>
    <t>MOD-0190; MOD-0192; MOD-0183; MOD-0184; MOD-0185; MOD-0186; MOD-0187</t>
  </si>
  <si>
    <t>MOD-0147; MOD-0148; MOD-0188; MOD-0189; MOD-0173; MOD-0178; MOD-0193</t>
  </si>
  <si>
    <t>Integrated S&amp;OP, Capacity, Supplier Performance &amp; Downstream Logistics</t>
  </si>
  <si>
    <t>Add governed S&amp;OP workflow/sign-offs, capacity planning, carrier/routing/load planning, shipment tracking/POD, reverse logistics and claims. Add supplier performance/risk and supplier portal after core purchasing stabilizes.</t>
  </si>
  <si>
    <t>Demand/supply plan → capacity review → S&amp;OP approval → supply/execution plan → warehouse shipment → carrier/load → POD → exception/return/claim; supplier performance feedback closes the loop.</t>
  </si>
  <si>
    <t>MVP-2 through MVP-5 production contracts stable; planning and logistics ownership approved; KPI/metrics and workflow controls available.</t>
  </si>
  <si>
    <t>S&amp;OP approval events; capacity plan contract; shipment/carrier/load contracts; POD event; return/claim contracts; supplier performance events</t>
  </si>
  <si>
    <t>MOD-0190 governs integrated planning workflow, not source demand/inventory/PO records. MOD-0192 owns capacity plans. Logistics modules own shipment/transport lifecycle; procurement modules retain supplier/PO truth.</t>
  </si>
  <si>
    <t>Advanced integrated release</t>
  </si>
  <si>
    <t>This is intentionally last because it integrates multiple proven operational SoRs and requires stronger analytics/exception handling.</t>
  </si>
  <si>
    <t>G5 — Integrated Supply Chain Ready</t>
  </si>
  <si>
    <t>Starts only after core source systems have stable contracts; selected logistics pieces may be parallelized if external integration readiness permits.</t>
  </si>
  <si>
    <t>Cross-module golden flow with versioned plan snapshots, approval/audit, correlation IDs across shipment lifecycle, controlled exceptions and reconciliation to source SoRs.</t>
  </si>
  <si>
    <t>Integrated supply-chain planning and logistics</t>
  </si>
  <si>
    <t>Canonical Module Roster by Capability</t>
  </si>
  <si>
    <t>Canonical Role</t>
  </si>
  <si>
    <t>Core / Supporting</t>
  </si>
  <si>
    <t>Boundary / Notes</t>
  </si>
  <si>
    <t>Product Master</t>
  </si>
  <si>
    <t>Core</t>
  </si>
  <si>
    <t>Canonical product/item/SKU/UoM registry.</t>
  </si>
  <si>
    <t>Authoritative inventory balance/value SoR.</t>
  </si>
  <si>
    <t>Traceability identity/status linked to inventory.</t>
  </si>
  <si>
    <t>Quality/availability status; no duplicate balance.</t>
  </si>
  <si>
    <t>Expiry/FEFO policy.</t>
  </si>
  <si>
    <t>Supporting</t>
  </si>
  <si>
    <t>Recall/trace readiness.</t>
  </si>
  <si>
    <t>Supplier readiness/master workflow.</t>
  </si>
  <si>
    <t>Sourcing (RFQ/RFP)</t>
  </si>
  <si>
    <t>Source/select supplier.</t>
  </si>
  <si>
    <t>Purchasing</t>
  </si>
  <si>
    <t>Purchasing transaction SoR.</t>
  </si>
  <si>
    <t>Receipt/GRN SoR; posts to inventory.</t>
  </si>
  <si>
    <t>PO/GRN/invoice matching.</t>
  </si>
  <si>
    <t>Supplier Controls</t>
  </si>
  <si>
    <t>Contract linkage/control; can be phased.</t>
  </si>
  <si>
    <t>Manufacturing material/routing structure.</t>
  </si>
  <si>
    <t>Forecasting</t>
  </si>
  <si>
    <t>Operational demand plan/forecast SoR.</t>
  </si>
  <si>
    <t>Net requirements and replenishment proposals.</t>
  </si>
  <si>
    <t>Planning</t>
  </si>
  <si>
    <t>Safety-stock policy/optimization.</t>
  </si>
  <si>
    <t>Warehouse execution.</t>
  </si>
  <si>
    <t>Wave/workload execution planning.</t>
  </si>
  <si>
    <t>Physical count and governed adjustment.</t>
  </si>
  <si>
    <t>Execution/scanning support.</t>
  </si>
  <si>
    <t>Only if external 3PL required.</t>
  </si>
  <si>
    <t>Integrated plan governance/approval.</t>
  </si>
  <si>
    <t>Capacity</t>
  </si>
  <si>
    <t>Capacity/supply constraint plans.</t>
  </si>
  <si>
    <t>Logistics</t>
  </si>
  <si>
    <t>Shipment lifecycle/POD.</t>
  </si>
  <si>
    <t>Carrier operations.</t>
  </si>
  <si>
    <t>Outbound transport planning.</t>
  </si>
  <si>
    <t>Returns/reverse flow.</t>
  </si>
  <si>
    <t>Logistics claims.</t>
  </si>
  <si>
    <t>Post-core supplier performance/risk.</t>
  </si>
  <si>
    <t>Supplier collaboration experience.</t>
  </si>
  <si>
    <t>Capability Block Governance Decisions</t>
  </si>
  <si>
    <t>6 MVPs is the recommended manufacturing-capable sequence. If distribution-only, MVP-3 BOM may be deferred and the plan collapses to 5 MVPs.</t>
  </si>
  <si>
    <t>MVP-2 Procurement and MVP-3 BOM are parallel lanes after MVP-1; both converge into MVP-4.</t>
  </si>
  <si>
    <t>Warehouse is not a hard prerequisite for MRP. MVP-5 can follow or overlap late MVP-4 once inventory movement contracts are stable.</t>
  </si>
  <si>
    <t>MRP/replenishment proposes requirements; MOD-0141 remains SoR for requisitions and purchase orders.</t>
  </si>
  <si>
    <t>Warehouse execution posts movements to MOD-0173; it never maintains a second inventory balance.</t>
  </si>
  <si>
    <t>BOM/routing ownership remains MOD-0193; product/item/SKU identity remains MOD-0290.</t>
  </si>
  <si>
    <t>Every state-changing module must follow the Runtime Vertical-Slice rules: real persistence, server-side RBAC, tenant isolation, audit, concurrency, idempotency, controlled failure paths and no-shell UI.</t>
  </si>
  <si>
    <t>Treat this as a multi-module capability block: prepare a Delivery Capability Pack and then approved/ready-for-dev module packs before implementation.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</si>
</sst>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0"/>
      <color theme="1"/>
      <name val="Play"/>
    </font>
    <font>
      <sz val="10"/>
      <color theme="1"/>
      <name val="Play"/>
      <family val="2"/>
    </font>
    <font>
      <b/>
      <sz val="10"/>
      <color theme="1"/>
      <name val="Play"/>
    </font>
    <font>
      <sz val="10"/>
      <color theme="10"/>
      <name val="Play"/>
    </font>
    <font>
      <sz val="10"/>
      <color rgb="FF002060"/>
      <name val="Play Regular"/>
    </font>
    <font>
      <sz val="13"/>
      <color rgb="FF002060"/>
      <name val="Play Regular"/>
    </font>
    <font>
      <sz val="10"/>
      <color rgb="FF002060"/>
      <name val="Play Regular"/>
    </font>
    <font>
      <sz val="9"/>
      <color rgb="FF002060"/>
      <name val="Play Regular"/>
    </font>
    <font>
      <sz val="8"/>
      <color theme="1"/>
      <name val="Play"/>
    </font>
    <font>
      <sz val="10"/>
      <color theme="0"/>
      <name val="Play Regular"/>
    </font>
    <font>
      <b/>
      <sz val="13"/>
      <color theme="0"/>
      <name val="Play Regular"/>
    </font>
    <font>
      <b/>
      <sz val="11"/>
      <color theme="0"/>
      <name val="Play"/>
    </font>
    <font>
      <b/>
      <sz val="13"/>
      <color rgb="FFCCCCCC"/>
      <name val="Arial"/>
      <family val="2"/>
    </font>
    <font>
      <sz val="13"/>
      <color rgb="FFCCCCCC"/>
      <name val="Arial"/>
      <family val="2"/>
    </font>
    <font>
      <b/>
      <sz val="10"/>
      <color rgb="FFFF0000"/>
      <name val="Play"/>
    </font>
    <font>
      <b/>
      <sz val="24"/>
      <color theme="1"/>
      <name val="Play"/>
    </font>
    <font>
      <b/>
      <sz val="18"/>
      <color theme="1"/>
      <name val="Play"/>
    </font>
    <font>
      <sz val="8"/>
      <color theme="0"/>
      <name val="Play Regular"/>
    </font>
    <font>
      <b/>
      <sz val="8"/>
      <color theme="0"/>
      <name val="Play Regular"/>
    </font>
    <font>
      <sz val="8"/>
      <color rgb="FF002060"/>
      <name val="Play Regular"/>
    </font>
    <font>
      <sz val="8"/>
      <color rgb="FFFF0000"/>
      <name val="Play Regular"/>
    </font>
    <font>
      <sz val="10"/>
      <color rgb="FF1F1F1F"/>
      <name val="Play"/>
    </font>
    <font>
      <b/>
      <sz val="10"/>
      <color rgb="FF1F1F1F"/>
      <name val="Play"/>
    </font>
    <font>
      <i/>
      <sz val="10"/>
      <color rgb="FF1F1F1F"/>
      <name val="Play"/>
    </font>
    <font>
      <b/>
      <sz val="16"/>
      <color rgb="FFFFFFFF"/>
      <name val="Play"/>
    </font>
    <font>
      <i/>
      <sz val="9"/>
      <color rgb="FF1F1F1F"/>
      <name val="Play"/>
    </font>
    <font>
      <b/>
      <i/>
      <sz val="9"/>
      <color rgb="FF1F1F1F"/>
      <name val="Play"/>
    </font>
    <font>
      <b/>
      <sz val="10"/>
      <color rgb="FFFFFFFF"/>
      <name val="Play"/>
    </font>
    <font>
      <sz val="9"/>
      <color rgb="FF1F1F1F"/>
      <name val="Play"/>
    </font>
    <font>
      <b/>
      <i/>
      <sz val="11"/>
      <color rgb="FF1F1F1F"/>
      <name val="Play"/>
    </font>
    <font>
      <b/>
      <sz val="11"/>
      <color rgb="FF1F1F1F"/>
      <name val="Play"/>
    </font>
    <font>
      <b/>
      <sz val="9"/>
      <color rgb="FF1F1F1F"/>
      <name val="Play"/>
    </font>
    <font>
      <b/>
      <sz val="16"/>
      <color rgb="FF1F4E78"/>
      <name val="Play"/>
    </font>
    <font>
      <b/>
      <sz val="12"/>
      <color rgb="FFFFFFFF"/>
      <name val="Play"/>
    </font>
    <font>
      <b/>
      <sz val="14"/>
      <color rgb="FFFFFFFF"/>
      <name val="Play"/>
    </font>
    <font>
      <sz val="11"/>
      <color rgb="FF1F1F1F"/>
      <name val="Play"/>
    </font>
    <font>
      <sz val="409"/>
      <color rgb="FF002060"/>
      <name val="Play"/>
    </font>
    <font>
      <sz val="409"/>
      <color rgb="FF002060"/>
      <name val="Play Regular"/>
    </font>
    <font>
      <sz val="409"/>
      <color rgb="FFCCCCCC"/>
      <name val="Play"/>
    </font>
    <font>
      <sz val="409"/>
      <color rgb="FFCCCCCC"/>
      <name val="Courier New"/>
      <family val="1"/>
    </font>
    <font>
      <sz val="409"/>
      <color rgb="FFCCCCCC"/>
      <name val="Arial"/>
      <family val="2"/>
    </font>
    <font>
      <b/>
      <sz val="409"/>
      <color rgb="FFFF0000"/>
      <name val="Play"/>
    </font>
    <font>
      <b/>
      <sz val="18"/>
      <color rgb="FFFFFFFF"/>
      <name val="Play"/>
    </font>
    <font>
      <b/>
      <sz val="10"/>
      <color rgb="FF17365D"/>
      <name val="Play"/>
    </font>
    <font>
      <b/>
      <sz val="13"/>
      <color rgb="FFFFFFFF"/>
      <name val="Play"/>
    </font>
    <font>
      <i/>
      <sz val="9"/>
      <color rgb="FF666666"/>
      <name val="Play"/>
    </font>
    <font>
      <b/>
      <sz val="9"/>
      <color theme="1"/>
      <name val="Play"/>
    </font>
    <font>
      <sz val="9"/>
      <color theme="1"/>
      <name val="Play"/>
    </font>
    <font>
      <sz val="9"/>
      <color theme="1"/>
      <name val="Arial Unicode MS"/>
      <family val="2"/>
    </font>
    <font>
      <i/>
      <sz val="10"/>
      <color rgb="FF1F2937"/>
      <name val="Play"/>
    </font>
    <font>
      <sz val="10"/>
      <color rgb="FF1F2937"/>
      <name val="Play"/>
    </font>
    <font>
      <b/>
      <sz val="11"/>
      <color rgb="FFFFFFFF"/>
      <name val="Play"/>
    </font>
    <font>
      <sz val="9"/>
      <color theme="1"/>
      <name val="Play"/>
      <family val="2"/>
    </font>
    <font>
      <sz val="409"/>
      <color rgb="FFFF0000"/>
      <name val="Play"/>
      <family val="2"/>
    </font>
    <font>
      <b/>
      <sz val="409"/>
      <color rgb="FFFF0000"/>
      <name val="Play"/>
      <family val="2"/>
    </font>
    <font>
      <b/>
      <sz val="10"/>
      <color theme="1"/>
      <name val="Play"/>
      <family val="2"/>
    </font>
  </fonts>
  <fills count="57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theme="9" tint="0.79985961485641044"/>
        <bgColor indexed="65"/>
      </patternFill>
    </fill>
    <fill>
      <patternFill patternType="solid">
        <fgColor rgb="FF7030A0"/>
      </patternFill>
    </fill>
    <fill>
      <patternFill patternType="solid">
        <fgColor theme="9" tint="0.59984130375072486"/>
        <bgColor indexed="65"/>
      </patternFill>
    </fill>
    <fill>
      <patternFill patternType="solid">
        <fgColor rgb="FF00206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F7FAFC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F7FAFC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F3F8E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F3F8E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</fills>
  <borders count="26">
    <border>
      <left/>
      <right/>
      <top/>
      <bottom/>
      <diagonal/>
    </border>
    <border>
      <left style="thin">
        <color theme="8" tint="-0.49983214819788202"/>
      </left>
      <right style="thin">
        <color theme="8" tint="-0.49983214819788202"/>
      </right>
      <top style="thin">
        <color theme="8" tint="-0.49983214819788202"/>
      </top>
      <bottom style="thin">
        <color theme="8" tint="-0.49983214819788202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7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/>
    <xf numFmtId="0" fontId="9" fillId="4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5" fillId="0" borderId="1" xfId="0" applyFont="1" applyBorder="1"/>
    <xf numFmtId="9" fontId="5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/>
    <xf numFmtId="9" fontId="5" fillId="3" borderId="1" xfId="0" applyNumberFormat="1" applyFont="1" applyFill="1" applyBorder="1" applyAlignment="1">
      <alignment horizontal="center"/>
    </xf>
    <xf numFmtId="0" fontId="6" fillId="3" borderId="1" xfId="1" applyFont="1" applyFill="1" applyBorder="1"/>
    <xf numFmtId="0" fontId="7" fillId="3" borderId="1" xfId="0" applyFont="1" applyFill="1" applyBorder="1"/>
    <xf numFmtId="0" fontId="6" fillId="0" borderId="1" xfId="1" applyFont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/>
    <xf numFmtId="9" fontId="5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/>
    <xf numFmtId="9" fontId="5" fillId="5" borderId="1" xfId="0" applyNumberFormat="1" applyFont="1" applyFill="1" applyBorder="1" applyAlignment="1">
      <alignment horizontal="center"/>
    </xf>
    <xf numFmtId="0" fontId="6" fillId="5" borderId="1" xfId="1" applyFont="1" applyFill="1" applyBorder="1"/>
    <xf numFmtId="0" fontId="12" fillId="0" borderId="0" xfId="0" applyFont="1"/>
    <xf numFmtId="0" fontId="13" fillId="0" borderId="0" xfId="0" applyFont="1"/>
    <xf numFmtId="9" fontId="13" fillId="0" borderId="0" xfId="0" applyNumberFormat="1" applyFont="1"/>
    <xf numFmtId="9" fontId="12" fillId="0" borderId="0" xfId="0" applyNumberFormat="1" applyFont="1"/>
    <xf numFmtId="9" fontId="12" fillId="0" borderId="1" xfId="0" applyNumberFormat="1" applyFont="1" applyBorder="1"/>
    <xf numFmtId="0" fontId="5" fillId="0" borderId="0" xfId="0" applyFont="1"/>
    <xf numFmtId="0" fontId="12" fillId="0" borderId="1" xfId="0" applyFont="1" applyBorder="1"/>
    <xf numFmtId="0" fontId="13" fillId="0" borderId="1" xfId="0" applyFont="1" applyBorder="1"/>
    <xf numFmtId="0" fontId="5" fillId="5" borderId="0" xfId="0" applyFont="1" applyFill="1"/>
    <xf numFmtId="0" fontId="6" fillId="3" borderId="0" xfId="1" applyFont="1" applyFill="1" applyBorder="1"/>
    <xf numFmtId="0" fontId="14" fillId="0" borderId="0" xfId="0" applyFont="1"/>
    <xf numFmtId="0" fontId="0" fillId="0" borderId="0" xfId="0" applyAlignment="1">
      <alignment vertical="center" wrapText="1"/>
    </xf>
    <xf numFmtId="0" fontId="15" fillId="0" borderId="0" xfId="0" applyFont="1"/>
    <xf numFmtId="0" fontId="16" fillId="0" borderId="0" xfId="0" applyFont="1"/>
    <xf numFmtId="0" fontId="2" fillId="0" borderId="2" xfId="0" applyFont="1" applyBorder="1"/>
    <xf numFmtId="0" fontId="0" fillId="0" borderId="2" xfId="0" applyBorder="1"/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9" fontId="5" fillId="5" borderId="1" xfId="0" applyNumberFormat="1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19" fillId="0" borderId="3" xfId="0" applyFont="1" applyBorder="1"/>
    <xf numFmtId="0" fontId="19" fillId="0" borderId="3" xfId="0" applyFont="1" applyBorder="1" applyAlignment="1">
      <alignment horizontal="left"/>
    </xf>
    <xf numFmtId="9" fontId="19" fillId="0" borderId="3" xfId="0" applyNumberFormat="1" applyFont="1" applyBorder="1" applyAlignment="1">
      <alignment horizontal="left"/>
    </xf>
    <xf numFmtId="0" fontId="17" fillId="6" borderId="3" xfId="0" applyFont="1" applyFill="1" applyBorder="1"/>
    <xf numFmtId="0" fontId="17" fillId="6" borderId="3" xfId="0" applyFont="1" applyFill="1" applyBorder="1" applyAlignment="1">
      <alignment horizontal="left"/>
    </xf>
    <xf numFmtId="9" fontId="17" fillId="6" borderId="3" xfId="0" applyNumberFormat="1" applyFont="1" applyFill="1" applyBorder="1" applyAlignment="1">
      <alignment horizontal="left"/>
    </xf>
    <xf numFmtId="0" fontId="17" fillId="4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7" borderId="3" xfId="0" applyFont="1" applyFill="1" applyBorder="1"/>
    <xf numFmtId="0" fontId="19" fillId="7" borderId="3" xfId="0" applyFont="1" applyFill="1" applyBorder="1" applyAlignment="1">
      <alignment horizontal="left"/>
    </xf>
    <xf numFmtId="9" fontId="19" fillId="7" borderId="3" xfId="0" applyNumberFormat="1" applyFont="1" applyFill="1" applyBorder="1" applyAlignment="1">
      <alignment horizontal="left"/>
    </xf>
    <xf numFmtId="0" fontId="20" fillId="7" borderId="3" xfId="0" applyFont="1" applyFill="1" applyBorder="1"/>
    <xf numFmtId="0" fontId="20" fillId="7" borderId="3" xfId="0" applyFont="1" applyFill="1" applyBorder="1" applyAlignment="1">
      <alignment horizontal="left"/>
    </xf>
    <xf numFmtId="9" fontId="20" fillId="7" borderId="3" xfId="0" applyNumberFormat="1" applyFont="1" applyFill="1" applyBorder="1" applyAlignment="1">
      <alignment horizontal="left"/>
    </xf>
    <xf numFmtId="0" fontId="3" fillId="0" borderId="0" xfId="1"/>
    <xf numFmtId="0" fontId="21" fillId="8" borderId="0" xfId="0" applyFont="1" applyFill="1"/>
    <xf numFmtId="0" fontId="22" fillId="8" borderId="0" xfId="0" applyFont="1" applyFill="1"/>
    <xf numFmtId="0" fontId="21" fillId="8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34" fillId="9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left" vertical="center" wrapText="1"/>
    </xf>
    <xf numFmtId="0" fontId="31" fillId="14" borderId="0" xfId="0" applyFont="1" applyFill="1" applyAlignment="1">
      <alignment horizontal="left" vertical="center" wrapText="1"/>
    </xf>
    <xf numFmtId="0" fontId="27" fillId="16" borderId="0" xfId="0" applyFont="1" applyFill="1" applyAlignment="1">
      <alignment horizontal="left" vertical="center" wrapText="1"/>
    </xf>
    <xf numFmtId="0" fontId="27" fillId="11" borderId="0" xfId="0" applyFont="1" applyFill="1" applyAlignment="1">
      <alignment horizontal="left" vertical="center" wrapText="1"/>
    </xf>
    <xf numFmtId="0" fontId="22" fillId="17" borderId="0" xfId="0" applyFont="1" applyFill="1" applyAlignment="1">
      <alignment horizontal="left" vertical="center" wrapText="1"/>
    </xf>
    <xf numFmtId="0" fontId="23" fillId="8" borderId="0" xfId="0" applyFont="1" applyFill="1" applyAlignment="1">
      <alignment horizontal="left" vertical="center" wrapText="1"/>
    </xf>
    <xf numFmtId="0" fontId="29" fillId="12" borderId="0" xfId="0" applyFont="1" applyFill="1" applyAlignment="1">
      <alignment horizontal="left" vertical="center" wrapText="1"/>
    </xf>
    <xf numFmtId="0" fontId="30" fillId="12" borderId="0" xfId="0" applyFont="1" applyFill="1" applyAlignment="1">
      <alignment horizontal="left" vertical="center"/>
    </xf>
    <xf numFmtId="9" fontId="27" fillId="11" borderId="0" xfId="0" applyNumberFormat="1" applyFont="1" applyFill="1" applyAlignment="1">
      <alignment horizontal="left" vertical="center" wrapText="1"/>
    </xf>
    <xf numFmtId="0" fontId="28" fillId="14" borderId="0" xfId="0" applyFont="1" applyFill="1" applyAlignment="1">
      <alignment horizontal="left" vertical="center" wrapText="1"/>
    </xf>
    <xf numFmtId="0" fontId="21" fillId="8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8" borderId="0" xfId="0" applyFont="1" applyFill="1" applyAlignment="1">
      <alignment horizontal="left" vertical="center" wrapText="1"/>
    </xf>
    <xf numFmtId="9" fontId="21" fillId="8" borderId="0" xfId="0" applyNumberFormat="1" applyFont="1" applyFill="1" applyAlignment="1">
      <alignment horizontal="left" vertical="center" wrapText="1"/>
    </xf>
    <xf numFmtId="0" fontId="28" fillId="8" borderId="0" xfId="0" applyFont="1" applyFill="1" applyAlignment="1">
      <alignment horizontal="left" vertical="center" wrapText="1"/>
    </xf>
    <xf numFmtId="9" fontId="28" fillId="8" borderId="0" xfId="0" applyNumberFormat="1" applyFont="1" applyFill="1" applyAlignment="1">
      <alignment horizontal="left" vertical="center" wrapText="1"/>
    </xf>
    <xf numFmtId="9" fontId="31" fillId="8" borderId="0" xfId="0" applyNumberFormat="1" applyFont="1" applyFill="1" applyAlignment="1">
      <alignment horizontal="left" vertical="center" wrapText="1"/>
    </xf>
    <xf numFmtId="0" fontId="28" fillId="14" borderId="0" xfId="0" applyFont="1" applyFill="1" applyAlignment="1">
      <alignment horizontal="left" vertical="center"/>
    </xf>
    <xf numFmtId="0" fontId="31" fillId="8" borderId="0" xfId="0" applyFont="1" applyFill="1" applyAlignment="1">
      <alignment horizontal="center" vertical="center" wrapText="1"/>
    </xf>
    <xf numFmtId="1" fontId="28" fillId="8" borderId="0" xfId="0" applyNumberFormat="1" applyFont="1" applyFill="1" applyAlignment="1">
      <alignment horizontal="left" vertical="center" wrapText="1"/>
    </xf>
    <xf numFmtId="1" fontId="31" fillId="8" borderId="0" xfId="0" applyNumberFormat="1" applyFont="1" applyFill="1" applyAlignment="1">
      <alignment horizontal="left" vertical="center" wrapText="1"/>
    </xf>
    <xf numFmtId="0" fontId="27" fillId="19" borderId="0" xfId="0" applyFont="1" applyFill="1" applyAlignment="1">
      <alignment horizontal="center" vertical="center" wrapText="1"/>
    </xf>
    <xf numFmtId="0" fontId="27" fillId="20" borderId="0" xfId="0" applyFont="1" applyFill="1" applyAlignment="1">
      <alignment horizontal="center" vertical="center" wrapText="1"/>
    </xf>
    <xf numFmtId="0" fontId="33" fillId="21" borderId="0" xfId="0" applyFont="1" applyFill="1" applyAlignment="1">
      <alignment horizontal="left" vertical="center"/>
    </xf>
    <xf numFmtId="0" fontId="27" fillId="22" borderId="0" xfId="0" applyFont="1" applyFill="1" applyAlignment="1">
      <alignment horizontal="center" vertical="center" wrapText="1"/>
    </xf>
    <xf numFmtId="1" fontId="27" fillId="22" borderId="0" xfId="0" applyNumberFormat="1" applyFont="1" applyFill="1" applyAlignment="1">
      <alignment horizontal="center" vertical="center" wrapText="1"/>
    </xf>
    <xf numFmtId="9" fontId="27" fillId="22" borderId="0" xfId="0" applyNumberFormat="1" applyFont="1" applyFill="1" applyAlignment="1">
      <alignment horizontal="center" vertical="center" wrapText="1"/>
    </xf>
    <xf numFmtId="0" fontId="33" fillId="23" borderId="0" xfId="0" applyFont="1" applyFill="1" applyAlignment="1">
      <alignment horizontal="left" vertical="center" wrapText="1"/>
    </xf>
    <xf numFmtId="1" fontId="33" fillId="23" borderId="0" xfId="0" applyNumberFormat="1" applyFont="1" applyFill="1" applyAlignment="1">
      <alignment horizontal="left" vertical="center" wrapText="1"/>
    </xf>
    <xf numFmtId="9" fontId="33" fillId="2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3" fillId="28" borderId="0" xfId="0" applyFont="1" applyFill="1" applyAlignment="1">
      <alignment horizontal="center" vertical="center" wrapText="1"/>
    </xf>
    <xf numFmtId="0" fontId="27" fillId="29" borderId="0" xfId="0" applyFont="1" applyFill="1" applyAlignment="1">
      <alignment horizontal="center" vertical="center" wrapText="1"/>
    </xf>
    <xf numFmtId="0" fontId="28" fillId="30" borderId="0" xfId="0" applyFont="1" applyFill="1" applyAlignment="1">
      <alignment horizontal="center" vertical="center" wrapText="1"/>
    </xf>
    <xf numFmtId="0" fontId="28" fillId="30" borderId="0" xfId="0" applyFont="1" applyFill="1" applyAlignment="1">
      <alignment horizontal="left" vertical="center" wrapText="1"/>
    </xf>
    <xf numFmtId="0" fontId="28" fillId="30" borderId="0" xfId="0" applyFont="1" applyFill="1" applyAlignment="1">
      <alignment vertical="center" wrapText="1"/>
    </xf>
    <xf numFmtId="0" fontId="28" fillId="32" borderId="0" xfId="0" applyFont="1" applyFill="1" applyAlignment="1">
      <alignment vertical="center" wrapText="1"/>
    </xf>
    <xf numFmtId="0" fontId="28" fillId="32" borderId="0" xfId="0" applyFont="1" applyFill="1" applyAlignment="1">
      <alignment horizontal="center" vertical="center" wrapText="1"/>
    </xf>
    <xf numFmtId="0" fontId="28" fillId="28" borderId="0" xfId="0" applyFont="1" applyFill="1" applyAlignment="1">
      <alignment vertical="center" wrapText="1"/>
    </xf>
    <xf numFmtId="0" fontId="28" fillId="28" borderId="0" xfId="0" applyFont="1" applyFill="1" applyAlignment="1">
      <alignment horizontal="center" vertical="center" wrapText="1"/>
    </xf>
    <xf numFmtId="0" fontId="31" fillId="30" borderId="0" xfId="0" applyFont="1" applyFill="1" applyAlignment="1">
      <alignment horizontal="center" vertical="center" wrapText="1"/>
    </xf>
    <xf numFmtId="0" fontId="31" fillId="30" borderId="0" xfId="0" applyFont="1" applyFill="1" applyAlignment="1">
      <alignment horizontal="left" vertical="center" wrapText="1"/>
    </xf>
    <xf numFmtId="0" fontId="31" fillId="30" borderId="0" xfId="0" applyFont="1" applyFill="1" applyAlignment="1">
      <alignment vertical="center" wrapText="1"/>
    </xf>
    <xf numFmtId="0" fontId="28" fillId="31" borderId="0" xfId="0" applyFont="1" applyFill="1" applyAlignment="1">
      <alignment horizontal="center" vertical="center" wrapText="1"/>
    </xf>
    <xf numFmtId="0" fontId="28" fillId="31" borderId="0" xfId="0" applyFont="1" applyFill="1" applyAlignment="1">
      <alignment horizontal="left" vertical="center" wrapText="1"/>
    </xf>
    <xf numFmtId="0" fontId="28" fillId="31" borderId="0" xfId="0" applyFont="1" applyFill="1" applyAlignment="1">
      <alignment vertical="center" wrapText="1"/>
    </xf>
    <xf numFmtId="0" fontId="25" fillId="31" borderId="0" xfId="0" applyFont="1" applyFill="1" applyAlignment="1">
      <alignment horizontal="left" vertical="center" wrapText="1"/>
    </xf>
    <xf numFmtId="0" fontId="28" fillId="33" borderId="0" xfId="0" applyFont="1" applyFill="1" applyAlignment="1">
      <alignment vertical="center" wrapText="1"/>
    </xf>
    <xf numFmtId="0" fontId="28" fillId="33" borderId="0" xfId="0" applyFont="1" applyFill="1" applyAlignment="1">
      <alignment horizontal="center" vertical="center" wrapText="1"/>
    </xf>
    <xf numFmtId="0" fontId="46" fillId="0" borderId="0" xfId="0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27" fillId="37" borderId="0" xfId="0" applyFont="1" applyFill="1" applyAlignment="1">
      <alignment horizontal="center" vertical="center"/>
    </xf>
    <xf numFmtId="0" fontId="27" fillId="39" borderId="4" xfId="0" applyFont="1" applyFill="1" applyBorder="1" applyAlignment="1">
      <alignment horizontal="center" vertical="center" wrapText="1"/>
    </xf>
    <xf numFmtId="0" fontId="27" fillId="39" borderId="5" xfId="0" applyFont="1" applyFill="1" applyBorder="1" applyAlignment="1">
      <alignment horizontal="center" vertical="center" wrapText="1"/>
    </xf>
    <xf numFmtId="0" fontId="27" fillId="39" borderId="6" xfId="0" applyFont="1" applyFill="1" applyBorder="1" applyAlignment="1">
      <alignment horizontal="center" vertical="center" wrapText="1"/>
    </xf>
    <xf numFmtId="0" fontId="50" fillId="38" borderId="0" xfId="0" applyFont="1" applyFill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40" borderId="7" xfId="0" applyFill="1" applyBorder="1" applyAlignment="1">
      <alignment vertical="center" wrapText="1"/>
    </xf>
    <xf numFmtId="0" fontId="0" fillId="40" borderId="0" xfId="0" applyFill="1" applyAlignment="1">
      <alignment vertical="center" wrapText="1"/>
    </xf>
    <xf numFmtId="0" fontId="0" fillId="40" borderId="8" xfId="0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2" fillId="42" borderId="0" xfId="0" applyFont="1" applyFill="1" applyAlignment="1">
      <alignment vertical="center" wrapText="1"/>
    </xf>
    <xf numFmtId="0" fontId="0" fillId="43" borderId="0" xfId="0" applyFill="1" applyAlignment="1">
      <alignment vertical="center" wrapText="1"/>
    </xf>
    <xf numFmtId="0" fontId="0" fillId="47" borderId="0" xfId="0" applyFill="1" applyAlignment="1">
      <alignment vertical="center" wrapText="1"/>
    </xf>
    <xf numFmtId="0" fontId="27" fillId="48" borderId="12" xfId="0" applyFont="1" applyFill="1" applyBorder="1" applyAlignment="1">
      <alignment horizontal="center" vertical="center" wrapText="1"/>
    </xf>
    <xf numFmtId="0" fontId="27" fillId="48" borderId="13" xfId="0" applyFont="1" applyFill="1" applyBorder="1" applyAlignment="1">
      <alignment horizontal="center" vertical="center" wrapText="1"/>
    </xf>
    <xf numFmtId="0" fontId="27" fillId="48" borderId="14" xfId="0" applyFont="1" applyFill="1" applyBorder="1" applyAlignment="1">
      <alignment horizontal="center" vertical="center" wrapText="1"/>
    </xf>
    <xf numFmtId="0" fontId="27" fillId="48" borderId="20" xfId="0" applyFont="1" applyFill="1" applyBorder="1" applyAlignment="1">
      <alignment horizontal="center" vertical="center" wrapText="1"/>
    </xf>
    <xf numFmtId="0" fontId="27" fillId="48" borderId="21" xfId="0" applyFont="1" applyFill="1" applyBorder="1" applyAlignment="1">
      <alignment horizontal="center" vertical="center" wrapText="1"/>
    </xf>
    <xf numFmtId="0" fontId="27" fillId="48" borderId="22" xfId="0" applyFont="1" applyFill="1" applyBorder="1" applyAlignment="1">
      <alignment horizontal="center" vertical="center" wrapText="1"/>
    </xf>
    <xf numFmtId="0" fontId="42" fillId="26" borderId="0" xfId="0" applyFont="1" applyFill="1" applyAlignment="1">
      <alignment horizontal="center" vertical="center"/>
    </xf>
    <xf numFmtId="0" fontId="23" fillId="27" borderId="0" xfId="0" applyFont="1" applyFill="1" applyAlignment="1">
      <alignment horizontal="left" vertical="center" wrapText="1"/>
    </xf>
    <xf numFmtId="0" fontId="44" fillId="26" borderId="0" xfId="0" applyFont="1" applyFill="1" applyAlignment="1">
      <alignment horizontal="left" vertical="center"/>
    </xf>
    <xf numFmtId="0" fontId="45" fillId="34" borderId="0" xfId="0" applyFont="1" applyFill="1" applyAlignment="1">
      <alignment vertical="center" wrapText="1"/>
    </xf>
    <xf numFmtId="0" fontId="34" fillId="9" borderId="0" xfId="0" applyFont="1" applyFill="1" applyAlignment="1">
      <alignment horizontal="center" vertical="center" wrapText="1"/>
    </xf>
    <xf numFmtId="0" fontId="22" fillId="8" borderId="0" xfId="0" applyFont="1" applyFill="1" applyAlignment="1">
      <alignment horizontal="center" vertical="center" wrapText="1"/>
    </xf>
    <xf numFmtId="0" fontId="35" fillId="13" borderId="0" xfId="0" applyFont="1" applyFill="1" applyAlignment="1">
      <alignment horizontal="left" vertical="center" wrapText="1"/>
    </xf>
    <xf numFmtId="0" fontId="24" fillId="23" borderId="0" xfId="0" applyFont="1" applyFill="1" applyAlignment="1">
      <alignment horizontal="left" vertical="center"/>
    </xf>
    <xf numFmtId="0" fontId="25" fillId="24" borderId="0" xfId="0" applyFont="1" applyFill="1" applyAlignment="1">
      <alignment horizontal="left" vertical="center" wrapText="1"/>
    </xf>
    <xf numFmtId="0" fontId="26" fillId="24" borderId="0" xfId="0" applyFont="1" applyFill="1" applyAlignment="1">
      <alignment horizontal="left" vertical="center" wrapText="1"/>
    </xf>
    <xf numFmtId="0" fontId="22" fillId="25" borderId="0" xfId="0" applyFont="1" applyFill="1" applyAlignment="1">
      <alignment horizontal="left" vertical="center" wrapText="1"/>
    </xf>
    <xf numFmtId="0" fontId="31" fillId="10" borderId="0" xfId="0" applyFont="1" applyFill="1" applyAlignment="1">
      <alignment horizontal="left" vertical="center"/>
    </xf>
    <xf numFmtId="0" fontId="32" fillId="10" borderId="0" xfId="0" applyFont="1" applyFill="1" applyAlignment="1">
      <alignment horizontal="left" vertical="center"/>
    </xf>
    <xf numFmtId="9" fontId="32" fillId="10" borderId="0" xfId="0" applyNumberFormat="1" applyFont="1" applyFill="1" applyAlignment="1">
      <alignment horizontal="left" vertical="center"/>
    </xf>
    <xf numFmtId="0" fontId="31" fillId="10" borderId="0" xfId="0" applyFont="1" applyFill="1" applyAlignment="1">
      <alignment horizontal="center" vertical="center"/>
    </xf>
    <xf numFmtId="9" fontId="32" fillId="10" borderId="0" xfId="0" applyNumberFormat="1" applyFont="1" applyFill="1" applyAlignment="1">
      <alignment horizontal="center" vertical="center"/>
    </xf>
    <xf numFmtId="0" fontId="33" fillId="18" borderId="0" xfId="0" applyFont="1" applyFill="1" applyAlignment="1">
      <alignment horizontal="left" vertical="center" wrapText="1"/>
    </xf>
    <xf numFmtId="0" fontId="33" fillId="18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left" vertical="center"/>
    </xf>
    <xf numFmtId="0" fontId="27" fillId="19" borderId="0" xfId="0" applyFont="1" applyFill="1" applyAlignment="1">
      <alignment horizontal="center" vertical="center" wrapText="1"/>
    </xf>
    <xf numFmtId="0" fontId="27" fillId="16" borderId="0" xfId="0" applyFont="1" applyFill="1" applyAlignment="1">
      <alignment horizontal="left" vertical="center" wrapText="1"/>
    </xf>
    <xf numFmtId="0" fontId="33" fillId="23" borderId="0" xfId="0" applyFont="1" applyFill="1" applyAlignment="1">
      <alignment horizontal="left" vertical="center" wrapText="1"/>
    </xf>
    <xf numFmtId="0" fontId="31" fillId="14" borderId="0" xfId="0" applyFont="1" applyFill="1" applyAlignment="1">
      <alignment horizontal="left" vertical="center" wrapText="1"/>
    </xf>
    <xf numFmtId="0" fontId="27" fillId="22" borderId="0" xfId="0" applyFont="1" applyFill="1" applyAlignment="1">
      <alignment horizontal="center" vertical="center" wrapText="1"/>
    </xf>
    <xf numFmtId="0" fontId="28" fillId="14" borderId="0" xfId="0" applyFont="1" applyFill="1" applyAlignment="1">
      <alignment horizontal="left" vertical="center" wrapText="1"/>
    </xf>
    <xf numFmtId="0" fontId="28" fillId="8" borderId="0" xfId="0" applyFont="1" applyFill="1" applyAlignment="1">
      <alignment horizontal="left" vertical="center" wrapText="1"/>
    </xf>
    <xf numFmtId="0" fontId="33" fillId="15" borderId="0" xfId="0" applyFont="1" applyFill="1" applyAlignment="1">
      <alignment horizontal="left" vertical="center" wrapText="1"/>
    </xf>
    <xf numFmtId="0" fontId="33" fillId="21" borderId="0" xfId="0" applyFont="1" applyFill="1" applyAlignment="1">
      <alignment horizontal="left" vertical="center"/>
    </xf>
    <xf numFmtId="0" fontId="27" fillId="20" borderId="0" xfId="0" applyFont="1" applyFill="1" applyAlignment="1">
      <alignment horizontal="center" vertical="center" wrapText="1"/>
    </xf>
    <xf numFmtId="0" fontId="31" fillId="8" borderId="0" xfId="0" applyFont="1" applyFill="1" applyAlignment="1">
      <alignment horizontal="left" vertical="center" wrapText="1"/>
    </xf>
    <xf numFmtId="0" fontId="24" fillId="35" borderId="0" xfId="0" applyFont="1" applyFill="1" applyAlignment="1">
      <alignment horizontal="left" vertical="center"/>
    </xf>
    <xf numFmtId="0" fontId="49" fillId="36" borderId="0" xfId="0" applyFont="1" applyFill="1" applyAlignment="1">
      <alignment vertical="center" wrapText="1"/>
    </xf>
    <xf numFmtId="0" fontId="51" fillId="41" borderId="0" xfId="0" applyFont="1" applyFill="1" applyAlignment="1">
      <alignment vertical="center"/>
    </xf>
    <xf numFmtId="0" fontId="24" fillId="44" borderId="0" xfId="0" applyFont="1" applyFill="1" applyAlignment="1">
      <alignment vertical="center"/>
    </xf>
    <xf numFmtId="0" fontId="49" fillId="45" borderId="0" xfId="0" applyFont="1" applyFill="1" applyAlignment="1">
      <alignment vertical="center" wrapText="1"/>
    </xf>
    <xf numFmtId="0" fontId="51" fillId="49" borderId="0" xfId="0" applyFont="1" applyFill="1" applyAlignment="1">
      <alignment vertical="center"/>
    </xf>
    <xf numFmtId="0" fontId="27" fillId="46" borderId="0" xfId="0" applyFont="1" applyFill="1" applyAlignment="1">
      <alignment horizontal="center" vertical="center"/>
    </xf>
    <xf numFmtId="0" fontId="0" fillId="50" borderId="15" xfId="0" applyFill="1" applyBorder="1" applyAlignment="1">
      <alignment vertical="center" wrapText="1"/>
    </xf>
    <xf numFmtId="0" fontId="0" fillId="50" borderId="0" xfId="0" applyFill="1" applyAlignment="1">
      <alignment vertical="center" wrapText="1"/>
    </xf>
    <xf numFmtId="0" fontId="0" fillId="50" borderId="16" xfId="0" applyFill="1" applyBorder="1" applyAlignment="1">
      <alignment vertical="center" wrapText="1"/>
    </xf>
    <xf numFmtId="0" fontId="0" fillId="52" borderId="15" xfId="0" applyFill="1" applyBorder="1" applyAlignment="1">
      <alignment vertical="center" wrapText="1"/>
    </xf>
    <xf numFmtId="0" fontId="0" fillId="52" borderId="0" xfId="0" applyFill="1" applyAlignment="1">
      <alignment vertical="center" wrapText="1"/>
    </xf>
    <xf numFmtId="0" fontId="0" fillId="52" borderId="16" xfId="0" applyFill="1" applyBorder="1" applyAlignment="1">
      <alignment vertical="center" wrapText="1"/>
    </xf>
    <xf numFmtId="0" fontId="0" fillId="53" borderId="15" xfId="0" applyFill="1" applyBorder="1" applyAlignment="1">
      <alignment vertical="center" wrapText="1"/>
    </xf>
    <xf numFmtId="0" fontId="0" fillId="53" borderId="0" xfId="0" applyFill="1" applyAlignment="1">
      <alignment vertical="center" wrapText="1"/>
    </xf>
    <xf numFmtId="0" fontId="0" fillId="53" borderId="16" xfId="0" applyFill="1" applyBorder="1" applyAlignment="1">
      <alignment vertical="center" wrapText="1"/>
    </xf>
    <xf numFmtId="0" fontId="0" fillId="54" borderId="15" xfId="0" applyFill="1" applyBorder="1" applyAlignment="1">
      <alignment vertical="center" wrapText="1"/>
    </xf>
    <xf numFmtId="0" fontId="0" fillId="54" borderId="0" xfId="0" applyFill="1" applyAlignment="1">
      <alignment vertical="center" wrapText="1"/>
    </xf>
    <xf numFmtId="0" fontId="0" fillId="54" borderId="16" xfId="0" applyFill="1" applyBorder="1" applyAlignment="1">
      <alignment vertical="center" wrapText="1"/>
    </xf>
    <xf numFmtId="0" fontId="0" fillId="55" borderId="15" xfId="0" applyFill="1" applyBorder="1" applyAlignment="1">
      <alignment vertical="center" wrapText="1"/>
    </xf>
    <xf numFmtId="0" fontId="0" fillId="55" borderId="0" xfId="0" applyFill="1" applyAlignment="1">
      <alignment vertical="center" wrapText="1"/>
    </xf>
    <xf numFmtId="0" fontId="0" fillId="55" borderId="16" xfId="0" applyFill="1" applyBorder="1" applyAlignment="1">
      <alignment vertical="center" wrapText="1"/>
    </xf>
    <xf numFmtId="0" fontId="0" fillId="56" borderId="17" xfId="0" applyFill="1" applyBorder="1" applyAlignment="1">
      <alignment vertical="center" wrapText="1"/>
    </xf>
    <xf numFmtId="0" fontId="0" fillId="56" borderId="18" xfId="0" applyFill="1" applyBorder="1" applyAlignment="1">
      <alignment vertical="center" wrapText="1"/>
    </xf>
    <xf numFmtId="0" fontId="0" fillId="56" borderId="19" xfId="0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2" fillId="50" borderId="0" xfId="0" applyFont="1" applyFill="1" applyAlignment="1">
      <alignment vertical="center"/>
    </xf>
    <xf numFmtId="0" fontId="0" fillId="51" borderId="0" xfId="0" applyFill="1" applyAlignment="1">
      <alignment vertical="center" wrapText="1"/>
    </xf>
  </cellXfs>
  <cellStyles count="2">
    <cellStyle name="Hyperlink" xfId="1" xr:uid="{00000000-0005-0000-0000-000000000000}"/>
    <cellStyle name="Normal" xfId="0" builtinId="0"/>
  </cellStyles>
  <dxfs count="90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color rgb="FF9C0006"/>
      </font>
      <fill>
        <patternFill>
          <bgColor rgb="FFFCE8E6"/>
        </patternFill>
      </fill>
    </dxf>
    <dxf>
      <font>
        <b/>
      </font>
      <fill>
        <patternFill>
          <bgColor rgb="FFF4CC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</font>
      <fill>
        <patternFill>
          <bgColor rgb="FFE7E6E6"/>
        </patternFill>
      </fill>
    </dxf>
    <dxf>
      <fill>
        <patternFill>
          <bgColor rgb="FFD9EAF7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E7E6E6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D9EAF7"/>
        </patternFill>
      </fill>
    </dxf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E4DFEC"/>
        </patternFill>
      </fill>
    </dxf>
    <dxf>
      <font>
        <b/>
      </font>
      <fill>
        <patternFill>
          <bgColor rgb="FFDDEBF7"/>
        </patternFill>
      </fill>
    </dxf>
    <dxf>
      <font>
        <b/>
      </font>
      <fill>
        <patternFill>
          <bgColor rgb="FFD9EAF7"/>
        </patternFill>
      </fill>
    </dxf>
    <dxf>
      <font>
        <b/>
      </font>
      <fill>
        <patternFill>
          <bgColor rgb="FFE7E6E6"/>
        </patternFill>
      </fill>
    </dxf>
    <dxf>
      <font>
        <b/>
      </font>
      <fill>
        <patternFill>
          <bgColor rgb="FFD9EAF7"/>
        </patternFill>
      </fill>
    </dxf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E4DFEC"/>
        </patternFill>
      </fill>
    </dxf>
    <dxf>
      <font>
        <b/>
      </font>
      <fill>
        <patternFill>
          <bgColor rgb="FFDDEBF7"/>
        </patternFill>
      </fill>
    </dxf>
    <dxf>
      <font>
        <b/>
      </font>
      <fill>
        <patternFill>
          <bgColor rgb="FFD9EAF7"/>
        </patternFill>
      </fill>
    </dxf>
    <dxf>
      <font>
        <b/>
      </font>
      <fill>
        <patternFill>
          <bgColor rgb="FFE7E6E6"/>
        </patternFill>
      </fill>
    </dxf>
    <dxf>
      <font>
        <b/>
      </font>
      <fill>
        <patternFill>
          <bgColor rgb="FFDDEBF7"/>
        </patternFill>
      </fill>
    </dxf>
    <dxf>
      <font>
        <b/>
      </font>
      <fill>
        <patternFill>
          <bgColor rgb="FFE4DFEC"/>
        </patternFill>
      </fill>
    </dxf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Pack Readiness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Readiness</c:v>
          </c:tx>
          <c:invertIfNegative val="1"/>
          <c:cat>
            <c:strRef>
              <c:f>'Integrated R&amp;D–RA Lifecycle Man'!$D$8:$D$17</c:f>
              <c:strCache>
                <c:ptCount val="10"/>
                <c:pt idx="0">
                  <c:v>Project Route &amp; Planner Configuration</c:v>
                </c:pt>
                <c:pt idx="1">
                  <c:v>Finite Project</c:v>
                </c:pt>
                <c:pt idx="2">
                  <c:v>Development &amp; Technology Transfer</c:v>
                </c:pt>
                <c:pt idx="3">
                  <c:v>Stage-Gate Decision</c:v>
                </c:pt>
                <c:pt idx="4">
                  <c:v>Source-Document Requirement Engine</c:v>
                </c:pt>
                <c:pt idx="5">
                  <c:v>Work Package / Task / Process Instance</c:v>
                </c:pt>
                <c:pt idx="6">
                  <c:v>Controlled Source-Document Version</c:v>
                </c:pt>
                <c:pt idx="7">
                  <c:v>CTD Readiness &amp; RA Tasks</c:v>
                </c:pt>
                <c:pt idx="8">
                  <c:v>CTD Section &amp; Dossier Version</c:v>
                </c:pt>
                <c:pt idx="9">
                  <c:v>Lifecycle Trigger &amp; Work Order</c:v>
                </c:pt>
              </c:strCache>
            </c:strRef>
          </c:cat>
          <c:val>
            <c:numRef>
              <c:f>'Integrated R&amp;D–RA Lifecycle Man'!$E$8:$E$17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0.08</c:v>
                </c:pt>
                <c:pt idx="5">
                  <c:v>0.22</c:v>
                </c:pt>
                <c:pt idx="6">
                  <c:v>0.55000000000000004</c:v>
                </c:pt>
                <c:pt idx="7">
                  <c:v>0.05</c:v>
                </c:pt>
                <c:pt idx="8">
                  <c:v>0</c:v>
                </c:pt>
                <c:pt idx="9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4-C14C-92E5-C4B6949FA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0000000}" name="PVGCapabilityBlockTable" displayName="PVGCapabilityBlockTable" ref="A7:G25">
  <tableColumns count="7">
    <tableColumn id="1" xr3:uid="{00000000-0010-0000-0000-000001000000}" name="Seq."/>
    <tableColumn id="2" xr3:uid="{00000000-0010-0000-0000-000002000000}" name="Stage / Wave"/>
    <tableColumn id="3" xr3:uid="{00000000-0010-0000-0000-000003000000}" name="Module"/>
    <tableColumn id="4" xr3:uid="{00000000-0010-0000-0000-000004000000}" name="Module / Capability"/>
    <tableColumn id="5" xr3:uid="{00000000-0010-0000-0000-000005000000}" name="Required development scope"/>
    <tableColumn id="6" xr3:uid="{00000000-0010-0000-0000-000006000000}" name="Dependency / completion gate"/>
    <tableColumn id="7" xr3:uid="{00000000-0010-0000-0000-000007000000}" name="Delivery ro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1000000}" name="PVGFoundationReadinessTable" displayName="PVGFoundationReadinessTable" ref="A29:H38">
  <tableColumns count="8">
    <tableColumn id="1" xr3:uid="{00000000-0010-0000-0100-000001000000}" name="Module"/>
    <tableColumn id="2" xr3:uid="{00000000-0010-0000-0100-000002000000}" name="Actual status"/>
    <tableColumn id="3" xr3:uid="{00000000-0010-0000-0100-000003000000}" name="Completion %"/>
    <tableColumn id="4" xr3:uid="{00000000-0010-0000-0100-000004000000}" name="Production readiness %"/>
    <tableColumn id="5" xr3:uid="{00000000-0010-0000-0100-000005000000}" name="PV readiness"/>
    <tableColumn id="6" xr3:uid="{00000000-0010-0000-0100-000006000000}" name="Main blocker"/>
    <tableColumn id="7" xr3:uid="{00000000-0010-0000-0100-000007000000}" name="Recommendation"/>
    <tableColumn id="8" xr3:uid="{00000000-0010-0000-0100-000008000000}" name="PV plan 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2000000}" name="RnDRAPackReadiness" displayName="RnDRAPackReadiness" ref="C7:I17">
  <tableColumns count="7">
    <tableColumn id="1" xr3:uid="{00000000-0010-0000-0200-000001000000}" name="Pack"/>
    <tableColumn id="2" xr3:uid="{00000000-0010-0000-0200-000002000000}" name="Capability Pack"/>
    <tableColumn id="3" xr3:uid="{00000000-0010-0000-0200-000003000000}" name="Readiness"/>
    <tableColumn id="4" xr3:uid="{00000000-0010-0000-0200-000004000000}" name="Current State"/>
    <tableColumn id="5" xr3:uid="{00000000-0010-0000-0200-000005000000}" name="Critical Blocker"/>
    <tableColumn id="6" xr3:uid="{00000000-0010-0000-0200-000006000000}" name="Next Gate"/>
    <tableColumn id="7" xr3:uid="{00000000-0010-0000-0200-000007000000}" name="Primary Own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3000000}" name="RnDRAConsolidatedManagementPlanV5" displayName="RnDRAConsolidatedManagementPlanV5" ref="C21:Q65">
  <autoFilter ref="C21:Q65" xr:uid="{00000000-0009-0000-0100-00001A000000}">
    <filterColumn colId="3">
      <filters>
        <filter val="MOD-0007"/>
        <filter val="MOD-0018"/>
        <filter val="MOD-0021"/>
        <filter val="MOD-0022"/>
        <filter val="MOD-0023"/>
        <filter val="MOD-0024"/>
        <filter val="MOD-0025"/>
        <filter val="MOD-0026"/>
        <filter val="MOD-0027"/>
        <filter val="MOD-0028"/>
        <filter val="MOD-0029"/>
        <filter val="MOD-0030"/>
        <filter val="MOD-0031"/>
        <filter val="MOD-0044"/>
        <filter val="MOD-0048"/>
        <filter val="MOD-0052"/>
      </filters>
    </filterColumn>
  </autoFilter>
  <tableColumns count="15">
    <tableColumn id="1" xr3:uid="{00000000-0010-0000-0300-000001000000}" name="Seq"/>
    <tableColumn id="2" xr3:uid="{00000000-0010-0000-0300-000002000000}" name="Wave"/>
    <tableColumn id="3" xr3:uid="{00000000-0010-0000-0300-000003000000}" name="Layer"/>
    <tableColumn id="4" xr3:uid="{00000000-0010-0000-0300-000004000000}" name="Primary Module"/>
    <tableColumn id="5" xr3:uid="{00000000-0010-0000-0300-000005000000}" name="Related Modules"/>
    <tableColumn id="6" xr3:uid="{00000000-0010-0000-0300-000006000000}" name="Capability / Development Part"/>
    <tableColumn id="7" xr3:uid="{00000000-0010-0000-0300-000007000000}" name="Required Development Scope"/>
    <tableColumn id="8" xr3:uid="{00000000-0010-0000-0300-000008000000}" name="Packs"/>
    <tableColumn id="9" xr3:uid="{00000000-0010-0000-0300-000009000000}" name="Priority"/>
    <tableColumn id="10" xr3:uid="{00000000-0010-0000-0300-00000A000000}" name="Scope Class"/>
    <tableColumn id="11" xr3:uid="{00000000-0010-0000-0300-00000B000000}" name="Readiness"/>
    <tableColumn id="12" xr3:uid="{00000000-0010-0000-0300-00000C000000}" name="Confidence"/>
    <tableColumn id="13" xr3:uid="{00000000-0010-0000-0300-00000D000000}" name="Evidence / Data Quality Note"/>
    <tableColumn id="14" xr3:uid="{00000000-0010-0000-0300-00000E000000}" name="Completion / Dependency Gate"/>
    <tableColumn id="15" xr3:uid="{00000000-0010-0000-0300-00000F000000}" name="Code-Reality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D000000}" name="AIAgentPlatformCapBlockTable" displayName="AIAgentPlatformCapBlockTable" ref="A9:Q21" totalsRowShown="0">
  <tableColumns count="17">
    <tableColumn id="1" xr3:uid="{00000000-0010-0000-0D00-000001000000}" name="Seq"/>
    <tableColumn id="2" xr3:uid="{00000000-0010-0000-0D00-000002000000}" name="Wave / Lane"/>
    <tableColumn id="3" xr3:uid="{00000000-0010-0000-0D00-000003000000}" name="Layer"/>
    <tableColumn id="4" xr3:uid="{00000000-0010-0000-0D00-000004000000}" name="Primary Module"/>
    <tableColumn id="5" xr3:uid="{00000000-0010-0000-0D00-000005000000}" name="Related / Reused Modules"/>
    <tableColumn id="6" xr3:uid="{00000000-0010-0000-0D00-000006000000}" name="Capability / Development Part"/>
    <tableColumn id="7" xr3:uid="{00000000-0010-0000-0D00-000007000000}" name="Required Development Scope"/>
    <tableColumn id="8" xr3:uid="{00000000-0010-0000-0D00-000008000000}" name="Primary Soft Pages / Surfaces"/>
    <tableColumn id="9" xr3:uid="{00000000-0010-0000-0D00-000009000000}" name="Dependency / Completion Gate"/>
    <tableColumn id="10" xr3:uid="{00000000-0010-0000-0D00-00000A000000}" name="Minimum Integration Contracts"/>
    <tableColumn id="11" xr3:uid="{00000000-0010-0000-0D00-00000B000000}" name="SoR / Boundary Rule"/>
    <tableColumn id="12" xr3:uid="{00000000-0010-0000-0D00-00000C000000}" name="AI Risk"/>
    <tableColumn id="13" xr3:uid="{00000000-0010-0000-0D00-00000D000000}" name="Priority"/>
    <tableColumn id="14" xr3:uid="{00000000-0010-0000-0D00-00000E000000}" name="Current Readiness"/>
    <tableColumn id="15" xr3:uid="{00000000-0010-0000-0D00-00000F000000}" name="Evidence / Data Quality Note"/>
    <tableColumn id="16" xr3:uid="{00000000-0010-0000-0D00-000010000000}" name="Completion / Release Gate"/>
    <tableColumn id="17" xr3:uid="{00000000-0010-0000-0D00-000011000000}" name="Runtime Vertical-Slice / Golden-Flow Require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E000000}" name="SupplyPlanningMVPTable" displayName="SupplyPlanningMVPTable" ref="A10:R16" totalsRowShown="0" headerRowDxfId="9" dataDxfId="8">
  <tableColumns count="18">
    <tableColumn id="1" xr3:uid="{00000000-0010-0000-0E00-000001000000}" name="Seq" dataDxfId="27"/>
    <tableColumn id="2" xr3:uid="{00000000-0010-0000-0E00-000002000000}" name="MVP" dataDxfId="26"/>
    <tableColumn id="3" xr3:uid="{00000000-0010-0000-0E00-000003000000}" name="Wave / Lane" dataDxfId="25"/>
    <tableColumn id="4" xr3:uid="{00000000-0010-0000-0E00-000004000000}" name="Primary Module(s)" dataDxfId="24"/>
    <tableColumn id="5" xr3:uid="{00000000-0010-0000-0E00-000005000000}" name="Related / Supporting Modules" dataDxfId="23"/>
    <tableColumn id="6" xr3:uid="{00000000-0010-0000-0E00-000006000000}" name="Capability / Development Part" dataDxfId="22"/>
    <tableColumn id="7" xr3:uid="{00000000-0010-0000-0E00-000007000000}" name="Required Development Scope" dataDxfId="21"/>
    <tableColumn id="8" xr3:uid="{00000000-0010-0000-0E00-000008000000}" name="Primary Business Golden Flow" dataDxfId="20"/>
    <tableColumn id="9" xr3:uid="{00000000-0010-0000-0E00-000009000000}" name="Dependency / Completion Gate" dataDxfId="19"/>
    <tableColumn id="10" xr3:uid="{00000000-0010-0000-0E00-00000A000000}" name="Key Interfaces / Events" dataDxfId="18"/>
    <tableColumn id="11" xr3:uid="{00000000-0010-0000-0E00-00000B000000}" name="SoR / Boundary Rule" dataDxfId="17"/>
    <tableColumn id="12" xr3:uid="{00000000-0010-0000-0E00-00000C000000}" name="Priority" dataDxfId="16"/>
    <tableColumn id="13" xr3:uid="{00000000-0010-0000-0E00-00000D000000}" name="Readiness / Status" dataDxfId="15"/>
    <tableColumn id="14" xr3:uid="{00000000-0010-0000-0E00-00000E000000}" name="Evidence / Data Quality Note" dataDxfId="14"/>
    <tableColumn id="15" xr3:uid="{00000000-0010-0000-0E00-00000F000000}" name="Exit Gate" dataDxfId="13"/>
    <tableColumn id="16" xr3:uid="{00000000-0010-0000-0E00-000010000000}" name="Parallelization / Sequencing Note" dataDxfId="12"/>
    <tableColumn id="17" xr3:uid="{00000000-0010-0000-0E00-000011000000}" name="Runtime Vertical-Slice Requirement" dataDxfId="11"/>
    <tableColumn id="18" xr3:uid="{00000000-0010-0000-0E00-000012000000}" name="Release Outcome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F000000}" name="SupplyPlanningModuleRoster" displayName="SupplyPlanningModuleRoster" ref="A20:F50" totalsRowShown="0" headerRowDxfId="1" dataDxfId="0">
  <tableColumns count="6">
    <tableColumn id="1" xr3:uid="{00000000-0010-0000-0F00-000001000000}" name="Capability Area" dataDxfId="7"/>
    <tableColumn id="2" xr3:uid="{00000000-0010-0000-0F00-000002000000}" name="Module" dataDxfId="6"/>
    <tableColumn id="3" xr3:uid="{00000000-0010-0000-0F00-000003000000}" name="Canonical Role" dataDxfId="5"/>
    <tableColumn id="4" xr3:uid="{00000000-0010-0000-0F00-000004000000}" name="MVP" dataDxfId="4"/>
    <tableColumn id="5" xr3:uid="{00000000-0010-0000-0F00-000005000000}" name="Core / Supporting" dataDxfId="3"/>
    <tableColumn id="6" xr3:uid="{00000000-0010-0000-0F00-000006000000}" name="Boundary / 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C2:F19"/>
  <sheetViews>
    <sheetView workbookViewId="0"/>
  </sheetViews>
  <sheetFormatPr baseColWidth="10" defaultColWidth="36.83203125" defaultRowHeight="13"/>
  <cols>
    <col min="1" max="2" width="3" customWidth="1"/>
    <col min="3" max="3" width="10.1640625" customWidth="1"/>
    <col min="4" max="4" width="29.6640625" customWidth="1"/>
    <col min="5" max="5" width="77.1640625" customWidth="1"/>
    <col min="6" max="6" width="52.1640625" customWidth="1"/>
  </cols>
  <sheetData>
    <row r="2" spans="3:6" ht="15">
      <c r="C2" s="24" t="s">
        <v>0</v>
      </c>
      <c r="D2" s="24" t="s">
        <v>1</v>
      </c>
      <c r="E2" s="24" t="s">
        <v>2</v>
      </c>
      <c r="F2" s="24" t="s">
        <v>3</v>
      </c>
    </row>
    <row r="3" spans="3:6">
      <c r="C3" s="5" t="s">
        <v>4</v>
      </c>
      <c r="D3" s="5" t="s">
        <v>5</v>
      </c>
      <c r="E3" s="5" t="s">
        <v>6</v>
      </c>
      <c r="F3" s="5" t="s">
        <v>7</v>
      </c>
    </row>
    <row r="4" spans="3:6" ht="24">
      <c r="C4" s="5" t="s">
        <v>4</v>
      </c>
      <c r="D4" s="5" t="s">
        <v>8</v>
      </c>
      <c r="E4" s="5" t="s">
        <v>9</v>
      </c>
      <c r="F4" s="5" t="s">
        <v>10</v>
      </c>
    </row>
    <row r="5" spans="3:6" ht="24">
      <c r="C5" s="5" t="s">
        <v>4</v>
      </c>
      <c r="D5" s="5" t="s">
        <v>11</v>
      </c>
      <c r="E5" s="5" t="s">
        <v>12</v>
      </c>
      <c r="F5" s="5" t="s">
        <v>13</v>
      </c>
    </row>
    <row r="6" spans="3:6">
      <c r="C6" s="5" t="s">
        <v>4</v>
      </c>
      <c r="D6" s="5" t="s">
        <v>14</v>
      </c>
      <c r="E6" s="5" t="s">
        <v>15</v>
      </c>
      <c r="F6" s="5" t="s">
        <v>16</v>
      </c>
    </row>
    <row r="7" spans="3:6" ht="24">
      <c r="C7" s="5" t="s">
        <v>17</v>
      </c>
      <c r="D7" s="5" t="s">
        <v>18</v>
      </c>
      <c r="E7" s="5" t="s">
        <v>19</v>
      </c>
      <c r="F7" s="5" t="s">
        <v>20</v>
      </c>
    </row>
    <row r="8" spans="3:6">
      <c r="C8" s="5" t="s">
        <v>17</v>
      </c>
      <c r="D8" s="5" t="s">
        <v>21</v>
      </c>
      <c r="E8" s="5" t="s">
        <v>22</v>
      </c>
      <c r="F8" s="5" t="s">
        <v>23</v>
      </c>
    </row>
    <row r="9" spans="3:6" ht="24">
      <c r="C9" s="5" t="s">
        <v>17</v>
      </c>
      <c r="D9" s="5" t="s">
        <v>24</v>
      </c>
      <c r="E9" s="5" t="s">
        <v>25</v>
      </c>
      <c r="F9" s="5" t="s">
        <v>26</v>
      </c>
    </row>
    <row r="10" spans="3:6">
      <c r="C10" s="5" t="s">
        <v>17</v>
      </c>
      <c r="D10" s="5" t="s">
        <v>27</v>
      </c>
      <c r="E10" s="5" t="s">
        <v>28</v>
      </c>
      <c r="F10" s="5" t="s">
        <v>29</v>
      </c>
    </row>
    <row r="11" spans="3:6" ht="24">
      <c r="C11" s="5" t="s">
        <v>30</v>
      </c>
      <c r="D11" s="5" t="s">
        <v>31</v>
      </c>
      <c r="E11" s="5" t="s">
        <v>32</v>
      </c>
      <c r="F11" s="5" t="s">
        <v>33</v>
      </c>
    </row>
    <row r="12" spans="3:6" ht="24">
      <c r="C12" s="5" t="s">
        <v>30</v>
      </c>
      <c r="D12" s="5" t="s">
        <v>34</v>
      </c>
      <c r="E12" s="5" t="s">
        <v>35</v>
      </c>
      <c r="F12" s="5" t="s">
        <v>36</v>
      </c>
    </row>
    <row r="13" spans="3:6" ht="24">
      <c r="C13" s="5" t="s">
        <v>30</v>
      </c>
      <c r="D13" s="5" t="s">
        <v>37</v>
      </c>
      <c r="E13" s="5" t="s">
        <v>38</v>
      </c>
      <c r="F13" s="5" t="s">
        <v>39</v>
      </c>
    </row>
    <row r="14" spans="3:6">
      <c r="C14" s="5" t="s">
        <v>30</v>
      </c>
      <c r="D14" s="5" t="s">
        <v>40</v>
      </c>
      <c r="E14" s="5" t="s">
        <v>41</v>
      </c>
      <c r="F14" s="5" t="s">
        <v>42</v>
      </c>
    </row>
    <row r="15" spans="3:6" ht="24">
      <c r="C15" s="5" t="s">
        <v>30</v>
      </c>
      <c r="D15" s="5" t="s">
        <v>43</v>
      </c>
      <c r="E15" s="5" t="s">
        <v>44</v>
      </c>
      <c r="F15" s="5" t="s">
        <v>45</v>
      </c>
    </row>
    <row r="16" spans="3:6">
      <c r="C16" s="5" t="s">
        <v>46</v>
      </c>
      <c r="D16" s="5" t="s">
        <v>47</v>
      </c>
      <c r="E16" s="5" t="s">
        <v>48</v>
      </c>
      <c r="F16" s="5" t="s">
        <v>49</v>
      </c>
    </row>
    <row r="17" spans="3:6">
      <c r="C17" s="5" t="s">
        <v>46</v>
      </c>
      <c r="D17" s="5" t="s">
        <v>50</v>
      </c>
      <c r="E17" s="5" t="s">
        <v>51</v>
      </c>
      <c r="F17" s="5" t="s">
        <v>52</v>
      </c>
    </row>
    <row r="18" spans="3:6">
      <c r="C18" s="5" t="s">
        <v>46</v>
      </c>
      <c r="D18" s="5" t="s">
        <v>53</v>
      </c>
      <c r="E18" s="5" t="s">
        <v>54</v>
      </c>
      <c r="F18" s="5" t="s">
        <v>55</v>
      </c>
    </row>
    <row r="19" spans="3:6" ht="24">
      <c r="C19" s="5" t="s">
        <v>46</v>
      </c>
      <c r="D19" s="5" t="s">
        <v>56</v>
      </c>
      <c r="E19" s="5" t="s">
        <v>57</v>
      </c>
      <c r="F19" s="5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tabSelected="1" workbookViewId="0">
      <selection activeCell="F18" sqref="F18"/>
    </sheetView>
  </sheetViews>
  <sheetFormatPr baseColWidth="10" defaultColWidth="8.83203125" defaultRowHeight="13"/>
  <cols>
    <col min="1" max="1" width="8" style="102" customWidth="1"/>
    <col min="2" max="2" width="25" style="102" customWidth="1"/>
    <col min="3" max="3" width="31" style="102" customWidth="1"/>
    <col min="4" max="4" width="35" style="102" customWidth="1"/>
    <col min="5" max="5" width="52" style="102" customWidth="1"/>
    <col min="6" max="6" width="55" style="102" customWidth="1"/>
    <col min="7" max="7" width="30" style="102" customWidth="1"/>
    <col min="8" max="8" width="38" style="102" customWidth="1"/>
    <col min="9" max="9" width="30" style="102" customWidth="1"/>
    <col min="10" max="10" width="50" style="102" customWidth="1"/>
    <col min="11" max="11" width="40" style="102" customWidth="1"/>
    <col min="12" max="16384" width="8.83203125" style="102"/>
  </cols>
  <sheetData>
    <row r="1" spans="1:11" ht="23">
      <c r="A1" s="145" t="s">
        <v>59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>
      <c r="A2" s="146" t="s">
        <v>60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</row>
    <row r="3" spans="1:11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5" spans="1:11" ht="28">
      <c r="A5" s="103" t="s">
        <v>61</v>
      </c>
      <c r="B5" s="103" t="s">
        <v>62</v>
      </c>
      <c r="C5" s="103" t="s">
        <v>63</v>
      </c>
      <c r="D5" s="103">
        <v>4</v>
      </c>
      <c r="E5" s="103" t="s">
        <v>64</v>
      </c>
      <c r="F5" s="103">
        <v>5</v>
      </c>
      <c r="G5" s="103" t="s">
        <v>65</v>
      </c>
      <c r="H5" s="103" t="s">
        <v>66</v>
      </c>
      <c r="I5" s="103" t="s">
        <v>67</v>
      </c>
      <c r="J5" s="103" t="s">
        <v>68</v>
      </c>
      <c r="K5" s="103" t="s">
        <v>69</v>
      </c>
    </row>
    <row r="7" spans="1:11" ht="14">
      <c r="A7" s="104" t="s">
        <v>70</v>
      </c>
      <c r="B7" s="104" t="s">
        <v>71</v>
      </c>
      <c r="C7" s="104" t="s">
        <v>30</v>
      </c>
      <c r="D7" s="104" t="s">
        <v>72</v>
      </c>
      <c r="E7" s="104" t="s">
        <v>73</v>
      </c>
      <c r="F7" s="104" t="s">
        <v>74</v>
      </c>
      <c r="G7" s="104" t="s">
        <v>75</v>
      </c>
      <c r="H7" s="104" t="s">
        <v>76</v>
      </c>
      <c r="I7" s="104" t="s">
        <v>77</v>
      </c>
      <c r="J7" s="104" t="s">
        <v>78</v>
      </c>
      <c r="K7" s="104" t="s">
        <v>79</v>
      </c>
    </row>
    <row r="8" spans="1:11" ht="65">
      <c r="A8" s="105" t="s">
        <v>80</v>
      </c>
      <c r="B8" s="105" t="s">
        <v>81</v>
      </c>
      <c r="C8" s="106" t="s">
        <v>82</v>
      </c>
      <c r="D8" s="107" t="s">
        <v>83</v>
      </c>
      <c r="E8" s="107" t="s">
        <v>84</v>
      </c>
      <c r="F8" s="107" t="s">
        <v>85</v>
      </c>
      <c r="G8" s="105" t="s">
        <v>86</v>
      </c>
      <c r="H8" s="108" t="s">
        <v>87</v>
      </c>
      <c r="I8" s="109" t="s">
        <v>88</v>
      </c>
      <c r="J8" s="108" t="s">
        <v>89</v>
      </c>
      <c r="K8" s="108" t="s">
        <v>90</v>
      </c>
    </row>
    <row r="9" spans="1:11" ht="39">
      <c r="A9" s="105" t="s">
        <v>91</v>
      </c>
      <c r="B9" s="105" t="s">
        <v>92</v>
      </c>
      <c r="C9" s="106" t="s">
        <v>93</v>
      </c>
      <c r="D9" s="107" t="s">
        <v>94</v>
      </c>
      <c r="E9" s="107" t="s">
        <v>95</v>
      </c>
      <c r="F9" s="107" t="s">
        <v>96</v>
      </c>
      <c r="G9" s="105" t="s">
        <v>97</v>
      </c>
      <c r="H9" s="110" t="s">
        <v>98</v>
      </c>
      <c r="I9" s="111" t="s">
        <v>99</v>
      </c>
      <c r="J9" s="110" t="s">
        <v>100</v>
      </c>
      <c r="K9" s="110" t="s">
        <v>101</v>
      </c>
    </row>
    <row r="10" spans="1:11" ht="39">
      <c r="A10" s="105" t="s">
        <v>102</v>
      </c>
      <c r="B10" s="105" t="s">
        <v>103</v>
      </c>
      <c r="C10" s="106" t="s">
        <v>104</v>
      </c>
      <c r="D10" s="107" t="s">
        <v>105</v>
      </c>
      <c r="E10" s="107" t="s">
        <v>106</v>
      </c>
      <c r="F10" s="107" t="s">
        <v>107</v>
      </c>
      <c r="G10" s="105" t="s">
        <v>108</v>
      </c>
      <c r="H10" s="110" t="s">
        <v>98</v>
      </c>
      <c r="I10" s="111" t="s">
        <v>109</v>
      </c>
      <c r="J10" s="110" t="s">
        <v>110</v>
      </c>
      <c r="K10" s="110" t="s">
        <v>111</v>
      </c>
    </row>
    <row r="11" spans="1:11" ht="39">
      <c r="A11" s="105" t="s">
        <v>112</v>
      </c>
      <c r="B11" s="105" t="s">
        <v>113</v>
      </c>
      <c r="C11" s="106" t="s">
        <v>114</v>
      </c>
      <c r="D11" s="107" t="s">
        <v>115</v>
      </c>
      <c r="E11" s="107" t="s">
        <v>116</v>
      </c>
      <c r="F11" s="107" t="s">
        <v>117</v>
      </c>
      <c r="G11" s="105" t="s">
        <v>118</v>
      </c>
      <c r="H11" s="110" t="s">
        <v>98</v>
      </c>
      <c r="I11" s="111" t="s">
        <v>119</v>
      </c>
      <c r="J11" s="110" t="s">
        <v>120</v>
      </c>
      <c r="K11" s="110" t="s">
        <v>121</v>
      </c>
    </row>
    <row r="12" spans="1:11" ht="78">
      <c r="A12" s="112" t="s">
        <v>122</v>
      </c>
      <c r="B12" s="112" t="s">
        <v>123</v>
      </c>
      <c r="C12" s="113" t="s">
        <v>66</v>
      </c>
      <c r="D12" s="114" t="s">
        <v>124</v>
      </c>
      <c r="E12" s="114" t="s">
        <v>125</v>
      </c>
      <c r="F12" s="114" t="s">
        <v>126</v>
      </c>
      <c r="G12" s="112" t="s">
        <v>127</v>
      </c>
      <c r="H12" s="110" t="s">
        <v>128</v>
      </c>
      <c r="I12" s="111" t="s">
        <v>129</v>
      </c>
      <c r="J12" s="110" t="s">
        <v>130</v>
      </c>
      <c r="K12" s="110" t="s">
        <v>131</v>
      </c>
    </row>
    <row r="13" spans="1:11" ht="39">
      <c r="A13" s="115" t="s">
        <v>132</v>
      </c>
      <c r="B13" s="115" t="s">
        <v>133</v>
      </c>
      <c r="C13" s="116" t="s">
        <v>134</v>
      </c>
      <c r="D13" s="117" t="s">
        <v>135</v>
      </c>
      <c r="E13" s="117" t="s">
        <v>136</v>
      </c>
      <c r="F13" s="117" t="s">
        <v>137</v>
      </c>
      <c r="G13" s="115" t="s">
        <v>138</v>
      </c>
      <c r="H13" s="117" t="s">
        <v>139</v>
      </c>
      <c r="I13" s="115" t="s">
        <v>140</v>
      </c>
      <c r="J13" s="117" t="s">
        <v>141</v>
      </c>
      <c r="K13" s="117" t="s">
        <v>142</v>
      </c>
    </row>
    <row r="14" spans="1:11" ht="39">
      <c r="A14" s="115" t="s">
        <v>143</v>
      </c>
      <c r="B14" s="115" t="s">
        <v>144</v>
      </c>
      <c r="C14" s="116" t="s">
        <v>145</v>
      </c>
      <c r="D14" s="117" t="s">
        <v>146</v>
      </c>
      <c r="E14" s="117" t="s">
        <v>147</v>
      </c>
      <c r="F14" s="117" t="s">
        <v>148</v>
      </c>
      <c r="G14" s="115" t="s">
        <v>149</v>
      </c>
      <c r="H14" s="117" t="s">
        <v>150</v>
      </c>
      <c r="I14" s="115" t="s">
        <v>151</v>
      </c>
      <c r="J14" s="117" t="s">
        <v>152</v>
      </c>
      <c r="K14" s="117" t="s">
        <v>153</v>
      </c>
    </row>
    <row r="15" spans="1:11" ht="39">
      <c r="A15" s="115" t="s">
        <v>154</v>
      </c>
      <c r="B15" s="115" t="s">
        <v>155</v>
      </c>
      <c r="C15" s="116" t="s">
        <v>156</v>
      </c>
      <c r="D15" s="117" t="s">
        <v>157</v>
      </c>
      <c r="E15" s="117" t="s">
        <v>158</v>
      </c>
      <c r="F15" s="117" t="s">
        <v>159</v>
      </c>
      <c r="G15" s="115" t="s">
        <v>160</v>
      </c>
      <c r="H15" s="117" t="s">
        <v>150</v>
      </c>
      <c r="I15" s="115" t="s">
        <v>151</v>
      </c>
      <c r="J15" s="117" t="s">
        <v>161</v>
      </c>
      <c r="K15" s="117" t="s">
        <v>162</v>
      </c>
    </row>
    <row r="16" spans="1:11" ht="39">
      <c r="A16" s="115" t="s">
        <v>163</v>
      </c>
      <c r="B16" s="115" t="s">
        <v>164</v>
      </c>
      <c r="C16" s="118" t="s">
        <v>165</v>
      </c>
      <c r="D16" s="117" t="s">
        <v>166</v>
      </c>
      <c r="E16" s="117" t="s">
        <v>167</v>
      </c>
      <c r="F16" s="117" t="s">
        <v>168</v>
      </c>
      <c r="G16" s="115" t="s">
        <v>169</v>
      </c>
      <c r="H16" s="117" t="s">
        <v>170</v>
      </c>
      <c r="I16" s="115" t="s">
        <v>171</v>
      </c>
      <c r="J16" s="117" t="s">
        <v>172</v>
      </c>
      <c r="K16" s="117" t="s">
        <v>173</v>
      </c>
    </row>
    <row r="17" spans="1:11" ht="39">
      <c r="A17" s="115" t="s">
        <v>174</v>
      </c>
      <c r="B17" s="115" t="s">
        <v>175</v>
      </c>
      <c r="C17" s="118" t="s">
        <v>176</v>
      </c>
      <c r="D17" s="117" t="s">
        <v>177</v>
      </c>
      <c r="E17" s="117" t="s">
        <v>178</v>
      </c>
      <c r="F17" s="117" t="s">
        <v>179</v>
      </c>
      <c r="G17" s="115" t="s">
        <v>180</v>
      </c>
      <c r="H17" s="119" t="s">
        <v>181</v>
      </c>
      <c r="I17" s="120" t="s">
        <v>182</v>
      </c>
      <c r="J17" s="119" t="s">
        <v>183</v>
      </c>
      <c r="K17" s="119" t="s">
        <v>184</v>
      </c>
    </row>
    <row r="18" spans="1:11" ht="39">
      <c r="A18" s="115" t="s">
        <v>185</v>
      </c>
      <c r="B18" s="115" t="s">
        <v>186</v>
      </c>
      <c r="C18" s="118" t="s">
        <v>176</v>
      </c>
      <c r="D18" s="117" t="s">
        <v>187</v>
      </c>
      <c r="E18" s="117" t="s">
        <v>188</v>
      </c>
      <c r="F18" s="117" t="s">
        <v>189</v>
      </c>
      <c r="G18" s="115" t="s">
        <v>190</v>
      </c>
      <c r="H18" s="119" t="s">
        <v>181</v>
      </c>
      <c r="I18" s="120" t="s">
        <v>182</v>
      </c>
      <c r="J18" s="119" t="s">
        <v>191</v>
      </c>
      <c r="K18" s="119" t="s">
        <v>192</v>
      </c>
    </row>
    <row r="19" spans="1:11" ht="26">
      <c r="A19" s="115" t="s">
        <v>193</v>
      </c>
      <c r="B19" s="115" t="s">
        <v>194</v>
      </c>
      <c r="C19" s="118" t="s">
        <v>176</v>
      </c>
      <c r="D19" s="117" t="s">
        <v>195</v>
      </c>
      <c r="E19" s="117" t="s">
        <v>196</v>
      </c>
      <c r="F19" s="117" t="s">
        <v>197</v>
      </c>
      <c r="G19" s="115" t="s">
        <v>198</v>
      </c>
      <c r="H19" s="119" t="s">
        <v>181</v>
      </c>
      <c r="I19" s="120" t="s">
        <v>182</v>
      </c>
      <c r="J19" s="119" t="s">
        <v>199</v>
      </c>
      <c r="K19" s="119" t="s">
        <v>192</v>
      </c>
    </row>
    <row r="20" spans="1:11" ht="39">
      <c r="A20" s="115" t="s">
        <v>200</v>
      </c>
      <c r="B20" s="115" t="s">
        <v>201</v>
      </c>
      <c r="C20" s="118" t="s">
        <v>176</v>
      </c>
      <c r="D20" s="117" t="s">
        <v>202</v>
      </c>
      <c r="E20" s="117" t="s">
        <v>203</v>
      </c>
      <c r="F20" s="117" t="s">
        <v>204</v>
      </c>
      <c r="G20" s="115" t="s">
        <v>205</v>
      </c>
      <c r="H20" s="119" t="s">
        <v>181</v>
      </c>
      <c r="I20" s="120" t="s">
        <v>182</v>
      </c>
      <c r="J20" s="119" t="s">
        <v>206</v>
      </c>
      <c r="K20" s="119" t="s">
        <v>192</v>
      </c>
    </row>
    <row r="21" spans="1:11" ht="39">
      <c r="A21" s="115" t="s">
        <v>207</v>
      </c>
      <c r="B21" s="115" t="s">
        <v>208</v>
      </c>
      <c r="C21" s="118" t="s">
        <v>176</v>
      </c>
      <c r="D21" s="117" t="s">
        <v>209</v>
      </c>
      <c r="E21" s="117" t="s">
        <v>210</v>
      </c>
      <c r="F21" s="117" t="s">
        <v>211</v>
      </c>
      <c r="G21" s="115" t="s">
        <v>212</v>
      </c>
      <c r="H21" s="119" t="s">
        <v>181</v>
      </c>
      <c r="I21" s="120" t="s">
        <v>182</v>
      </c>
      <c r="J21" s="119" t="s">
        <v>213</v>
      </c>
      <c r="K21" s="119" t="s">
        <v>192</v>
      </c>
    </row>
    <row r="22" spans="1:11" ht="39">
      <c r="A22" s="115" t="s">
        <v>214</v>
      </c>
      <c r="B22" s="115" t="s">
        <v>215</v>
      </c>
      <c r="C22" s="118" t="s">
        <v>176</v>
      </c>
      <c r="D22" s="117" t="s">
        <v>216</v>
      </c>
      <c r="E22" s="117" t="s">
        <v>217</v>
      </c>
      <c r="F22" s="117" t="s">
        <v>218</v>
      </c>
      <c r="G22" s="115" t="s">
        <v>219</v>
      </c>
      <c r="H22" s="119" t="s">
        <v>220</v>
      </c>
      <c r="I22" s="120" t="s">
        <v>221</v>
      </c>
      <c r="J22" s="119" t="s">
        <v>222</v>
      </c>
      <c r="K22" s="119" t="s">
        <v>223</v>
      </c>
    </row>
    <row r="23" spans="1:11" ht="26">
      <c r="A23" s="115" t="s">
        <v>224</v>
      </c>
      <c r="B23" s="115" t="s">
        <v>225</v>
      </c>
      <c r="C23" s="118" t="s">
        <v>176</v>
      </c>
      <c r="D23" s="117" t="s">
        <v>226</v>
      </c>
      <c r="E23" s="117" t="s">
        <v>227</v>
      </c>
      <c r="F23" s="117" t="s">
        <v>228</v>
      </c>
      <c r="G23" s="115" t="s">
        <v>229</v>
      </c>
      <c r="H23" s="119" t="s">
        <v>181</v>
      </c>
      <c r="I23" s="120" t="s">
        <v>182</v>
      </c>
      <c r="J23" s="119" t="s">
        <v>230</v>
      </c>
      <c r="K23" s="119" t="s">
        <v>192</v>
      </c>
    </row>
    <row r="24" spans="1:11" ht="39">
      <c r="A24" s="115" t="s">
        <v>231</v>
      </c>
      <c r="B24" s="115" t="s">
        <v>232</v>
      </c>
      <c r="C24" s="118" t="s">
        <v>176</v>
      </c>
      <c r="D24" s="117" t="s">
        <v>233</v>
      </c>
      <c r="E24" s="117" t="s">
        <v>234</v>
      </c>
      <c r="F24" s="117" t="s">
        <v>235</v>
      </c>
      <c r="G24" s="115" t="s">
        <v>236</v>
      </c>
      <c r="H24" s="119" t="s">
        <v>181</v>
      </c>
      <c r="I24" s="120" t="s">
        <v>182</v>
      </c>
      <c r="J24" s="119" t="s">
        <v>237</v>
      </c>
      <c r="K24" s="119" t="s">
        <v>192</v>
      </c>
    </row>
    <row r="25" spans="1:11" ht="39">
      <c r="A25" s="115" t="s">
        <v>238</v>
      </c>
      <c r="B25" s="115" t="s">
        <v>239</v>
      </c>
      <c r="C25" s="116" t="s">
        <v>176</v>
      </c>
      <c r="D25" s="117" t="s">
        <v>240</v>
      </c>
      <c r="E25" s="117" t="s">
        <v>241</v>
      </c>
      <c r="F25" s="117" t="s">
        <v>242</v>
      </c>
      <c r="G25" s="115" t="s">
        <v>243</v>
      </c>
      <c r="H25" s="119" t="s">
        <v>181</v>
      </c>
      <c r="I25" s="120" t="s">
        <v>182</v>
      </c>
      <c r="J25" s="119" t="s">
        <v>244</v>
      </c>
      <c r="K25" s="119" t="s">
        <v>192</v>
      </c>
    </row>
    <row r="28" spans="1:11" ht="17">
      <c r="A28" s="147" t="s">
        <v>245</v>
      </c>
      <c r="B28" s="147"/>
      <c r="C28" s="147"/>
      <c r="D28" s="147"/>
      <c r="E28" s="147"/>
      <c r="F28" s="147"/>
      <c r="G28" s="147"/>
      <c r="H28" s="147"/>
      <c r="I28" s="147"/>
      <c r="J28" s="147"/>
      <c r="K28" s="147"/>
    </row>
    <row r="29" spans="1:11" ht="14">
      <c r="A29" s="104" t="s">
        <v>30</v>
      </c>
      <c r="B29" s="104" t="s">
        <v>246</v>
      </c>
      <c r="C29" s="104" t="s">
        <v>247</v>
      </c>
      <c r="D29" s="104" t="s">
        <v>248</v>
      </c>
      <c r="E29" s="104" t="s">
        <v>249</v>
      </c>
      <c r="F29" s="104" t="s">
        <v>250</v>
      </c>
      <c r="G29" s="104" t="s">
        <v>251</v>
      </c>
      <c r="H29" s="104" t="s">
        <v>252</v>
      </c>
    </row>
    <row r="30" spans="1:11" ht="26">
      <c r="A30" s="108" t="s">
        <v>253</v>
      </c>
      <c r="B30" s="108" t="s">
        <v>254</v>
      </c>
      <c r="C30" s="108" t="s">
        <v>255</v>
      </c>
      <c r="D30" s="108" t="s">
        <v>256</v>
      </c>
      <c r="E30" s="108" t="s">
        <v>257</v>
      </c>
      <c r="F30" s="108" t="s">
        <v>258</v>
      </c>
      <c r="G30" s="108" t="s">
        <v>259</v>
      </c>
      <c r="H30" s="108" t="s">
        <v>260</v>
      </c>
    </row>
    <row r="31" spans="1:11" ht="26">
      <c r="A31" s="110" t="s">
        <v>261</v>
      </c>
      <c r="B31" s="110" t="s">
        <v>262</v>
      </c>
      <c r="C31" s="110" t="s">
        <v>263</v>
      </c>
      <c r="D31" s="110" t="s">
        <v>264</v>
      </c>
      <c r="E31" s="110" t="s">
        <v>265</v>
      </c>
      <c r="F31" s="110" t="s">
        <v>266</v>
      </c>
      <c r="G31" s="110" t="s">
        <v>267</v>
      </c>
      <c r="H31" s="110" t="s">
        <v>268</v>
      </c>
    </row>
    <row r="32" spans="1:11" ht="26">
      <c r="A32" s="108" t="s">
        <v>269</v>
      </c>
      <c r="B32" s="108" t="s">
        <v>270</v>
      </c>
      <c r="C32" s="108" t="s">
        <v>271</v>
      </c>
      <c r="D32" s="108" t="s">
        <v>256</v>
      </c>
      <c r="E32" s="108" t="s">
        <v>257</v>
      </c>
      <c r="F32" s="108" t="s">
        <v>272</v>
      </c>
      <c r="G32" s="108" t="s">
        <v>273</v>
      </c>
      <c r="H32" s="108" t="s">
        <v>274</v>
      </c>
    </row>
    <row r="33" spans="1:11" ht="26">
      <c r="A33" s="110" t="s">
        <v>275</v>
      </c>
      <c r="B33" s="110" t="s">
        <v>276</v>
      </c>
      <c r="C33" s="110" t="s">
        <v>277</v>
      </c>
      <c r="D33" s="110" t="s">
        <v>264</v>
      </c>
      <c r="E33" s="110" t="s">
        <v>265</v>
      </c>
      <c r="F33" s="110" t="s">
        <v>278</v>
      </c>
      <c r="G33" s="110" t="s">
        <v>267</v>
      </c>
      <c r="H33" s="110" t="s">
        <v>279</v>
      </c>
    </row>
    <row r="34" spans="1:11" ht="26">
      <c r="A34" s="110" t="s">
        <v>280</v>
      </c>
      <c r="B34" s="110" t="s">
        <v>262</v>
      </c>
      <c r="C34" s="110" t="s">
        <v>281</v>
      </c>
      <c r="D34" s="110" t="s">
        <v>282</v>
      </c>
      <c r="E34" s="110" t="s">
        <v>265</v>
      </c>
      <c r="F34" s="110" t="s">
        <v>283</v>
      </c>
      <c r="G34" s="110" t="s">
        <v>267</v>
      </c>
      <c r="H34" s="110" t="s">
        <v>284</v>
      </c>
    </row>
    <row r="35" spans="1:11" ht="26">
      <c r="A35" s="110" t="s">
        <v>285</v>
      </c>
      <c r="B35" s="110" t="s">
        <v>262</v>
      </c>
      <c r="C35" s="110" t="s">
        <v>286</v>
      </c>
      <c r="D35" s="110" t="s">
        <v>264</v>
      </c>
      <c r="E35" s="110" t="s">
        <v>265</v>
      </c>
      <c r="F35" s="110" t="s">
        <v>287</v>
      </c>
      <c r="G35" s="110" t="s">
        <v>267</v>
      </c>
      <c r="H35" s="110" t="s">
        <v>288</v>
      </c>
    </row>
    <row r="36" spans="1:11" ht="26">
      <c r="A36" s="108" t="s">
        <v>289</v>
      </c>
      <c r="B36" s="108" t="s">
        <v>254</v>
      </c>
      <c r="C36" s="108" t="s">
        <v>290</v>
      </c>
      <c r="D36" s="108" t="s">
        <v>256</v>
      </c>
      <c r="E36" s="108" t="s">
        <v>291</v>
      </c>
      <c r="F36" s="108" t="s">
        <v>292</v>
      </c>
      <c r="G36" s="108" t="s">
        <v>293</v>
      </c>
      <c r="H36" s="108" t="s">
        <v>294</v>
      </c>
    </row>
    <row r="37" spans="1:11" ht="26">
      <c r="A37" s="108" t="s">
        <v>295</v>
      </c>
      <c r="B37" s="108" t="s">
        <v>296</v>
      </c>
      <c r="C37" s="108" t="s">
        <v>297</v>
      </c>
      <c r="D37" s="108" t="s">
        <v>298</v>
      </c>
      <c r="E37" s="108" t="s">
        <v>265</v>
      </c>
      <c r="F37" s="108" t="s">
        <v>299</v>
      </c>
      <c r="G37" s="108" t="s">
        <v>300</v>
      </c>
      <c r="H37" s="108" t="s">
        <v>301</v>
      </c>
    </row>
    <row r="38" spans="1:11" ht="26">
      <c r="A38" s="108" t="s">
        <v>302</v>
      </c>
      <c r="B38" s="108" t="s">
        <v>254</v>
      </c>
      <c r="C38" s="108" t="s">
        <v>303</v>
      </c>
      <c r="D38" s="108" t="s">
        <v>256</v>
      </c>
      <c r="E38" s="108" t="s">
        <v>257</v>
      </c>
      <c r="F38" s="108" t="s">
        <v>304</v>
      </c>
      <c r="G38" s="108" t="s">
        <v>259</v>
      </c>
      <c r="H38" s="108" t="s">
        <v>305</v>
      </c>
    </row>
    <row r="40" spans="1:11">
      <c r="A40" s="148" t="s">
        <v>306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</row>
    <row r="41" spans="1:11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</row>
    <row r="42" spans="1:11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</row>
    <row r="47" spans="1:11">
      <c r="B47" s="121" t="s">
        <v>307</v>
      </c>
      <c r="C47" s="121" t="s">
        <v>30</v>
      </c>
      <c r="D47" s="121" t="s">
        <v>308</v>
      </c>
      <c r="E47" s="121" t="s">
        <v>309</v>
      </c>
      <c r="F47" s="121" t="s">
        <v>310</v>
      </c>
      <c r="G47" s="121" t="s">
        <v>311</v>
      </c>
    </row>
    <row r="48" spans="1:11" ht="78">
      <c r="B48" s="121">
        <v>1</v>
      </c>
      <c r="C48" s="121" t="s">
        <v>312</v>
      </c>
      <c r="D48" s="122" t="s">
        <v>313</v>
      </c>
      <c r="E48" s="122" t="s">
        <v>314</v>
      </c>
      <c r="F48" s="122" t="s">
        <v>315</v>
      </c>
      <c r="G48" s="122" t="s">
        <v>316</v>
      </c>
    </row>
    <row r="49" spans="2:7" ht="65">
      <c r="B49" s="121">
        <v>2</v>
      </c>
      <c r="C49" s="121" t="s">
        <v>317</v>
      </c>
      <c r="D49" s="122" t="s">
        <v>318</v>
      </c>
      <c r="E49" s="122" t="s">
        <v>319</v>
      </c>
      <c r="F49" s="122" t="s">
        <v>320</v>
      </c>
      <c r="G49" s="122" t="s">
        <v>321</v>
      </c>
    </row>
    <row r="50" spans="2:7" ht="56">
      <c r="B50" s="121">
        <v>3</v>
      </c>
      <c r="C50" s="121" t="s">
        <v>322</v>
      </c>
      <c r="D50" s="122" t="s">
        <v>323</v>
      </c>
      <c r="E50" s="122" t="s">
        <v>324</v>
      </c>
      <c r="F50" s="122" t="s">
        <v>325</v>
      </c>
      <c r="G50" s="122" t="s">
        <v>326</v>
      </c>
    </row>
    <row r="51" spans="2:7" ht="78">
      <c r="B51" s="121">
        <v>4</v>
      </c>
      <c r="C51" s="121" t="s">
        <v>327</v>
      </c>
      <c r="D51" s="122" t="s">
        <v>328</v>
      </c>
      <c r="E51" s="122" t="s">
        <v>329</v>
      </c>
      <c r="F51" s="122" t="s">
        <v>330</v>
      </c>
      <c r="G51" s="122" t="s">
        <v>331</v>
      </c>
    </row>
    <row r="52" spans="2:7" ht="65">
      <c r="B52" s="121">
        <v>5</v>
      </c>
      <c r="C52" s="121" t="s">
        <v>332</v>
      </c>
      <c r="D52" s="122" t="s">
        <v>333</v>
      </c>
      <c r="E52" s="122" t="s">
        <v>334</v>
      </c>
      <c r="F52" s="122" t="s">
        <v>335</v>
      </c>
      <c r="G52" s="122" t="s">
        <v>336</v>
      </c>
    </row>
    <row r="53" spans="2:7" ht="65">
      <c r="B53" s="121">
        <v>6</v>
      </c>
      <c r="C53" s="121" t="s">
        <v>337</v>
      </c>
      <c r="D53" s="122" t="s">
        <v>338</v>
      </c>
      <c r="E53" s="122" t="s">
        <v>339</v>
      </c>
      <c r="F53" s="122" t="s">
        <v>340</v>
      </c>
      <c r="G53" s="122" t="s">
        <v>341</v>
      </c>
    </row>
    <row r="54" spans="2:7" ht="78">
      <c r="B54" s="121">
        <v>7</v>
      </c>
      <c r="C54" s="121" t="s">
        <v>342</v>
      </c>
      <c r="D54" s="122" t="s">
        <v>343</v>
      </c>
      <c r="E54" s="122" t="s">
        <v>344</v>
      </c>
      <c r="F54" s="122" t="s">
        <v>345</v>
      </c>
      <c r="G54" s="122" t="s">
        <v>346</v>
      </c>
    </row>
    <row r="55" spans="2:7" ht="52">
      <c r="B55" s="121">
        <v>8</v>
      </c>
      <c r="C55" s="121" t="s">
        <v>347</v>
      </c>
      <c r="D55" s="122" t="s">
        <v>348</v>
      </c>
      <c r="E55" s="122" t="s">
        <v>349</v>
      </c>
      <c r="F55" s="122" t="s">
        <v>350</v>
      </c>
      <c r="G55" s="122" t="s">
        <v>351</v>
      </c>
    </row>
    <row r="56" spans="2:7" ht="65">
      <c r="B56" s="121">
        <v>9</v>
      </c>
      <c r="C56" s="121" t="s">
        <v>352</v>
      </c>
      <c r="D56" s="122" t="s">
        <v>353</v>
      </c>
      <c r="E56" s="122" t="s">
        <v>354</v>
      </c>
      <c r="F56" s="122" t="s">
        <v>355</v>
      </c>
      <c r="G56" s="122" t="s">
        <v>356</v>
      </c>
    </row>
  </sheetData>
  <mergeCells count="4">
    <mergeCell ref="A1:K1"/>
    <mergeCell ref="A2:K3"/>
    <mergeCell ref="A28:K28"/>
    <mergeCell ref="A40:K4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O80"/>
  <sheetViews>
    <sheetView workbookViewId="0"/>
  </sheetViews>
  <sheetFormatPr baseColWidth="10" defaultRowHeight="13"/>
  <cols>
    <col min="1" max="3" width="10.83203125" style="3"/>
    <col min="4" max="4" width="8.33203125" style="4" hidden="1" customWidth="1"/>
    <col min="5" max="5" width="19.33203125" style="3" customWidth="1"/>
    <col min="6" max="6" width="69.1640625" style="3" customWidth="1"/>
    <col min="7" max="7" width="10.83203125" style="4"/>
    <col min="8" max="8" width="80.83203125" style="3" customWidth="1"/>
    <col min="9" max="9" width="37" style="3" customWidth="1"/>
    <col min="10" max="16384" width="10.83203125" style="3"/>
  </cols>
  <sheetData>
    <row r="4" spans="3:15" ht="17">
      <c r="C4" s="7"/>
      <c r="D4" s="9" t="s">
        <v>357</v>
      </c>
      <c r="E4" s="8" t="s">
        <v>358</v>
      </c>
      <c r="F4" s="8" t="s">
        <v>72</v>
      </c>
      <c r="G4" s="9" t="s">
        <v>359</v>
      </c>
      <c r="H4" s="8" t="s">
        <v>360</v>
      </c>
      <c r="I4" s="8" t="s">
        <v>361</v>
      </c>
    </row>
    <row r="5" spans="3:15" ht="17">
      <c r="C5" s="6"/>
      <c r="D5" s="21">
        <v>1</v>
      </c>
      <c r="E5" s="10" t="s">
        <v>362</v>
      </c>
      <c r="F5" s="10" t="s">
        <v>363</v>
      </c>
      <c r="G5" s="11">
        <v>0</v>
      </c>
      <c r="H5" s="35" t="s">
        <v>364</v>
      </c>
      <c r="I5" s="35" t="s">
        <v>365</v>
      </c>
      <c r="J5" s="31"/>
      <c r="K5" s="4"/>
      <c r="L5" s="4"/>
      <c r="M5" s="4"/>
      <c r="N5" s="4"/>
      <c r="O5" s="4"/>
    </row>
    <row r="6" spans="3:15" ht="17">
      <c r="C6" s="6"/>
      <c r="D6" s="21">
        <v>2</v>
      </c>
      <c r="E6" s="10" t="s">
        <v>366</v>
      </c>
      <c r="F6" s="10" t="s">
        <v>367</v>
      </c>
      <c r="G6" s="11">
        <v>0</v>
      </c>
      <c r="H6" s="35" t="s">
        <v>364</v>
      </c>
      <c r="I6" s="35" t="s">
        <v>368</v>
      </c>
      <c r="J6" s="31" t="s">
        <v>369</v>
      </c>
      <c r="K6" s="4"/>
      <c r="L6" s="4"/>
      <c r="M6" s="4"/>
      <c r="N6" s="4"/>
      <c r="O6" s="4"/>
    </row>
    <row r="7" spans="3:15" ht="17">
      <c r="C7" s="18"/>
      <c r="D7" s="23"/>
      <c r="E7" s="19" t="s">
        <v>253</v>
      </c>
      <c r="F7" s="19" t="s">
        <v>370</v>
      </c>
      <c r="G7" s="20">
        <v>0</v>
      </c>
      <c r="H7" s="33"/>
      <c r="I7" s="35" t="s">
        <v>371</v>
      </c>
      <c r="J7" s="31" t="s">
        <v>372</v>
      </c>
      <c r="K7" s="4"/>
      <c r="L7" s="4"/>
      <c r="M7" s="4"/>
      <c r="N7" s="4"/>
      <c r="O7" s="4"/>
    </row>
    <row r="8" spans="3:15" ht="17">
      <c r="C8" s="6"/>
      <c r="D8" s="21">
        <v>3</v>
      </c>
      <c r="E8" s="10" t="s">
        <v>373</v>
      </c>
      <c r="F8" s="10" t="s">
        <v>374</v>
      </c>
      <c r="G8" s="11">
        <v>0.35</v>
      </c>
      <c r="H8" s="35" t="s">
        <v>375</v>
      </c>
      <c r="I8" s="35" t="s">
        <v>376</v>
      </c>
      <c r="J8" s="31" t="s">
        <v>377</v>
      </c>
      <c r="K8" s="4"/>
      <c r="L8" s="4"/>
      <c r="M8" s="4"/>
      <c r="N8" s="4"/>
      <c r="O8" s="4"/>
    </row>
    <row r="9" spans="3:15" ht="17">
      <c r="C9" s="6"/>
      <c r="D9" s="21">
        <v>4</v>
      </c>
      <c r="E9" s="10" t="s">
        <v>378</v>
      </c>
      <c r="F9" s="10" t="s">
        <v>379</v>
      </c>
      <c r="G9" s="11">
        <v>0.3</v>
      </c>
      <c r="H9" s="35" t="s">
        <v>380</v>
      </c>
      <c r="I9" s="35" t="s">
        <v>381</v>
      </c>
      <c r="J9" s="31"/>
      <c r="K9" s="4"/>
      <c r="L9" s="4"/>
      <c r="M9" s="4"/>
      <c r="N9" s="4"/>
      <c r="O9" s="4"/>
    </row>
    <row r="10" spans="3:15" ht="17">
      <c r="C10" s="12" t="s">
        <v>382</v>
      </c>
      <c r="D10" s="22">
        <v>5</v>
      </c>
      <c r="E10" s="13" t="s">
        <v>261</v>
      </c>
      <c r="F10" s="13" t="s">
        <v>383</v>
      </c>
      <c r="G10" s="14">
        <v>0.67</v>
      </c>
      <c r="H10" s="39" t="s">
        <v>384</v>
      </c>
      <c r="I10" s="35" t="s">
        <v>365</v>
      </c>
      <c r="J10" s="31"/>
      <c r="K10" s="4"/>
      <c r="L10" s="4"/>
      <c r="M10" s="4"/>
      <c r="N10" s="4"/>
      <c r="O10" s="4"/>
    </row>
    <row r="11" spans="3:15" ht="17">
      <c r="C11" s="12" t="s">
        <v>382</v>
      </c>
      <c r="D11" s="22">
        <v>6</v>
      </c>
      <c r="E11" s="13" t="s">
        <v>275</v>
      </c>
      <c r="F11" s="13" t="s">
        <v>385</v>
      </c>
      <c r="G11" s="14">
        <v>0.4</v>
      </c>
      <c r="H11" s="15" t="s">
        <v>386</v>
      </c>
      <c r="I11" s="10" t="s">
        <v>387</v>
      </c>
    </row>
    <row r="12" spans="3:15" ht="17">
      <c r="C12" s="12" t="s">
        <v>382</v>
      </c>
      <c r="D12" s="22">
        <v>7</v>
      </c>
      <c r="E12" s="13" t="s">
        <v>280</v>
      </c>
      <c r="F12" s="13" t="s">
        <v>388</v>
      </c>
      <c r="G12" s="14">
        <v>0.55000000000000004</v>
      </c>
      <c r="H12" s="15" t="s">
        <v>389</v>
      </c>
      <c r="I12" s="10" t="s">
        <v>387</v>
      </c>
    </row>
    <row r="13" spans="3:15" ht="17">
      <c r="C13" s="6"/>
      <c r="D13" s="21">
        <v>8</v>
      </c>
      <c r="E13" s="10" t="s">
        <v>390</v>
      </c>
      <c r="F13" s="10" t="s">
        <v>391</v>
      </c>
      <c r="G13" s="11">
        <v>0</v>
      </c>
      <c r="H13" s="10" t="s">
        <v>364</v>
      </c>
      <c r="I13" s="37"/>
    </row>
    <row r="14" spans="3:15" ht="17">
      <c r="C14" s="6"/>
      <c r="D14" s="21">
        <v>9</v>
      </c>
      <c r="E14" s="10" t="s">
        <v>392</v>
      </c>
      <c r="F14" s="10" t="s">
        <v>393</v>
      </c>
      <c r="G14" s="11">
        <v>0</v>
      </c>
      <c r="H14" s="10" t="s">
        <v>394</v>
      </c>
      <c r="I14" s="10" t="s">
        <v>395</v>
      </c>
    </row>
    <row r="15" spans="3:15" ht="409.6">
      <c r="C15" s="12" t="s">
        <v>382</v>
      </c>
      <c r="D15" s="22">
        <v>10</v>
      </c>
      <c r="E15" s="13" t="s">
        <v>285</v>
      </c>
      <c r="F15" s="13" t="s">
        <v>396</v>
      </c>
      <c r="G15" s="14">
        <v>0.82</v>
      </c>
      <c r="H15" s="16" t="s">
        <v>397</v>
      </c>
      <c r="I15" s="10" t="s">
        <v>398</v>
      </c>
    </row>
    <row r="16" spans="3:15" ht="17">
      <c r="C16" s="12" t="s">
        <v>382</v>
      </c>
      <c r="D16" s="22">
        <v>11</v>
      </c>
      <c r="E16" s="13" t="s">
        <v>289</v>
      </c>
      <c r="F16" s="13" t="s">
        <v>399</v>
      </c>
      <c r="G16" s="14">
        <v>0.78</v>
      </c>
      <c r="H16" s="15" t="s">
        <v>400</v>
      </c>
      <c r="I16" s="13" t="s">
        <v>401</v>
      </c>
    </row>
    <row r="17" spans="2:9" ht="17">
      <c r="C17" s="6"/>
      <c r="D17" s="21">
        <v>12</v>
      </c>
      <c r="E17" s="10" t="s">
        <v>402</v>
      </c>
      <c r="F17" s="10" t="s">
        <v>403</v>
      </c>
      <c r="G17" s="11">
        <v>0.5</v>
      </c>
      <c r="H17" s="10" t="s">
        <v>404</v>
      </c>
      <c r="I17" s="13" t="s">
        <v>405</v>
      </c>
    </row>
    <row r="18" spans="2:9" ht="17">
      <c r="C18" s="6"/>
      <c r="D18" s="21">
        <v>13</v>
      </c>
      <c r="E18" s="10" t="s">
        <v>406</v>
      </c>
      <c r="F18" s="10" t="s">
        <v>407</v>
      </c>
      <c r="G18" s="11">
        <v>0.3</v>
      </c>
      <c r="H18" s="10" t="s">
        <v>408</v>
      </c>
      <c r="I18" s="13" t="s">
        <v>409</v>
      </c>
    </row>
    <row r="19" spans="2:9" ht="17">
      <c r="C19" s="18"/>
      <c r="D19" s="23"/>
      <c r="E19" s="19" t="s">
        <v>410</v>
      </c>
      <c r="F19" s="19" t="s">
        <v>411</v>
      </c>
      <c r="G19" s="20">
        <v>0</v>
      </c>
      <c r="H19" s="34"/>
      <c r="I19" s="10" t="s">
        <v>365</v>
      </c>
    </row>
    <row r="20" spans="2:9" ht="17">
      <c r="C20" s="6"/>
      <c r="D20" s="21">
        <v>14</v>
      </c>
      <c r="E20" s="10" t="s">
        <v>412</v>
      </c>
      <c r="F20" s="10" t="s">
        <v>413</v>
      </c>
      <c r="G20" s="11">
        <v>0</v>
      </c>
      <c r="H20" s="10" t="s">
        <v>364</v>
      </c>
      <c r="I20" s="10" t="s">
        <v>365</v>
      </c>
    </row>
    <row r="21" spans="2:9" ht="17">
      <c r="C21" s="6"/>
      <c r="D21" s="21">
        <v>15</v>
      </c>
      <c r="E21" s="10" t="s">
        <v>414</v>
      </c>
      <c r="F21" s="10" t="s">
        <v>415</v>
      </c>
      <c r="G21" s="11">
        <v>0.35</v>
      </c>
      <c r="H21" s="10" t="s">
        <v>416</v>
      </c>
      <c r="I21" s="13" t="s">
        <v>417</v>
      </c>
    </row>
    <row r="22" spans="2:9" ht="17">
      <c r="C22" s="6"/>
      <c r="D22" s="21">
        <v>16</v>
      </c>
      <c r="E22" s="10" t="s">
        <v>418</v>
      </c>
      <c r="F22" s="10" t="s">
        <v>419</v>
      </c>
      <c r="G22" s="11">
        <v>0.85</v>
      </c>
      <c r="H22" s="10" t="s">
        <v>420</v>
      </c>
      <c r="I22" s="13" t="s">
        <v>421</v>
      </c>
    </row>
    <row r="23" spans="2:9" ht="17">
      <c r="C23" s="6"/>
      <c r="D23" s="21">
        <v>17</v>
      </c>
      <c r="E23" s="10" t="s">
        <v>422</v>
      </c>
      <c r="F23" s="10" t="s">
        <v>423</v>
      </c>
      <c r="G23" s="11">
        <v>0.85</v>
      </c>
      <c r="H23" s="10" t="s">
        <v>424</v>
      </c>
      <c r="I23" s="10" t="s">
        <v>425</v>
      </c>
    </row>
    <row r="24" spans="2:9" ht="17">
      <c r="C24" s="6"/>
      <c r="D24" s="21">
        <v>18</v>
      </c>
      <c r="E24" s="10" t="s">
        <v>426</v>
      </c>
      <c r="F24" s="10" t="s">
        <v>427</v>
      </c>
      <c r="G24" s="11">
        <v>0.85</v>
      </c>
      <c r="H24" s="10" t="s">
        <v>428</v>
      </c>
      <c r="I24" s="10" t="s">
        <v>429</v>
      </c>
    </row>
    <row r="25" spans="2:9" ht="17">
      <c r="C25" s="6"/>
      <c r="D25" s="21">
        <v>19</v>
      </c>
      <c r="E25" s="10" t="s">
        <v>430</v>
      </c>
      <c r="F25" s="10" t="s">
        <v>431</v>
      </c>
      <c r="G25" s="11">
        <v>0.5</v>
      </c>
      <c r="H25" s="10" t="s">
        <v>432</v>
      </c>
      <c r="I25" s="37"/>
    </row>
    <row r="26" spans="2:9" ht="17">
      <c r="C26" s="12" t="s">
        <v>382</v>
      </c>
      <c r="D26" s="22">
        <v>20</v>
      </c>
      <c r="E26" s="13" t="s">
        <v>433</v>
      </c>
      <c r="F26" s="13" t="s">
        <v>434</v>
      </c>
      <c r="G26" s="14">
        <v>0.8</v>
      </c>
      <c r="H26" s="15" t="s">
        <v>435</v>
      </c>
      <c r="I26" s="10" t="s">
        <v>365</v>
      </c>
    </row>
    <row r="27" spans="2:9" ht="17">
      <c r="C27" s="12" t="s">
        <v>382</v>
      </c>
      <c r="D27" s="22">
        <v>21</v>
      </c>
      <c r="E27" s="13" t="s">
        <v>436</v>
      </c>
      <c r="F27" s="13" t="s">
        <v>437</v>
      </c>
      <c r="G27" s="14">
        <v>0.76</v>
      </c>
      <c r="H27" s="13" t="s">
        <v>438</v>
      </c>
      <c r="I27" s="10" t="s">
        <v>439</v>
      </c>
    </row>
    <row r="28" spans="2:9" ht="17">
      <c r="B28" s="3" t="s">
        <v>440</v>
      </c>
      <c r="C28" s="18"/>
      <c r="D28" s="23"/>
      <c r="E28" s="19" t="s">
        <v>441</v>
      </c>
      <c r="F28" s="19" t="s">
        <v>442</v>
      </c>
      <c r="G28" s="20"/>
      <c r="H28" s="34"/>
      <c r="I28" s="10" t="s">
        <v>443</v>
      </c>
    </row>
    <row r="29" spans="2:9" ht="17">
      <c r="C29" s="25" t="s">
        <v>382</v>
      </c>
      <c r="D29" s="26">
        <v>22</v>
      </c>
      <c r="E29" s="27" t="s">
        <v>444</v>
      </c>
      <c r="F29" s="27" t="s">
        <v>445</v>
      </c>
      <c r="G29" s="28">
        <v>0.88</v>
      </c>
      <c r="H29" s="29" t="s">
        <v>446</v>
      </c>
      <c r="I29" s="10" t="s">
        <v>447</v>
      </c>
    </row>
    <row r="30" spans="2:9" ht="17">
      <c r="C30" s="25" t="s">
        <v>382</v>
      </c>
      <c r="D30" s="26">
        <v>23</v>
      </c>
      <c r="E30" s="27" t="s">
        <v>448</v>
      </c>
      <c r="F30" s="27" t="s">
        <v>449</v>
      </c>
      <c r="G30" s="28">
        <v>0.88</v>
      </c>
      <c r="H30" s="29" t="s">
        <v>450</v>
      </c>
      <c r="I30" s="10" t="s">
        <v>365</v>
      </c>
    </row>
    <row r="31" spans="2:9" ht="17">
      <c r="B31" s="3" t="s">
        <v>440</v>
      </c>
      <c r="C31" s="18" t="s">
        <v>382</v>
      </c>
      <c r="D31" s="23"/>
      <c r="E31" s="19" t="s">
        <v>451</v>
      </c>
      <c r="F31" s="19" t="s">
        <v>452</v>
      </c>
      <c r="G31" s="20">
        <v>0</v>
      </c>
      <c r="H31" s="34"/>
      <c r="I31" s="10" t="s">
        <v>453</v>
      </c>
    </row>
    <row r="32" spans="2:9" ht="17">
      <c r="B32" s="3" t="s">
        <v>440</v>
      </c>
      <c r="C32" s="18" t="s">
        <v>382</v>
      </c>
      <c r="D32" s="23">
        <v>24</v>
      </c>
      <c r="E32" s="19" t="s">
        <v>454</v>
      </c>
      <c r="F32" s="19" t="s">
        <v>455</v>
      </c>
      <c r="G32" s="20">
        <v>0.15</v>
      </c>
      <c r="H32" s="10" t="s">
        <v>456</v>
      </c>
      <c r="I32" s="13" t="s">
        <v>457</v>
      </c>
    </row>
    <row r="33" spans="2:9" ht="17">
      <c r="C33" s="25" t="s">
        <v>382</v>
      </c>
      <c r="D33" s="26">
        <v>25</v>
      </c>
      <c r="E33" s="27" t="s">
        <v>458</v>
      </c>
      <c r="F33" s="27" t="s">
        <v>459</v>
      </c>
      <c r="G33" s="28">
        <v>0.94</v>
      </c>
      <c r="H33" s="29" t="s">
        <v>460</v>
      </c>
      <c r="I33" s="13" t="s">
        <v>461</v>
      </c>
    </row>
    <row r="34" spans="2:9" ht="17">
      <c r="B34" s="3" t="s">
        <v>440</v>
      </c>
      <c r="C34" s="18" t="s">
        <v>382</v>
      </c>
      <c r="D34" s="23">
        <v>26</v>
      </c>
      <c r="E34" s="19" t="s">
        <v>462</v>
      </c>
      <c r="F34" s="19" t="s">
        <v>463</v>
      </c>
      <c r="G34" s="20">
        <v>0.28000000000000003</v>
      </c>
      <c r="H34" s="10" t="s">
        <v>464</v>
      </c>
      <c r="I34" s="27" t="s">
        <v>465</v>
      </c>
    </row>
    <row r="35" spans="2:9" ht="17">
      <c r="C35" s="25" t="s">
        <v>382</v>
      </c>
      <c r="D35" s="27">
        <v>27</v>
      </c>
      <c r="E35" s="27" t="s">
        <v>466</v>
      </c>
      <c r="F35" s="48" t="s">
        <v>467</v>
      </c>
      <c r="G35" s="28">
        <v>0.86</v>
      </c>
      <c r="H35" s="17" t="s">
        <v>468</v>
      </c>
      <c r="I35" s="27" t="s">
        <v>469</v>
      </c>
    </row>
    <row r="36" spans="2:9" ht="17">
      <c r="B36" s="3" t="s">
        <v>440</v>
      </c>
      <c r="C36" s="18" t="s">
        <v>382</v>
      </c>
      <c r="D36" s="23"/>
      <c r="E36" s="19" t="s">
        <v>470</v>
      </c>
      <c r="F36" s="19" t="s">
        <v>471</v>
      </c>
      <c r="G36" s="20">
        <v>0</v>
      </c>
      <c r="H36" s="34"/>
      <c r="I36" s="37">
        <v>0</v>
      </c>
    </row>
    <row r="37" spans="2:9" ht="17">
      <c r="B37" s="3" t="s">
        <v>440</v>
      </c>
      <c r="C37" s="18" t="s">
        <v>382</v>
      </c>
      <c r="D37" s="23"/>
      <c r="E37" s="19" t="s">
        <v>472</v>
      </c>
      <c r="F37" s="19" t="s">
        <v>473</v>
      </c>
      <c r="G37" s="20">
        <v>0</v>
      </c>
      <c r="H37" s="34"/>
      <c r="I37" s="10" t="s">
        <v>474</v>
      </c>
    </row>
    <row r="38" spans="2:9" ht="17">
      <c r="C38" s="25" t="s">
        <v>382</v>
      </c>
      <c r="D38" s="26">
        <v>28</v>
      </c>
      <c r="E38" s="27" t="s">
        <v>475</v>
      </c>
      <c r="F38" s="27" t="s">
        <v>476</v>
      </c>
      <c r="G38" s="28">
        <v>0.78</v>
      </c>
      <c r="H38" s="27" t="s">
        <v>477</v>
      </c>
      <c r="I38" s="27" t="s">
        <v>478</v>
      </c>
    </row>
    <row r="39" spans="2:9" ht="17">
      <c r="B39" s="3" t="s">
        <v>440</v>
      </c>
      <c r="C39" s="18"/>
      <c r="D39" s="23"/>
      <c r="E39" s="19" t="s">
        <v>479</v>
      </c>
      <c r="F39" s="19" t="s">
        <v>480</v>
      </c>
      <c r="G39" s="20"/>
      <c r="H39" s="34"/>
      <c r="I39" s="10" t="s">
        <v>365</v>
      </c>
    </row>
    <row r="40" spans="2:9" ht="17">
      <c r="B40" s="3" t="s">
        <v>440</v>
      </c>
      <c r="C40" s="18"/>
      <c r="D40" s="23"/>
      <c r="E40" s="19" t="s">
        <v>481</v>
      </c>
      <c r="F40" s="19" t="s">
        <v>482</v>
      </c>
      <c r="G40" s="20"/>
      <c r="H40" s="34"/>
      <c r="I40" s="10" t="s">
        <v>465</v>
      </c>
    </row>
    <row r="41" spans="2:9" ht="17">
      <c r="B41" s="3" t="s">
        <v>440</v>
      </c>
      <c r="C41" s="18" t="s">
        <v>382</v>
      </c>
      <c r="D41" s="23"/>
      <c r="E41" s="19" t="s">
        <v>483</v>
      </c>
      <c r="F41" s="19" t="s">
        <v>484</v>
      </c>
      <c r="G41" s="20">
        <v>0</v>
      </c>
      <c r="H41" s="6"/>
      <c r="I41" s="37"/>
    </row>
    <row r="42" spans="2:9" ht="17">
      <c r="B42" s="3" t="s">
        <v>440</v>
      </c>
      <c r="C42" s="18" t="s">
        <v>382</v>
      </c>
      <c r="D42" s="23">
        <v>29</v>
      </c>
      <c r="E42" s="19" t="s">
        <v>485</v>
      </c>
      <c r="F42" s="19" t="s">
        <v>486</v>
      </c>
      <c r="G42" s="20">
        <v>0.22</v>
      </c>
      <c r="H42" s="10" t="s">
        <v>487</v>
      </c>
      <c r="I42" s="37">
        <v>5</v>
      </c>
    </row>
    <row r="43" spans="2:9" ht="17">
      <c r="C43" s="25" t="s">
        <v>382</v>
      </c>
      <c r="D43" s="27"/>
      <c r="E43" s="27" t="s">
        <v>488</v>
      </c>
      <c r="F43" s="48" t="s">
        <v>489</v>
      </c>
      <c r="G43" s="28">
        <v>0.91</v>
      </c>
      <c r="H43" s="6"/>
      <c r="I43" s="27" t="s">
        <v>490</v>
      </c>
    </row>
    <row r="44" spans="2:9" ht="17">
      <c r="B44" s="3" t="s">
        <v>440</v>
      </c>
      <c r="C44" s="18" t="s">
        <v>382</v>
      </c>
      <c r="D44" s="23"/>
      <c r="E44" s="19" t="s">
        <v>491</v>
      </c>
      <c r="F44" s="19" t="s">
        <v>492</v>
      </c>
      <c r="G44" s="20">
        <v>0</v>
      </c>
      <c r="H44" s="36"/>
      <c r="I44" s="6"/>
    </row>
    <row r="45" spans="2:9" ht="17">
      <c r="B45" s="3" t="s">
        <v>440</v>
      </c>
      <c r="C45" s="18" t="s">
        <v>382</v>
      </c>
      <c r="D45" s="23"/>
      <c r="E45" s="19" t="s">
        <v>493</v>
      </c>
      <c r="F45" s="19" t="s">
        <v>494</v>
      </c>
      <c r="G45" s="20">
        <v>0</v>
      </c>
      <c r="H45" s="6"/>
      <c r="I45" s="10" t="s">
        <v>365</v>
      </c>
    </row>
    <row r="46" spans="2:9" ht="17">
      <c r="B46" s="3" t="s">
        <v>440</v>
      </c>
      <c r="C46" s="18"/>
      <c r="D46" s="23"/>
      <c r="E46" s="19" t="s">
        <v>495</v>
      </c>
      <c r="F46" s="19" t="s">
        <v>496</v>
      </c>
      <c r="G46" s="20"/>
      <c r="H46" s="34"/>
      <c r="I46" s="6"/>
    </row>
    <row r="47" spans="2:9" ht="17">
      <c r="C47" s="25" t="s">
        <v>382</v>
      </c>
      <c r="D47" s="26">
        <v>30</v>
      </c>
      <c r="E47" s="27" t="s">
        <v>497</v>
      </c>
      <c r="F47" s="27" t="s">
        <v>498</v>
      </c>
      <c r="G47" s="28">
        <v>0.72</v>
      </c>
      <c r="H47" s="27" t="s">
        <v>499</v>
      </c>
      <c r="I47" s="36" t="s">
        <v>500</v>
      </c>
    </row>
    <row r="48" spans="2:9" ht="17">
      <c r="C48" s="25" t="s">
        <v>382</v>
      </c>
      <c r="D48" s="26">
        <v>31</v>
      </c>
      <c r="E48" s="27" t="s">
        <v>501</v>
      </c>
      <c r="F48" s="27" t="s">
        <v>502</v>
      </c>
      <c r="G48" s="28">
        <v>0.88</v>
      </c>
      <c r="H48" s="29" t="s">
        <v>503</v>
      </c>
      <c r="I48" s="6"/>
    </row>
    <row r="49" spans="2:15" ht="17">
      <c r="C49" s="25" t="s">
        <v>382</v>
      </c>
      <c r="D49" s="27">
        <v>32</v>
      </c>
      <c r="E49" s="48" t="s">
        <v>504</v>
      </c>
      <c r="F49" s="27" t="s">
        <v>505</v>
      </c>
      <c r="G49" s="28">
        <v>0.96</v>
      </c>
      <c r="H49" s="10" t="s">
        <v>364</v>
      </c>
      <c r="I49" s="27" t="s">
        <v>506</v>
      </c>
    </row>
    <row r="50" spans="2:15" ht="17">
      <c r="C50" s="25" t="s">
        <v>382</v>
      </c>
      <c r="D50" s="26">
        <v>33</v>
      </c>
      <c r="E50" s="27" t="s">
        <v>507</v>
      </c>
      <c r="F50" s="27" t="s">
        <v>508</v>
      </c>
      <c r="G50" s="28">
        <v>0.84</v>
      </c>
      <c r="H50" s="27" t="s">
        <v>509</v>
      </c>
      <c r="I50" s="27" t="s">
        <v>510</v>
      </c>
    </row>
    <row r="51" spans="2:15" ht="17">
      <c r="C51" s="25" t="s">
        <v>382</v>
      </c>
      <c r="D51" s="26">
        <v>34</v>
      </c>
      <c r="E51" s="27" t="s">
        <v>511</v>
      </c>
      <c r="F51" s="27" t="s">
        <v>512</v>
      </c>
      <c r="G51" s="28">
        <v>0.87</v>
      </c>
      <c r="H51" s="29" t="s">
        <v>513</v>
      </c>
      <c r="I51" s="10" t="s">
        <v>365</v>
      </c>
    </row>
    <row r="52" spans="2:15" ht="17">
      <c r="B52" s="3" t="s">
        <v>440</v>
      </c>
      <c r="C52" s="18" t="s">
        <v>382</v>
      </c>
      <c r="D52" s="23"/>
      <c r="E52" s="19" t="s">
        <v>514</v>
      </c>
      <c r="F52" s="19" t="s">
        <v>515</v>
      </c>
      <c r="G52" s="20">
        <v>0</v>
      </c>
      <c r="H52" s="34"/>
      <c r="I52" s="27" t="s">
        <v>516</v>
      </c>
    </row>
    <row r="53" spans="2:15" ht="17">
      <c r="C53" s="6"/>
      <c r="D53" s="21">
        <v>35</v>
      </c>
      <c r="E53" s="10" t="s">
        <v>517</v>
      </c>
      <c r="F53" s="10" t="s">
        <v>518</v>
      </c>
      <c r="G53" s="11">
        <v>0.8</v>
      </c>
      <c r="H53" s="35" t="s">
        <v>519</v>
      </c>
      <c r="I53" s="38" t="s">
        <v>520</v>
      </c>
    </row>
    <row r="54" spans="2:15" ht="17">
      <c r="C54" s="6"/>
      <c r="D54" s="21">
        <v>36</v>
      </c>
      <c r="E54" s="10" t="s">
        <v>521</v>
      </c>
      <c r="F54" s="10" t="s">
        <v>522</v>
      </c>
      <c r="G54" s="11">
        <v>0.87</v>
      </c>
      <c r="H54" s="35" t="s">
        <v>523</v>
      </c>
      <c r="I54" s="31">
        <v>15</v>
      </c>
    </row>
    <row r="55" spans="2:15" ht="17">
      <c r="C55" s="6"/>
      <c r="D55" s="21">
        <v>37</v>
      </c>
      <c r="E55" s="10" t="s">
        <v>524</v>
      </c>
      <c r="F55" s="10" t="s">
        <v>525</v>
      </c>
      <c r="G55" s="11">
        <v>0</v>
      </c>
      <c r="H55" s="35" t="s">
        <v>364</v>
      </c>
      <c r="I55" s="35" t="s">
        <v>443</v>
      </c>
    </row>
    <row r="56" spans="2:15" ht="17">
      <c r="C56" s="6"/>
      <c r="D56" s="21">
        <v>38</v>
      </c>
      <c r="E56" s="10" t="s">
        <v>526</v>
      </c>
      <c r="F56" s="10" t="s">
        <v>527</v>
      </c>
      <c r="G56" s="11">
        <v>0.85</v>
      </c>
      <c r="H56" s="35" t="s">
        <v>528</v>
      </c>
      <c r="I56" s="35" t="s">
        <v>529</v>
      </c>
      <c r="J56" s="30" t="s">
        <v>530</v>
      </c>
    </row>
    <row r="57" spans="2:15" ht="17">
      <c r="C57" s="6"/>
      <c r="D57" s="21">
        <v>39</v>
      </c>
      <c r="E57" s="10" t="s">
        <v>531</v>
      </c>
      <c r="F57" s="10" t="s">
        <v>532</v>
      </c>
      <c r="G57" s="11">
        <v>0.75</v>
      </c>
      <c r="H57" s="35" t="s">
        <v>533</v>
      </c>
      <c r="I57" s="31">
        <v>2</v>
      </c>
      <c r="J57" s="3" t="s">
        <v>534</v>
      </c>
    </row>
    <row r="58" spans="2:15" ht="17">
      <c r="C58" s="6"/>
      <c r="D58" s="21">
        <v>40</v>
      </c>
      <c r="E58" s="10" t="s">
        <v>535</v>
      </c>
      <c r="F58" s="10" t="s">
        <v>536</v>
      </c>
      <c r="G58" s="11">
        <v>0.92</v>
      </c>
      <c r="H58" s="35" t="s">
        <v>537</v>
      </c>
      <c r="I58" s="31">
        <v>0</v>
      </c>
      <c r="J58" s="3" t="s">
        <v>538</v>
      </c>
    </row>
    <row r="59" spans="2:15" ht="17">
      <c r="C59" s="6"/>
      <c r="D59" s="21">
        <v>41</v>
      </c>
      <c r="E59" s="10" t="s">
        <v>539</v>
      </c>
      <c r="F59" s="10" t="s">
        <v>540</v>
      </c>
      <c r="G59" s="11">
        <v>0.95</v>
      </c>
      <c r="H59" s="35" t="s">
        <v>541</v>
      </c>
      <c r="I59" s="31">
        <v>0</v>
      </c>
      <c r="J59" s="3" t="s">
        <v>542</v>
      </c>
    </row>
    <row r="60" spans="2:15" ht="17">
      <c r="C60" s="6"/>
      <c r="D60" s="21">
        <v>42</v>
      </c>
      <c r="E60" s="10" t="s">
        <v>543</v>
      </c>
      <c r="F60" s="10" t="s">
        <v>544</v>
      </c>
      <c r="G60" s="11">
        <v>0.9</v>
      </c>
      <c r="H60" s="35" t="s">
        <v>545</v>
      </c>
      <c r="I60" s="31">
        <v>0</v>
      </c>
      <c r="J60" s="3" t="s">
        <v>546</v>
      </c>
    </row>
    <row r="61" spans="2:15" ht="409.6">
      <c r="E61" s="31"/>
      <c r="F61" s="31"/>
      <c r="G61" s="32"/>
      <c r="H61" s="33"/>
      <c r="I61" s="31">
        <v>2</v>
      </c>
      <c r="J61" s="31" t="s">
        <v>547</v>
      </c>
      <c r="K61" s="4"/>
      <c r="L61" s="4"/>
      <c r="M61" s="4"/>
      <c r="N61" s="4"/>
      <c r="O61" s="4"/>
    </row>
    <row r="62" spans="2:15" ht="17">
      <c r="E62" s="31"/>
      <c r="F62" s="31"/>
      <c r="G62" s="32"/>
      <c r="H62" s="32"/>
      <c r="I62" s="31">
        <v>0</v>
      </c>
      <c r="J62" s="31" t="s">
        <v>548</v>
      </c>
      <c r="K62" s="4"/>
      <c r="L62" s="4"/>
      <c r="M62" s="4"/>
      <c r="N62" s="4"/>
      <c r="O62" s="4"/>
    </row>
    <row r="63" spans="2:15" ht="17">
      <c r="E63" s="31"/>
      <c r="F63" s="31"/>
      <c r="G63" s="32"/>
      <c r="H63" s="32"/>
      <c r="I63" s="31">
        <v>0</v>
      </c>
      <c r="J63" s="31" t="s">
        <v>549</v>
      </c>
      <c r="K63" s="4"/>
      <c r="L63" s="4"/>
      <c r="M63" s="4"/>
      <c r="N63" s="4"/>
      <c r="O63" s="4"/>
    </row>
    <row r="64" spans="2:15" ht="17">
      <c r="E64" s="31"/>
      <c r="F64" s="31"/>
      <c r="G64" s="32"/>
      <c r="H64" s="32"/>
      <c r="I64" s="31">
        <v>0</v>
      </c>
      <c r="J64" s="31" t="s">
        <v>550</v>
      </c>
      <c r="K64" s="4"/>
      <c r="L64" s="4"/>
      <c r="M64" s="4"/>
      <c r="N64" s="4"/>
      <c r="O64" s="4"/>
    </row>
    <row r="65" spans="5:15" ht="17">
      <c r="E65" s="31"/>
      <c r="F65" s="31"/>
      <c r="G65" s="32"/>
      <c r="H65" s="32"/>
      <c r="I65" s="31">
        <v>0</v>
      </c>
      <c r="J65" s="31" t="s">
        <v>551</v>
      </c>
      <c r="K65" s="4"/>
      <c r="L65" s="4"/>
      <c r="M65" s="4"/>
      <c r="N65" s="4"/>
      <c r="O65" s="4"/>
    </row>
    <row r="66" spans="5:15" ht="17">
      <c r="E66" s="31"/>
      <c r="F66" s="31"/>
      <c r="G66" s="32"/>
      <c r="H66" s="32"/>
      <c r="I66" s="31">
        <v>0</v>
      </c>
      <c r="J66" s="31" t="s">
        <v>551</v>
      </c>
      <c r="K66" s="4"/>
      <c r="L66" s="4"/>
      <c r="M66" s="4"/>
      <c r="N66" s="4"/>
      <c r="O66" s="4"/>
    </row>
    <row r="67" spans="5:15" ht="17">
      <c r="E67" s="31"/>
      <c r="F67" s="31"/>
      <c r="G67" s="32"/>
      <c r="H67" s="32"/>
      <c r="I67" s="31">
        <v>0</v>
      </c>
      <c r="J67" s="31" t="s">
        <v>552</v>
      </c>
      <c r="K67" s="4"/>
      <c r="L67" s="4"/>
      <c r="M67" s="4"/>
      <c r="N67" s="4"/>
      <c r="O67" s="4"/>
    </row>
    <row r="68" spans="5:15">
      <c r="E68" s="4"/>
      <c r="F68" s="4"/>
      <c r="H68" s="4"/>
      <c r="I68" s="4"/>
      <c r="J68" s="4"/>
      <c r="K68" s="4"/>
      <c r="L68" s="4"/>
      <c r="M68" s="4"/>
      <c r="N68" s="4"/>
      <c r="O68" s="4"/>
    </row>
    <row r="69" spans="5:15">
      <c r="E69" s="4"/>
      <c r="F69" s="4"/>
      <c r="H69" s="4"/>
      <c r="I69" s="4"/>
      <c r="J69" s="4"/>
      <c r="K69" s="4"/>
      <c r="L69" s="4"/>
      <c r="M69" s="4"/>
      <c r="N69" s="4"/>
      <c r="O69" s="4"/>
    </row>
    <row r="70" spans="5:15">
      <c r="E70" s="4"/>
      <c r="F70" s="4"/>
      <c r="H70" s="4"/>
      <c r="I70" s="4"/>
      <c r="J70" s="4"/>
      <c r="K70" s="4"/>
      <c r="L70" s="4"/>
      <c r="M70" s="4"/>
      <c r="N70" s="4"/>
      <c r="O70" s="4"/>
    </row>
    <row r="71" spans="5:15">
      <c r="E71" s="4"/>
      <c r="F71" s="4"/>
      <c r="H71" s="4"/>
      <c r="I71" s="4"/>
      <c r="J71" s="4"/>
      <c r="K71" s="4"/>
      <c r="L71" s="4"/>
      <c r="M71" s="4"/>
      <c r="N71" s="4"/>
      <c r="O71" s="4"/>
    </row>
    <row r="72" spans="5:15">
      <c r="E72" s="4"/>
      <c r="F72" s="4"/>
      <c r="H72" s="4"/>
      <c r="I72" s="4"/>
      <c r="J72" s="4"/>
      <c r="K72" s="4"/>
      <c r="L72" s="4"/>
      <c r="M72" s="4"/>
      <c r="N72" s="4"/>
      <c r="O72" s="4"/>
    </row>
    <row r="75" spans="5:15">
      <c r="E75" s="40" t="s">
        <v>553</v>
      </c>
      <c r="F75" s="40" t="s">
        <v>554</v>
      </c>
    </row>
    <row r="76" spans="5:15" ht="409.6">
      <c r="E76" s="40" t="s">
        <v>555</v>
      </c>
      <c r="F76" s="40" t="s">
        <v>556</v>
      </c>
    </row>
    <row r="77" spans="5:15" ht="409.6">
      <c r="E77" s="40" t="s">
        <v>557</v>
      </c>
      <c r="F77" s="40" t="s">
        <v>558</v>
      </c>
    </row>
    <row r="78" spans="5:15" ht="409.6">
      <c r="E78" s="40" t="s">
        <v>559</v>
      </c>
      <c r="F78" s="40" t="s">
        <v>560</v>
      </c>
    </row>
    <row r="79" spans="5:15">
      <c r="E79" s="40" t="s">
        <v>561</v>
      </c>
      <c r="F79" s="40" t="s">
        <v>562</v>
      </c>
    </row>
    <row r="80" spans="5:15">
      <c r="E80" s="40" t="s">
        <v>563</v>
      </c>
      <c r="F80" s="40" t="s">
        <v>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0"/>
  <sheetViews>
    <sheetView workbookViewId="0"/>
  </sheetViews>
  <sheetFormatPr baseColWidth="10" defaultRowHeight="13"/>
  <cols>
    <col min="3" max="3" width="18" style="2" customWidth="1"/>
    <col min="4" max="10" width="18" customWidth="1"/>
  </cols>
  <sheetData>
    <row r="1" spans="1:26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01.25" customHeight="1">
      <c r="A3" s="67"/>
      <c r="B3" s="67"/>
      <c r="C3" s="149" t="s">
        <v>565</v>
      </c>
      <c r="D3" s="149" t="s">
        <v>565</v>
      </c>
      <c r="E3" s="149" t="s">
        <v>565</v>
      </c>
      <c r="F3" s="149" t="s">
        <v>565</v>
      </c>
      <c r="G3" s="149" t="s">
        <v>565</v>
      </c>
      <c r="H3" s="149" t="s">
        <v>565</v>
      </c>
      <c r="I3" s="71" t="s">
        <v>565</v>
      </c>
      <c r="J3" s="71" t="s">
        <v>565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01.25" customHeight="1">
      <c r="A4" s="67"/>
      <c r="B4" s="67"/>
      <c r="C4" s="149" t="s">
        <v>565</v>
      </c>
      <c r="D4" s="149" t="s">
        <v>565</v>
      </c>
      <c r="E4" s="149" t="s">
        <v>565</v>
      </c>
      <c r="F4" s="149" t="s">
        <v>565</v>
      </c>
      <c r="G4" s="149" t="s">
        <v>565</v>
      </c>
      <c r="H4" s="149" t="s">
        <v>565</v>
      </c>
      <c r="I4" s="71" t="s">
        <v>565</v>
      </c>
      <c r="J4" s="71" t="s">
        <v>565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>
      <c r="A5" s="67"/>
      <c r="B5" s="67"/>
      <c r="C5" s="150"/>
      <c r="D5" s="150"/>
      <c r="E5" s="150"/>
      <c r="F5" s="150"/>
      <c r="G5" s="150"/>
      <c r="H5" s="150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09.75" customHeight="1">
      <c r="A6" s="67"/>
      <c r="B6" s="67"/>
      <c r="C6" s="151" t="s">
        <v>566</v>
      </c>
      <c r="D6" s="151" t="s">
        <v>566</v>
      </c>
      <c r="E6" s="151" t="s">
        <v>566</v>
      </c>
      <c r="F6" s="151" t="s">
        <v>566</v>
      </c>
      <c r="G6" s="151" t="s">
        <v>566</v>
      </c>
      <c r="H6" s="151" t="s">
        <v>566</v>
      </c>
      <c r="I6" s="151" t="s">
        <v>566</v>
      </c>
      <c r="J6" s="151" t="s">
        <v>566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09.75" customHeight="1">
      <c r="A7" s="67"/>
      <c r="B7" s="67"/>
      <c r="C7" s="151" t="s">
        <v>566</v>
      </c>
      <c r="D7" s="151" t="s">
        <v>566</v>
      </c>
      <c r="E7" s="151" t="s">
        <v>566</v>
      </c>
      <c r="F7" s="151" t="s">
        <v>566</v>
      </c>
      <c r="G7" s="151" t="s">
        <v>566</v>
      </c>
      <c r="H7" s="151" t="s">
        <v>566</v>
      </c>
      <c r="I7" s="151" t="s">
        <v>566</v>
      </c>
      <c r="J7" s="151" t="s">
        <v>566</v>
      </c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109.75" customHeight="1">
      <c r="A8" s="67"/>
      <c r="B8" s="67"/>
      <c r="C8" s="151" t="s">
        <v>566</v>
      </c>
      <c r="D8" s="151" t="s">
        <v>566</v>
      </c>
      <c r="E8" s="151" t="s">
        <v>566</v>
      </c>
      <c r="F8" s="151" t="s">
        <v>566</v>
      </c>
      <c r="G8" s="151" t="s">
        <v>566</v>
      </c>
      <c r="H8" s="151" t="s">
        <v>566</v>
      </c>
      <c r="I8" s="151" t="s">
        <v>566</v>
      </c>
      <c r="J8" s="151" t="s">
        <v>566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09.75" customHeight="1">
      <c r="A9" s="67"/>
      <c r="B9" s="67"/>
      <c r="C9" s="151" t="s">
        <v>566</v>
      </c>
      <c r="D9" s="151" t="s">
        <v>566</v>
      </c>
      <c r="E9" s="151" t="s">
        <v>566</v>
      </c>
      <c r="F9" s="151" t="s">
        <v>566</v>
      </c>
      <c r="G9" s="151" t="s">
        <v>566</v>
      </c>
      <c r="H9" s="151" t="s">
        <v>566</v>
      </c>
      <c r="I9" s="151" t="s">
        <v>566</v>
      </c>
      <c r="J9" s="151" t="s">
        <v>566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109.75" customHeight="1">
      <c r="A10" s="67"/>
      <c r="B10" s="67"/>
      <c r="C10" s="151" t="s">
        <v>566</v>
      </c>
      <c r="D10" s="151" t="s">
        <v>566</v>
      </c>
      <c r="E10" s="151" t="s">
        <v>566</v>
      </c>
      <c r="F10" s="151" t="s">
        <v>566</v>
      </c>
      <c r="G10" s="151" t="s">
        <v>566</v>
      </c>
      <c r="H10" s="151" t="s">
        <v>566</v>
      </c>
      <c r="I10" s="151" t="s">
        <v>566</v>
      </c>
      <c r="J10" s="151" t="s">
        <v>566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>
      <c r="A11" s="67"/>
      <c r="B11" s="67"/>
      <c r="C11" s="70"/>
      <c r="D11" s="68"/>
      <c r="E11" s="68"/>
      <c r="F11" s="68"/>
      <c r="G11" s="68"/>
      <c r="H11" s="68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>
      <c r="A12" s="67"/>
      <c r="B12" s="67"/>
      <c r="C12" s="69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>
      <c r="A13" s="67"/>
      <c r="B13" s="67"/>
      <c r="C13" s="69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>
      <c r="A14" s="67"/>
      <c r="B14" s="67"/>
      <c r="C14" s="69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>
      <c r="A15" s="67"/>
      <c r="B15" s="67"/>
      <c r="C15" s="69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>
      <c r="A16" s="67"/>
      <c r="B16" s="67"/>
      <c r="C16" s="69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>
      <c r="A17" s="67"/>
      <c r="B17" s="67"/>
      <c r="C17" s="69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>
      <c r="A18" s="67"/>
      <c r="B18" s="67"/>
      <c r="C18" s="69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>
      <c r="A19" s="67"/>
      <c r="B19" s="67"/>
      <c r="C19" s="69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>
      <c r="A20" s="67"/>
      <c r="B20" s="67"/>
      <c r="C20" s="69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>
      <c r="A21" s="67"/>
      <c r="B21" s="67"/>
      <c r="C21" s="69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>
      <c r="A22" s="67"/>
      <c r="B22" s="67"/>
      <c r="C22" s="69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>
      <c r="A23" s="67"/>
      <c r="B23" s="67"/>
      <c r="C23" s="69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>
      <c r="A24" s="67"/>
      <c r="B24" s="67"/>
      <c r="C24" s="69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>
      <c r="A25" s="67"/>
      <c r="B25" s="67"/>
      <c r="C25" s="69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>
      <c r="A30" s="67"/>
      <c r="B30" s="67"/>
      <c r="C30" s="70"/>
      <c r="D30" s="68"/>
      <c r="E30" s="68"/>
      <c r="F30" s="68"/>
      <c r="G30" s="68"/>
      <c r="H30" s="68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>
      <c r="A31" s="67"/>
      <c r="B31" s="67"/>
      <c r="C31" s="69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>
      <c r="A32" s="67"/>
      <c r="B32" s="67"/>
      <c r="C32" s="69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>
      <c r="A33" s="67"/>
      <c r="B33" s="67"/>
      <c r="C33" s="69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>
      <c r="A34" s="67"/>
      <c r="B34" s="67"/>
      <c r="C34" s="69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>
      <c r="A35" s="67"/>
      <c r="B35" s="67"/>
      <c r="C35" s="69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>
      <c r="A36" s="67"/>
      <c r="B36" s="67"/>
      <c r="C36" s="69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>
      <c r="A37" s="67"/>
      <c r="B37" s="67"/>
      <c r="C37" s="69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>
      <c r="A38" s="67"/>
      <c r="B38" s="67"/>
      <c r="C38" s="69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>
      <c r="A39" s="67"/>
      <c r="B39" s="67"/>
      <c r="C39" s="69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>
      <c r="A40" s="67"/>
      <c r="B40" s="67"/>
      <c r="C40" s="67"/>
      <c r="D40" s="67"/>
      <c r="E40" s="68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spans="1:26">
      <c r="A41" s="67"/>
      <c r="B41" s="67"/>
      <c r="C41" s="67"/>
      <c r="D41" s="67"/>
      <c r="E41" s="68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spans="1:26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spans="1:26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spans="1:26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spans="1:2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spans="1:26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spans="1:26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spans="1:26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spans="1:26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</sheetData>
  <mergeCells count="2">
    <mergeCell ref="C3:H5"/>
    <mergeCell ref="C6:J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I82"/>
  <sheetViews>
    <sheetView workbookViewId="0"/>
  </sheetViews>
  <sheetFormatPr baseColWidth="10" defaultRowHeight="11"/>
  <cols>
    <col min="1" max="1" width="10.83203125" style="49"/>
    <col min="2" max="2" width="5.1640625" style="49" customWidth="1"/>
    <col min="3" max="3" width="7.6640625" style="49" customWidth="1"/>
    <col min="4" max="4" width="39.6640625" style="50" customWidth="1"/>
    <col min="5" max="5" width="6.1640625" style="49" customWidth="1"/>
    <col min="6" max="6" width="14.6640625" style="49" customWidth="1"/>
    <col min="7" max="7" width="54.6640625" style="50" customWidth="1"/>
    <col min="8" max="8" width="23.33203125" style="49" customWidth="1"/>
    <col min="9" max="9" width="47" style="49" customWidth="1"/>
    <col min="10" max="16384" width="10.83203125" style="49"/>
  </cols>
  <sheetData>
    <row r="3" spans="2:9" s="59" customFormat="1" ht="113.75" customHeight="1">
      <c r="C3" s="57" t="s">
        <v>567</v>
      </c>
      <c r="D3" s="58" t="s">
        <v>568</v>
      </c>
      <c r="E3" s="58" t="s">
        <v>569</v>
      </c>
      <c r="F3" s="58" t="s">
        <v>570</v>
      </c>
      <c r="G3" s="58" t="s">
        <v>571</v>
      </c>
      <c r="H3" s="58" t="s">
        <v>572</v>
      </c>
      <c r="I3" s="58" t="s">
        <v>573</v>
      </c>
    </row>
    <row r="4" spans="2:9">
      <c r="B4" s="49" t="s">
        <v>574</v>
      </c>
      <c r="C4" s="60" t="s">
        <v>575</v>
      </c>
      <c r="D4" s="61" t="s">
        <v>576</v>
      </c>
      <c r="E4" s="60" t="s">
        <v>577</v>
      </c>
      <c r="F4" s="60" t="s">
        <v>261</v>
      </c>
      <c r="G4" s="62" t="s">
        <v>578</v>
      </c>
      <c r="H4" s="60" t="s">
        <v>579</v>
      </c>
      <c r="I4" s="60" t="s">
        <v>580</v>
      </c>
    </row>
    <row r="5" spans="2:9">
      <c r="B5" s="49" t="s">
        <v>574</v>
      </c>
      <c r="C5" s="60" t="s">
        <v>575</v>
      </c>
      <c r="D5" s="61" t="s">
        <v>576</v>
      </c>
      <c r="E5" s="60" t="s">
        <v>577</v>
      </c>
      <c r="F5" s="60" t="s">
        <v>275</v>
      </c>
      <c r="G5" s="62" t="s">
        <v>581</v>
      </c>
      <c r="H5" s="60" t="s">
        <v>579</v>
      </c>
      <c r="I5" s="60" t="s">
        <v>582</v>
      </c>
    </row>
    <row r="6" spans="2:9">
      <c r="C6" s="54" t="s">
        <v>575</v>
      </c>
      <c r="D6" s="55" t="s">
        <v>576</v>
      </c>
      <c r="E6" s="54" t="s">
        <v>577</v>
      </c>
      <c r="F6" s="54" t="s">
        <v>583</v>
      </c>
      <c r="G6" s="56" t="s">
        <v>584</v>
      </c>
      <c r="H6" s="54" t="s">
        <v>579</v>
      </c>
      <c r="I6" s="54" t="s">
        <v>585</v>
      </c>
    </row>
    <row r="7" spans="2:9">
      <c r="B7" s="49" t="s">
        <v>574</v>
      </c>
      <c r="C7" s="60" t="s">
        <v>575</v>
      </c>
      <c r="D7" s="61" t="s">
        <v>576</v>
      </c>
      <c r="E7" s="60" t="s">
        <v>586</v>
      </c>
      <c r="F7" s="60" t="s">
        <v>280</v>
      </c>
      <c r="G7" s="62" t="s">
        <v>587</v>
      </c>
      <c r="H7" s="60" t="s">
        <v>579</v>
      </c>
      <c r="I7" s="60" t="s">
        <v>588</v>
      </c>
    </row>
    <row r="8" spans="2:9">
      <c r="B8" s="49" t="s">
        <v>574</v>
      </c>
      <c r="C8" s="60" t="s">
        <v>575</v>
      </c>
      <c r="D8" s="61" t="s">
        <v>576</v>
      </c>
      <c r="E8" s="60" t="s">
        <v>586</v>
      </c>
      <c r="F8" s="60" t="s">
        <v>285</v>
      </c>
      <c r="G8" s="62" t="s">
        <v>589</v>
      </c>
      <c r="H8" s="60" t="s">
        <v>579</v>
      </c>
      <c r="I8" s="60" t="s">
        <v>590</v>
      </c>
    </row>
    <row r="9" spans="2:9">
      <c r="B9" s="49" t="s">
        <v>574</v>
      </c>
      <c r="C9" s="60" t="s">
        <v>575</v>
      </c>
      <c r="D9" s="61" t="s">
        <v>576</v>
      </c>
      <c r="E9" s="60" t="s">
        <v>586</v>
      </c>
      <c r="F9" s="60" t="s">
        <v>289</v>
      </c>
      <c r="G9" s="62" t="s">
        <v>591</v>
      </c>
      <c r="H9" s="60" t="s">
        <v>579</v>
      </c>
      <c r="I9" s="60" t="s">
        <v>592</v>
      </c>
    </row>
    <row r="10" spans="2:9">
      <c r="B10" s="49" t="s">
        <v>574</v>
      </c>
      <c r="C10" s="60" t="s">
        <v>575</v>
      </c>
      <c r="D10" s="61" t="s">
        <v>576</v>
      </c>
      <c r="E10" s="60" t="s">
        <v>593</v>
      </c>
      <c r="F10" s="60" t="s">
        <v>433</v>
      </c>
      <c r="G10" s="62" t="s">
        <v>434</v>
      </c>
      <c r="H10" s="60" t="s">
        <v>579</v>
      </c>
      <c r="I10" s="60" t="s">
        <v>594</v>
      </c>
    </row>
    <row r="11" spans="2:9">
      <c r="B11" s="49" t="s">
        <v>574</v>
      </c>
      <c r="C11" s="60" t="s">
        <v>575</v>
      </c>
      <c r="D11" s="61" t="s">
        <v>576</v>
      </c>
      <c r="E11" s="60" t="s">
        <v>593</v>
      </c>
      <c r="F11" s="60" t="s">
        <v>436</v>
      </c>
      <c r="G11" s="62" t="s">
        <v>437</v>
      </c>
      <c r="H11" s="60" t="s">
        <v>579</v>
      </c>
      <c r="I11" s="60" t="s">
        <v>595</v>
      </c>
    </row>
    <row r="12" spans="2:9">
      <c r="C12" s="51" t="s">
        <v>575</v>
      </c>
      <c r="D12" s="52" t="s">
        <v>576</v>
      </c>
      <c r="E12" s="51" t="s">
        <v>596</v>
      </c>
      <c r="F12" s="51" t="s">
        <v>597</v>
      </c>
      <c r="G12" s="53" t="s">
        <v>598</v>
      </c>
      <c r="H12" s="51" t="s">
        <v>599</v>
      </c>
      <c r="I12" s="51" t="s">
        <v>600</v>
      </c>
    </row>
    <row r="13" spans="2:9">
      <c r="C13" s="51" t="s">
        <v>575</v>
      </c>
      <c r="D13" s="52" t="s">
        <v>576</v>
      </c>
      <c r="E13" s="51" t="s">
        <v>596</v>
      </c>
      <c r="F13" s="51" t="s">
        <v>601</v>
      </c>
      <c r="G13" s="53" t="s">
        <v>602</v>
      </c>
      <c r="H13" s="51" t="s">
        <v>603</v>
      </c>
      <c r="I13" s="51" t="s">
        <v>604</v>
      </c>
    </row>
    <row r="14" spans="2:9">
      <c r="C14" s="51" t="s">
        <v>575</v>
      </c>
      <c r="D14" s="52" t="s">
        <v>576</v>
      </c>
      <c r="E14" s="51" t="s">
        <v>596</v>
      </c>
      <c r="F14" s="51" t="s">
        <v>605</v>
      </c>
      <c r="G14" s="53" t="s">
        <v>606</v>
      </c>
      <c r="H14" s="51" t="s">
        <v>607</v>
      </c>
      <c r="I14" s="51" t="s">
        <v>608</v>
      </c>
    </row>
    <row r="15" spans="2:9">
      <c r="C15" s="51" t="s">
        <v>575</v>
      </c>
      <c r="D15" s="52" t="s">
        <v>576</v>
      </c>
      <c r="E15" s="51" t="s">
        <v>596</v>
      </c>
      <c r="F15" s="51" t="s">
        <v>609</v>
      </c>
      <c r="G15" s="53" t="s">
        <v>610</v>
      </c>
      <c r="H15" s="51" t="s">
        <v>611</v>
      </c>
      <c r="I15" s="51" t="s">
        <v>612</v>
      </c>
    </row>
    <row r="16" spans="2:9">
      <c r="B16" s="49" t="s">
        <v>613</v>
      </c>
      <c r="C16" s="63" t="s">
        <v>575</v>
      </c>
      <c r="D16" s="64" t="s">
        <v>576</v>
      </c>
      <c r="E16" s="63" t="s">
        <v>596</v>
      </c>
      <c r="F16" s="63" t="s">
        <v>614</v>
      </c>
      <c r="G16" s="65" t="s">
        <v>615</v>
      </c>
      <c r="H16" s="63" t="s">
        <v>616</v>
      </c>
      <c r="I16" s="63" t="s">
        <v>617</v>
      </c>
    </row>
    <row r="17" spans="3:9">
      <c r="C17" s="51" t="s">
        <v>618</v>
      </c>
      <c r="D17" s="52" t="s">
        <v>619</v>
      </c>
      <c r="E17" s="51" t="s">
        <v>620</v>
      </c>
      <c r="F17" s="51" t="s">
        <v>517</v>
      </c>
      <c r="G17" s="53" t="s">
        <v>621</v>
      </c>
      <c r="H17" s="51" t="s">
        <v>622</v>
      </c>
      <c r="I17" s="51" t="s">
        <v>623</v>
      </c>
    </row>
    <row r="18" spans="3:9">
      <c r="C18" s="51" t="s">
        <v>618</v>
      </c>
      <c r="D18" s="52" t="s">
        <v>619</v>
      </c>
      <c r="E18" s="51" t="s">
        <v>620</v>
      </c>
      <c r="F18" s="51" t="s">
        <v>521</v>
      </c>
      <c r="G18" s="53" t="s">
        <v>624</v>
      </c>
      <c r="H18" s="51" t="s">
        <v>622</v>
      </c>
      <c r="I18" s="51" t="s">
        <v>625</v>
      </c>
    </row>
    <row r="19" spans="3:9">
      <c r="C19" s="51" t="s">
        <v>618</v>
      </c>
      <c r="D19" s="52" t="s">
        <v>619</v>
      </c>
      <c r="E19" s="51" t="s">
        <v>626</v>
      </c>
      <c r="F19" s="51" t="s">
        <v>627</v>
      </c>
      <c r="G19" s="53" t="s">
        <v>628</v>
      </c>
      <c r="H19" s="51" t="s">
        <v>622</v>
      </c>
      <c r="I19" s="51" t="s">
        <v>629</v>
      </c>
    </row>
    <row r="20" spans="3:9">
      <c r="C20" s="51" t="s">
        <v>618</v>
      </c>
      <c r="D20" s="52" t="s">
        <v>619</v>
      </c>
      <c r="E20" s="51" t="s">
        <v>630</v>
      </c>
      <c r="F20" s="51" t="s">
        <v>631</v>
      </c>
      <c r="G20" s="53" t="s">
        <v>632</v>
      </c>
      <c r="H20" s="51" t="s">
        <v>633</v>
      </c>
      <c r="I20" s="51" t="s">
        <v>634</v>
      </c>
    </row>
    <row r="21" spans="3:9">
      <c r="C21" s="51" t="s">
        <v>618</v>
      </c>
      <c r="D21" s="52" t="s">
        <v>619</v>
      </c>
      <c r="E21" s="51" t="s">
        <v>635</v>
      </c>
      <c r="F21" s="51" t="s">
        <v>636</v>
      </c>
      <c r="G21" s="53" t="s">
        <v>637</v>
      </c>
      <c r="H21" s="51" t="s">
        <v>622</v>
      </c>
      <c r="I21" s="51" t="s">
        <v>638</v>
      </c>
    </row>
    <row r="22" spans="3:9">
      <c r="C22" s="51" t="s">
        <v>639</v>
      </c>
      <c r="D22" s="52" t="s">
        <v>640</v>
      </c>
      <c r="E22" s="51" t="s">
        <v>641</v>
      </c>
      <c r="F22" s="51" t="s">
        <v>642</v>
      </c>
      <c r="G22" s="53" t="s">
        <v>643</v>
      </c>
      <c r="H22" s="51" t="s">
        <v>644</v>
      </c>
      <c r="I22" s="51" t="s">
        <v>645</v>
      </c>
    </row>
    <row r="23" spans="3:9">
      <c r="C23" s="51" t="s">
        <v>639</v>
      </c>
      <c r="D23" s="52" t="s">
        <v>640</v>
      </c>
      <c r="E23" s="51" t="s">
        <v>641</v>
      </c>
      <c r="F23" s="51" t="s">
        <v>646</v>
      </c>
      <c r="G23" s="53" t="s">
        <v>647</v>
      </c>
      <c r="H23" s="51" t="s">
        <v>644</v>
      </c>
      <c r="I23" s="51" t="s">
        <v>648</v>
      </c>
    </row>
    <row r="24" spans="3:9">
      <c r="C24" s="51" t="s">
        <v>639</v>
      </c>
      <c r="D24" s="52" t="s">
        <v>640</v>
      </c>
      <c r="E24" s="51" t="s">
        <v>641</v>
      </c>
      <c r="F24" s="51" t="s">
        <v>649</v>
      </c>
      <c r="G24" s="53" t="s">
        <v>650</v>
      </c>
      <c r="H24" s="51" t="s">
        <v>644</v>
      </c>
      <c r="I24" s="51" t="s">
        <v>651</v>
      </c>
    </row>
    <row r="25" spans="3:9">
      <c r="C25" s="51" t="s">
        <v>639</v>
      </c>
      <c r="D25" s="52" t="s">
        <v>640</v>
      </c>
      <c r="E25" s="51" t="s">
        <v>652</v>
      </c>
      <c r="F25" s="51" t="s">
        <v>653</v>
      </c>
      <c r="G25" s="53" t="s">
        <v>654</v>
      </c>
      <c r="H25" s="51" t="s">
        <v>644</v>
      </c>
      <c r="I25" s="51" t="s">
        <v>655</v>
      </c>
    </row>
    <row r="26" spans="3:9">
      <c r="C26" s="51" t="s">
        <v>639</v>
      </c>
      <c r="D26" s="52" t="s">
        <v>640</v>
      </c>
      <c r="E26" s="51" t="s">
        <v>652</v>
      </c>
      <c r="F26" s="51" t="s">
        <v>656</v>
      </c>
      <c r="G26" s="53" t="s">
        <v>657</v>
      </c>
      <c r="H26" s="51" t="s">
        <v>644</v>
      </c>
      <c r="I26" s="51" t="s">
        <v>658</v>
      </c>
    </row>
    <row r="27" spans="3:9">
      <c r="C27" s="51" t="s">
        <v>639</v>
      </c>
      <c r="D27" s="52" t="s">
        <v>640</v>
      </c>
      <c r="E27" s="51" t="s">
        <v>652</v>
      </c>
      <c r="F27" s="51" t="s">
        <v>659</v>
      </c>
      <c r="G27" s="53" t="s">
        <v>660</v>
      </c>
      <c r="H27" s="51" t="s">
        <v>644</v>
      </c>
      <c r="I27" s="51" t="s">
        <v>661</v>
      </c>
    </row>
    <row r="28" spans="3:9">
      <c r="C28" s="51" t="s">
        <v>639</v>
      </c>
      <c r="D28" s="52" t="s">
        <v>640</v>
      </c>
      <c r="E28" s="51" t="s">
        <v>662</v>
      </c>
      <c r="F28" s="51" t="s">
        <v>663</v>
      </c>
      <c r="G28" s="53" t="s">
        <v>664</v>
      </c>
      <c r="H28" s="51" t="s">
        <v>644</v>
      </c>
      <c r="I28" s="51" t="s">
        <v>665</v>
      </c>
    </row>
    <row r="29" spans="3:9">
      <c r="C29" s="51" t="s">
        <v>639</v>
      </c>
      <c r="D29" s="52" t="s">
        <v>640</v>
      </c>
      <c r="E29" s="51" t="s">
        <v>666</v>
      </c>
      <c r="F29" s="51" t="s">
        <v>667</v>
      </c>
      <c r="G29" s="53" t="s">
        <v>668</v>
      </c>
      <c r="H29" s="51" t="s">
        <v>644</v>
      </c>
      <c r="I29" s="51" t="s">
        <v>669</v>
      </c>
    </row>
    <row r="30" spans="3:9">
      <c r="C30" s="51" t="s">
        <v>639</v>
      </c>
      <c r="D30" s="52" t="s">
        <v>640</v>
      </c>
      <c r="E30" s="51" t="s">
        <v>666</v>
      </c>
      <c r="F30" s="51" t="s">
        <v>670</v>
      </c>
      <c r="G30" s="53" t="s">
        <v>671</v>
      </c>
      <c r="H30" s="51" t="s">
        <v>644</v>
      </c>
      <c r="I30" s="51" t="s">
        <v>672</v>
      </c>
    </row>
    <row r="31" spans="3:9">
      <c r="C31" s="51" t="s">
        <v>639</v>
      </c>
      <c r="D31" s="52" t="s">
        <v>640</v>
      </c>
      <c r="E31" s="51" t="s">
        <v>666</v>
      </c>
      <c r="F31" s="51" t="s">
        <v>673</v>
      </c>
      <c r="G31" s="53" t="s">
        <v>674</v>
      </c>
      <c r="H31" s="51" t="s">
        <v>644</v>
      </c>
      <c r="I31" s="51" t="s">
        <v>675</v>
      </c>
    </row>
    <row r="32" spans="3:9">
      <c r="C32" s="51" t="s">
        <v>639</v>
      </c>
      <c r="D32" s="52" t="s">
        <v>640</v>
      </c>
      <c r="E32" s="51" t="s">
        <v>666</v>
      </c>
      <c r="F32" s="51" t="s">
        <v>676</v>
      </c>
      <c r="G32" s="53" t="s">
        <v>677</v>
      </c>
      <c r="H32" s="51" t="s">
        <v>644</v>
      </c>
      <c r="I32" s="51" t="s">
        <v>678</v>
      </c>
    </row>
    <row r="33" spans="1:9">
      <c r="B33" s="49" t="s">
        <v>613</v>
      </c>
      <c r="C33" s="60" t="s">
        <v>639</v>
      </c>
      <c r="D33" s="61" t="s">
        <v>640</v>
      </c>
      <c r="E33" s="60" t="s">
        <v>679</v>
      </c>
      <c r="F33" s="60" t="s">
        <v>392</v>
      </c>
      <c r="G33" s="62" t="s">
        <v>680</v>
      </c>
      <c r="H33" s="60" t="s">
        <v>681</v>
      </c>
      <c r="I33" s="60" t="s">
        <v>682</v>
      </c>
    </row>
    <row r="34" spans="1:9">
      <c r="C34" s="51" t="s">
        <v>639</v>
      </c>
      <c r="D34" s="52" t="s">
        <v>640</v>
      </c>
      <c r="E34" s="51" t="s">
        <v>679</v>
      </c>
      <c r="F34" s="51" t="s">
        <v>683</v>
      </c>
      <c r="G34" s="53" t="s">
        <v>684</v>
      </c>
      <c r="H34" s="51" t="s">
        <v>681</v>
      </c>
      <c r="I34" s="51" t="s">
        <v>685</v>
      </c>
    </row>
    <row r="35" spans="1:9">
      <c r="C35" s="51" t="s">
        <v>639</v>
      </c>
      <c r="D35" s="52" t="s">
        <v>640</v>
      </c>
      <c r="E35" s="51" t="s">
        <v>679</v>
      </c>
      <c r="F35" s="51" t="s">
        <v>686</v>
      </c>
      <c r="G35" s="53" t="s">
        <v>687</v>
      </c>
      <c r="H35" s="51" t="s">
        <v>681</v>
      </c>
      <c r="I35" s="51" t="s">
        <v>688</v>
      </c>
    </row>
    <row r="36" spans="1:9">
      <c r="C36" s="51" t="s">
        <v>639</v>
      </c>
      <c r="D36" s="52" t="s">
        <v>640</v>
      </c>
      <c r="E36" s="51" t="s">
        <v>679</v>
      </c>
      <c r="F36" s="51" t="s">
        <v>689</v>
      </c>
      <c r="G36" s="53" t="s">
        <v>690</v>
      </c>
      <c r="H36" s="51" t="s">
        <v>681</v>
      </c>
      <c r="I36" s="51" t="s">
        <v>691</v>
      </c>
    </row>
    <row r="37" spans="1:9">
      <c r="C37" s="51" t="s">
        <v>692</v>
      </c>
      <c r="D37" s="52" t="s">
        <v>693</v>
      </c>
      <c r="E37" s="51" t="s">
        <v>694</v>
      </c>
      <c r="F37" s="51" t="s">
        <v>695</v>
      </c>
      <c r="G37" s="53" t="s">
        <v>696</v>
      </c>
      <c r="H37" s="51" t="s">
        <v>697</v>
      </c>
      <c r="I37" s="51" t="s">
        <v>698</v>
      </c>
    </row>
    <row r="38" spans="1:9">
      <c r="C38" s="51" t="s">
        <v>692</v>
      </c>
      <c r="D38" s="52" t="s">
        <v>693</v>
      </c>
      <c r="E38" s="51" t="s">
        <v>694</v>
      </c>
      <c r="F38" s="51" t="s">
        <v>699</v>
      </c>
      <c r="G38" s="53" t="s">
        <v>700</v>
      </c>
      <c r="H38" s="51" t="s">
        <v>697</v>
      </c>
      <c r="I38" s="51" t="s">
        <v>701</v>
      </c>
    </row>
    <row r="39" spans="1:9">
      <c r="C39" s="51" t="s">
        <v>692</v>
      </c>
      <c r="D39" s="52" t="s">
        <v>693</v>
      </c>
      <c r="E39" s="51" t="s">
        <v>694</v>
      </c>
      <c r="F39" s="51" t="s">
        <v>702</v>
      </c>
      <c r="G39" s="53" t="s">
        <v>703</v>
      </c>
      <c r="H39" s="51" t="s">
        <v>697</v>
      </c>
      <c r="I39" s="51" t="s">
        <v>704</v>
      </c>
    </row>
    <row r="40" spans="1:9">
      <c r="C40" s="51" t="s">
        <v>692</v>
      </c>
      <c r="D40" s="52" t="s">
        <v>693</v>
      </c>
      <c r="E40" s="51" t="s">
        <v>694</v>
      </c>
      <c r="F40" s="51" t="s">
        <v>705</v>
      </c>
      <c r="G40" s="53" t="s">
        <v>706</v>
      </c>
      <c r="H40" s="51" t="s">
        <v>697</v>
      </c>
      <c r="I40" s="51" t="s">
        <v>707</v>
      </c>
    </row>
    <row r="41" spans="1:9">
      <c r="C41" s="51" t="s">
        <v>692</v>
      </c>
      <c r="D41" s="52" t="s">
        <v>693</v>
      </c>
      <c r="E41" s="51" t="s">
        <v>708</v>
      </c>
      <c r="F41" s="51" t="s">
        <v>709</v>
      </c>
      <c r="G41" s="53" t="s">
        <v>710</v>
      </c>
      <c r="H41" s="51" t="s">
        <v>697</v>
      </c>
      <c r="I41" s="51" t="s">
        <v>711</v>
      </c>
    </row>
    <row r="42" spans="1:9">
      <c r="C42" s="51" t="s">
        <v>692</v>
      </c>
      <c r="D42" s="52" t="s">
        <v>693</v>
      </c>
      <c r="E42" s="51" t="s">
        <v>712</v>
      </c>
      <c r="F42" s="51" t="s">
        <v>713</v>
      </c>
      <c r="G42" s="53" t="s">
        <v>714</v>
      </c>
      <c r="H42" s="51" t="s">
        <v>697</v>
      </c>
      <c r="I42" s="51" t="s">
        <v>715</v>
      </c>
    </row>
    <row r="43" spans="1:9">
      <c r="C43" s="51" t="s">
        <v>692</v>
      </c>
      <c r="D43" s="52" t="s">
        <v>693</v>
      </c>
      <c r="E43" s="51" t="s">
        <v>712</v>
      </c>
      <c r="F43" s="51" t="s">
        <v>716</v>
      </c>
      <c r="G43" s="53" t="s">
        <v>717</v>
      </c>
      <c r="H43" s="51" t="s">
        <v>697</v>
      </c>
      <c r="I43" s="51" t="s">
        <v>718</v>
      </c>
    </row>
    <row r="44" spans="1:9">
      <c r="C44" s="51" t="s">
        <v>692</v>
      </c>
      <c r="D44" s="52" t="s">
        <v>693</v>
      </c>
      <c r="E44" s="51" t="s">
        <v>712</v>
      </c>
      <c r="F44" s="51" t="s">
        <v>719</v>
      </c>
      <c r="G44" s="53" t="s">
        <v>720</v>
      </c>
      <c r="H44" s="51" t="s">
        <v>697</v>
      </c>
      <c r="I44" s="51" t="s">
        <v>721</v>
      </c>
    </row>
    <row r="45" spans="1:9" ht="13">
      <c r="A45" s="66"/>
      <c r="C45" s="51" t="s">
        <v>692</v>
      </c>
      <c r="D45" s="52" t="s">
        <v>693</v>
      </c>
      <c r="E45" s="51" t="s">
        <v>712</v>
      </c>
      <c r="F45" s="51" t="s">
        <v>722</v>
      </c>
      <c r="G45" s="53" t="s">
        <v>723</v>
      </c>
      <c r="H45" s="51" t="s">
        <v>697</v>
      </c>
      <c r="I45" s="51" t="s">
        <v>724</v>
      </c>
    </row>
    <row r="46" spans="1:9">
      <c r="C46" s="51" t="s">
        <v>692</v>
      </c>
      <c r="D46" s="52" t="s">
        <v>693</v>
      </c>
      <c r="E46" s="51" t="s">
        <v>712</v>
      </c>
      <c r="F46" s="51" t="s">
        <v>725</v>
      </c>
      <c r="G46" s="53" t="s">
        <v>726</v>
      </c>
      <c r="H46" s="51" t="s">
        <v>697</v>
      </c>
      <c r="I46" s="51" t="s">
        <v>727</v>
      </c>
    </row>
    <row r="47" spans="1:9">
      <c r="C47" s="51" t="s">
        <v>692</v>
      </c>
      <c r="D47" s="52" t="s">
        <v>693</v>
      </c>
      <c r="E47" s="51" t="s">
        <v>728</v>
      </c>
      <c r="F47" s="51" t="s">
        <v>729</v>
      </c>
      <c r="G47" s="53" t="s">
        <v>730</v>
      </c>
      <c r="H47" s="51" t="s">
        <v>697</v>
      </c>
      <c r="I47" s="51" t="s">
        <v>731</v>
      </c>
    </row>
    <row r="48" spans="1:9">
      <c r="C48" s="51" t="s">
        <v>692</v>
      </c>
      <c r="D48" s="52" t="s">
        <v>693</v>
      </c>
      <c r="E48" s="51" t="s">
        <v>728</v>
      </c>
      <c r="F48" s="51" t="s">
        <v>732</v>
      </c>
      <c r="G48" s="53" t="s">
        <v>733</v>
      </c>
      <c r="H48" s="51" t="s">
        <v>697</v>
      </c>
      <c r="I48" s="51" t="s">
        <v>734</v>
      </c>
    </row>
    <row r="49" spans="3:9">
      <c r="C49" s="51" t="s">
        <v>692</v>
      </c>
      <c r="D49" s="52" t="s">
        <v>693</v>
      </c>
      <c r="E49" s="51" t="s">
        <v>735</v>
      </c>
      <c r="F49" s="51" t="s">
        <v>736</v>
      </c>
      <c r="G49" s="53" t="s">
        <v>737</v>
      </c>
      <c r="H49" s="51" t="s">
        <v>697</v>
      </c>
      <c r="I49" s="51" t="s">
        <v>738</v>
      </c>
    </row>
    <row r="50" spans="3:9">
      <c r="C50" s="51" t="s">
        <v>692</v>
      </c>
      <c r="D50" s="52" t="s">
        <v>693</v>
      </c>
      <c r="E50" s="51" t="s">
        <v>735</v>
      </c>
      <c r="F50" s="51" t="s">
        <v>739</v>
      </c>
      <c r="G50" s="53" t="s">
        <v>740</v>
      </c>
      <c r="H50" s="51" t="s">
        <v>697</v>
      </c>
      <c r="I50" s="51" t="s">
        <v>741</v>
      </c>
    </row>
    <row r="51" spans="3:9">
      <c r="C51" s="51" t="s">
        <v>692</v>
      </c>
      <c r="D51" s="52" t="s">
        <v>693</v>
      </c>
      <c r="E51" s="51" t="s">
        <v>735</v>
      </c>
      <c r="F51" s="51" t="s">
        <v>742</v>
      </c>
      <c r="G51" s="53" t="s">
        <v>743</v>
      </c>
      <c r="H51" s="51" t="s">
        <v>697</v>
      </c>
      <c r="I51" s="51" t="s">
        <v>744</v>
      </c>
    </row>
    <row r="52" spans="3:9">
      <c r="C52" s="51" t="s">
        <v>692</v>
      </c>
      <c r="D52" s="52" t="s">
        <v>693</v>
      </c>
      <c r="E52" s="51" t="s">
        <v>735</v>
      </c>
      <c r="F52" s="51" t="s">
        <v>745</v>
      </c>
      <c r="G52" s="53" t="s">
        <v>746</v>
      </c>
      <c r="H52" s="51" t="s">
        <v>747</v>
      </c>
      <c r="I52" s="51" t="s">
        <v>748</v>
      </c>
    </row>
    <row r="53" spans="3:9">
      <c r="C53" s="51" t="s">
        <v>692</v>
      </c>
      <c r="D53" s="52" t="s">
        <v>693</v>
      </c>
      <c r="E53" s="51" t="s">
        <v>735</v>
      </c>
      <c r="F53" s="51" t="s">
        <v>749</v>
      </c>
      <c r="G53" s="53" t="s">
        <v>750</v>
      </c>
      <c r="H53" s="51" t="s">
        <v>697</v>
      </c>
      <c r="I53" s="51" t="s">
        <v>751</v>
      </c>
    </row>
    <row r="54" spans="3:9">
      <c r="C54" s="51" t="s">
        <v>692</v>
      </c>
      <c r="D54" s="52" t="s">
        <v>693</v>
      </c>
      <c r="E54" s="51" t="s">
        <v>752</v>
      </c>
      <c r="F54" s="51" t="s">
        <v>753</v>
      </c>
      <c r="G54" s="53" t="s">
        <v>754</v>
      </c>
      <c r="H54" s="51" t="s">
        <v>697</v>
      </c>
      <c r="I54" s="51" t="s">
        <v>755</v>
      </c>
    </row>
    <row r="55" spans="3:9">
      <c r="C55" s="51" t="s">
        <v>692</v>
      </c>
      <c r="D55" s="52" t="s">
        <v>693</v>
      </c>
      <c r="E55" s="51" t="s">
        <v>752</v>
      </c>
      <c r="F55" s="51" t="s">
        <v>756</v>
      </c>
      <c r="G55" s="53" t="s">
        <v>757</v>
      </c>
      <c r="H55" s="51" t="s">
        <v>697</v>
      </c>
      <c r="I55" s="51" t="s">
        <v>758</v>
      </c>
    </row>
    <row r="56" spans="3:9">
      <c r="C56" s="54" t="s">
        <v>692</v>
      </c>
      <c r="D56" s="55" t="s">
        <v>693</v>
      </c>
      <c r="E56" s="54" t="s">
        <v>759</v>
      </c>
      <c r="F56" s="54" t="s">
        <v>253</v>
      </c>
      <c r="G56" s="56" t="s">
        <v>760</v>
      </c>
      <c r="H56" s="54" t="s">
        <v>761</v>
      </c>
      <c r="I56" s="54" t="s">
        <v>762</v>
      </c>
    </row>
    <row r="57" spans="3:9">
      <c r="C57" s="51" t="s">
        <v>692</v>
      </c>
      <c r="D57" s="52" t="s">
        <v>693</v>
      </c>
      <c r="E57" s="51" t="s">
        <v>759</v>
      </c>
      <c r="F57" s="51" t="s">
        <v>763</v>
      </c>
      <c r="G57" s="53" t="s">
        <v>764</v>
      </c>
      <c r="H57" s="51" t="s">
        <v>761</v>
      </c>
      <c r="I57" s="51" t="s">
        <v>765</v>
      </c>
    </row>
    <row r="58" spans="3:9">
      <c r="C58" s="51" t="s">
        <v>692</v>
      </c>
      <c r="D58" s="52" t="s">
        <v>693</v>
      </c>
      <c r="E58" s="51" t="s">
        <v>759</v>
      </c>
      <c r="F58" s="51" t="s">
        <v>766</v>
      </c>
      <c r="G58" s="53" t="s">
        <v>767</v>
      </c>
      <c r="H58" s="51" t="s">
        <v>761</v>
      </c>
      <c r="I58" s="51" t="s">
        <v>768</v>
      </c>
    </row>
    <row r="59" spans="3:9">
      <c r="C59" s="51" t="s">
        <v>692</v>
      </c>
      <c r="D59" s="52" t="s">
        <v>693</v>
      </c>
      <c r="E59" s="51" t="s">
        <v>759</v>
      </c>
      <c r="F59" s="51" t="s">
        <v>769</v>
      </c>
      <c r="G59" s="53" t="s">
        <v>770</v>
      </c>
      <c r="H59" s="51" t="s">
        <v>761</v>
      </c>
      <c r="I59" s="51" t="s">
        <v>771</v>
      </c>
    </row>
    <row r="60" spans="3:9">
      <c r="C60" s="51" t="s">
        <v>692</v>
      </c>
      <c r="D60" s="52" t="s">
        <v>693</v>
      </c>
      <c r="E60" s="51" t="s">
        <v>759</v>
      </c>
      <c r="F60" s="51" t="s">
        <v>772</v>
      </c>
      <c r="G60" s="53" t="s">
        <v>773</v>
      </c>
      <c r="H60" s="51" t="s">
        <v>761</v>
      </c>
      <c r="I60" s="51" t="s">
        <v>774</v>
      </c>
    </row>
    <row r="61" spans="3:9">
      <c r="C61" s="51" t="s">
        <v>692</v>
      </c>
      <c r="D61" s="52" t="s">
        <v>693</v>
      </c>
      <c r="E61" s="51" t="s">
        <v>759</v>
      </c>
      <c r="F61" s="51" t="s">
        <v>302</v>
      </c>
      <c r="G61" s="53" t="s">
        <v>775</v>
      </c>
      <c r="H61" s="51" t="s">
        <v>761</v>
      </c>
      <c r="I61" s="51" t="s">
        <v>776</v>
      </c>
    </row>
    <row r="62" spans="3:9">
      <c r="C62" s="51" t="s">
        <v>692</v>
      </c>
      <c r="D62" s="52" t="s">
        <v>693</v>
      </c>
      <c r="E62" s="51" t="s">
        <v>759</v>
      </c>
      <c r="F62" s="51" t="s">
        <v>777</v>
      </c>
      <c r="G62" s="53" t="s">
        <v>778</v>
      </c>
      <c r="H62" s="51" t="s">
        <v>761</v>
      </c>
      <c r="I62" s="51" t="s">
        <v>779</v>
      </c>
    </row>
    <row r="63" spans="3:9">
      <c r="C63" s="51" t="s">
        <v>780</v>
      </c>
      <c r="D63" s="52" t="s">
        <v>781</v>
      </c>
      <c r="E63" s="51" t="s">
        <v>782</v>
      </c>
      <c r="F63" s="51" t="s">
        <v>783</v>
      </c>
      <c r="G63" s="53" t="s">
        <v>784</v>
      </c>
      <c r="H63" s="51" t="s">
        <v>785</v>
      </c>
      <c r="I63" s="51" t="s">
        <v>786</v>
      </c>
    </row>
    <row r="64" spans="3:9">
      <c r="C64" s="51" t="s">
        <v>780</v>
      </c>
      <c r="D64" s="52" t="s">
        <v>781</v>
      </c>
      <c r="E64" s="51" t="s">
        <v>782</v>
      </c>
      <c r="F64" s="51" t="s">
        <v>787</v>
      </c>
      <c r="G64" s="53" t="s">
        <v>788</v>
      </c>
      <c r="H64" s="51" t="s">
        <v>785</v>
      </c>
      <c r="I64" s="51" t="s">
        <v>789</v>
      </c>
    </row>
    <row r="65" spans="3:9">
      <c r="C65" s="51" t="s">
        <v>780</v>
      </c>
      <c r="D65" s="52" t="s">
        <v>781</v>
      </c>
      <c r="E65" s="51" t="s">
        <v>782</v>
      </c>
      <c r="F65" s="51" t="s">
        <v>790</v>
      </c>
      <c r="G65" s="53" t="s">
        <v>791</v>
      </c>
      <c r="H65" s="51" t="s">
        <v>785</v>
      </c>
      <c r="I65" s="51" t="s">
        <v>792</v>
      </c>
    </row>
    <row r="66" spans="3:9">
      <c r="C66" s="51" t="s">
        <v>780</v>
      </c>
      <c r="D66" s="52" t="s">
        <v>781</v>
      </c>
      <c r="E66" s="51" t="s">
        <v>793</v>
      </c>
      <c r="F66" s="51" t="s">
        <v>794</v>
      </c>
      <c r="G66" s="53" t="s">
        <v>795</v>
      </c>
      <c r="H66" s="51" t="s">
        <v>785</v>
      </c>
      <c r="I66" s="51" t="s">
        <v>796</v>
      </c>
    </row>
    <row r="67" spans="3:9">
      <c r="C67" s="51" t="s">
        <v>780</v>
      </c>
      <c r="D67" s="52" t="s">
        <v>781</v>
      </c>
      <c r="E67" s="51" t="s">
        <v>793</v>
      </c>
      <c r="F67" s="51" t="s">
        <v>797</v>
      </c>
      <c r="G67" s="53" t="s">
        <v>798</v>
      </c>
      <c r="H67" s="51" t="s">
        <v>785</v>
      </c>
      <c r="I67" s="51" t="s">
        <v>799</v>
      </c>
    </row>
    <row r="68" spans="3:9">
      <c r="C68" s="51" t="s">
        <v>780</v>
      </c>
      <c r="D68" s="52" t="s">
        <v>781</v>
      </c>
      <c r="E68" s="51" t="s">
        <v>800</v>
      </c>
      <c r="F68" s="51" t="s">
        <v>801</v>
      </c>
      <c r="G68" s="53" t="s">
        <v>802</v>
      </c>
      <c r="H68" s="51" t="s">
        <v>785</v>
      </c>
      <c r="I68" s="51" t="s">
        <v>803</v>
      </c>
    </row>
    <row r="69" spans="3:9">
      <c r="C69" s="51" t="s">
        <v>780</v>
      </c>
      <c r="D69" s="52" t="s">
        <v>781</v>
      </c>
      <c r="E69" s="51" t="s">
        <v>800</v>
      </c>
      <c r="F69" s="51" t="s">
        <v>804</v>
      </c>
      <c r="G69" s="53" t="s">
        <v>805</v>
      </c>
      <c r="H69" s="51" t="s">
        <v>785</v>
      </c>
      <c r="I69" s="51" t="s">
        <v>806</v>
      </c>
    </row>
    <row r="70" spans="3:9">
      <c r="C70" s="51" t="s">
        <v>780</v>
      </c>
      <c r="D70" s="52" t="s">
        <v>781</v>
      </c>
      <c r="E70" s="51" t="s">
        <v>800</v>
      </c>
      <c r="F70" s="51" t="s">
        <v>807</v>
      </c>
      <c r="G70" s="53" t="s">
        <v>808</v>
      </c>
      <c r="H70" s="51" t="s">
        <v>785</v>
      </c>
      <c r="I70" s="51" t="s">
        <v>809</v>
      </c>
    </row>
    <row r="71" spans="3:9">
      <c r="C71" s="51" t="s">
        <v>780</v>
      </c>
      <c r="D71" s="52" t="s">
        <v>781</v>
      </c>
      <c r="E71" s="51" t="s">
        <v>800</v>
      </c>
      <c r="F71" s="51" t="s">
        <v>810</v>
      </c>
      <c r="G71" s="53" t="s">
        <v>811</v>
      </c>
      <c r="H71" s="51" t="s">
        <v>785</v>
      </c>
      <c r="I71" s="51" t="s">
        <v>812</v>
      </c>
    </row>
    <row r="72" spans="3:9">
      <c r="C72" s="51" t="s">
        <v>780</v>
      </c>
      <c r="D72" s="52" t="s">
        <v>781</v>
      </c>
      <c r="E72" s="51" t="s">
        <v>800</v>
      </c>
      <c r="F72" s="51" t="s">
        <v>813</v>
      </c>
      <c r="G72" s="53" t="s">
        <v>814</v>
      </c>
      <c r="H72" s="51" t="s">
        <v>785</v>
      </c>
      <c r="I72" s="51" t="s">
        <v>815</v>
      </c>
    </row>
    <row r="73" spans="3:9">
      <c r="C73" s="51" t="s">
        <v>780</v>
      </c>
      <c r="D73" s="52" t="s">
        <v>781</v>
      </c>
      <c r="E73" s="51" t="s">
        <v>800</v>
      </c>
      <c r="F73" s="51" t="s">
        <v>816</v>
      </c>
      <c r="G73" s="53" t="s">
        <v>817</v>
      </c>
      <c r="H73" s="51" t="s">
        <v>785</v>
      </c>
      <c r="I73" s="51" t="s">
        <v>818</v>
      </c>
    </row>
    <row r="74" spans="3:9">
      <c r="C74" s="51" t="s">
        <v>780</v>
      </c>
      <c r="D74" s="52" t="s">
        <v>781</v>
      </c>
      <c r="E74" s="51" t="s">
        <v>800</v>
      </c>
      <c r="F74" s="51" t="s">
        <v>819</v>
      </c>
      <c r="G74" s="53" t="s">
        <v>820</v>
      </c>
      <c r="H74" s="51" t="s">
        <v>785</v>
      </c>
      <c r="I74" s="51" t="s">
        <v>821</v>
      </c>
    </row>
    <row r="75" spans="3:9">
      <c r="C75" s="51" t="s">
        <v>780</v>
      </c>
      <c r="D75" s="52" t="s">
        <v>781</v>
      </c>
      <c r="E75" s="51" t="s">
        <v>822</v>
      </c>
      <c r="F75" s="51" t="s">
        <v>823</v>
      </c>
      <c r="G75" s="53" t="s">
        <v>824</v>
      </c>
      <c r="H75" s="51" t="s">
        <v>785</v>
      </c>
      <c r="I75" s="51" t="s">
        <v>825</v>
      </c>
    </row>
    <row r="76" spans="3:9">
      <c r="C76" s="51" t="s">
        <v>780</v>
      </c>
      <c r="D76" s="52" t="s">
        <v>781</v>
      </c>
      <c r="E76" s="51" t="s">
        <v>822</v>
      </c>
      <c r="F76" s="51" t="s">
        <v>826</v>
      </c>
      <c r="G76" s="53" t="s">
        <v>827</v>
      </c>
      <c r="H76" s="51" t="s">
        <v>785</v>
      </c>
      <c r="I76" s="51" t="s">
        <v>828</v>
      </c>
    </row>
    <row r="77" spans="3:9">
      <c r="C77" s="51" t="s">
        <v>780</v>
      </c>
      <c r="D77" s="52" t="s">
        <v>781</v>
      </c>
      <c r="E77" s="51" t="s">
        <v>822</v>
      </c>
      <c r="F77" s="51" t="s">
        <v>829</v>
      </c>
      <c r="G77" s="53" t="s">
        <v>830</v>
      </c>
      <c r="H77" s="51" t="s">
        <v>785</v>
      </c>
      <c r="I77" s="51" t="s">
        <v>831</v>
      </c>
    </row>
    <row r="78" spans="3:9">
      <c r="C78" s="51" t="s">
        <v>780</v>
      </c>
      <c r="D78" s="52" t="s">
        <v>781</v>
      </c>
      <c r="E78" s="51" t="s">
        <v>822</v>
      </c>
      <c r="F78" s="51" t="s">
        <v>832</v>
      </c>
      <c r="G78" s="53" t="s">
        <v>833</v>
      </c>
      <c r="H78" s="51" t="s">
        <v>785</v>
      </c>
      <c r="I78" s="51" t="s">
        <v>834</v>
      </c>
    </row>
    <row r="79" spans="3:9">
      <c r="C79" s="51" t="s">
        <v>780</v>
      </c>
      <c r="D79" s="52" t="s">
        <v>781</v>
      </c>
      <c r="E79" s="51" t="s">
        <v>822</v>
      </c>
      <c r="F79" s="51" t="s">
        <v>835</v>
      </c>
      <c r="G79" s="53" t="s">
        <v>836</v>
      </c>
      <c r="H79" s="51" t="s">
        <v>785</v>
      </c>
      <c r="I79" s="51" t="s">
        <v>837</v>
      </c>
    </row>
    <row r="80" spans="3:9">
      <c r="C80" s="51" t="s">
        <v>780</v>
      </c>
      <c r="D80" s="52" t="s">
        <v>781</v>
      </c>
      <c r="E80" s="51" t="s">
        <v>822</v>
      </c>
      <c r="F80" s="51" t="s">
        <v>838</v>
      </c>
      <c r="G80" s="53" t="s">
        <v>839</v>
      </c>
      <c r="H80" s="51" t="s">
        <v>785</v>
      </c>
      <c r="I80" s="51" t="s">
        <v>840</v>
      </c>
    </row>
    <row r="81" spans="3:9">
      <c r="C81" s="51" t="s">
        <v>780</v>
      </c>
      <c r="D81" s="52" t="s">
        <v>781</v>
      </c>
      <c r="E81" s="51" t="s">
        <v>841</v>
      </c>
      <c r="F81" s="51" t="s">
        <v>842</v>
      </c>
      <c r="G81" s="53" t="s">
        <v>843</v>
      </c>
      <c r="H81" s="51" t="s">
        <v>785</v>
      </c>
      <c r="I81" s="51" t="s">
        <v>844</v>
      </c>
    </row>
    <row r="82" spans="3:9">
      <c r="C82" s="51" t="s">
        <v>780</v>
      </c>
      <c r="D82" s="52" t="s">
        <v>781</v>
      </c>
      <c r="E82" s="51" t="s">
        <v>841</v>
      </c>
      <c r="F82" s="51" t="s">
        <v>845</v>
      </c>
      <c r="G82" s="53" t="s">
        <v>846</v>
      </c>
      <c r="H82" s="51" t="s">
        <v>785</v>
      </c>
      <c r="I82" s="51" t="s">
        <v>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K82"/>
  <sheetViews>
    <sheetView workbookViewId="0"/>
  </sheetViews>
  <sheetFormatPr baseColWidth="10" defaultRowHeight="13"/>
  <cols>
    <col min="3" max="3" width="7.6640625" style="49" customWidth="1"/>
    <col min="4" max="4" width="5.6640625" style="50" customWidth="1"/>
    <col min="5" max="5" width="6.1640625" style="49" customWidth="1"/>
    <col min="6" max="6" width="32.33203125" style="49" customWidth="1"/>
    <col min="7" max="7" width="5.83203125" style="50" customWidth="1"/>
    <col min="8" max="8" width="24.83203125" style="49" customWidth="1"/>
    <col min="9" max="9" width="9.33203125" style="49" customWidth="1"/>
    <col min="10" max="10" width="29.1640625" style="49" customWidth="1"/>
    <col min="11" max="11" width="39.6640625" style="50" customWidth="1"/>
  </cols>
  <sheetData>
    <row r="3" spans="3:11">
      <c r="C3" s="57" t="s">
        <v>848</v>
      </c>
      <c r="D3" s="58" t="s">
        <v>307</v>
      </c>
      <c r="E3" s="58" t="s">
        <v>567</v>
      </c>
      <c r="F3" s="58" t="s">
        <v>568</v>
      </c>
      <c r="G3" s="58" t="s">
        <v>569</v>
      </c>
      <c r="H3" s="58" t="s">
        <v>849</v>
      </c>
      <c r="I3" s="58" t="s">
        <v>570</v>
      </c>
      <c r="J3" s="57" t="s">
        <v>571</v>
      </c>
      <c r="K3" s="58" t="s">
        <v>572</v>
      </c>
    </row>
    <row r="4" spans="3:11" hidden="1">
      <c r="C4" s="60">
        <v>1</v>
      </c>
      <c r="D4" s="61" t="s">
        <v>850</v>
      </c>
      <c r="E4" s="60" t="s">
        <v>575</v>
      </c>
      <c r="F4" s="60" t="s">
        <v>851</v>
      </c>
      <c r="G4" s="62" t="s">
        <v>577</v>
      </c>
      <c r="H4" s="60" t="s">
        <v>852</v>
      </c>
      <c r="I4" s="60" t="s">
        <v>261</v>
      </c>
      <c r="J4" s="60" t="s">
        <v>853</v>
      </c>
      <c r="K4" s="61" t="s">
        <v>854</v>
      </c>
    </row>
    <row r="5" spans="3:11" hidden="1">
      <c r="C5" s="60">
        <v>2</v>
      </c>
      <c r="D5" s="61" t="s">
        <v>850</v>
      </c>
      <c r="E5" s="60" t="s">
        <v>575</v>
      </c>
      <c r="F5" s="60" t="s">
        <v>851</v>
      </c>
      <c r="G5" s="62" t="s">
        <v>577</v>
      </c>
      <c r="H5" s="60" t="s">
        <v>855</v>
      </c>
      <c r="I5" s="60" t="s">
        <v>275</v>
      </c>
      <c r="J5" s="60" t="s">
        <v>856</v>
      </c>
      <c r="K5" s="61" t="s">
        <v>854</v>
      </c>
    </row>
    <row r="6" spans="3:11" hidden="1">
      <c r="C6" s="60">
        <v>3</v>
      </c>
      <c r="D6" s="61" t="s">
        <v>850</v>
      </c>
      <c r="E6" s="60" t="s">
        <v>575</v>
      </c>
      <c r="F6" s="60" t="s">
        <v>851</v>
      </c>
      <c r="G6" s="62" t="s">
        <v>577</v>
      </c>
      <c r="H6" s="60" t="s">
        <v>857</v>
      </c>
      <c r="I6" s="60" t="s">
        <v>280</v>
      </c>
      <c r="J6" s="60" t="s">
        <v>388</v>
      </c>
      <c r="K6" s="61" t="s">
        <v>854</v>
      </c>
    </row>
    <row r="7" spans="3:11" hidden="1">
      <c r="C7" s="60">
        <v>4</v>
      </c>
      <c r="D7" s="61" t="s">
        <v>850</v>
      </c>
      <c r="E7" s="60" t="s">
        <v>575</v>
      </c>
      <c r="F7" s="60" t="s">
        <v>851</v>
      </c>
      <c r="G7" s="62" t="s">
        <v>577</v>
      </c>
      <c r="H7" s="60" t="s">
        <v>858</v>
      </c>
      <c r="I7" s="60" t="s">
        <v>859</v>
      </c>
      <c r="J7" s="60" t="s">
        <v>860</v>
      </c>
      <c r="K7" s="61" t="s">
        <v>854</v>
      </c>
    </row>
    <row r="8" spans="3:11" hidden="1">
      <c r="C8" s="60">
        <v>5</v>
      </c>
      <c r="D8" s="61" t="s">
        <v>850</v>
      </c>
      <c r="E8" s="60" t="s">
        <v>575</v>
      </c>
      <c r="F8" s="60" t="s">
        <v>851</v>
      </c>
      <c r="G8" s="62" t="s">
        <v>586</v>
      </c>
      <c r="H8" s="60" t="s">
        <v>861</v>
      </c>
      <c r="I8" s="60" t="s">
        <v>285</v>
      </c>
      <c r="J8" s="60" t="s">
        <v>589</v>
      </c>
      <c r="K8" s="61" t="s">
        <v>854</v>
      </c>
    </row>
    <row r="9" spans="3:11" hidden="1">
      <c r="C9" s="51">
        <v>6</v>
      </c>
      <c r="D9" s="52" t="s">
        <v>850</v>
      </c>
      <c r="E9" s="51" t="s">
        <v>575</v>
      </c>
      <c r="F9" s="51" t="s">
        <v>851</v>
      </c>
      <c r="G9" s="53" t="s">
        <v>586</v>
      </c>
      <c r="H9" s="51" t="s">
        <v>862</v>
      </c>
      <c r="I9" s="51" t="s">
        <v>686</v>
      </c>
      <c r="J9" s="51" t="s">
        <v>687</v>
      </c>
      <c r="K9" s="52" t="s">
        <v>854</v>
      </c>
    </row>
    <row r="10" spans="3:11" hidden="1">
      <c r="C10" s="51">
        <v>7</v>
      </c>
      <c r="D10" s="52" t="s">
        <v>850</v>
      </c>
      <c r="E10" s="51" t="s">
        <v>575</v>
      </c>
      <c r="F10" s="51" t="s">
        <v>851</v>
      </c>
      <c r="G10" s="53" t="s">
        <v>586</v>
      </c>
      <c r="H10" s="51" t="s">
        <v>863</v>
      </c>
      <c r="I10" s="51" t="s">
        <v>583</v>
      </c>
      <c r="J10" s="51" t="s">
        <v>864</v>
      </c>
      <c r="K10" s="52" t="s">
        <v>854</v>
      </c>
    </row>
    <row r="11" spans="3:11" hidden="1">
      <c r="C11" s="51">
        <v>8</v>
      </c>
      <c r="D11" s="52" t="s">
        <v>850</v>
      </c>
      <c r="E11" s="51" t="s">
        <v>575</v>
      </c>
      <c r="F11" s="51" t="s">
        <v>851</v>
      </c>
      <c r="G11" s="53" t="s">
        <v>586</v>
      </c>
      <c r="H11" s="51" t="s">
        <v>865</v>
      </c>
      <c r="I11" s="51" t="s">
        <v>289</v>
      </c>
      <c r="J11" s="51" t="s">
        <v>591</v>
      </c>
      <c r="K11" s="52" t="s">
        <v>854</v>
      </c>
    </row>
    <row r="12" spans="3:11" hidden="1">
      <c r="C12" s="51">
        <v>9</v>
      </c>
      <c r="D12" s="52" t="s">
        <v>850</v>
      </c>
      <c r="E12" s="51" t="s">
        <v>575</v>
      </c>
      <c r="F12" s="51" t="s">
        <v>851</v>
      </c>
      <c r="G12" s="53" t="s">
        <v>593</v>
      </c>
      <c r="H12" s="51" t="s">
        <v>866</v>
      </c>
      <c r="I12" s="51" t="s">
        <v>295</v>
      </c>
      <c r="J12" s="51" t="s">
        <v>867</v>
      </c>
      <c r="K12" s="52" t="s">
        <v>854</v>
      </c>
    </row>
    <row r="13" spans="3:11" hidden="1">
      <c r="C13" s="60">
        <v>10</v>
      </c>
      <c r="D13" s="61" t="s">
        <v>850</v>
      </c>
      <c r="E13" s="60" t="s">
        <v>575</v>
      </c>
      <c r="F13" s="60" t="s">
        <v>851</v>
      </c>
      <c r="G13" s="62" t="s">
        <v>593</v>
      </c>
      <c r="H13" s="60" t="s">
        <v>868</v>
      </c>
      <c r="I13" s="60" t="s">
        <v>433</v>
      </c>
      <c r="J13" s="60" t="s">
        <v>869</v>
      </c>
      <c r="K13" s="61" t="s">
        <v>854</v>
      </c>
    </row>
    <row r="14" spans="3:11" hidden="1">
      <c r="C14" s="60">
        <v>11</v>
      </c>
      <c r="D14" s="61" t="s">
        <v>850</v>
      </c>
      <c r="E14" s="60" t="s">
        <v>575</v>
      </c>
      <c r="F14" s="60" t="s">
        <v>851</v>
      </c>
      <c r="G14" s="62" t="s">
        <v>593</v>
      </c>
      <c r="H14" s="60" t="s">
        <v>870</v>
      </c>
      <c r="I14" s="60" t="s">
        <v>436</v>
      </c>
      <c r="J14" s="60" t="s">
        <v>871</v>
      </c>
      <c r="K14" s="61" t="s">
        <v>854</v>
      </c>
    </row>
    <row r="15" spans="3:11" hidden="1">
      <c r="C15" s="51">
        <v>12</v>
      </c>
      <c r="D15" s="52" t="s">
        <v>850</v>
      </c>
      <c r="E15" s="51" t="s">
        <v>575</v>
      </c>
      <c r="F15" s="51" t="s">
        <v>851</v>
      </c>
      <c r="G15" s="53" t="s">
        <v>596</v>
      </c>
      <c r="H15" s="51" t="s">
        <v>872</v>
      </c>
      <c r="I15" s="51" t="s">
        <v>873</v>
      </c>
      <c r="J15" s="51" t="s">
        <v>874</v>
      </c>
      <c r="K15" s="52" t="s">
        <v>875</v>
      </c>
    </row>
    <row r="16" spans="3:11" hidden="1">
      <c r="C16" s="60">
        <v>13</v>
      </c>
      <c r="D16" s="61" t="s">
        <v>850</v>
      </c>
      <c r="E16" s="60" t="s">
        <v>575</v>
      </c>
      <c r="F16" s="60" t="s">
        <v>851</v>
      </c>
      <c r="G16" s="62" t="s">
        <v>596</v>
      </c>
      <c r="H16" s="60" t="s">
        <v>876</v>
      </c>
      <c r="I16" s="60" t="s">
        <v>475</v>
      </c>
      <c r="J16" s="60" t="s">
        <v>877</v>
      </c>
      <c r="K16" s="61" t="s">
        <v>875</v>
      </c>
    </row>
    <row r="17" spans="3:11" hidden="1">
      <c r="C17" s="51">
        <v>14</v>
      </c>
      <c r="D17" s="52" t="s">
        <v>878</v>
      </c>
      <c r="E17" s="51" t="s">
        <v>618</v>
      </c>
      <c r="F17" s="51" t="s">
        <v>879</v>
      </c>
      <c r="G17" s="53" t="s">
        <v>620</v>
      </c>
      <c r="H17" s="51" t="s">
        <v>880</v>
      </c>
      <c r="I17" s="51" t="s">
        <v>881</v>
      </c>
      <c r="J17" s="51" t="s">
        <v>882</v>
      </c>
      <c r="K17" s="52" t="s">
        <v>883</v>
      </c>
    </row>
    <row r="18" spans="3:11" hidden="1">
      <c r="C18" s="51">
        <v>15</v>
      </c>
      <c r="D18" s="52" t="s">
        <v>878</v>
      </c>
      <c r="E18" s="51" t="s">
        <v>618</v>
      </c>
      <c r="F18" s="51" t="s">
        <v>879</v>
      </c>
      <c r="G18" s="53" t="s">
        <v>620</v>
      </c>
      <c r="H18" s="51" t="s">
        <v>884</v>
      </c>
      <c r="I18" s="51" t="s">
        <v>479</v>
      </c>
      <c r="J18" s="51" t="s">
        <v>885</v>
      </c>
      <c r="K18" s="52" t="s">
        <v>883</v>
      </c>
    </row>
    <row r="19" spans="3:11" hidden="1">
      <c r="C19" s="51">
        <v>16</v>
      </c>
      <c r="D19" s="52" t="s">
        <v>886</v>
      </c>
      <c r="E19" s="51" t="s">
        <v>618</v>
      </c>
      <c r="F19" s="51" t="s">
        <v>879</v>
      </c>
      <c r="G19" s="53" t="s">
        <v>620</v>
      </c>
      <c r="H19" s="51" t="s">
        <v>887</v>
      </c>
      <c r="I19" s="51" t="s">
        <v>888</v>
      </c>
      <c r="J19" s="51" t="s">
        <v>889</v>
      </c>
      <c r="K19" s="52" t="s">
        <v>890</v>
      </c>
    </row>
    <row r="20" spans="3:11" hidden="1">
      <c r="C20" s="51">
        <v>17</v>
      </c>
      <c r="D20" s="52" t="s">
        <v>878</v>
      </c>
      <c r="E20" s="51" t="s">
        <v>618</v>
      </c>
      <c r="F20" s="51" t="s">
        <v>879</v>
      </c>
      <c r="G20" s="53" t="s">
        <v>626</v>
      </c>
      <c r="H20" s="51" t="s">
        <v>891</v>
      </c>
      <c r="I20" s="51" t="s">
        <v>481</v>
      </c>
      <c r="J20" s="51" t="s">
        <v>892</v>
      </c>
      <c r="K20" s="52" t="s">
        <v>883</v>
      </c>
    </row>
    <row r="21" spans="3:11" hidden="1">
      <c r="C21" s="51">
        <v>18</v>
      </c>
      <c r="D21" s="52" t="s">
        <v>878</v>
      </c>
      <c r="E21" s="51" t="s">
        <v>618</v>
      </c>
      <c r="F21" s="51" t="s">
        <v>879</v>
      </c>
      <c r="G21" s="53" t="s">
        <v>626</v>
      </c>
      <c r="H21" s="51" t="s">
        <v>893</v>
      </c>
      <c r="I21" s="51" t="s">
        <v>894</v>
      </c>
      <c r="J21" s="51" t="s">
        <v>484</v>
      </c>
      <c r="K21" s="52" t="s">
        <v>883</v>
      </c>
    </row>
    <row r="22" spans="3:11" hidden="1">
      <c r="C22" s="51">
        <v>19</v>
      </c>
      <c r="D22" s="52" t="s">
        <v>886</v>
      </c>
      <c r="E22" s="51" t="s">
        <v>618</v>
      </c>
      <c r="F22" s="51" t="s">
        <v>879</v>
      </c>
      <c r="G22" s="53" t="s">
        <v>626</v>
      </c>
      <c r="H22" s="51" t="s">
        <v>895</v>
      </c>
      <c r="I22" s="51" t="s">
        <v>485</v>
      </c>
      <c r="J22" s="51" t="s">
        <v>486</v>
      </c>
      <c r="K22" s="52" t="s">
        <v>896</v>
      </c>
    </row>
    <row r="23" spans="3:11" hidden="1">
      <c r="C23" s="51">
        <v>20</v>
      </c>
      <c r="D23" s="52" t="s">
        <v>886</v>
      </c>
      <c r="E23" s="51" t="s">
        <v>618</v>
      </c>
      <c r="F23" s="51" t="s">
        <v>879</v>
      </c>
      <c r="G23" s="53" t="s">
        <v>630</v>
      </c>
      <c r="H23" s="51" t="s">
        <v>897</v>
      </c>
      <c r="I23" s="51" t="s">
        <v>898</v>
      </c>
      <c r="J23" s="51" t="s">
        <v>899</v>
      </c>
      <c r="K23" s="52" t="s">
        <v>900</v>
      </c>
    </row>
    <row r="24" spans="3:11" hidden="1">
      <c r="C24" s="51">
        <v>21</v>
      </c>
      <c r="D24" s="52" t="s">
        <v>886</v>
      </c>
      <c r="E24" s="51" t="s">
        <v>618</v>
      </c>
      <c r="F24" s="51" t="s">
        <v>879</v>
      </c>
      <c r="G24" s="53" t="s">
        <v>630</v>
      </c>
      <c r="H24" s="51" t="s">
        <v>901</v>
      </c>
      <c r="I24" s="51" t="s">
        <v>902</v>
      </c>
      <c r="J24" s="51" t="s">
        <v>903</v>
      </c>
      <c r="K24" s="52" t="s">
        <v>904</v>
      </c>
    </row>
    <row r="25" spans="3:11">
      <c r="C25" s="51">
        <v>22</v>
      </c>
      <c r="D25" s="52" t="s">
        <v>878</v>
      </c>
      <c r="E25" s="51" t="s">
        <v>639</v>
      </c>
      <c r="F25" s="51" t="s">
        <v>905</v>
      </c>
      <c r="G25" s="53" t="s">
        <v>641</v>
      </c>
      <c r="H25" s="51" t="s">
        <v>906</v>
      </c>
      <c r="I25" s="51" t="s">
        <v>907</v>
      </c>
      <c r="J25" s="51" t="s">
        <v>908</v>
      </c>
      <c r="K25" s="52" t="s">
        <v>883</v>
      </c>
    </row>
    <row r="26" spans="3:11">
      <c r="C26" s="51">
        <v>23</v>
      </c>
      <c r="D26" s="52" t="s">
        <v>878</v>
      </c>
      <c r="E26" s="51" t="s">
        <v>639</v>
      </c>
      <c r="F26" s="51" t="s">
        <v>905</v>
      </c>
      <c r="G26" s="53" t="s">
        <v>641</v>
      </c>
      <c r="H26" s="51" t="s">
        <v>909</v>
      </c>
      <c r="I26" s="51" t="s">
        <v>910</v>
      </c>
      <c r="J26" s="51" t="s">
        <v>911</v>
      </c>
      <c r="K26" s="52" t="s">
        <v>883</v>
      </c>
    </row>
    <row r="27" spans="3:11">
      <c r="C27" s="51">
        <v>24</v>
      </c>
      <c r="D27" s="52" t="s">
        <v>878</v>
      </c>
      <c r="E27" s="51" t="s">
        <v>639</v>
      </c>
      <c r="F27" s="51" t="s">
        <v>905</v>
      </c>
      <c r="G27" s="53" t="s">
        <v>652</v>
      </c>
      <c r="H27" s="51" t="s">
        <v>912</v>
      </c>
      <c r="I27" s="51" t="s">
        <v>913</v>
      </c>
      <c r="J27" s="51" t="s">
        <v>914</v>
      </c>
      <c r="K27" s="52" t="s">
        <v>883</v>
      </c>
    </row>
    <row r="28" spans="3:11">
      <c r="C28" s="51">
        <v>25</v>
      </c>
      <c r="D28" s="52" t="s">
        <v>878</v>
      </c>
      <c r="E28" s="51" t="s">
        <v>639</v>
      </c>
      <c r="F28" s="51" t="s">
        <v>905</v>
      </c>
      <c r="G28" s="53" t="s">
        <v>652</v>
      </c>
      <c r="H28" s="51" t="s">
        <v>915</v>
      </c>
      <c r="I28" s="51" t="s">
        <v>916</v>
      </c>
      <c r="J28" s="51" t="s">
        <v>917</v>
      </c>
      <c r="K28" s="52" t="s">
        <v>883</v>
      </c>
    </row>
    <row r="29" spans="3:11">
      <c r="C29" s="51">
        <v>26</v>
      </c>
      <c r="D29" s="52" t="s">
        <v>886</v>
      </c>
      <c r="E29" s="51" t="s">
        <v>639</v>
      </c>
      <c r="F29" s="51" t="s">
        <v>905</v>
      </c>
      <c r="G29" s="53" t="s">
        <v>652</v>
      </c>
      <c r="H29" s="51" t="s">
        <v>918</v>
      </c>
      <c r="I29" s="51" t="s">
        <v>919</v>
      </c>
      <c r="J29" s="51" t="s">
        <v>920</v>
      </c>
      <c r="K29" s="52" t="s">
        <v>900</v>
      </c>
    </row>
    <row r="30" spans="3:11">
      <c r="C30" s="51">
        <v>27</v>
      </c>
      <c r="D30" s="52" t="s">
        <v>878</v>
      </c>
      <c r="E30" s="51" t="s">
        <v>639</v>
      </c>
      <c r="F30" s="51" t="s">
        <v>905</v>
      </c>
      <c r="G30" s="53" t="s">
        <v>662</v>
      </c>
      <c r="H30" s="51" t="s">
        <v>921</v>
      </c>
      <c r="I30" s="51" t="s">
        <v>922</v>
      </c>
      <c r="J30" s="51" t="s">
        <v>923</v>
      </c>
      <c r="K30" s="52" t="s">
        <v>883</v>
      </c>
    </row>
    <row r="31" spans="3:11">
      <c r="C31" s="51">
        <v>28</v>
      </c>
      <c r="D31" s="52" t="s">
        <v>886</v>
      </c>
      <c r="E31" s="51" t="s">
        <v>639</v>
      </c>
      <c r="F31" s="51" t="s">
        <v>905</v>
      </c>
      <c r="G31" s="53" t="s">
        <v>662</v>
      </c>
      <c r="H31" s="51" t="s">
        <v>924</v>
      </c>
      <c r="I31" s="51" t="s">
        <v>925</v>
      </c>
      <c r="J31" s="51" t="s">
        <v>926</v>
      </c>
      <c r="K31" s="52" t="s">
        <v>900</v>
      </c>
    </row>
    <row r="32" spans="3:11">
      <c r="C32" s="51">
        <v>29</v>
      </c>
      <c r="D32" s="52" t="s">
        <v>886</v>
      </c>
      <c r="E32" s="51" t="s">
        <v>639</v>
      </c>
      <c r="F32" s="51" t="s">
        <v>905</v>
      </c>
      <c r="G32" s="53" t="s">
        <v>662</v>
      </c>
      <c r="H32" s="51" t="s">
        <v>927</v>
      </c>
      <c r="I32" s="51" t="s">
        <v>928</v>
      </c>
      <c r="J32" s="51" t="s">
        <v>929</v>
      </c>
      <c r="K32" s="52" t="s">
        <v>900</v>
      </c>
    </row>
    <row r="33" spans="3:11">
      <c r="C33" s="51">
        <v>30</v>
      </c>
      <c r="D33" s="52" t="s">
        <v>886</v>
      </c>
      <c r="E33" s="51" t="s">
        <v>639</v>
      </c>
      <c r="F33" s="51" t="s">
        <v>905</v>
      </c>
      <c r="G33" s="53" t="s">
        <v>666</v>
      </c>
      <c r="H33" s="51" t="s">
        <v>930</v>
      </c>
      <c r="I33" s="51" t="s">
        <v>931</v>
      </c>
      <c r="J33" s="51" t="s">
        <v>932</v>
      </c>
      <c r="K33" s="52" t="s">
        <v>933</v>
      </c>
    </row>
    <row r="34" spans="3:11">
      <c r="C34" s="51">
        <v>31</v>
      </c>
      <c r="D34" s="52" t="s">
        <v>886</v>
      </c>
      <c r="E34" s="51" t="s">
        <v>639</v>
      </c>
      <c r="F34" s="51" t="s">
        <v>905</v>
      </c>
      <c r="G34" s="53" t="s">
        <v>666</v>
      </c>
      <c r="H34" s="51" t="s">
        <v>934</v>
      </c>
      <c r="I34" s="51" t="s">
        <v>935</v>
      </c>
      <c r="J34" s="51" t="s">
        <v>936</v>
      </c>
      <c r="K34" s="52" t="s">
        <v>900</v>
      </c>
    </row>
    <row r="35" spans="3:11" hidden="1">
      <c r="C35" s="51">
        <v>32</v>
      </c>
      <c r="D35" s="52" t="s">
        <v>878</v>
      </c>
      <c r="E35" s="51" t="s">
        <v>692</v>
      </c>
      <c r="F35" s="51" t="s">
        <v>937</v>
      </c>
      <c r="G35" s="53" t="s">
        <v>694</v>
      </c>
      <c r="H35" s="51" t="s">
        <v>938</v>
      </c>
      <c r="I35" s="51" t="s">
        <v>939</v>
      </c>
      <c r="J35" s="51" t="s">
        <v>940</v>
      </c>
      <c r="K35" s="52" t="s">
        <v>883</v>
      </c>
    </row>
    <row r="36" spans="3:11" hidden="1">
      <c r="C36" s="51">
        <v>33</v>
      </c>
      <c r="D36" s="52" t="s">
        <v>878</v>
      </c>
      <c r="E36" s="51" t="s">
        <v>692</v>
      </c>
      <c r="F36" s="51" t="s">
        <v>937</v>
      </c>
      <c r="G36" s="53" t="s">
        <v>694</v>
      </c>
      <c r="H36" s="51" t="s">
        <v>941</v>
      </c>
      <c r="I36" s="51" t="s">
        <v>942</v>
      </c>
      <c r="J36" s="51" t="s">
        <v>943</v>
      </c>
      <c r="K36" s="52" t="s">
        <v>883</v>
      </c>
    </row>
    <row r="37" spans="3:11" hidden="1">
      <c r="C37" s="51">
        <v>34</v>
      </c>
      <c r="D37" s="52" t="s">
        <v>878</v>
      </c>
      <c r="E37" s="51" t="s">
        <v>692</v>
      </c>
      <c r="F37" s="51" t="s">
        <v>937</v>
      </c>
      <c r="G37" s="53" t="s">
        <v>694</v>
      </c>
      <c r="H37" s="51" t="s">
        <v>944</v>
      </c>
      <c r="I37" s="51" t="s">
        <v>945</v>
      </c>
      <c r="J37" s="51" t="s">
        <v>946</v>
      </c>
      <c r="K37" s="52" t="s">
        <v>883</v>
      </c>
    </row>
    <row r="38" spans="3:11" hidden="1">
      <c r="C38" s="51">
        <v>35</v>
      </c>
      <c r="D38" s="52" t="s">
        <v>878</v>
      </c>
      <c r="E38" s="51" t="s">
        <v>692</v>
      </c>
      <c r="F38" s="51" t="s">
        <v>937</v>
      </c>
      <c r="G38" s="53" t="s">
        <v>694</v>
      </c>
      <c r="H38" s="51" t="s">
        <v>947</v>
      </c>
      <c r="I38" s="51" t="s">
        <v>948</v>
      </c>
      <c r="J38" s="51" t="s">
        <v>949</v>
      </c>
      <c r="K38" s="52" t="s">
        <v>883</v>
      </c>
    </row>
    <row r="39" spans="3:11" hidden="1">
      <c r="C39" s="51">
        <v>36</v>
      </c>
      <c r="D39" s="52" t="s">
        <v>878</v>
      </c>
      <c r="E39" s="51" t="s">
        <v>692</v>
      </c>
      <c r="F39" s="51" t="s">
        <v>937</v>
      </c>
      <c r="G39" s="53" t="s">
        <v>708</v>
      </c>
      <c r="H39" s="51" t="s">
        <v>950</v>
      </c>
      <c r="I39" s="51" t="s">
        <v>951</v>
      </c>
      <c r="J39" s="51" t="s">
        <v>952</v>
      </c>
      <c r="K39" s="52" t="s">
        <v>883</v>
      </c>
    </row>
    <row r="40" spans="3:11" hidden="1">
      <c r="C40" s="51">
        <v>37</v>
      </c>
      <c r="D40" s="52" t="s">
        <v>878</v>
      </c>
      <c r="E40" s="51" t="s">
        <v>692</v>
      </c>
      <c r="F40" s="51" t="s">
        <v>937</v>
      </c>
      <c r="G40" s="53" t="s">
        <v>708</v>
      </c>
      <c r="H40" s="51" t="s">
        <v>950</v>
      </c>
      <c r="I40" s="51" t="s">
        <v>953</v>
      </c>
      <c r="J40" s="51" t="s">
        <v>954</v>
      </c>
      <c r="K40" s="52" t="s">
        <v>883</v>
      </c>
    </row>
    <row r="41" spans="3:11" hidden="1">
      <c r="C41" s="51">
        <v>38</v>
      </c>
      <c r="D41" s="52" t="s">
        <v>886</v>
      </c>
      <c r="E41" s="51" t="s">
        <v>692</v>
      </c>
      <c r="F41" s="51" t="s">
        <v>937</v>
      </c>
      <c r="G41" s="53" t="s">
        <v>708</v>
      </c>
      <c r="H41" s="51" t="s">
        <v>955</v>
      </c>
      <c r="I41" s="51" t="s">
        <v>956</v>
      </c>
      <c r="J41" s="51" t="s">
        <v>957</v>
      </c>
      <c r="K41" s="52" t="s">
        <v>900</v>
      </c>
    </row>
    <row r="42" spans="3:11" hidden="1">
      <c r="C42" s="51">
        <v>39</v>
      </c>
      <c r="D42" s="52" t="s">
        <v>886</v>
      </c>
      <c r="E42" s="51" t="s">
        <v>692</v>
      </c>
      <c r="F42" s="51" t="s">
        <v>937</v>
      </c>
      <c r="G42" s="53" t="s">
        <v>708</v>
      </c>
      <c r="H42" s="51" t="s">
        <v>958</v>
      </c>
      <c r="I42" s="51" t="s">
        <v>959</v>
      </c>
      <c r="J42" s="51" t="s">
        <v>960</v>
      </c>
      <c r="K42" s="52" t="s">
        <v>900</v>
      </c>
    </row>
    <row r="43" spans="3:11" hidden="1">
      <c r="C43" s="51">
        <v>40</v>
      </c>
      <c r="D43" s="52" t="s">
        <v>878</v>
      </c>
      <c r="E43" s="51" t="s">
        <v>692</v>
      </c>
      <c r="F43" s="51" t="s">
        <v>937</v>
      </c>
      <c r="G43" s="53" t="s">
        <v>712</v>
      </c>
      <c r="H43" s="51" t="s">
        <v>961</v>
      </c>
      <c r="I43" s="51" t="s">
        <v>962</v>
      </c>
      <c r="J43" s="51" t="s">
        <v>961</v>
      </c>
      <c r="K43" s="52" t="s">
        <v>883</v>
      </c>
    </row>
    <row r="44" spans="3:11" hidden="1">
      <c r="C44" s="51">
        <v>41</v>
      </c>
      <c r="D44" s="52" t="s">
        <v>886</v>
      </c>
      <c r="E44" s="51" t="s">
        <v>692</v>
      </c>
      <c r="F44" s="51" t="s">
        <v>937</v>
      </c>
      <c r="G44" s="53" t="s">
        <v>712</v>
      </c>
      <c r="H44" s="51" t="s">
        <v>963</v>
      </c>
      <c r="I44" s="51" t="s">
        <v>964</v>
      </c>
      <c r="J44" s="51" t="s">
        <v>965</v>
      </c>
      <c r="K44" s="52" t="s">
        <v>966</v>
      </c>
    </row>
    <row r="45" spans="3:11" hidden="1">
      <c r="C45" s="51">
        <v>42</v>
      </c>
      <c r="D45" s="52" t="s">
        <v>878</v>
      </c>
      <c r="E45" s="51" t="s">
        <v>780</v>
      </c>
      <c r="F45" s="51" t="s">
        <v>967</v>
      </c>
      <c r="G45" s="53" t="s">
        <v>782</v>
      </c>
      <c r="H45" s="51" t="s">
        <v>968</v>
      </c>
      <c r="I45" s="51" t="s">
        <v>969</v>
      </c>
      <c r="J45" s="51" t="s">
        <v>970</v>
      </c>
      <c r="K45" s="52" t="s">
        <v>883</v>
      </c>
    </row>
    <row r="46" spans="3:11" hidden="1">
      <c r="C46" s="51">
        <v>43</v>
      </c>
      <c r="D46" s="52" t="s">
        <v>878</v>
      </c>
      <c r="E46" s="51" t="s">
        <v>780</v>
      </c>
      <c r="F46" s="51" t="s">
        <v>967</v>
      </c>
      <c r="G46" s="53" t="s">
        <v>782</v>
      </c>
      <c r="H46" s="51" t="s">
        <v>971</v>
      </c>
      <c r="I46" s="51" t="s">
        <v>972</v>
      </c>
      <c r="J46" s="51" t="s">
        <v>973</v>
      </c>
      <c r="K46" s="52" t="s">
        <v>883</v>
      </c>
    </row>
    <row r="47" spans="3:11" hidden="1">
      <c r="C47" s="51">
        <v>44</v>
      </c>
      <c r="D47" s="52" t="s">
        <v>886</v>
      </c>
      <c r="E47" s="51" t="s">
        <v>780</v>
      </c>
      <c r="F47" s="51" t="s">
        <v>967</v>
      </c>
      <c r="G47" s="53" t="s">
        <v>782</v>
      </c>
      <c r="H47" s="51" t="s">
        <v>974</v>
      </c>
      <c r="I47" s="51" t="s">
        <v>975</v>
      </c>
      <c r="J47" s="51" t="s">
        <v>976</v>
      </c>
      <c r="K47" s="52" t="s">
        <v>900</v>
      </c>
    </row>
    <row r="48" spans="3:11" hidden="1">
      <c r="C48" s="51">
        <v>45</v>
      </c>
      <c r="D48" s="52" t="s">
        <v>886</v>
      </c>
      <c r="E48" s="51" t="s">
        <v>780</v>
      </c>
      <c r="F48" s="51" t="s">
        <v>967</v>
      </c>
      <c r="G48" s="53" t="s">
        <v>782</v>
      </c>
      <c r="H48" s="51" t="s">
        <v>977</v>
      </c>
      <c r="I48" s="51" t="s">
        <v>978</v>
      </c>
      <c r="J48" s="51" t="s">
        <v>979</v>
      </c>
      <c r="K48" s="52" t="s">
        <v>900</v>
      </c>
    </row>
    <row r="49" spans="3:11" hidden="1">
      <c r="C49" s="51">
        <v>46</v>
      </c>
      <c r="D49" s="52" t="s">
        <v>886</v>
      </c>
      <c r="E49" s="51" t="s">
        <v>780</v>
      </c>
      <c r="F49" s="51" t="s">
        <v>967</v>
      </c>
      <c r="G49" s="53" t="s">
        <v>782</v>
      </c>
      <c r="H49" s="51" t="s">
        <v>980</v>
      </c>
      <c r="I49" s="51" t="s">
        <v>981</v>
      </c>
      <c r="J49" s="51" t="s">
        <v>982</v>
      </c>
      <c r="K49" s="52" t="s">
        <v>966</v>
      </c>
    </row>
    <row r="50" spans="3:11" hidden="1">
      <c r="C50" s="51">
        <v>47</v>
      </c>
      <c r="D50" s="52" t="s">
        <v>878</v>
      </c>
      <c r="E50" s="51" t="s">
        <v>780</v>
      </c>
      <c r="F50" s="51" t="s">
        <v>967</v>
      </c>
      <c r="G50" s="53" t="s">
        <v>793</v>
      </c>
      <c r="H50" s="51" t="s">
        <v>983</v>
      </c>
      <c r="I50" s="51" t="s">
        <v>984</v>
      </c>
      <c r="J50" s="51" t="s">
        <v>985</v>
      </c>
      <c r="K50" s="52" t="s">
        <v>883</v>
      </c>
    </row>
    <row r="51" spans="3:11" hidden="1">
      <c r="C51" s="51">
        <v>48</v>
      </c>
      <c r="D51" s="52" t="s">
        <v>886</v>
      </c>
      <c r="E51" s="51" t="s">
        <v>780</v>
      </c>
      <c r="F51" s="51" t="s">
        <v>967</v>
      </c>
      <c r="G51" s="53" t="s">
        <v>793</v>
      </c>
      <c r="H51" s="51" t="s">
        <v>986</v>
      </c>
      <c r="I51" s="51" t="s">
        <v>987</v>
      </c>
      <c r="J51" s="51" t="s">
        <v>988</v>
      </c>
      <c r="K51" s="52" t="s">
        <v>900</v>
      </c>
    </row>
    <row r="52" spans="3:11" hidden="1">
      <c r="C52" s="51">
        <v>49</v>
      </c>
      <c r="D52" s="52" t="s">
        <v>886</v>
      </c>
      <c r="E52" s="51" t="s">
        <v>780</v>
      </c>
      <c r="F52" s="51" t="s">
        <v>967</v>
      </c>
      <c r="G52" s="53" t="s">
        <v>793</v>
      </c>
      <c r="H52" s="51" t="s">
        <v>989</v>
      </c>
      <c r="I52" s="51" t="s">
        <v>990</v>
      </c>
      <c r="J52" s="51" t="s">
        <v>991</v>
      </c>
      <c r="K52" s="52" t="s">
        <v>900</v>
      </c>
    </row>
    <row r="53" spans="3:11" hidden="1">
      <c r="C53" s="51">
        <v>50</v>
      </c>
      <c r="D53" s="52" t="s">
        <v>886</v>
      </c>
      <c r="E53" s="51" t="s">
        <v>780</v>
      </c>
      <c r="F53" s="51" t="s">
        <v>967</v>
      </c>
      <c r="G53" s="53" t="s">
        <v>793</v>
      </c>
      <c r="H53" s="51" t="s">
        <v>992</v>
      </c>
      <c r="I53" s="51" t="s">
        <v>993</v>
      </c>
      <c r="J53" s="51" t="s">
        <v>994</v>
      </c>
      <c r="K53" s="52" t="s">
        <v>900</v>
      </c>
    </row>
    <row r="54" spans="3:11" hidden="1">
      <c r="C54" s="51">
        <v>51</v>
      </c>
      <c r="D54" s="52" t="s">
        <v>886</v>
      </c>
      <c r="E54" s="51" t="s">
        <v>780</v>
      </c>
      <c r="F54" s="51" t="s">
        <v>967</v>
      </c>
      <c r="G54" s="53" t="s">
        <v>793</v>
      </c>
      <c r="H54" s="51" t="s">
        <v>995</v>
      </c>
      <c r="I54" s="51" t="s">
        <v>996</v>
      </c>
      <c r="J54" s="51" t="s">
        <v>997</v>
      </c>
      <c r="K54" s="52" t="s">
        <v>900</v>
      </c>
    </row>
    <row r="55" spans="3:11" hidden="1">
      <c r="C55" s="51">
        <v>52</v>
      </c>
      <c r="D55" s="52" t="s">
        <v>998</v>
      </c>
      <c r="E55" s="51" t="s">
        <v>999</v>
      </c>
      <c r="F55" s="51" t="s">
        <v>1000</v>
      </c>
      <c r="G55" s="53" t="s">
        <v>1001</v>
      </c>
      <c r="H55" s="51" t="s">
        <v>1002</v>
      </c>
      <c r="I55" s="51" t="s">
        <v>1003</v>
      </c>
      <c r="J55" s="51" t="s">
        <v>1004</v>
      </c>
      <c r="K55" s="52" t="s">
        <v>896</v>
      </c>
    </row>
    <row r="56" spans="3:11" hidden="1">
      <c r="C56" s="51">
        <v>53</v>
      </c>
      <c r="D56" s="52" t="s">
        <v>998</v>
      </c>
      <c r="E56" s="51" t="s">
        <v>999</v>
      </c>
      <c r="F56" s="51" t="s">
        <v>1000</v>
      </c>
      <c r="G56" s="53" t="s">
        <v>1001</v>
      </c>
      <c r="H56" s="51" t="s">
        <v>1005</v>
      </c>
      <c r="I56" s="51" t="s">
        <v>497</v>
      </c>
      <c r="J56" s="51" t="s">
        <v>1006</v>
      </c>
      <c r="K56" s="52" t="s">
        <v>896</v>
      </c>
    </row>
    <row r="57" spans="3:11" hidden="1">
      <c r="C57" s="51">
        <v>54</v>
      </c>
      <c r="D57" s="52" t="s">
        <v>998</v>
      </c>
      <c r="E57" s="51" t="s">
        <v>999</v>
      </c>
      <c r="F57" s="51" t="s">
        <v>1000</v>
      </c>
      <c r="G57" s="53" t="s">
        <v>1001</v>
      </c>
      <c r="H57" s="51" t="s">
        <v>1007</v>
      </c>
      <c r="I57" s="51" t="s">
        <v>1008</v>
      </c>
      <c r="J57" s="51" t="s">
        <v>1009</v>
      </c>
      <c r="K57" s="52" t="s">
        <v>896</v>
      </c>
    </row>
    <row r="58" spans="3:11" hidden="1">
      <c r="C58" s="51">
        <v>55</v>
      </c>
      <c r="D58" s="52" t="s">
        <v>998</v>
      </c>
      <c r="E58" s="51" t="s">
        <v>999</v>
      </c>
      <c r="F58" s="51" t="s">
        <v>1000</v>
      </c>
      <c r="G58" s="53" t="s">
        <v>1010</v>
      </c>
      <c r="H58" s="51" t="s">
        <v>1011</v>
      </c>
      <c r="I58" s="51" t="s">
        <v>1012</v>
      </c>
      <c r="J58" s="51" t="s">
        <v>1013</v>
      </c>
      <c r="K58" s="52" t="s">
        <v>896</v>
      </c>
    </row>
    <row r="59" spans="3:11" hidden="1">
      <c r="C59" s="51">
        <v>56</v>
      </c>
      <c r="D59" s="52" t="s">
        <v>998</v>
      </c>
      <c r="E59" s="51" t="s">
        <v>999</v>
      </c>
      <c r="F59" s="51" t="s">
        <v>1000</v>
      </c>
      <c r="G59" s="53" t="s">
        <v>1010</v>
      </c>
      <c r="H59" s="51" t="s">
        <v>1014</v>
      </c>
      <c r="I59" s="51" t="s">
        <v>1015</v>
      </c>
      <c r="J59" s="51" t="s">
        <v>1016</v>
      </c>
      <c r="K59" s="52" t="s">
        <v>896</v>
      </c>
    </row>
    <row r="60" spans="3:11" hidden="1">
      <c r="C60" s="51">
        <v>57</v>
      </c>
      <c r="D60" s="52" t="s">
        <v>998</v>
      </c>
      <c r="E60" s="51" t="s">
        <v>999</v>
      </c>
      <c r="F60" s="51" t="s">
        <v>1000</v>
      </c>
      <c r="G60" s="53" t="s">
        <v>1010</v>
      </c>
      <c r="H60" s="51" t="s">
        <v>1014</v>
      </c>
      <c r="I60" s="51" t="s">
        <v>1017</v>
      </c>
      <c r="J60" s="51" t="s">
        <v>1018</v>
      </c>
      <c r="K60" s="52" t="s">
        <v>896</v>
      </c>
    </row>
    <row r="61" spans="3:11" hidden="1">
      <c r="C61" s="51">
        <v>58</v>
      </c>
      <c r="D61" s="52" t="s">
        <v>998</v>
      </c>
      <c r="E61" s="51" t="s">
        <v>999</v>
      </c>
      <c r="F61" s="51" t="s">
        <v>1000</v>
      </c>
      <c r="G61" s="53" t="s">
        <v>1010</v>
      </c>
      <c r="H61" s="51" t="s">
        <v>1014</v>
      </c>
      <c r="I61" s="51" t="s">
        <v>1019</v>
      </c>
      <c r="J61" s="51" t="s">
        <v>1020</v>
      </c>
      <c r="K61" s="52" t="s">
        <v>896</v>
      </c>
    </row>
    <row r="62" spans="3:11" hidden="1">
      <c r="C62" s="51">
        <v>59</v>
      </c>
      <c r="D62" s="52" t="s">
        <v>998</v>
      </c>
      <c r="E62" s="51" t="s">
        <v>999</v>
      </c>
      <c r="F62" s="51" t="s">
        <v>1000</v>
      </c>
      <c r="G62" s="53" t="s">
        <v>1010</v>
      </c>
      <c r="H62" s="51" t="s">
        <v>1014</v>
      </c>
      <c r="I62" s="51" t="s">
        <v>1021</v>
      </c>
      <c r="J62" s="51" t="s">
        <v>1022</v>
      </c>
      <c r="K62" s="52" t="s">
        <v>896</v>
      </c>
    </row>
    <row r="63" spans="3:11" hidden="1">
      <c r="C63" s="51"/>
      <c r="D63" s="52"/>
      <c r="E63" s="51"/>
      <c r="F63" s="51"/>
      <c r="G63" s="53"/>
      <c r="H63" s="51"/>
      <c r="I63" s="51"/>
      <c r="J63" s="51"/>
      <c r="K63" s="52"/>
    </row>
    <row r="64" spans="3:11" hidden="1">
      <c r="C64" s="51"/>
      <c r="D64" s="52"/>
      <c r="E64" s="51"/>
      <c r="F64" s="51"/>
      <c r="G64" s="53"/>
      <c r="H64" s="51"/>
      <c r="I64" s="51"/>
      <c r="J64" s="51"/>
      <c r="K64" s="52"/>
    </row>
    <row r="65" spans="3:11" hidden="1">
      <c r="C65" s="51"/>
      <c r="D65" s="52"/>
      <c r="E65" s="51"/>
      <c r="F65" s="51"/>
      <c r="G65" s="53"/>
      <c r="H65" s="51"/>
      <c r="I65" s="51"/>
      <c r="J65" s="51"/>
      <c r="K65" s="52"/>
    </row>
    <row r="66" spans="3:11" hidden="1">
      <c r="C66" s="51"/>
      <c r="D66" s="52"/>
      <c r="E66" s="51"/>
      <c r="F66" s="51"/>
      <c r="G66" s="53"/>
      <c r="H66" s="51"/>
      <c r="I66" s="51"/>
      <c r="J66" s="51"/>
      <c r="K66" s="52"/>
    </row>
    <row r="67" spans="3:11" hidden="1">
      <c r="C67" s="51"/>
      <c r="D67" s="52"/>
      <c r="E67" s="51"/>
      <c r="F67" s="51"/>
      <c r="G67" s="53"/>
      <c r="H67" s="51"/>
      <c r="I67" s="51"/>
      <c r="J67" s="51"/>
      <c r="K67" s="52"/>
    </row>
    <row r="68" spans="3:11" hidden="1">
      <c r="C68" s="51"/>
      <c r="D68" s="52"/>
      <c r="E68" s="51"/>
      <c r="F68" s="51"/>
      <c r="G68" s="53"/>
      <c r="H68" s="51"/>
      <c r="I68" s="51"/>
      <c r="J68" s="51"/>
      <c r="K68" s="52"/>
    </row>
    <row r="69" spans="3:11" hidden="1">
      <c r="C69" s="51"/>
      <c r="D69" s="52"/>
      <c r="E69" s="51"/>
      <c r="F69" s="51"/>
      <c r="G69" s="53"/>
      <c r="H69" s="51"/>
      <c r="I69" s="51"/>
      <c r="J69" s="51"/>
      <c r="K69" s="52"/>
    </row>
    <row r="70" spans="3:11" hidden="1">
      <c r="C70" s="51"/>
      <c r="D70" s="52"/>
      <c r="E70" s="51"/>
      <c r="F70" s="51"/>
      <c r="G70" s="53"/>
      <c r="H70" s="51"/>
      <c r="I70" s="51"/>
      <c r="J70" s="51"/>
      <c r="K70" s="52"/>
    </row>
    <row r="71" spans="3:11" hidden="1">
      <c r="C71" s="51"/>
      <c r="D71" s="52"/>
      <c r="E71" s="51"/>
      <c r="F71" s="51"/>
      <c r="G71" s="53"/>
      <c r="H71" s="51"/>
      <c r="I71" s="51"/>
      <c r="J71" s="51"/>
      <c r="K71" s="52"/>
    </row>
    <row r="72" spans="3:11" hidden="1">
      <c r="C72" s="51"/>
      <c r="D72" s="52"/>
      <c r="E72" s="51"/>
      <c r="F72" s="51"/>
      <c r="G72" s="53"/>
      <c r="H72" s="51"/>
      <c r="I72" s="51"/>
      <c r="J72" s="51"/>
      <c r="K72" s="52"/>
    </row>
    <row r="73" spans="3:11" hidden="1">
      <c r="C73" s="51"/>
      <c r="D73" s="52"/>
      <c r="E73" s="51"/>
      <c r="F73" s="51"/>
      <c r="G73" s="53"/>
      <c r="H73" s="51"/>
      <c r="I73" s="51"/>
      <c r="J73" s="51"/>
      <c r="K73" s="52"/>
    </row>
    <row r="74" spans="3:11" hidden="1">
      <c r="C74" s="51"/>
      <c r="D74" s="52"/>
      <c r="E74" s="51"/>
      <c r="F74" s="51"/>
      <c r="G74" s="53"/>
      <c r="H74" s="51"/>
      <c r="I74" s="51"/>
      <c r="J74" s="51"/>
      <c r="K74" s="52"/>
    </row>
    <row r="75" spans="3:11" hidden="1">
      <c r="C75" s="51"/>
      <c r="D75" s="52"/>
      <c r="E75" s="51"/>
      <c r="F75" s="51"/>
      <c r="G75" s="53"/>
      <c r="H75" s="51"/>
      <c r="I75" s="51"/>
      <c r="J75" s="51"/>
      <c r="K75" s="52"/>
    </row>
    <row r="76" spans="3:11" hidden="1">
      <c r="C76" s="51"/>
      <c r="D76" s="52"/>
      <c r="E76" s="51"/>
      <c r="F76" s="51"/>
      <c r="G76" s="53"/>
      <c r="H76" s="51"/>
      <c r="I76" s="51"/>
      <c r="J76" s="51"/>
      <c r="K76" s="52"/>
    </row>
    <row r="77" spans="3:11" hidden="1">
      <c r="C77" s="51"/>
      <c r="D77" s="52"/>
      <c r="E77" s="51"/>
      <c r="F77" s="51"/>
      <c r="G77" s="53"/>
      <c r="H77" s="51"/>
      <c r="I77" s="51"/>
      <c r="J77" s="51"/>
      <c r="K77" s="52"/>
    </row>
    <row r="78" spans="3:11" hidden="1">
      <c r="C78" s="51"/>
      <c r="D78" s="52"/>
      <c r="E78" s="51"/>
      <c r="F78" s="51"/>
      <c r="G78" s="53"/>
      <c r="H78" s="51"/>
      <c r="I78" s="51"/>
      <c r="J78" s="51"/>
      <c r="K78" s="52"/>
    </row>
    <row r="79" spans="3:11" hidden="1">
      <c r="C79" s="51"/>
      <c r="D79" s="52"/>
      <c r="E79" s="51"/>
      <c r="F79" s="51"/>
      <c r="G79" s="53"/>
      <c r="H79" s="51"/>
      <c r="I79" s="51"/>
      <c r="J79" s="51"/>
      <c r="K79" s="52"/>
    </row>
    <row r="80" spans="3:11" hidden="1">
      <c r="C80" s="51"/>
      <c r="D80" s="52"/>
      <c r="E80" s="51"/>
      <c r="F80" s="51"/>
      <c r="G80" s="53"/>
      <c r="H80" s="51"/>
      <c r="I80" s="51"/>
      <c r="J80" s="51"/>
      <c r="K80" s="52"/>
    </row>
    <row r="81" spans="3:11" hidden="1">
      <c r="C81" s="51"/>
      <c r="D81" s="52"/>
      <c r="E81" s="51"/>
      <c r="F81" s="51"/>
      <c r="G81" s="53"/>
      <c r="H81" s="51"/>
      <c r="I81" s="51"/>
      <c r="J81" s="51"/>
      <c r="K81" s="52"/>
    </row>
    <row r="82" spans="3:11" hidden="1">
      <c r="C82" s="51"/>
      <c r="D82" s="52"/>
      <c r="E82" s="51"/>
      <c r="F82" s="51"/>
      <c r="G82" s="53"/>
      <c r="H82" s="51"/>
      <c r="I82" s="51"/>
      <c r="J82" s="51"/>
      <c r="K82" s="5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L187"/>
  <sheetViews>
    <sheetView workbookViewId="0"/>
  </sheetViews>
  <sheetFormatPr baseColWidth="10" defaultRowHeight="13"/>
  <cols>
    <col min="1" max="2" width="10.83203125" style="41"/>
    <col min="3" max="3" width="15.83203125" style="41" customWidth="1"/>
    <col min="4" max="4" width="30.33203125" style="41" customWidth="1"/>
    <col min="5" max="5" width="42.6640625" style="41" customWidth="1"/>
    <col min="6" max="6" width="34.1640625" style="41" customWidth="1"/>
    <col min="7" max="9" width="10.83203125" style="41"/>
    <col min="10" max="10" width="52.83203125" style="41" customWidth="1"/>
    <col min="11" max="11" width="146.5" style="41" customWidth="1"/>
    <col min="12" max="16384" width="10.83203125" style="41"/>
  </cols>
  <sheetData>
    <row r="3" spans="3:12">
      <c r="C3" s="44" t="s">
        <v>553</v>
      </c>
      <c r="D3" s="44" t="s">
        <v>570</v>
      </c>
      <c r="E3" s="44" t="s">
        <v>571</v>
      </c>
      <c r="F3" s="44" t="s">
        <v>1023</v>
      </c>
      <c r="J3" s="1" t="s">
        <v>1</v>
      </c>
      <c r="K3" s="1" t="s">
        <v>2</v>
      </c>
      <c r="L3" s="1" t="s">
        <v>3</v>
      </c>
    </row>
    <row r="4" spans="3:12">
      <c r="C4" s="44" t="s">
        <v>1024</v>
      </c>
      <c r="D4" s="45" t="s">
        <v>295</v>
      </c>
      <c r="E4" s="45" t="s">
        <v>867</v>
      </c>
      <c r="F4" s="45" t="s">
        <v>1025</v>
      </c>
      <c r="J4" s="1" t="s">
        <v>1026</v>
      </c>
      <c r="K4" t="s">
        <v>1027</v>
      </c>
      <c r="L4" t="s">
        <v>1028</v>
      </c>
    </row>
    <row r="5" spans="3:12">
      <c r="C5" s="44" t="s">
        <v>1024</v>
      </c>
      <c r="D5" s="45" t="s">
        <v>859</v>
      </c>
      <c r="E5" s="45" t="s">
        <v>860</v>
      </c>
      <c r="F5" s="45" t="s">
        <v>1029</v>
      </c>
      <c r="J5" s="1" t="s">
        <v>1030</v>
      </c>
      <c r="K5" t="s">
        <v>1031</v>
      </c>
      <c r="L5" t="s">
        <v>1032</v>
      </c>
    </row>
    <row r="6" spans="3:12">
      <c r="C6" s="44" t="s">
        <v>1024</v>
      </c>
      <c r="D6" s="45" t="s">
        <v>686</v>
      </c>
      <c r="E6" s="45" t="s">
        <v>687</v>
      </c>
      <c r="F6" s="45" t="s">
        <v>1033</v>
      </c>
      <c r="J6" s="1" t="s">
        <v>1034</v>
      </c>
      <c r="K6" t="s">
        <v>1035</v>
      </c>
      <c r="L6" t="s">
        <v>1036</v>
      </c>
    </row>
    <row r="7" spans="3:12">
      <c r="C7" s="44" t="s">
        <v>1024</v>
      </c>
      <c r="D7" s="45" t="s">
        <v>583</v>
      </c>
      <c r="E7" s="45" t="s">
        <v>584</v>
      </c>
      <c r="F7" s="45" t="s">
        <v>1037</v>
      </c>
      <c r="J7" s="1" t="s">
        <v>1038</v>
      </c>
      <c r="K7" t="s">
        <v>1039</v>
      </c>
      <c r="L7" t="s">
        <v>1040</v>
      </c>
    </row>
    <row r="8" spans="3:12">
      <c r="C8" s="44" t="s">
        <v>555</v>
      </c>
      <c r="D8" s="45" t="s">
        <v>873</v>
      </c>
      <c r="E8" s="45" t="s">
        <v>874</v>
      </c>
      <c r="F8" s="45" t="s">
        <v>1041</v>
      </c>
      <c r="J8" s="1" t="s">
        <v>1042</v>
      </c>
      <c r="K8" t="s">
        <v>1043</v>
      </c>
      <c r="L8" t="s">
        <v>1044</v>
      </c>
    </row>
    <row r="9" spans="3:12">
      <c r="C9" s="44" t="s">
        <v>555</v>
      </c>
      <c r="D9" s="45" t="s">
        <v>907</v>
      </c>
      <c r="E9" s="45" t="s">
        <v>908</v>
      </c>
      <c r="F9" s="45" t="s">
        <v>1045</v>
      </c>
      <c r="J9" s="1" t="s">
        <v>1046</v>
      </c>
      <c r="K9" t="s">
        <v>1047</v>
      </c>
      <c r="L9" t="s">
        <v>1048</v>
      </c>
    </row>
    <row r="10" spans="3:12">
      <c r="C10" s="44" t="s">
        <v>555</v>
      </c>
      <c r="D10" s="45" t="s">
        <v>910</v>
      </c>
      <c r="E10" s="45" t="s">
        <v>911</v>
      </c>
      <c r="F10" s="45" t="s">
        <v>909</v>
      </c>
      <c r="J10" s="1" t="s">
        <v>1049</v>
      </c>
      <c r="K10" t="s">
        <v>1050</v>
      </c>
      <c r="L10" t="s">
        <v>1051</v>
      </c>
    </row>
    <row r="11" spans="3:12">
      <c r="C11" s="44" t="s">
        <v>555</v>
      </c>
      <c r="D11" s="45" t="s">
        <v>939</v>
      </c>
      <c r="E11" s="45" t="s">
        <v>940</v>
      </c>
      <c r="F11" s="45" t="s">
        <v>1052</v>
      </c>
      <c r="J11" s="1" t="s">
        <v>1053</v>
      </c>
      <c r="K11" t="s">
        <v>1054</v>
      </c>
      <c r="L11" t="s">
        <v>1055</v>
      </c>
    </row>
    <row r="12" spans="3:12">
      <c r="C12" s="44" t="s">
        <v>555</v>
      </c>
      <c r="D12" s="45" t="s">
        <v>945</v>
      </c>
      <c r="E12" s="45" t="s">
        <v>946</v>
      </c>
      <c r="F12" s="45" t="s">
        <v>1052</v>
      </c>
      <c r="J12" s="1" t="s">
        <v>1056</v>
      </c>
      <c r="K12" t="s">
        <v>1057</v>
      </c>
      <c r="L12" t="s">
        <v>1058</v>
      </c>
    </row>
    <row r="13" spans="3:12">
      <c r="C13" s="44" t="s">
        <v>555</v>
      </c>
      <c r="D13" s="45" t="s">
        <v>948</v>
      </c>
      <c r="E13" s="45" t="s">
        <v>949</v>
      </c>
      <c r="F13" s="45" t="s">
        <v>1052</v>
      </c>
      <c r="J13" s="1" t="s">
        <v>1059</v>
      </c>
      <c r="K13" t="s">
        <v>1060</v>
      </c>
      <c r="L13" t="s">
        <v>1061</v>
      </c>
    </row>
    <row r="14" spans="3:12">
      <c r="C14" s="44" t="s">
        <v>557</v>
      </c>
      <c r="D14" s="45" t="s">
        <v>913</v>
      </c>
      <c r="E14" s="45" t="s">
        <v>914</v>
      </c>
      <c r="F14" s="45" t="s">
        <v>1062</v>
      </c>
      <c r="J14" s="1" t="s">
        <v>1063</v>
      </c>
      <c r="K14" t="s">
        <v>1064</v>
      </c>
      <c r="L14" t="s">
        <v>1065</v>
      </c>
    </row>
    <row r="15" spans="3:12">
      <c r="C15" s="44" t="s">
        <v>557</v>
      </c>
      <c r="D15" s="45" t="s">
        <v>916</v>
      </c>
      <c r="E15" s="45" t="s">
        <v>917</v>
      </c>
      <c r="F15" s="45" t="s">
        <v>1062</v>
      </c>
      <c r="J15" s="1" t="s">
        <v>1066</v>
      </c>
      <c r="K15" t="s">
        <v>1067</v>
      </c>
      <c r="L15" t="s">
        <v>1068</v>
      </c>
    </row>
    <row r="16" spans="3:12">
      <c r="C16" s="44" t="s">
        <v>557</v>
      </c>
      <c r="D16" s="45" t="s">
        <v>951</v>
      </c>
      <c r="E16" s="45" t="s">
        <v>952</v>
      </c>
      <c r="F16" s="45" t="s">
        <v>1069</v>
      </c>
      <c r="J16" s="1" t="s">
        <v>1070</v>
      </c>
      <c r="K16" t="s">
        <v>1071</v>
      </c>
      <c r="L16" t="s">
        <v>1072</v>
      </c>
    </row>
    <row r="17" spans="3:12">
      <c r="C17" s="44" t="s">
        <v>557</v>
      </c>
      <c r="D17" s="45" t="s">
        <v>953</v>
      </c>
      <c r="E17" s="45" t="s">
        <v>954</v>
      </c>
      <c r="F17" s="45" t="s">
        <v>1069</v>
      </c>
      <c r="J17" s="1" t="s">
        <v>1073</v>
      </c>
      <c r="K17" t="s">
        <v>1074</v>
      </c>
      <c r="L17" t="s">
        <v>1075</v>
      </c>
    </row>
    <row r="18" spans="3:12">
      <c r="C18" s="44" t="s">
        <v>557</v>
      </c>
      <c r="D18" s="45" t="s">
        <v>962</v>
      </c>
      <c r="E18" s="45" t="s">
        <v>961</v>
      </c>
      <c r="F18" s="45" t="s">
        <v>1076</v>
      </c>
      <c r="J18" s="1" t="s">
        <v>1077</v>
      </c>
      <c r="K18" t="s">
        <v>1078</v>
      </c>
      <c r="L18" t="s">
        <v>1079</v>
      </c>
    </row>
    <row r="19" spans="3:12">
      <c r="C19" s="44" t="s">
        <v>557</v>
      </c>
      <c r="D19" s="45" t="s">
        <v>1003</v>
      </c>
      <c r="E19" s="45" t="s">
        <v>1004</v>
      </c>
      <c r="F19" s="45" t="s">
        <v>1080</v>
      </c>
      <c r="J19" s="1" t="s">
        <v>1081</v>
      </c>
      <c r="K19" t="s">
        <v>1082</v>
      </c>
      <c r="L19" t="s">
        <v>23</v>
      </c>
    </row>
    <row r="20" spans="3:12">
      <c r="C20" s="44" t="s">
        <v>557</v>
      </c>
      <c r="D20" s="45" t="s">
        <v>969</v>
      </c>
      <c r="E20" s="45" t="s">
        <v>1083</v>
      </c>
      <c r="F20" s="45" t="s">
        <v>1084</v>
      </c>
      <c r="J20" s="1" t="s">
        <v>1085</v>
      </c>
      <c r="K20" t="s">
        <v>1086</v>
      </c>
      <c r="L20" t="s">
        <v>1087</v>
      </c>
    </row>
    <row r="21" spans="3:12">
      <c r="C21" s="44" t="s">
        <v>559</v>
      </c>
      <c r="D21" s="45" t="s">
        <v>956</v>
      </c>
      <c r="E21" s="45" t="s">
        <v>957</v>
      </c>
      <c r="F21" s="45" t="s">
        <v>1088</v>
      </c>
      <c r="J21" s="1" t="s">
        <v>1089</v>
      </c>
      <c r="K21" t="s">
        <v>1090</v>
      </c>
      <c r="L21" t="s">
        <v>1091</v>
      </c>
    </row>
    <row r="22" spans="3:12">
      <c r="C22" s="44" t="s">
        <v>559</v>
      </c>
      <c r="D22" s="45" t="s">
        <v>942</v>
      </c>
      <c r="E22" s="45" t="s">
        <v>943</v>
      </c>
      <c r="F22" s="45" t="s">
        <v>1052</v>
      </c>
    </row>
    <row r="23" spans="3:12">
      <c r="C23" s="44" t="s">
        <v>559</v>
      </c>
      <c r="D23" s="45" t="s">
        <v>898</v>
      </c>
      <c r="E23" s="45" t="s">
        <v>899</v>
      </c>
      <c r="F23" s="45" t="s">
        <v>897</v>
      </c>
    </row>
    <row r="24" spans="3:12">
      <c r="C24" s="44" t="s">
        <v>559</v>
      </c>
      <c r="D24" s="45" t="s">
        <v>972</v>
      </c>
      <c r="E24" s="45" t="s">
        <v>973</v>
      </c>
      <c r="F24" s="45" t="s">
        <v>1092</v>
      </c>
    </row>
    <row r="25" spans="3:12">
      <c r="C25" s="44" t="s">
        <v>561</v>
      </c>
      <c r="D25" s="45" t="s">
        <v>922</v>
      </c>
      <c r="E25" s="45" t="s">
        <v>923</v>
      </c>
      <c r="F25" s="45" t="s">
        <v>1093</v>
      </c>
    </row>
    <row r="26" spans="3:12">
      <c r="C26" s="44" t="s">
        <v>563</v>
      </c>
      <c r="D26" s="45" t="s">
        <v>1094</v>
      </c>
      <c r="E26" s="45" t="s">
        <v>1095</v>
      </c>
      <c r="F26" s="45" t="s">
        <v>1096</v>
      </c>
    </row>
    <row r="28" spans="3:12" ht="28">
      <c r="C28" s="46" t="s">
        <v>553</v>
      </c>
      <c r="D28" s="46" t="s">
        <v>554</v>
      </c>
      <c r="E28" s="46" t="s">
        <v>1097</v>
      </c>
      <c r="F28" s="47"/>
    </row>
    <row r="29" spans="3:12" ht="42">
      <c r="C29" s="46" t="s">
        <v>1024</v>
      </c>
      <c r="D29" s="46" t="s">
        <v>1098</v>
      </c>
      <c r="E29" s="47" t="s">
        <v>1099</v>
      </c>
      <c r="F29" s="47"/>
    </row>
    <row r="30" spans="3:12" ht="28">
      <c r="C30" s="46" t="s">
        <v>555</v>
      </c>
      <c r="D30" s="46" t="s">
        <v>1100</v>
      </c>
      <c r="E30" s="47" t="s">
        <v>1101</v>
      </c>
      <c r="F30" s="47"/>
    </row>
    <row r="31" spans="3:12" ht="42">
      <c r="C31" s="46" t="s">
        <v>557</v>
      </c>
      <c r="D31" s="46" t="s">
        <v>1102</v>
      </c>
      <c r="E31" s="47" t="s">
        <v>1103</v>
      </c>
      <c r="F31" s="47"/>
    </row>
    <row r="32" spans="3:12" ht="28">
      <c r="C32" s="46" t="s">
        <v>559</v>
      </c>
      <c r="D32" s="46" t="s">
        <v>1104</v>
      </c>
      <c r="E32" s="47" t="s">
        <v>1105</v>
      </c>
      <c r="F32" s="47"/>
    </row>
    <row r="33" spans="3:6" ht="14">
      <c r="C33" s="46" t="s">
        <v>561</v>
      </c>
      <c r="D33" s="46" t="s">
        <v>922</v>
      </c>
      <c r="E33" s="47" t="s">
        <v>1106</v>
      </c>
      <c r="F33" s="47"/>
    </row>
    <row r="34" spans="3:6" ht="126">
      <c r="C34" s="46" t="s">
        <v>563</v>
      </c>
      <c r="D34" s="46" t="s">
        <v>1107</v>
      </c>
      <c r="E34" s="47" t="s">
        <v>1108</v>
      </c>
      <c r="F34" s="47"/>
    </row>
    <row r="42" spans="3:6" ht="30">
      <c r="C42" s="42" t="s">
        <v>1109</v>
      </c>
      <c r="D42"/>
      <c r="E42"/>
    </row>
    <row r="43" spans="3:6">
      <c r="C43"/>
      <c r="D43"/>
      <c r="E43"/>
    </row>
    <row r="44" spans="3:6">
      <c r="C44" s="1" t="s">
        <v>0</v>
      </c>
      <c r="D44" s="1" t="s">
        <v>1</v>
      </c>
      <c r="E44" s="1" t="s">
        <v>1110</v>
      </c>
    </row>
    <row r="45" spans="3:6">
      <c r="C45" s="1" t="s">
        <v>17</v>
      </c>
      <c r="D45" s="1" t="s">
        <v>18</v>
      </c>
      <c r="E45" t="s">
        <v>1111</v>
      </c>
    </row>
    <row r="46" spans="3:6">
      <c r="C46" s="1" t="s">
        <v>17</v>
      </c>
      <c r="D46" s="1" t="s">
        <v>21</v>
      </c>
      <c r="E46" t="s">
        <v>1112</v>
      </c>
    </row>
    <row r="47" spans="3:6">
      <c r="C47" s="1" t="s">
        <v>17</v>
      </c>
      <c r="D47" s="1" t="s">
        <v>24</v>
      </c>
      <c r="E47" t="s">
        <v>1113</v>
      </c>
    </row>
    <row r="48" spans="3:6">
      <c r="C48" s="1" t="s">
        <v>17</v>
      </c>
      <c r="D48" s="1" t="s">
        <v>27</v>
      </c>
      <c r="E48" t="s">
        <v>1114</v>
      </c>
    </row>
    <row r="49" spans="3:5">
      <c r="C49"/>
      <c r="D49"/>
      <c r="E49"/>
    </row>
    <row r="50" spans="3:5">
      <c r="C50" t="s">
        <v>1115</v>
      </c>
      <c r="D50"/>
      <c r="E50"/>
    </row>
    <row r="51" spans="3:5">
      <c r="C51" t="s">
        <v>1116</v>
      </c>
      <c r="D51"/>
      <c r="E51"/>
    </row>
    <row r="52" spans="3:5">
      <c r="C52"/>
      <c r="D52"/>
      <c r="E52"/>
    </row>
    <row r="53" spans="3:5">
      <c r="C53"/>
      <c r="D53"/>
      <c r="E53"/>
    </row>
    <row r="54" spans="3:5">
      <c r="C54"/>
      <c r="D54"/>
      <c r="E54"/>
    </row>
    <row r="55" spans="3:5" ht="30">
      <c r="C55" s="42" t="s">
        <v>1117</v>
      </c>
      <c r="D55"/>
      <c r="E55"/>
    </row>
    <row r="56" spans="3:5">
      <c r="C56"/>
      <c r="D56"/>
      <c r="E56"/>
    </row>
    <row r="57" spans="3:5" ht="23">
      <c r="C57" s="43" t="s">
        <v>1118</v>
      </c>
      <c r="D57"/>
      <c r="E57"/>
    </row>
    <row r="58" spans="3:5">
      <c r="C58"/>
      <c r="D58"/>
      <c r="E58"/>
    </row>
    <row r="59" spans="3:5">
      <c r="C59" t="s">
        <v>1119</v>
      </c>
      <c r="D59"/>
      <c r="E59"/>
    </row>
    <row r="60" spans="3:5">
      <c r="C60"/>
      <c r="D60"/>
      <c r="E60"/>
    </row>
    <row r="61" spans="3:5">
      <c r="C61" s="1" t="s">
        <v>1120</v>
      </c>
      <c r="D61" s="1" t="s">
        <v>1121</v>
      </c>
      <c r="E61"/>
    </row>
    <row r="62" spans="3:5">
      <c r="C62" t="s">
        <v>1122</v>
      </c>
      <c r="D62" t="s">
        <v>1123</v>
      </c>
      <c r="E62"/>
    </row>
    <row r="63" spans="3:5">
      <c r="C63" t="s">
        <v>1124</v>
      </c>
      <c r="D63" t="s">
        <v>1125</v>
      </c>
      <c r="E63"/>
    </row>
    <row r="64" spans="3:5">
      <c r="C64" t="s">
        <v>1126</v>
      </c>
      <c r="D64" t="s">
        <v>1127</v>
      </c>
      <c r="E64"/>
    </row>
    <row r="65" spans="3:5">
      <c r="C65" t="s">
        <v>1128</v>
      </c>
      <c r="D65" t="s">
        <v>1129</v>
      </c>
      <c r="E65"/>
    </row>
    <row r="66" spans="3:5">
      <c r="C66" t="s">
        <v>1130</v>
      </c>
      <c r="D66" t="s">
        <v>1131</v>
      </c>
      <c r="E66"/>
    </row>
    <row r="67" spans="3:5">
      <c r="C67" t="s">
        <v>1132</v>
      </c>
      <c r="D67" t="s">
        <v>1133</v>
      </c>
      <c r="E67"/>
    </row>
    <row r="68" spans="3:5">
      <c r="C68" t="s">
        <v>1134</v>
      </c>
      <c r="D68" t="s">
        <v>1135</v>
      </c>
      <c r="E68"/>
    </row>
    <row r="69" spans="3:5">
      <c r="C69" t="s">
        <v>1136</v>
      </c>
      <c r="D69" t="s">
        <v>1137</v>
      </c>
      <c r="E69"/>
    </row>
    <row r="70" spans="3:5">
      <c r="C70" t="s">
        <v>1138</v>
      </c>
      <c r="D70" t="s">
        <v>1139</v>
      </c>
      <c r="E70"/>
    </row>
    <row r="71" spans="3:5">
      <c r="C71" t="s">
        <v>1140</v>
      </c>
      <c r="D71" t="s">
        <v>1141</v>
      </c>
      <c r="E71"/>
    </row>
    <row r="72" spans="3:5">
      <c r="C72"/>
      <c r="D72"/>
      <c r="E72"/>
    </row>
    <row r="73" spans="3:5" ht="23">
      <c r="C73" s="43" t="s">
        <v>1142</v>
      </c>
      <c r="D73"/>
      <c r="E73"/>
    </row>
    <row r="74" spans="3:5">
      <c r="C74"/>
      <c r="D74"/>
      <c r="E74"/>
    </row>
    <row r="75" spans="3:5">
      <c r="C75" t="s">
        <v>1143</v>
      </c>
      <c r="D75"/>
      <c r="E75"/>
    </row>
    <row r="76" spans="3:5">
      <c r="C76"/>
      <c r="D76"/>
      <c r="E76"/>
    </row>
    <row r="77" spans="3:5">
      <c r="C77"/>
      <c r="D77"/>
      <c r="E77"/>
    </row>
    <row r="78" spans="3:5">
      <c r="C78"/>
      <c r="D78"/>
      <c r="E78"/>
    </row>
    <row r="79" spans="3:5" ht="30">
      <c r="C79" s="42" t="s">
        <v>1144</v>
      </c>
      <c r="D79"/>
      <c r="E79"/>
    </row>
    <row r="80" spans="3:5">
      <c r="C80"/>
      <c r="D80"/>
      <c r="E80"/>
    </row>
    <row r="81" spans="3:5" ht="23">
      <c r="C81" s="43" t="s">
        <v>1118</v>
      </c>
      <c r="D81"/>
      <c r="E81"/>
    </row>
    <row r="82" spans="3:5">
      <c r="C82"/>
      <c r="D82"/>
      <c r="E82"/>
    </row>
    <row r="83" spans="3:5">
      <c r="C83" t="s">
        <v>1145</v>
      </c>
      <c r="D83"/>
      <c r="E83"/>
    </row>
    <row r="84" spans="3:5">
      <c r="C84"/>
      <c r="D84"/>
      <c r="E84"/>
    </row>
    <row r="85" spans="3:5">
      <c r="C85" s="1" t="s">
        <v>1120</v>
      </c>
      <c r="D85" s="1" t="s">
        <v>1121</v>
      </c>
      <c r="E85"/>
    </row>
    <row r="86" spans="3:5">
      <c r="C86" t="s">
        <v>1024</v>
      </c>
      <c r="D86" t="s">
        <v>1146</v>
      </c>
      <c r="E86"/>
    </row>
    <row r="87" spans="3:5">
      <c r="C87" t="s">
        <v>555</v>
      </c>
      <c r="D87" t="s">
        <v>1147</v>
      </c>
      <c r="E87"/>
    </row>
    <row r="88" spans="3:5">
      <c r="C88" t="s">
        <v>557</v>
      </c>
      <c r="D88" t="s">
        <v>1148</v>
      </c>
      <c r="E88"/>
    </row>
    <row r="89" spans="3:5">
      <c r="C89" t="s">
        <v>559</v>
      </c>
      <c r="D89" t="s">
        <v>1149</v>
      </c>
      <c r="E89"/>
    </row>
    <row r="90" spans="3:5">
      <c r="C90" t="s">
        <v>561</v>
      </c>
      <c r="D90" t="s">
        <v>1150</v>
      </c>
      <c r="E90"/>
    </row>
    <row r="91" spans="3:5">
      <c r="C91" t="s">
        <v>563</v>
      </c>
      <c r="D91" t="s">
        <v>1095</v>
      </c>
      <c r="E91"/>
    </row>
    <row r="92" spans="3:5">
      <c r="C92" t="s">
        <v>1151</v>
      </c>
      <c r="D92" t="s">
        <v>1152</v>
      </c>
      <c r="E92"/>
    </row>
    <row r="93" spans="3:5">
      <c r="C93" t="s">
        <v>1153</v>
      </c>
      <c r="D93" t="s">
        <v>1154</v>
      </c>
      <c r="E93"/>
    </row>
    <row r="94" spans="3:5">
      <c r="C94" t="s">
        <v>1155</v>
      </c>
      <c r="D94" t="s">
        <v>1156</v>
      </c>
      <c r="E94"/>
    </row>
    <row r="95" spans="3:5">
      <c r="C95" t="s">
        <v>1157</v>
      </c>
      <c r="D95" t="s">
        <v>1158</v>
      </c>
      <c r="E95"/>
    </row>
    <row r="96" spans="3:5">
      <c r="C96" t="s">
        <v>1159</v>
      </c>
      <c r="D96" t="s">
        <v>1160</v>
      </c>
      <c r="E96"/>
    </row>
    <row r="97" spans="3:5">
      <c r="C97"/>
      <c r="D97"/>
      <c r="E97"/>
    </row>
    <row r="98" spans="3:5" ht="23">
      <c r="C98" s="43" t="s">
        <v>1142</v>
      </c>
      <c r="D98"/>
      <c r="E98"/>
    </row>
    <row r="99" spans="3:5">
      <c r="C99"/>
      <c r="D99"/>
      <c r="E99"/>
    </row>
    <row r="100" spans="3:5">
      <c r="C100" t="s">
        <v>1161</v>
      </c>
      <c r="D100"/>
      <c r="E100"/>
    </row>
    <row r="101" spans="3:5">
      <c r="C101"/>
      <c r="D101"/>
      <c r="E101"/>
    </row>
    <row r="102" spans="3:5">
      <c r="C102"/>
      <c r="D102"/>
      <c r="E102"/>
    </row>
    <row r="103" spans="3:5">
      <c r="C103"/>
      <c r="D103"/>
      <c r="E103"/>
    </row>
    <row r="104" spans="3:5" ht="30">
      <c r="C104" s="42" t="s">
        <v>1162</v>
      </c>
      <c r="D104"/>
      <c r="E104"/>
    </row>
    <row r="105" spans="3:5">
      <c r="C105"/>
      <c r="D105"/>
      <c r="E105"/>
    </row>
    <row r="106" spans="3:5" ht="23">
      <c r="C106" s="43" t="s">
        <v>1118</v>
      </c>
      <c r="D106"/>
      <c r="E106"/>
    </row>
    <row r="107" spans="3:5">
      <c r="C107"/>
      <c r="D107"/>
      <c r="E107"/>
    </row>
    <row r="108" spans="3:5">
      <c r="C108" t="s">
        <v>1163</v>
      </c>
      <c r="D108"/>
      <c r="E108"/>
    </row>
    <row r="109" spans="3:5">
      <c r="C109"/>
      <c r="D109"/>
      <c r="E109"/>
    </row>
    <row r="110" spans="3:5">
      <c r="C110" s="1" t="s">
        <v>1120</v>
      </c>
      <c r="D110" s="1" t="s">
        <v>1121</v>
      </c>
      <c r="E110"/>
    </row>
    <row r="111" spans="3:5">
      <c r="C111" t="s">
        <v>1164</v>
      </c>
      <c r="D111" t="s">
        <v>1165</v>
      </c>
      <c r="E111"/>
    </row>
    <row r="112" spans="3:5">
      <c r="C112" t="s">
        <v>1166</v>
      </c>
      <c r="D112" t="s">
        <v>1167</v>
      </c>
      <c r="E112"/>
    </row>
    <row r="113" spans="3:5">
      <c r="C113" t="s">
        <v>1168</v>
      </c>
      <c r="D113" t="s">
        <v>1169</v>
      </c>
      <c r="E113"/>
    </row>
    <row r="114" spans="3:5">
      <c r="C114" t="s">
        <v>1170</v>
      </c>
      <c r="D114" t="s">
        <v>1098</v>
      </c>
      <c r="E114"/>
    </row>
    <row r="115" spans="3:5">
      <c r="C115" t="s">
        <v>1171</v>
      </c>
      <c r="D115" t="s">
        <v>1172</v>
      </c>
      <c r="E115"/>
    </row>
    <row r="116" spans="3:5">
      <c r="C116" t="s">
        <v>1173</v>
      </c>
      <c r="D116" t="s">
        <v>1174</v>
      </c>
      <c r="E116"/>
    </row>
    <row r="117" spans="3:5">
      <c r="C117" t="s">
        <v>1175</v>
      </c>
      <c r="D117" t="s">
        <v>1176</v>
      </c>
      <c r="E117"/>
    </row>
    <row r="118" spans="3:5">
      <c r="C118" t="s">
        <v>1177</v>
      </c>
      <c r="D118" t="s">
        <v>1178</v>
      </c>
      <c r="E118"/>
    </row>
    <row r="119" spans="3:5">
      <c r="C119"/>
      <c r="D119"/>
      <c r="E119"/>
    </row>
    <row r="120" spans="3:5" ht="23">
      <c r="C120" s="43" t="s">
        <v>1142</v>
      </c>
      <c r="D120"/>
      <c r="E120"/>
    </row>
    <row r="121" spans="3:5">
      <c r="C121"/>
      <c r="D121"/>
      <c r="E121"/>
    </row>
    <row r="122" spans="3:5">
      <c r="C122" t="s">
        <v>1179</v>
      </c>
      <c r="D122"/>
      <c r="E122"/>
    </row>
    <row r="123" spans="3:5">
      <c r="C123"/>
      <c r="D123"/>
      <c r="E123"/>
    </row>
    <row r="124" spans="3:5">
      <c r="C124"/>
      <c r="D124"/>
      <c r="E124"/>
    </row>
    <row r="125" spans="3:5">
      <c r="C125"/>
      <c r="D125"/>
      <c r="E125"/>
    </row>
    <row r="126" spans="3:5" ht="30">
      <c r="C126" s="42" t="s">
        <v>1180</v>
      </c>
      <c r="D126"/>
      <c r="E126"/>
    </row>
    <row r="127" spans="3:5">
      <c r="C127"/>
      <c r="D127"/>
      <c r="E127"/>
    </row>
    <row r="128" spans="3:5" ht="23">
      <c r="C128" s="43" t="s">
        <v>1118</v>
      </c>
      <c r="D128"/>
      <c r="E128"/>
    </row>
    <row r="129" spans="3:5">
      <c r="C129"/>
      <c r="D129"/>
      <c r="E129"/>
    </row>
    <row r="130" spans="3:5">
      <c r="C130" t="s">
        <v>1181</v>
      </c>
      <c r="D130"/>
      <c r="E130"/>
    </row>
    <row r="131" spans="3:5">
      <c r="C131"/>
      <c r="D131"/>
      <c r="E131"/>
    </row>
    <row r="132" spans="3:5">
      <c r="C132" s="1" t="s">
        <v>1120</v>
      </c>
      <c r="D132" s="1" t="s">
        <v>1121</v>
      </c>
      <c r="E132"/>
    </row>
    <row r="133" spans="3:5">
      <c r="C133" t="s">
        <v>1182</v>
      </c>
      <c r="D133" t="s">
        <v>1183</v>
      </c>
      <c r="E133"/>
    </row>
    <row r="134" spans="3:5">
      <c r="C134" t="s">
        <v>1184</v>
      </c>
      <c r="D134" t="s">
        <v>1185</v>
      </c>
      <c r="E134"/>
    </row>
    <row r="135" spans="3:5">
      <c r="C135" t="s">
        <v>1186</v>
      </c>
      <c r="D135" t="s">
        <v>1187</v>
      </c>
      <c r="E135"/>
    </row>
    <row r="136" spans="3:5">
      <c r="C136" t="s">
        <v>1188</v>
      </c>
      <c r="D136" t="s">
        <v>1189</v>
      </c>
      <c r="E136"/>
    </row>
    <row r="137" spans="3:5">
      <c r="C137" t="s">
        <v>1155</v>
      </c>
      <c r="D137" t="s">
        <v>1190</v>
      </c>
      <c r="E137"/>
    </row>
    <row r="138" spans="3:5">
      <c r="C138" t="s">
        <v>1191</v>
      </c>
      <c r="D138" t="s">
        <v>1192</v>
      </c>
      <c r="E138"/>
    </row>
    <row r="139" spans="3:5">
      <c r="C139" t="s">
        <v>1193</v>
      </c>
      <c r="D139" t="s">
        <v>1194</v>
      </c>
      <c r="E139"/>
    </row>
    <row r="140" spans="3:5">
      <c r="C140" t="s">
        <v>1195</v>
      </c>
      <c r="D140" t="s">
        <v>1196</v>
      </c>
      <c r="E140"/>
    </row>
    <row r="141" spans="3:5">
      <c r="C141"/>
      <c r="D141"/>
      <c r="E141"/>
    </row>
    <row r="142" spans="3:5" ht="23">
      <c r="C142" s="43" t="s">
        <v>1142</v>
      </c>
      <c r="D142"/>
      <c r="E142"/>
    </row>
    <row r="143" spans="3:5">
      <c r="C143"/>
      <c r="D143"/>
      <c r="E143"/>
    </row>
    <row r="144" spans="3:5">
      <c r="C144" t="s">
        <v>1197</v>
      </c>
      <c r="D144"/>
      <c r="E144"/>
    </row>
    <row r="145" spans="3:5">
      <c r="C145"/>
      <c r="D145"/>
      <c r="E145"/>
    </row>
    <row r="146" spans="3:5">
      <c r="C146"/>
      <c r="D146"/>
      <c r="E146"/>
    </row>
    <row r="147" spans="3:5">
      <c r="C147"/>
      <c r="D147"/>
      <c r="E147"/>
    </row>
    <row r="148" spans="3:5" ht="30">
      <c r="C148" s="42" t="s">
        <v>1198</v>
      </c>
      <c r="D148"/>
      <c r="E148"/>
    </row>
    <row r="149" spans="3:5">
      <c r="C149"/>
      <c r="D149"/>
      <c r="E149"/>
    </row>
    <row r="150" spans="3:5">
      <c r="C150" s="1" t="s">
        <v>1199</v>
      </c>
      <c r="D150" s="1" t="s">
        <v>1200</v>
      </c>
      <c r="E150" s="1" t="s">
        <v>1201</v>
      </c>
    </row>
    <row r="151" spans="3:5">
      <c r="C151" s="1" t="s">
        <v>1202</v>
      </c>
      <c r="D151" t="s">
        <v>18</v>
      </c>
      <c r="E151" s="1" t="s">
        <v>1203</v>
      </c>
    </row>
    <row r="152" spans="3:5">
      <c r="C152" s="1" t="s">
        <v>1204</v>
      </c>
      <c r="D152" t="s">
        <v>21</v>
      </c>
      <c r="E152" s="1" t="s">
        <v>1203</v>
      </c>
    </row>
    <row r="153" spans="3:5">
      <c r="C153" s="1" t="s">
        <v>1205</v>
      </c>
      <c r="D153" t="s">
        <v>24</v>
      </c>
      <c r="E153" s="1" t="s">
        <v>1203</v>
      </c>
    </row>
    <row r="154" spans="3:5">
      <c r="C154" s="1" t="s">
        <v>1206</v>
      </c>
      <c r="D154" t="s">
        <v>27</v>
      </c>
      <c r="E154" s="1" t="s">
        <v>1203</v>
      </c>
    </row>
    <row r="155" spans="3:5">
      <c r="C155"/>
      <c r="D155"/>
      <c r="E155"/>
    </row>
    <row r="156" spans="3:5">
      <c r="C156"/>
      <c r="D156"/>
      <c r="E156"/>
    </row>
    <row r="157" spans="3:5" ht="30">
      <c r="C157" s="42" t="s">
        <v>1207</v>
      </c>
      <c r="D157"/>
      <c r="E157"/>
    </row>
    <row r="158" spans="3:5">
      <c r="C158"/>
      <c r="D158"/>
      <c r="E158"/>
    </row>
    <row r="159" spans="3:5">
      <c r="C159" t="s">
        <v>1208</v>
      </c>
      <c r="D159"/>
      <c r="E159"/>
    </row>
    <row r="160" spans="3:5">
      <c r="C160"/>
      <c r="D160"/>
      <c r="E160"/>
    </row>
    <row r="161" spans="3:5">
      <c r="C161" s="1" t="s">
        <v>1209</v>
      </c>
      <c r="D161" s="1" t="s">
        <v>1210</v>
      </c>
      <c r="E161"/>
    </row>
    <row r="162" spans="3:5">
      <c r="C162" t="s">
        <v>1211</v>
      </c>
      <c r="D162" t="s">
        <v>18</v>
      </c>
      <c r="E162"/>
    </row>
    <row r="163" spans="3:5">
      <c r="C163" t="s">
        <v>1212</v>
      </c>
      <c r="D163" t="s">
        <v>18</v>
      </c>
      <c r="E163"/>
    </row>
    <row r="164" spans="3:5">
      <c r="C164" t="s">
        <v>1213</v>
      </c>
      <c r="D164" t="s">
        <v>18</v>
      </c>
      <c r="E164"/>
    </row>
    <row r="165" spans="3:5">
      <c r="C165" t="s">
        <v>1214</v>
      </c>
      <c r="D165" t="s">
        <v>1215</v>
      </c>
      <c r="E165"/>
    </row>
    <row r="166" spans="3:5">
      <c r="C166" t="s">
        <v>1151</v>
      </c>
      <c r="D166" t="s">
        <v>1215</v>
      </c>
      <c r="E166"/>
    </row>
    <row r="167" spans="3:5">
      <c r="C167" t="s">
        <v>1216</v>
      </c>
      <c r="D167" t="s">
        <v>1217</v>
      </c>
      <c r="E167"/>
    </row>
    <row r="168" spans="3:5">
      <c r="C168" t="s">
        <v>1218</v>
      </c>
      <c r="D168" t="s">
        <v>1219</v>
      </c>
      <c r="E168"/>
    </row>
    <row r="169" spans="3:5">
      <c r="C169" t="s">
        <v>1220</v>
      </c>
      <c r="D169" t="s">
        <v>1219</v>
      </c>
      <c r="E169"/>
    </row>
    <row r="170" spans="3:5">
      <c r="C170" t="s">
        <v>1221</v>
      </c>
      <c r="D170" t="s">
        <v>1222</v>
      </c>
      <c r="E170"/>
    </row>
    <row r="171" spans="3:5">
      <c r="C171" t="s">
        <v>1223</v>
      </c>
      <c r="D171" t="s">
        <v>1222</v>
      </c>
      <c r="E171"/>
    </row>
    <row r="172" spans="3:5">
      <c r="C172" t="s">
        <v>1188</v>
      </c>
      <c r="D172" t="s">
        <v>1222</v>
      </c>
      <c r="E172"/>
    </row>
    <row r="173" spans="3:5">
      <c r="C173" t="s">
        <v>1224</v>
      </c>
      <c r="D173" t="s">
        <v>1222</v>
      </c>
      <c r="E173"/>
    </row>
    <row r="174" spans="3:5">
      <c r="C174"/>
      <c r="D174"/>
      <c r="E174"/>
    </row>
    <row r="175" spans="3:5">
      <c r="C175"/>
      <c r="D175"/>
      <c r="E175"/>
    </row>
    <row r="176" spans="3:5" ht="30">
      <c r="C176" s="42" t="s">
        <v>1225</v>
      </c>
      <c r="D176"/>
      <c r="E176"/>
    </row>
    <row r="177" spans="3:5">
      <c r="C177"/>
      <c r="D177"/>
      <c r="E177"/>
    </row>
    <row r="178" spans="3:5">
      <c r="C178" t="s">
        <v>1226</v>
      </c>
      <c r="D178"/>
      <c r="E178"/>
    </row>
    <row r="179" spans="3:5">
      <c r="C179"/>
      <c r="D179"/>
      <c r="E179"/>
    </row>
    <row r="180" spans="3:5">
      <c r="C180" t="s">
        <v>1227</v>
      </c>
      <c r="D180"/>
      <c r="E180"/>
    </row>
    <row r="181" spans="3:5">
      <c r="C181"/>
      <c r="D181"/>
      <c r="E181"/>
    </row>
    <row r="182" spans="3:5">
      <c r="C182" s="1" t="s">
        <v>1228</v>
      </c>
      <c r="D182" s="1" t="s">
        <v>1229</v>
      </c>
      <c r="E182"/>
    </row>
    <row r="183" spans="3:5">
      <c r="C183" t="s">
        <v>31</v>
      </c>
      <c r="D183" t="s">
        <v>1230</v>
      </c>
      <c r="E183"/>
    </row>
    <row r="184" spans="3:5">
      <c r="C184" t="s">
        <v>34</v>
      </c>
      <c r="D184" t="s">
        <v>1231</v>
      </c>
      <c r="E184"/>
    </row>
    <row r="185" spans="3:5">
      <c r="C185" t="s">
        <v>37</v>
      </c>
      <c r="D185" t="s">
        <v>1232</v>
      </c>
      <c r="E185"/>
    </row>
    <row r="186" spans="3:5">
      <c r="C186" t="s">
        <v>40</v>
      </c>
      <c r="D186" t="s">
        <v>1233</v>
      </c>
      <c r="E186"/>
    </row>
    <row r="187" spans="3:5">
      <c r="C187" t="s">
        <v>43</v>
      </c>
      <c r="D187" t="s">
        <v>1234</v>
      </c>
      <c r="E18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50"/>
  <sheetViews>
    <sheetView workbookViewId="0"/>
  </sheetViews>
  <sheetFormatPr baseColWidth="10" defaultColWidth="8.83203125" defaultRowHeight="13"/>
  <cols>
    <col min="1" max="2" width="3" style="83" customWidth="1"/>
    <col min="3" max="3" width="7" style="83" customWidth="1"/>
    <col min="4" max="4" width="28.1640625" style="83" customWidth="1"/>
    <col min="5" max="5" width="22" style="83" customWidth="1"/>
    <col min="6" max="6" width="20" style="83" customWidth="1"/>
    <col min="7" max="7" width="36" style="83" customWidth="1"/>
    <col min="8" max="8" width="34" style="83" customWidth="1"/>
    <col min="9" max="9" width="79.5" style="83" customWidth="1"/>
    <col min="10" max="11" width="14" style="102" customWidth="1"/>
    <col min="12" max="12" width="28" style="102" customWidth="1"/>
    <col min="13" max="14" width="12" style="102" customWidth="1"/>
    <col min="15" max="15" width="48" style="83" customWidth="1"/>
    <col min="16" max="16" width="42" style="83" customWidth="1"/>
    <col min="17" max="17" width="18" style="102" customWidth="1"/>
    <col min="18" max="16384" width="8.83203125" style="83"/>
  </cols>
  <sheetData>
    <row r="1" spans="1:26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21">
      <c r="A2" s="82"/>
      <c r="B2" s="82"/>
      <c r="C2" s="152" t="s">
        <v>1235</v>
      </c>
      <c r="D2" s="152" t="s">
        <v>1236</v>
      </c>
      <c r="E2" s="152" t="s">
        <v>1236</v>
      </c>
      <c r="F2" s="152" t="s">
        <v>1236</v>
      </c>
      <c r="G2" s="152" t="s">
        <v>1236</v>
      </c>
      <c r="H2" s="152" t="s">
        <v>1236</v>
      </c>
      <c r="I2" s="152" t="s">
        <v>1236</v>
      </c>
      <c r="J2" s="152" t="s">
        <v>1236</v>
      </c>
      <c r="K2" s="152" t="s">
        <v>1236</v>
      </c>
      <c r="L2" s="152" t="s">
        <v>1236</v>
      </c>
      <c r="M2" s="152" t="s">
        <v>1236</v>
      </c>
      <c r="N2" s="152" t="s">
        <v>1236</v>
      </c>
      <c r="O2" s="152" t="s">
        <v>1236</v>
      </c>
      <c r="P2" s="152" t="s">
        <v>1236</v>
      </c>
      <c r="Q2" s="152"/>
      <c r="R2" s="82"/>
      <c r="S2" s="82"/>
      <c r="T2" s="82"/>
      <c r="U2" s="82"/>
      <c r="V2" s="82"/>
      <c r="W2" s="82"/>
      <c r="X2" s="82"/>
      <c r="Y2" s="82"/>
      <c r="Z2" s="82"/>
    </row>
    <row r="3" spans="1:26" ht="45">
      <c r="A3" s="82"/>
      <c r="B3" s="82"/>
      <c r="C3" s="153" t="s">
        <v>1237</v>
      </c>
      <c r="D3" s="153"/>
      <c r="E3" s="153"/>
      <c r="F3" s="153"/>
      <c r="G3" s="153"/>
      <c r="H3" s="153"/>
      <c r="I3" s="153"/>
      <c r="J3" s="77"/>
      <c r="K3" s="78" t="s">
        <v>1238</v>
      </c>
      <c r="L3" s="78"/>
      <c r="M3" s="78"/>
      <c r="N3" s="79"/>
      <c r="O3" s="79"/>
      <c r="P3" s="79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>
      <c r="A4" s="82"/>
      <c r="B4" s="82"/>
      <c r="C4" s="153"/>
      <c r="D4" s="153"/>
      <c r="E4" s="153"/>
      <c r="F4" s="153"/>
      <c r="G4" s="153"/>
      <c r="H4" s="153"/>
      <c r="I4" s="153"/>
      <c r="J4" s="82"/>
      <c r="K4" s="156" t="s">
        <v>1239</v>
      </c>
      <c r="L4" s="156"/>
      <c r="M4" s="156" t="s">
        <v>1240</v>
      </c>
      <c r="N4" s="156"/>
      <c r="O4" s="156" t="s">
        <v>1241</v>
      </c>
      <c r="P4" s="156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1">
      <c r="A5" s="82"/>
      <c r="B5" s="82"/>
      <c r="C5" s="154"/>
      <c r="D5" s="154"/>
      <c r="E5" s="154"/>
      <c r="F5" s="154"/>
      <c r="G5" s="154"/>
      <c r="H5" s="154"/>
      <c r="I5" s="153"/>
      <c r="J5" s="82"/>
      <c r="K5" s="157">
        <v>6</v>
      </c>
      <c r="L5" s="157"/>
      <c r="M5" s="157">
        <v>44</v>
      </c>
      <c r="N5" s="157"/>
      <c r="O5" s="157">
        <v>33</v>
      </c>
      <c r="P5" s="157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>
      <c r="A6" s="82"/>
      <c r="B6" s="82"/>
      <c r="C6" s="84"/>
      <c r="D6" s="84"/>
      <c r="E6" s="85"/>
      <c r="F6" s="84"/>
      <c r="G6" s="84"/>
      <c r="H6" s="84"/>
      <c r="I6" s="82"/>
      <c r="J6" s="82"/>
      <c r="K6" s="156" t="s">
        <v>1242</v>
      </c>
      <c r="L6" s="156"/>
      <c r="M6" s="156" t="s">
        <v>1243</v>
      </c>
      <c r="N6" s="156"/>
      <c r="O6" s="159" t="s">
        <v>1244</v>
      </c>
      <c r="P6" s="159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1">
      <c r="A7" s="82"/>
      <c r="B7" s="82"/>
      <c r="C7" s="75" t="s">
        <v>1245</v>
      </c>
      <c r="D7" s="75" t="s">
        <v>1246</v>
      </c>
      <c r="E7" s="80" t="s">
        <v>1247</v>
      </c>
      <c r="F7" s="75" t="s">
        <v>1248</v>
      </c>
      <c r="G7" s="75" t="s">
        <v>1249</v>
      </c>
      <c r="H7" s="75" t="s">
        <v>1250</v>
      </c>
      <c r="I7" s="75" t="s">
        <v>1251</v>
      </c>
      <c r="J7" s="82"/>
      <c r="K7" s="157">
        <f>COUNTIF($E$8:$E$17,0)</f>
        <v>4</v>
      </c>
      <c r="L7" s="157"/>
      <c r="M7" s="158">
        <f>MAX($E$8:$E$17)</f>
        <v>0.55000000000000004</v>
      </c>
      <c r="N7" s="158"/>
      <c r="O7" s="160">
        <v>0.14000000000000001</v>
      </c>
      <c r="P7" s="160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26">
      <c r="A8" s="82"/>
      <c r="B8" s="82"/>
      <c r="C8" s="86">
        <v>1</v>
      </c>
      <c r="D8" s="86" t="s">
        <v>1252</v>
      </c>
      <c r="E8" s="87">
        <v>0</v>
      </c>
      <c r="F8" s="86" t="s">
        <v>1253</v>
      </c>
      <c r="G8" s="86" t="s">
        <v>1254</v>
      </c>
      <c r="H8" s="86" t="s">
        <v>1255</v>
      </c>
      <c r="I8" s="86" t="s">
        <v>1256</v>
      </c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6">
      <c r="A9" s="82"/>
      <c r="B9" s="82"/>
      <c r="C9" s="86">
        <v>2</v>
      </c>
      <c r="D9" s="86" t="s">
        <v>1257</v>
      </c>
      <c r="E9" s="87">
        <v>0</v>
      </c>
      <c r="F9" s="86" t="s">
        <v>1253</v>
      </c>
      <c r="G9" s="86" t="s">
        <v>1258</v>
      </c>
      <c r="H9" s="86" t="s">
        <v>1259</v>
      </c>
      <c r="I9" s="86" t="s">
        <v>1260</v>
      </c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39">
      <c r="A10" s="82"/>
      <c r="B10" s="82"/>
      <c r="C10" s="86">
        <v>3</v>
      </c>
      <c r="D10" s="86" t="s">
        <v>1261</v>
      </c>
      <c r="E10" s="87">
        <v>0</v>
      </c>
      <c r="F10" s="86" t="s">
        <v>1262</v>
      </c>
      <c r="G10" s="86" t="s">
        <v>1263</v>
      </c>
      <c r="H10" s="86" t="s">
        <v>1264</v>
      </c>
      <c r="I10" s="86" t="s">
        <v>1265</v>
      </c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26">
      <c r="A11" s="82"/>
      <c r="B11" s="82"/>
      <c r="C11" s="86">
        <v>4</v>
      </c>
      <c r="D11" s="86" t="s">
        <v>1266</v>
      </c>
      <c r="E11" s="87">
        <v>0.1</v>
      </c>
      <c r="F11" s="86" t="s">
        <v>1267</v>
      </c>
      <c r="G11" s="86" t="s">
        <v>1268</v>
      </c>
      <c r="H11" s="86" t="s">
        <v>1269</v>
      </c>
      <c r="I11" s="86" t="s">
        <v>1270</v>
      </c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26">
      <c r="A12" s="82"/>
      <c r="B12" s="82"/>
      <c r="C12" s="86">
        <v>5</v>
      </c>
      <c r="D12" s="86" t="s">
        <v>1271</v>
      </c>
      <c r="E12" s="87">
        <v>0.08</v>
      </c>
      <c r="F12" s="86" t="s">
        <v>1272</v>
      </c>
      <c r="G12" s="86" t="s">
        <v>1273</v>
      </c>
      <c r="H12" s="86" t="s">
        <v>1274</v>
      </c>
      <c r="I12" s="86" t="s">
        <v>1275</v>
      </c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26">
      <c r="A13" s="82"/>
      <c r="B13" s="82"/>
      <c r="C13" s="86">
        <v>6</v>
      </c>
      <c r="D13" s="86" t="s">
        <v>1276</v>
      </c>
      <c r="E13" s="87">
        <v>0.22</v>
      </c>
      <c r="F13" s="86" t="s">
        <v>1277</v>
      </c>
      <c r="G13" s="86" t="s">
        <v>1278</v>
      </c>
      <c r="H13" s="86" t="s">
        <v>1279</v>
      </c>
      <c r="I13" s="86" t="s">
        <v>1280</v>
      </c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39">
      <c r="A14" s="82"/>
      <c r="B14" s="82"/>
      <c r="C14" s="86">
        <v>7</v>
      </c>
      <c r="D14" s="86" t="s">
        <v>1281</v>
      </c>
      <c r="E14" s="87">
        <v>0.55000000000000004</v>
      </c>
      <c r="F14" s="86" t="s">
        <v>1282</v>
      </c>
      <c r="G14" s="86" t="s">
        <v>1283</v>
      </c>
      <c r="H14" s="86" t="s">
        <v>1284</v>
      </c>
      <c r="I14" s="86" t="s">
        <v>940</v>
      </c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26">
      <c r="A15" s="82"/>
      <c r="B15" s="82"/>
      <c r="C15" s="86">
        <v>8</v>
      </c>
      <c r="D15" s="86" t="s">
        <v>1285</v>
      </c>
      <c r="E15" s="87">
        <v>0.05</v>
      </c>
      <c r="F15" s="86" t="s">
        <v>1253</v>
      </c>
      <c r="G15" s="86" t="s">
        <v>1286</v>
      </c>
      <c r="H15" s="86" t="s">
        <v>1287</v>
      </c>
      <c r="I15" s="86" t="s">
        <v>1288</v>
      </c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26">
      <c r="A16" s="82"/>
      <c r="B16" s="82"/>
      <c r="C16" s="86">
        <v>9</v>
      </c>
      <c r="D16" s="86" t="s">
        <v>1289</v>
      </c>
      <c r="E16" s="87">
        <v>0</v>
      </c>
      <c r="F16" s="86" t="s">
        <v>1253</v>
      </c>
      <c r="G16" s="86" t="s">
        <v>1290</v>
      </c>
      <c r="H16" s="86" t="s">
        <v>1291</v>
      </c>
      <c r="I16" s="86" t="s">
        <v>1288</v>
      </c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26">
      <c r="A17" s="82"/>
      <c r="B17" s="82"/>
      <c r="C17" s="86">
        <v>10</v>
      </c>
      <c r="D17" s="86" t="s">
        <v>1292</v>
      </c>
      <c r="E17" s="87">
        <v>0.05</v>
      </c>
      <c r="F17" s="86" t="s">
        <v>1253</v>
      </c>
      <c r="G17" s="86" t="s">
        <v>1293</v>
      </c>
      <c r="H17" s="86" t="s">
        <v>1294</v>
      </c>
      <c r="I17" s="86" t="s">
        <v>1295</v>
      </c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>
      <c r="A18" s="82"/>
      <c r="B18" s="82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>
      <c r="A19" s="82"/>
      <c r="B19" s="82"/>
      <c r="C19" s="155" t="s">
        <v>1296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82"/>
      <c r="S19" s="82"/>
      <c r="T19" s="82"/>
      <c r="U19" s="82"/>
      <c r="V19" s="82"/>
      <c r="W19" s="82"/>
      <c r="X19" s="82"/>
      <c r="Y19" s="82"/>
      <c r="Z19" s="82"/>
    </row>
    <row r="20" spans="1:26">
      <c r="A20" s="82"/>
      <c r="B20" s="82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4">
      <c r="A21" s="82"/>
      <c r="B21" s="82"/>
      <c r="C21" s="96" t="s">
        <v>848</v>
      </c>
      <c r="D21" s="96" t="s">
        <v>553</v>
      </c>
      <c r="E21" s="96" t="s">
        <v>1297</v>
      </c>
      <c r="F21" s="96" t="s">
        <v>1298</v>
      </c>
      <c r="G21" s="96" t="s">
        <v>1299</v>
      </c>
      <c r="H21" s="96" t="s">
        <v>1300</v>
      </c>
      <c r="I21" s="96" t="s">
        <v>1301</v>
      </c>
      <c r="J21" s="96" t="s">
        <v>1302</v>
      </c>
      <c r="K21" s="96" t="s">
        <v>307</v>
      </c>
      <c r="L21" s="96" t="s">
        <v>1303</v>
      </c>
      <c r="M21" s="96" t="s">
        <v>1247</v>
      </c>
      <c r="N21" s="96" t="s">
        <v>1304</v>
      </c>
      <c r="O21" s="96" t="s">
        <v>1305</v>
      </c>
      <c r="P21" s="96" t="s">
        <v>1306</v>
      </c>
      <c r="Q21" s="96" t="s">
        <v>1307</v>
      </c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26" hidden="1">
      <c r="A22" s="82"/>
      <c r="B22" s="82"/>
      <c r="C22" s="86">
        <v>1</v>
      </c>
      <c r="D22" s="86" t="s">
        <v>1024</v>
      </c>
      <c r="E22" s="86" t="s">
        <v>1308</v>
      </c>
      <c r="F22" s="86" t="s">
        <v>1309</v>
      </c>
      <c r="G22" s="86" t="s">
        <v>1310</v>
      </c>
      <c r="H22" s="86" t="s">
        <v>1311</v>
      </c>
      <c r="I22" s="86" t="s">
        <v>1312</v>
      </c>
      <c r="J22" s="86" t="s">
        <v>1313</v>
      </c>
      <c r="K22" s="86" t="s">
        <v>1314</v>
      </c>
      <c r="L22" s="86" t="s">
        <v>1309</v>
      </c>
      <c r="M22" s="87">
        <v>0.1</v>
      </c>
      <c r="N22" s="86" t="s">
        <v>1315</v>
      </c>
      <c r="O22" s="86" t="s">
        <v>1316</v>
      </c>
      <c r="P22" s="86" t="s">
        <v>1317</v>
      </c>
      <c r="Q22" s="90" t="s">
        <v>1318</v>
      </c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26" hidden="1">
      <c r="A23" s="82"/>
      <c r="B23" s="82"/>
      <c r="C23" s="86">
        <v>2</v>
      </c>
      <c r="D23" s="86" t="s">
        <v>1024</v>
      </c>
      <c r="E23" s="86" t="s">
        <v>1319</v>
      </c>
      <c r="F23" s="86" t="s">
        <v>363</v>
      </c>
      <c r="G23" s="86" t="s">
        <v>1320</v>
      </c>
      <c r="H23" s="86" t="s">
        <v>1321</v>
      </c>
      <c r="I23" s="86" t="s">
        <v>1322</v>
      </c>
      <c r="J23" s="86" t="s">
        <v>1313</v>
      </c>
      <c r="K23" s="86" t="s">
        <v>1314</v>
      </c>
      <c r="L23" s="86" t="s">
        <v>1323</v>
      </c>
      <c r="M23" s="87">
        <v>0.4</v>
      </c>
      <c r="N23" s="86" t="s">
        <v>1315</v>
      </c>
      <c r="O23" s="86" t="s">
        <v>1324</v>
      </c>
      <c r="P23" s="86" t="s">
        <v>1325</v>
      </c>
      <c r="Q23" s="90" t="s">
        <v>1326</v>
      </c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26">
      <c r="A24" s="82"/>
      <c r="B24" s="82"/>
      <c r="C24" s="86">
        <v>3</v>
      </c>
      <c r="D24" s="86" t="s">
        <v>1024</v>
      </c>
      <c r="E24" s="86" t="s">
        <v>1327</v>
      </c>
      <c r="F24" s="86" t="s">
        <v>1328</v>
      </c>
      <c r="G24" s="86" t="s">
        <v>1329</v>
      </c>
      <c r="H24" s="86" t="s">
        <v>1330</v>
      </c>
      <c r="I24" s="86" t="s">
        <v>1331</v>
      </c>
      <c r="J24" s="86" t="s">
        <v>1313</v>
      </c>
      <c r="K24" s="86" t="s">
        <v>1314</v>
      </c>
      <c r="L24" s="86" t="s">
        <v>1332</v>
      </c>
      <c r="M24" s="87">
        <v>0</v>
      </c>
      <c r="N24" s="86" t="s">
        <v>1333</v>
      </c>
      <c r="O24" s="86" t="s">
        <v>1334</v>
      </c>
      <c r="P24" s="86" t="s">
        <v>1335</v>
      </c>
      <c r="Q24" s="90" t="s">
        <v>1336</v>
      </c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26">
      <c r="A25" s="82"/>
      <c r="B25" s="82"/>
      <c r="C25" s="86">
        <v>4</v>
      </c>
      <c r="D25" s="86" t="s">
        <v>1024</v>
      </c>
      <c r="E25" s="86" t="s">
        <v>1337</v>
      </c>
      <c r="F25" s="86" t="s">
        <v>261</v>
      </c>
      <c r="G25" s="86" t="s">
        <v>1338</v>
      </c>
      <c r="H25" s="86" t="s">
        <v>853</v>
      </c>
      <c r="I25" s="86" t="s">
        <v>1339</v>
      </c>
      <c r="J25" s="86" t="s">
        <v>1313</v>
      </c>
      <c r="K25" s="86" t="s">
        <v>1314</v>
      </c>
      <c r="L25" s="86" t="s">
        <v>1340</v>
      </c>
      <c r="M25" s="87">
        <v>0.62</v>
      </c>
      <c r="N25" s="86" t="s">
        <v>1315</v>
      </c>
      <c r="O25" s="86" t="s">
        <v>1341</v>
      </c>
      <c r="P25" s="86" t="s">
        <v>1342</v>
      </c>
      <c r="Q25" s="90" t="s">
        <v>1326</v>
      </c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26">
      <c r="A26" s="82"/>
      <c r="B26" s="82"/>
      <c r="C26" s="86">
        <v>5</v>
      </c>
      <c r="D26" s="86" t="s">
        <v>1024</v>
      </c>
      <c r="E26" s="86" t="s">
        <v>1343</v>
      </c>
      <c r="F26" s="86" t="s">
        <v>275</v>
      </c>
      <c r="G26" s="86" t="s">
        <v>1338</v>
      </c>
      <c r="H26" s="86" t="s">
        <v>856</v>
      </c>
      <c r="I26" s="86" t="s">
        <v>1344</v>
      </c>
      <c r="J26" s="86" t="s">
        <v>1313</v>
      </c>
      <c r="K26" s="86" t="s">
        <v>1314</v>
      </c>
      <c r="L26" s="86" t="s">
        <v>1340</v>
      </c>
      <c r="M26" s="87">
        <v>0.55000000000000004</v>
      </c>
      <c r="N26" s="86" t="s">
        <v>1315</v>
      </c>
      <c r="O26" s="86" t="s">
        <v>1345</v>
      </c>
      <c r="P26" s="86" t="s">
        <v>1346</v>
      </c>
      <c r="Q26" s="90" t="s">
        <v>1326</v>
      </c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26">
      <c r="A27" s="82"/>
      <c r="B27" s="82"/>
      <c r="C27" s="86">
        <v>6</v>
      </c>
      <c r="D27" s="86" t="s">
        <v>1024</v>
      </c>
      <c r="E27" s="86" t="s">
        <v>1347</v>
      </c>
      <c r="F27" s="86" t="s">
        <v>433</v>
      </c>
      <c r="G27" s="86" t="s">
        <v>1348</v>
      </c>
      <c r="H27" s="86" t="s">
        <v>869</v>
      </c>
      <c r="I27" s="86" t="s">
        <v>1349</v>
      </c>
      <c r="J27" s="86" t="s">
        <v>1313</v>
      </c>
      <c r="K27" s="86" t="s">
        <v>1314</v>
      </c>
      <c r="L27" s="86" t="s">
        <v>1340</v>
      </c>
      <c r="M27" s="87">
        <v>0.68</v>
      </c>
      <c r="N27" s="86" t="s">
        <v>1315</v>
      </c>
      <c r="O27" s="86" t="s">
        <v>1350</v>
      </c>
      <c r="P27" s="86" t="s">
        <v>1351</v>
      </c>
      <c r="Q27" s="90" t="s">
        <v>1326</v>
      </c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26">
      <c r="A28" s="82"/>
      <c r="B28" s="82"/>
      <c r="C28" s="86">
        <v>7</v>
      </c>
      <c r="D28" s="86" t="s">
        <v>1024</v>
      </c>
      <c r="E28" s="86" t="s">
        <v>1352</v>
      </c>
      <c r="F28" s="86" t="s">
        <v>859</v>
      </c>
      <c r="G28" s="86" t="s">
        <v>1353</v>
      </c>
      <c r="H28" s="86" t="s">
        <v>860</v>
      </c>
      <c r="I28" s="86" t="s">
        <v>1354</v>
      </c>
      <c r="J28" s="86" t="s">
        <v>1355</v>
      </c>
      <c r="K28" s="86" t="s">
        <v>1314</v>
      </c>
      <c r="L28" s="86" t="s">
        <v>1340</v>
      </c>
      <c r="M28" s="87">
        <v>0.45</v>
      </c>
      <c r="N28" s="86" t="s">
        <v>1315</v>
      </c>
      <c r="O28" s="86" t="s">
        <v>1356</v>
      </c>
      <c r="P28" s="86" t="s">
        <v>1357</v>
      </c>
      <c r="Q28" s="90" t="s">
        <v>1326</v>
      </c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39" hidden="1">
      <c r="A29" s="82"/>
      <c r="B29" s="82"/>
      <c r="C29" s="86">
        <v>8</v>
      </c>
      <c r="D29" s="91" t="s">
        <v>1024</v>
      </c>
      <c r="E29" s="91" t="s">
        <v>1358</v>
      </c>
      <c r="F29" s="91" t="s">
        <v>1359</v>
      </c>
      <c r="G29" s="87" t="s">
        <v>1360</v>
      </c>
      <c r="H29" s="86" t="s">
        <v>1361</v>
      </c>
      <c r="I29" s="86" t="s">
        <v>1362</v>
      </c>
      <c r="J29" s="86" t="s">
        <v>1363</v>
      </c>
      <c r="K29" s="86" t="s">
        <v>1314</v>
      </c>
      <c r="L29" s="86" t="s">
        <v>1364</v>
      </c>
      <c r="M29" s="87">
        <v>0</v>
      </c>
      <c r="N29" s="86" t="s">
        <v>1333</v>
      </c>
      <c r="O29" s="86" t="s">
        <v>1365</v>
      </c>
      <c r="P29" s="86" t="s">
        <v>1366</v>
      </c>
      <c r="Q29" s="90" t="s">
        <v>1336</v>
      </c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39" hidden="1">
      <c r="A30" s="82"/>
      <c r="B30" s="82"/>
      <c r="C30" s="86">
        <v>9</v>
      </c>
      <c r="D30" s="91" t="s">
        <v>1024</v>
      </c>
      <c r="E30" s="91" t="s">
        <v>1367</v>
      </c>
      <c r="F30" s="91" t="s">
        <v>1368</v>
      </c>
      <c r="G30" s="87" t="s">
        <v>1369</v>
      </c>
      <c r="H30" s="86" t="s">
        <v>1370</v>
      </c>
      <c r="I30" s="86" t="s">
        <v>1371</v>
      </c>
      <c r="J30" s="86" t="s">
        <v>1372</v>
      </c>
      <c r="K30" s="86" t="s">
        <v>1373</v>
      </c>
      <c r="L30" s="86" t="s">
        <v>1364</v>
      </c>
      <c r="M30" s="87">
        <v>0</v>
      </c>
      <c r="N30" s="86" t="s">
        <v>1333</v>
      </c>
      <c r="O30" s="86" t="s">
        <v>1365</v>
      </c>
      <c r="P30" s="86" t="s">
        <v>1374</v>
      </c>
      <c r="Q30" s="90" t="s">
        <v>1336</v>
      </c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26">
      <c r="A31" s="82"/>
      <c r="B31" s="82"/>
      <c r="C31" s="86">
        <v>10</v>
      </c>
      <c r="D31" s="86" t="s">
        <v>1024</v>
      </c>
      <c r="E31" s="86" t="s">
        <v>1375</v>
      </c>
      <c r="F31" s="86" t="s">
        <v>583</v>
      </c>
      <c r="G31" s="86" t="s">
        <v>1376</v>
      </c>
      <c r="H31" s="86" t="s">
        <v>1377</v>
      </c>
      <c r="I31" s="86" t="s">
        <v>1378</v>
      </c>
      <c r="J31" s="86" t="s">
        <v>1379</v>
      </c>
      <c r="K31" s="86" t="s">
        <v>1314</v>
      </c>
      <c r="L31" s="86" t="s">
        <v>1340</v>
      </c>
      <c r="M31" s="87">
        <v>0.18</v>
      </c>
      <c r="N31" s="86" t="s">
        <v>1315</v>
      </c>
      <c r="O31" s="86" t="s">
        <v>1380</v>
      </c>
      <c r="P31" s="86" t="s">
        <v>1381</v>
      </c>
      <c r="Q31" s="90" t="s">
        <v>1326</v>
      </c>
      <c r="R31" s="82"/>
      <c r="S31" s="82"/>
      <c r="T31" s="82"/>
      <c r="U31" s="82"/>
      <c r="V31" s="82"/>
      <c r="W31" s="82"/>
      <c r="X31" s="82"/>
      <c r="Y31" s="82"/>
      <c r="Z31" s="82"/>
    </row>
    <row r="32" spans="1:26">
      <c r="A32" s="82"/>
      <c r="B32" s="82"/>
      <c r="C32" s="86">
        <v>11</v>
      </c>
      <c r="D32" s="86" t="s">
        <v>1024</v>
      </c>
      <c r="E32" s="86" t="s">
        <v>1382</v>
      </c>
      <c r="F32" s="86" t="s">
        <v>422</v>
      </c>
      <c r="G32" s="86" t="s">
        <v>1383</v>
      </c>
      <c r="H32" s="86" t="s">
        <v>1384</v>
      </c>
      <c r="I32" s="86" t="s">
        <v>1385</v>
      </c>
      <c r="J32" s="86" t="s">
        <v>1313</v>
      </c>
      <c r="K32" s="86" t="s">
        <v>1373</v>
      </c>
      <c r="L32" s="86" t="s">
        <v>1340</v>
      </c>
      <c r="M32" s="87">
        <v>0.05</v>
      </c>
      <c r="N32" s="86" t="s">
        <v>1315</v>
      </c>
      <c r="O32" s="86" t="s">
        <v>1386</v>
      </c>
      <c r="P32" s="86" t="s">
        <v>1387</v>
      </c>
      <c r="Q32" s="90" t="s">
        <v>1388</v>
      </c>
      <c r="R32" s="82"/>
      <c r="S32" s="82"/>
      <c r="T32" s="82"/>
      <c r="U32" s="82"/>
      <c r="V32" s="82"/>
      <c r="W32" s="82"/>
      <c r="X32" s="82"/>
      <c r="Y32" s="82"/>
      <c r="Z32" s="82"/>
    </row>
    <row r="33" spans="1:26">
      <c r="A33" s="82"/>
      <c r="B33" s="82"/>
      <c r="C33" s="86">
        <v>12</v>
      </c>
      <c r="D33" s="86" t="s">
        <v>1024</v>
      </c>
      <c r="E33" s="86" t="s">
        <v>1389</v>
      </c>
      <c r="F33" s="86" t="s">
        <v>1390</v>
      </c>
      <c r="G33" s="86" t="s">
        <v>1391</v>
      </c>
      <c r="H33" s="86" t="s">
        <v>1392</v>
      </c>
      <c r="I33" s="86" t="s">
        <v>1393</v>
      </c>
      <c r="J33" s="86" t="s">
        <v>1394</v>
      </c>
      <c r="K33" s="86" t="s">
        <v>1373</v>
      </c>
      <c r="L33" s="86" t="s">
        <v>1395</v>
      </c>
      <c r="M33" s="87">
        <v>0.05</v>
      </c>
      <c r="N33" s="86" t="s">
        <v>1315</v>
      </c>
      <c r="O33" s="86" t="s">
        <v>1396</v>
      </c>
      <c r="P33" s="86" t="s">
        <v>1397</v>
      </c>
      <c r="Q33" s="90" t="s">
        <v>1388</v>
      </c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26">
      <c r="A34" s="82"/>
      <c r="B34" s="82"/>
      <c r="C34" s="86">
        <v>13</v>
      </c>
      <c r="D34" s="86" t="s">
        <v>1398</v>
      </c>
      <c r="E34" s="86" t="s">
        <v>587</v>
      </c>
      <c r="F34" s="86" t="s">
        <v>280</v>
      </c>
      <c r="G34" s="86" t="s">
        <v>1399</v>
      </c>
      <c r="H34" s="86" t="s">
        <v>1400</v>
      </c>
      <c r="I34" s="86" t="s">
        <v>1401</v>
      </c>
      <c r="J34" s="86" t="s">
        <v>1402</v>
      </c>
      <c r="K34" s="86" t="s">
        <v>1314</v>
      </c>
      <c r="L34" s="86" t="s">
        <v>1340</v>
      </c>
      <c r="M34" s="87">
        <v>0.57999999999999996</v>
      </c>
      <c r="N34" s="86" t="s">
        <v>1315</v>
      </c>
      <c r="O34" s="86" t="s">
        <v>1403</v>
      </c>
      <c r="P34" s="86" t="s">
        <v>1404</v>
      </c>
      <c r="Q34" s="90" t="s">
        <v>1326</v>
      </c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26">
      <c r="A35" s="82"/>
      <c r="B35" s="82"/>
      <c r="C35" s="86">
        <v>14</v>
      </c>
      <c r="D35" s="86" t="s">
        <v>1398</v>
      </c>
      <c r="E35" s="86" t="s">
        <v>1405</v>
      </c>
      <c r="F35" s="86" t="s">
        <v>285</v>
      </c>
      <c r="G35" s="86" t="s">
        <v>1406</v>
      </c>
      <c r="H35" s="86" t="s">
        <v>589</v>
      </c>
      <c r="I35" s="86" t="s">
        <v>1407</v>
      </c>
      <c r="J35" s="86" t="s">
        <v>1394</v>
      </c>
      <c r="K35" s="86" t="s">
        <v>1314</v>
      </c>
      <c r="L35" s="86" t="s">
        <v>1340</v>
      </c>
      <c r="M35" s="87">
        <v>0.8</v>
      </c>
      <c r="N35" s="86" t="s">
        <v>1315</v>
      </c>
      <c r="O35" s="86" t="s">
        <v>1408</v>
      </c>
      <c r="P35" s="86" t="s">
        <v>1409</v>
      </c>
      <c r="Q35" s="90" t="s">
        <v>1326</v>
      </c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26">
      <c r="A36" s="82"/>
      <c r="B36" s="82"/>
      <c r="C36" s="86">
        <v>15</v>
      </c>
      <c r="D36" s="86" t="s">
        <v>1398</v>
      </c>
      <c r="E36" s="86" t="s">
        <v>687</v>
      </c>
      <c r="F36" s="86" t="s">
        <v>686</v>
      </c>
      <c r="G36" s="86" t="s">
        <v>1410</v>
      </c>
      <c r="H36" s="86" t="s">
        <v>1411</v>
      </c>
      <c r="I36" s="86" t="s">
        <v>1412</v>
      </c>
      <c r="J36" s="86" t="s">
        <v>1413</v>
      </c>
      <c r="K36" s="86" t="s">
        <v>1314</v>
      </c>
      <c r="L36" s="86" t="s">
        <v>1340</v>
      </c>
      <c r="M36" s="87">
        <v>0.8</v>
      </c>
      <c r="N36" s="86" t="s">
        <v>1315</v>
      </c>
      <c r="O36" s="86" t="s">
        <v>1414</v>
      </c>
      <c r="P36" s="86" t="s">
        <v>1415</v>
      </c>
      <c r="Q36" s="90" t="s">
        <v>1326</v>
      </c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52" hidden="1">
      <c r="A37" s="82"/>
      <c r="B37" s="82"/>
      <c r="C37" s="86">
        <v>16</v>
      </c>
      <c r="D37" s="86" t="s">
        <v>1398</v>
      </c>
      <c r="E37" s="86" t="s">
        <v>1416</v>
      </c>
      <c r="F37" s="86" t="s">
        <v>939</v>
      </c>
      <c r="G37" s="86" t="s">
        <v>1417</v>
      </c>
      <c r="H37" s="86" t="s">
        <v>1418</v>
      </c>
      <c r="I37" s="86" t="s">
        <v>1419</v>
      </c>
      <c r="J37" s="86" t="s">
        <v>1420</v>
      </c>
      <c r="K37" s="86" t="s">
        <v>1314</v>
      </c>
      <c r="L37" s="86" t="s">
        <v>1421</v>
      </c>
      <c r="M37" s="87">
        <v>0</v>
      </c>
      <c r="N37" s="86" t="s">
        <v>1315</v>
      </c>
      <c r="O37" s="86" t="s">
        <v>1422</v>
      </c>
      <c r="P37" s="86" t="s">
        <v>1423</v>
      </c>
      <c r="Q37" s="90" t="s">
        <v>62</v>
      </c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26">
      <c r="A38" s="82"/>
      <c r="B38" s="82"/>
      <c r="C38" s="86">
        <v>17</v>
      </c>
      <c r="D38" s="86" t="s">
        <v>1398</v>
      </c>
      <c r="E38" s="86" t="s">
        <v>1424</v>
      </c>
      <c r="F38" s="86" t="s">
        <v>390</v>
      </c>
      <c r="G38" s="86" t="s">
        <v>1425</v>
      </c>
      <c r="H38" s="86" t="s">
        <v>1426</v>
      </c>
      <c r="I38" s="86" t="s">
        <v>1427</v>
      </c>
      <c r="J38" s="86" t="s">
        <v>1428</v>
      </c>
      <c r="K38" s="86" t="s">
        <v>1373</v>
      </c>
      <c r="L38" s="86" t="s">
        <v>1340</v>
      </c>
      <c r="M38" s="87">
        <v>0.52</v>
      </c>
      <c r="N38" s="86" t="s">
        <v>1315</v>
      </c>
      <c r="O38" s="86" t="s">
        <v>1429</v>
      </c>
      <c r="P38" s="86" t="s">
        <v>1430</v>
      </c>
      <c r="Q38" s="90" t="s">
        <v>1326</v>
      </c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26">
      <c r="A39" s="82"/>
      <c r="B39" s="82"/>
      <c r="C39" s="86">
        <v>18</v>
      </c>
      <c r="D39" s="86" t="s">
        <v>1398</v>
      </c>
      <c r="E39" s="86" t="s">
        <v>1431</v>
      </c>
      <c r="F39" s="86" t="s">
        <v>392</v>
      </c>
      <c r="G39" s="86" t="s">
        <v>1432</v>
      </c>
      <c r="H39" s="86" t="s">
        <v>1433</v>
      </c>
      <c r="I39" s="86" t="s">
        <v>1434</v>
      </c>
      <c r="J39" s="86" t="s">
        <v>1435</v>
      </c>
      <c r="K39" s="86" t="s">
        <v>1314</v>
      </c>
      <c r="L39" s="86" t="s">
        <v>1340</v>
      </c>
      <c r="M39" s="87">
        <v>0.5</v>
      </c>
      <c r="N39" s="86" t="s">
        <v>1315</v>
      </c>
      <c r="O39" s="86" t="s">
        <v>1436</v>
      </c>
      <c r="P39" s="86" t="s">
        <v>1437</v>
      </c>
      <c r="Q39" s="90" t="s">
        <v>1326</v>
      </c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26">
      <c r="A40" s="82"/>
      <c r="B40" s="82"/>
      <c r="C40" s="72">
        <v>19</v>
      </c>
      <c r="D40" s="72" t="s">
        <v>1438</v>
      </c>
      <c r="E40" s="72" t="s">
        <v>1439</v>
      </c>
      <c r="F40" s="72" t="s">
        <v>1440</v>
      </c>
      <c r="G40" s="86" t="s">
        <v>1441</v>
      </c>
      <c r="H40" s="72" t="s">
        <v>1442</v>
      </c>
      <c r="I40" s="72" t="s">
        <v>1443</v>
      </c>
      <c r="J40" s="72" t="s">
        <v>1444</v>
      </c>
      <c r="K40" s="72" t="s">
        <v>1314</v>
      </c>
      <c r="L40" s="72" t="s">
        <v>1340</v>
      </c>
      <c r="M40" s="88">
        <v>0.12</v>
      </c>
      <c r="N40" s="86" t="s">
        <v>1315</v>
      </c>
      <c r="O40" s="86" t="s">
        <v>1445</v>
      </c>
      <c r="P40" s="86" t="s">
        <v>1446</v>
      </c>
      <c r="Q40" s="90" t="s">
        <v>1326</v>
      </c>
      <c r="R40" s="82"/>
      <c r="S40" s="82"/>
      <c r="T40" s="82"/>
      <c r="U40" s="82"/>
      <c r="V40" s="82"/>
      <c r="W40" s="82"/>
      <c r="X40" s="82"/>
      <c r="Y40" s="82"/>
      <c r="Z40" s="82"/>
    </row>
    <row r="41" spans="1:26">
      <c r="A41" s="82"/>
      <c r="B41" s="82"/>
      <c r="C41" s="72">
        <v>20</v>
      </c>
      <c r="D41" s="72" t="s">
        <v>1438</v>
      </c>
      <c r="E41" s="72" t="s">
        <v>1447</v>
      </c>
      <c r="F41" s="72" t="s">
        <v>1448</v>
      </c>
      <c r="G41" s="72" t="s">
        <v>1449</v>
      </c>
      <c r="H41" s="72" t="s">
        <v>1450</v>
      </c>
      <c r="I41" s="72" t="s">
        <v>1451</v>
      </c>
      <c r="J41" s="72" t="s">
        <v>1452</v>
      </c>
      <c r="K41" s="72" t="s">
        <v>1314</v>
      </c>
      <c r="L41" s="72" t="s">
        <v>1340</v>
      </c>
      <c r="M41" s="88">
        <v>0</v>
      </c>
      <c r="N41" s="72" t="s">
        <v>1315</v>
      </c>
      <c r="O41" s="72" t="s">
        <v>1453</v>
      </c>
      <c r="P41" s="72" t="s">
        <v>1454</v>
      </c>
      <c r="Q41" s="90" t="s">
        <v>1388</v>
      </c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26">
      <c r="A42" s="82"/>
      <c r="B42" s="82"/>
      <c r="C42" s="86">
        <v>21</v>
      </c>
      <c r="D42" s="86" t="s">
        <v>1438</v>
      </c>
      <c r="E42" s="86" t="s">
        <v>1455</v>
      </c>
      <c r="F42" s="86" t="s">
        <v>289</v>
      </c>
      <c r="G42" s="86" t="s">
        <v>1456</v>
      </c>
      <c r="H42" s="86" t="s">
        <v>1457</v>
      </c>
      <c r="I42" s="86" t="s">
        <v>1458</v>
      </c>
      <c r="J42" s="86" t="s">
        <v>1394</v>
      </c>
      <c r="K42" s="86" t="s">
        <v>1314</v>
      </c>
      <c r="L42" s="86" t="s">
        <v>1340</v>
      </c>
      <c r="M42" s="87">
        <v>0</v>
      </c>
      <c r="N42" s="86" t="s">
        <v>1459</v>
      </c>
      <c r="O42" s="86" t="s">
        <v>1460</v>
      </c>
      <c r="P42" s="86" t="s">
        <v>1461</v>
      </c>
      <c r="Q42" s="90" t="s">
        <v>1388</v>
      </c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26" hidden="1">
      <c r="A43" s="82"/>
      <c r="B43" s="82"/>
      <c r="C43" s="86">
        <v>22</v>
      </c>
      <c r="D43" s="86" t="s">
        <v>1438</v>
      </c>
      <c r="E43" s="86" t="s">
        <v>1462</v>
      </c>
      <c r="F43" s="86" t="s">
        <v>1463</v>
      </c>
      <c r="G43" s="86" t="s">
        <v>1464</v>
      </c>
      <c r="H43" s="86" t="s">
        <v>1465</v>
      </c>
      <c r="I43" s="86" t="s">
        <v>1466</v>
      </c>
      <c r="J43" s="86" t="s">
        <v>1467</v>
      </c>
      <c r="K43" s="86" t="s">
        <v>1314</v>
      </c>
      <c r="L43" s="86" t="s">
        <v>1468</v>
      </c>
      <c r="M43" s="87">
        <v>0.08</v>
      </c>
      <c r="N43" s="86" t="s">
        <v>1459</v>
      </c>
      <c r="O43" s="86" t="s">
        <v>1469</v>
      </c>
      <c r="P43" s="86" t="s">
        <v>1470</v>
      </c>
      <c r="Q43" s="90" t="s">
        <v>62</v>
      </c>
      <c r="R43" s="82"/>
      <c r="S43" s="82"/>
      <c r="T43" s="82"/>
      <c r="U43" s="82"/>
      <c r="V43" s="82"/>
      <c r="W43" s="82"/>
      <c r="X43" s="82"/>
      <c r="Y43" s="82"/>
      <c r="Z43" s="82"/>
    </row>
    <row r="44" spans="1:26" hidden="1">
      <c r="A44" s="82"/>
      <c r="B44" s="82"/>
      <c r="C44" s="86">
        <v>23</v>
      </c>
      <c r="D44" s="86" t="s">
        <v>1471</v>
      </c>
      <c r="E44" s="86" t="s">
        <v>1472</v>
      </c>
      <c r="F44" s="86" t="s">
        <v>873</v>
      </c>
      <c r="G44" s="86" t="s">
        <v>1473</v>
      </c>
      <c r="H44" s="86" t="s">
        <v>1474</v>
      </c>
      <c r="I44" s="86" t="s">
        <v>1475</v>
      </c>
      <c r="J44" s="86" t="s">
        <v>1313</v>
      </c>
      <c r="K44" s="86" t="s">
        <v>1314</v>
      </c>
      <c r="L44" s="86" t="s">
        <v>1476</v>
      </c>
      <c r="M44" s="87">
        <v>0</v>
      </c>
      <c r="N44" s="86" t="s">
        <v>1315</v>
      </c>
      <c r="O44" s="86" t="s">
        <v>1477</v>
      </c>
      <c r="P44" s="86" t="s">
        <v>1478</v>
      </c>
      <c r="Q44" s="90" t="s">
        <v>1388</v>
      </c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26" hidden="1">
      <c r="A45" s="82"/>
      <c r="B45" s="82"/>
      <c r="C45" s="72">
        <v>24</v>
      </c>
      <c r="D45" s="72" t="s">
        <v>1471</v>
      </c>
      <c r="E45" s="72" t="s">
        <v>1479</v>
      </c>
      <c r="F45" s="72" t="s">
        <v>1463</v>
      </c>
      <c r="G45" s="72" t="s">
        <v>1480</v>
      </c>
      <c r="H45" s="72" t="s">
        <v>1481</v>
      </c>
      <c r="I45" s="72" t="s">
        <v>1482</v>
      </c>
      <c r="J45" s="72" t="s">
        <v>1313</v>
      </c>
      <c r="K45" s="72" t="s">
        <v>1314</v>
      </c>
      <c r="L45" s="72" t="s">
        <v>1468</v>
      </c>
      <c r="M45" s="88">
        <v>0</v>
      </c>
      <c r="N45" s="72" t="s">
        <v>1315</v>
      </c>
      <c r="O45" s="72" t="s">
        <v>1483</v>
      </c>
      <c r="P45" s="72" t="s">
        <v>1484</v>
      </c>
      <c r="Q45" s="90" t="s">
        <v>1388</v>
      </c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39" hidden="1">
      <c r="A46" s="82"/>
      <c r="B46" s="82"/>
      <c r="C46" s="86">
        <v>25</v>
      </c>
      <c r="D46" s="91" t="s">
        <v>1471</v>
      </c>
      <c r="E46" s="91" t="s">
        <v>1485</v>
      </c>
      <c r="F46" s="91" t="s">
        <v>1486</v>
      </c>
      <c r="G46" s="87" t="s">
        <v>1487</v>
      </c>
      <c r="H46" s="86" t="s">
        <v>1488</v>
      </c>
      <c r="I46" s="86" t="s">
        <v>1489</v>
      </c>
      <c r="J46" s="86" t="s">
        <v>1490</v>
      </c>
      <c r="K46" s="86" t="s">
        <v>1314</v>
      </c>
      <c r="L46" s="86" t="s">
        <v>1364</v>
      </c>
      <c r="M46" s="87">
        <v>0</v>
      </c>
      <c r="N46" s="86" t="s">
        <v>1333</v>
      </c>
      <c r="O46" s="86" t="s">
        <v>1365</v>
      </c>
      <c r="P46" s="86" t="s">
        <v>1491</v>
      </c>
      <c r="Q46" s="90" t="s">
        <v>1336</v>
      </c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39" hidden="1">
      <c r="A47" s="82"/>
      <c r="B47" s="82"/>
      <c r="C47" s="86">
        <v>26</v>
      </c>
      <c r="D47" s="86" t="s">
        <v>1471</v>
      </c>
      <c r="E47" s="86" t="s">
        <v>1492</v>
      </c>
      <c r="F47" s="86" t="s">
        <v>1493</v>
      </c>
      <c r="G47" s="86" t="s">
        <v>1494</v>
      </c>
      <c r="H47" s="86" t="s">
        <v>1495</v>
      </c>
      <c r="I47" s="86" t="s">
        <v>1496</v>
      </c>
      <c r="J47" s="86" t="s">
        <v>1313</v>
      </c>
      <c r="K47" s="86" t="s">
        <v>1314</v>
      </c>
      <c r="L47" s="86" t="s">
        <v>1364</v>
      </c>
      <c r="M47" s="87">
        <v>0</v>
      </c>
      <c r="N47" s="86" t="s">
        <v>1333</v>
      </c>
      <c r="O47" s="86" t="s">
        <v>1365</v>
      </c>
      <c r="P47" s="86" t="s">
        <v>1497</v>
      </c>
      <c r="Q47" s="90" t="s">
        <v>1336</v>
      </c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52" hidden="1">
      <c r="A48" s="82"/>
      <c r="B48" s="82"/>
      <c r="C48" s="86">
        <v>27</v>
      </c>
      <c r="D48" s="86" t="s">
        <v>1471</v>
      </c>
      <c r="E48" s="86" t="s">
        <v>1498</v>
      </c>
      <c r="F48" s="86" t="s">
        <v>1499</v>
      </c>
      <c r="G48" s="86" t="s">
        <v>1500</v>
      </c>
      <c r="H48" s="86" t="s">
        <v>1501</v>
      </c>
      <c r="I48" s="86" t="s">
        <v>1502</v>
      </c>
      <c r="J48" s="86" t="s">
        <v>1503</v>
      </c>
      <c r="K48" s="86" t="s">
        <v>1314</v>
      </c>
      <c r="L48" s="86" t="s">
        <v>1504</v>
      </c>
      <c r="M48" s="87">
        <v>0</v>
      </c>
      <c r="N48" s="86" t="s">
        <v>1315</v>
      </c>
      <c r="O48" s="86" t="s">
        <v>1505</v>
      </c>
      <c r="P48" s="86" t="s">
        <v>1506</v>
      </c>
      <c r="Q48" s="90" t="s">
        <v>1388</v>
      </c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39" hidden="1">
      <c r="A49" s="82"/>
      <c r="B49" s="82"/>
      <c r="C49" s="86">
        <v>28</v>
      </c>
      <c r="D49" s="86" t="s">
        <v>1471</v>
      </c>
      <c r="E49" s="86" t="s">
        <v>1507</v>
      </c>
      <c r="F49" s="86" t="s">
        <v>1508</v>
      </c>
      <c r="G49" s="86" t="s">
        <v>1509</v>
      </c>
      <c r="H49" s="86" t="s">
        <v>1510</v>
      </c>
      <c r="I49" s="86" t="s">
        <v>1511</v>
      </c>
      <c r="J49" s="86" t="s">
        <v>1512</v>
      </c>
      <c r="K49" s="86" t="s">
        <v>1373</v>
      </c>
      <c r="L49" s="86" t="s">
        <v>1364</v>
      </c>
      <c r="M49" s="87">
        <v>0</v>
      </c>
      <c r="N49" s="86" t="s">
        <v>1333</v>
      </c>
      <c r="O49" s="86" t="s">
        <v>1365</v>
      </c>
      <c r="P49" s="86" t="s">
        <v>1513</v>
      </c>
      <c r="Q49" s="90" t="s">
        <v>1336</v>
      </c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26" hidden="1">
      <c r="A50" s="82"/>
      <c r="B50" s="82"/>
      <c r="C50" s="86">
        <v>29</v>
      </c>
      <c r="D50" s="86" t="s">
        <v>1471</v>
      </c>
      <c r="E50" s="86" t="s">
        <v>1514</v>
      </c>
      <c r="F50" s="86" t="s">
        <v>1463</v>
      </c>
      <c r="G50" s="86" t="s">
        <v>1515</v>
      </c>
      <c r="H50" s="86" t="s">
        <v>1516</v>
      </c>
      <c r="I50" s="86" t="s">
        <v>1517</v>
      </c>
      <c r="J50" s="86" t="s">
        <v>132</v>
      </c>
      <c r="K50" s="86" t="s">
        <v>1314</v>
      </c>
      <c r="L50" s="86" t="s">
        <v>1468</v>
      </c>
      <c r="M50" s="87">
        <v>0.05</v>
      </c>
      <c r="N50" s="86" t="s">
        <v>1459</v>
      </c>
      <c r="O50" s="86" t="s">
        <v>1518</v>
      </c>
      <c r="P50" s="86" t="s">
        <v>1519</v>
      </c>
      <c r="Q50" s="90" t="s">
        <v>62</v>
      </c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26" hidden="1">
      <c r="A51" s="82"/>
      <c r="B51" s="82"/>
      <c r="C51" s="86">
        <v>30</v>
      </c>
      <c r="D51" s="86" t="s">
        <v>1471</v>
      </c>
      <c r="E51" s="86" t="s">
        <v>1520</v>
      </c>
      <c r="F51" s="86" t="s">
        <v>1521</v>
      </c>
      <c r="G51" s="86" t="s">
        <v>1522</v>
      </c>
      <c r="H51" s="86" t="s">
        <v>1523</v>
      </c>
      <c r="I51" s="86" t="s">
        <v>1524</v>
      </c>
      <c r="J51" s="86" t="s">
        <v>1525</v>
      </c>
      <c r="K51" s="86" t="s">
        <v>1314</v>
      </c>
      <c r="L51" s="86" t="s">
        <v>1526</v>
      </c>
      <c r="M51" s="87">
        <v>0</v>
      </c>
      <c r="N51" s="86" t="s">
        <v>1315</v>
      </c>
      <c r="O51" s="86" t="s">
        <v>1527</v>
      </c>
      <c r="P51" s="86" t="s">
        <v>1528</v>
      </c>
      <c r="Q51" s="90" t="s">
        <v>1388</v>
      </c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39" hidden="1">
      <c r="A52" s="82"/>
      <c r="B52" s="82"/>
      <c r="C52" s="72">
        <v>31</v>
      </c>
      <c r="D52" s="72" t="s">
        <v>1471</v>
      </c>
      <c r="E52" s="72" t="s">
        <v>1529</v>
      </c>
      <c r="F52" s="72" t="s">
        <v>1463</v>
      </c>
      <c r="G52" s="72" t="s">
        <v>1530</v>
      </c>
      <c r="H52" s="72" t="s">
        <v>1531</v>
      </c>
      <c r="I52" s="72" t="s">
        <v>1532</v>
      </c>
      <c r="J52" s="72" t="s">
        <v>1533</v>
      </c>
      <c r="K52" s="72" t="s">
        <v>1314</v>
      </c>
      <c r="L52" s="72" t="s">
        <v>1468</v>
      </c>
      <c r="M52" s="87">
        <v>0.08</v>
      </c>
      <c r="N52" s="86" t="s">
        <v>1459</v>
      </c>
      <c r="O52" s="86" t="s">
        <v>1534</v>
      </c>
      <c r="P52" s="86" t="s">
        <v>1535</v>
      </c>
      <c r="Q52" s="90" t="s">
        <v>62</v>
      </c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26" hidden="1">
      <c r="A53" s="82"/>
      <c r="B53" s="82"/>
      <c r="C53" s="86">
        <v>32</v>
      </c>
      <c r="D53" s="91" t="s">
        <v>1536</v>
      </c>
      <c r="E53" s="91" t="s">
        <v>1537</v>
      </c>
      <c r="F53" s="91" t="s">
        <v>1538</v>
      </c>
      <c r="G53" s="87" t="s">
        <v>1539</v>
      </c>
      <c r="H53" s="86" t="s">
        <v>1540</v>
      </c>
      <c r="I53" s="86" t="s">
        <v>1541</v>
      </c>
      <c r="J53" s="86" t="s">
        <v>1542</v>
      </c>
      <c r="K53" s="86" t="s">
        <v>1314</v>
      </c>
      <c r="L53" s="86" t="s">
        <v>1504</v>
      </c>
      <c r="M53" s="87">
        <v>0</v>
      </c>
      <c r="N53" s="86" t="s">
        <v>1315</v>
      </c>
      <c r="O53" s="86" t="s">
        <v>1543</v>
      </c>
      <c r="P53" s="86" t="s">
        <v>1544</v>
      </c>
      <c r="Q53" s="90" t="s">
        <v>1388</v>
      </c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65" hidden="1">
      <c r="A54" s="82"/>
      <c r="B54" s="82"/>
      <c r="C54" s="86">
        <v>33</v>
      </c>
      <c r="D54" s="91" t="s">
        <v>1536</v>
      </c>
      <c r="E54" s="91" t="s">
        <v>1545</v>
      </c>
      <c r="F54" s="91" t="s">
        <v>1546</v>
      </c>
      <c r="G54" s="87" t="s">
        <v>1547</v>
      </c>
      <c r="H54" s="86" t="s">
        <v>1548</v>
      </c>
      <c r="I54" s="86" t="s">
        <v>1549</v>
      </c>
      <c r="J54" s="86" t="s">
        <v>1550</v>
      </c>
      <c r="K54" s="86" t="s">
        <v>1314</v>
      </c>
      <c r="L54" s="86" t="s">
        <v>1504</v>
      </c>
      <c r="M54" s="87">
        <v>0</v>
      </c>
      <c r="N54" s="86" t="s">
        <v>1315</v>
      </c>
      <c r="O54" s="86" t="s">
        <v>1551</v>
      </c>
      <c r="P54" s="86" t="s">
        <v>1552</v>
      </c>
      <c r="Q54" s="90" t="s">
        <v>62</v>
      </c>
      <c r="R54" s="82"/>
      <c r="S54" s="82"/>
      <c r="T54" s="82"/>
      <c r="U54" s="82"/>
      <c r="V54" s="82"/>
      <c r="W54" s="82"/>
      <c r="X54" s="82"/>
      <c r="Y54" s="82"/>
      <c r="Z54" s="82"/>
    </row>
    <row r="55" spans="1:26" hidden="1">
      <c r="A55" s="82"/>
      <c r="B55" s="82"/>
      <c r="C55" s="72">
        <v>34</v>
      </c>
      <c r="D55" s="72" t="s">
        <v>1536</v>
      </c>
      <c r="E55" s="72" t="s">
        <v>1553</v>
      </c>
      <c r="F55" s="72" t="s">
        <v>1554</v>
      </c>
      <c r="G55" s="86" t="s">
        <v>1555</v>
      </c>
      <c r="H55" s="72" t="s">
        <v>1556</v>
      </c>
      <c r="I55" s="72" t="s">
        <v>1557</v>
      </c>
      <c r="J55" s="72" t="s">
        <v>1558</v>
      </c>
      <c r="K55" s="72" t="s">
        <v>1314</v>
      </c>
      <c r="L55" s="72" t="s">
        <v>1504</v>
      </c>
      <c r="M55" s="87">
        <v>0</v>
      </c>
      <c r="N55" s="86" t="s">
        <v>1315</v>
      </c>
      <c r="O55" s="86" t="s">
        <v>1559</v>
      </c>
      <c r="P55" s="86" t="s">
        <v>1560</v>
      </c>
      <c r="Q55" s="90" t="s">
        <v>1388</v>
      </c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26" hidden="1">
      <c r="A56" s="82"/>
      <c r="B56" s="82"/>
      <c r="C56" s="86">
        <v>35</v>
      </c>
      <c r="D56" s="86" t="s">
        <v>1561</v>
      </c>
      <c r="E56" s="86" t="s">
        <v>1562</v>
      </c>
      <c r="F56" s="86" t="s">
        <v>1563</v>
      </c>
      <c r="G56" s="86" t="s">
        <v>1564</v>
      </c>
      <c r="H56" s="86" t="s">
        <v>1565</v>
      </c>
      <c r="I56" s="86" t="s">
        <v>1566</v>
      </c>
      <c r="J56" s="86" t="s">
        <v>1558</v>
      </c>
      <c r="K56" s="86" t="s">
        <v>1314</v>
      </c>
      <c r="L56" s="86" t="s">
        <v>1504</v>
      </c>
      <c r="M56" s="87">
        <v>0</v>
      </c>
      <c r="N56" s="86" t="s">
        <v>1315</v>
      </c>
      <c r="O56" s="86" t="s">
        <v>1567</v>
      </c>
      <c r="P56" s="86" t="s">
        <v>1568</v>
      </c>
      <c r="Q56" s="90" t="s">
        <v>1388</v>
      </c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26" hidden="1">
      <c r="A57" s="82"/>
      <c r="B57" s="82"/>
      <c r="C57" s="86">
        <v>36</v>
      </c>
      <c r="D57" s="86" t="s">
        <v>1561</v>
      </c>
      <c r="E57" s="86" t="s">
        <v>1569</v>
      </c>
      <c r="F57" s="86" t="s">
        <v>1570</v>
      </c>
      <c r="G57" s="86" t="s">
        <v>1571</v>
      </c>
      <c r="H57" s="86" t="s">
        <v>1572</v>
      </c>
      <c r="I57" s="86" t="s">
        <v>1573</v>
      </c>
      <c r="J57" s="86" t="s">
        <v>185</v>
      </c>
      <c r="K57" s="86" t="s">
        <v>1314</v>
      </c>
      <c r="L57" s="86" t="s">
        <v>1504</v>
      </c>
      <c r="M57" s="87">
        <v>0</v>
      </c>
      <c r="N57" s="86" t="s">
        <v>1315</v>
      </c>
      <c r="O57" s="86" t="s">
        <v>1574</v>
      </c>
      <c r="P57" s="86" t="s">
        <v>1575</v>
      </c>
      <c r="Q57" s="90" t="s">
        <v>1388</v>
      </c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39" hidden="1">
      <c r="A58" s="82"/>
      <c r="B58" s="82"/>
      <c r="C58" s="86">
        <v>37</v>
      </c>
      <c r="D58" s="86" t="s">
        <v>1561</v>
      </c>
      <c r="E58" s="86" t="s">
        <v>1576</v>
      </c>
      <c r="F58" s="86" t="s">
        <v>1463</v>
      </c>
      <c r="G58" s="86" t="s">
        <v>1577</v>
      </c>
      <c r="H58" s="86" t="s">
        <v>1578</v>
      </c>
      <c r="I58" s="86" t="s">
        <v>1579</v>
      </c>
      <c r="J58" s="86" t="s">
        <v>185</v>
      </c>
      <c r="K58" s="86" t="s">
        <v>1314</v>
      </c>
      <c r="L58" s="86" t="s">
        <v>1468</v>
      </c>
      <c r="M58" s="87">
        <v>0.05</v>
      </c>
      <c r="N58" s="86" t="s">
        <v>1459</v>
      </c>
      <c r="O58" s="86" t="s">
        <v>1580</v>
      </c>
      <c r="P58" s="86" t="s">
        <v>1581</v>
      </c>
      <c r="Q58" s="90" t="s">
        <v>62</v>
      </c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26" hidden="1">
      <c r="A59" s="82"/>
      <c r="B59" s="82"/>
      <c r="C59" s="86">
        <v>38</v>
      </c>
      <c r="D59" s="86" t="s">
        <v>1561</v>
      </c>
      <c r="E59" s="86" t="s">
        <v>1582</v>
      </c>
      <c r="F59" s="86" t="s">
        <v>956</v>
      </c>
      <c r="G59" s="86" t="s">
        <v>1583</v>
      </c>
      <c r="H59" s="86" t="s">
        <v>1584</v>
      </c>
      <c r="I59" s="86" t="s">
        <v>1585</v>
      </c>
      <c r="J59" s="86" t="s">
        <v>1586</v>
      </c>
      <c r="K59" s="86" t="s">
        <v>1314</v>
      </c>
      <c r="L59" s="86" t="s">
        <v>1587</v>
      </c>
      <c r="M59" s="87">
        <v>0</v>
      </c>
      <c r="N59" s="86" t="s">
        <v>1315</v>
      </c>
      <c r="O59" s="86" t="s">
        <v>1588</v>
      </c>
      <c r="P59" s="86" t="s">
        <v>1589</v>
      </c>
      <c r="Q59" s="90" t="s">
        <v>1388</v>
      </c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26" hidden="1">
      <c r="A60" s="82"/>
      <c r="B60" s="82"/>
      <c r="C60" s="86">
        <v>39</v>
      </c>
      <c r="D60" s="86" t="s">
        <v>1590</v>
      </c>
      <c r="E60" s="86" t="s">
        <v>1591</v>
      </c>
      <c r="F60" s="86" t="s">
        <v>1592</v>
      </c>
      <c r="G60" s="86"/>
      <c r="H60" s="86" t="s">
        <v>1593</v>
      </c>
      <c r="I60" s="86" t="s">
        <v>1594</v>
      </c>
      <c r="J60" s="86" t="s">
        <v>1595</v>
      </c>
      <c r="K60" s="86" t="s">
        <v>1373</v>
      </c>
      <c r="L60" s="86" t="s">
        <v>1596</v>
      </c>
      <c r="M60" s="87">
        <v>0.05</v>
      </c>
      <c r="N60" s="86" t="s">
        <v>1315</v>
      </c>
      <c r="O60" s="86" t="s">
        <v>1597</v>
      </c>
      <c r="P60" s="86" t="s">
        <v>1598</v>
      </c>
      <c r="Q60" s="90" t="s">
        <v>1318</v>
      </c>
      <c r="R60" s="82"/>
      <c r="S60" s="82"/>
      <c r="T60" s="82"/>
      <c r="U60" s="82"/>
      <c r="V60" s="82"/>
      <c r="W60" s="82"/>
      <c r="X60" s="82"/>
      <c r="Y60" s="82"/>
      <c r="Z60" s="82"/>
    </row>
    <row r="61" spans="1:26" hidden="1">
      <c r="A61" s="82"/>
      <c r="B61" s="82"/>
      <c r="C61" s="86">
        <v>40</v>
      </c>
      <c r="D61" s="86" t="s">
        <v>1590</v>
      </c>
      <c r="E61" s="86" t="s">
        <v>1599</v>
      </c>
      <c r="F61" s="86" t="s">
        <v>1600</v>
      </c>
      <c r="G61" s="86"/>
      <c r="H61" s="86" t="s">
        <v>1601</v>
      </c>
      <c r="I61" s="86" t="s">
        <v>1602</v>
      </c>
      <c r="J61" s="86" t="s">
        <v>1394</v>
      </c>
      <c r="K61" s="86" t="s">
        <v>1373</v>
      </c>
      <c r="L61" s="86" t="s">
        <v>1596</v>
      </c>
      <c r="M61" s="87">
        <v>0</v>
      </c>
      <c r="N61" s="86" t="s">
        <v>1315</v>
      </c>
      <c r="O61" s="86" t="s">
        <v>1603</v>
      </c>
      <c r="P61" s="86" t="s">
        <v>1604</v>
      </c>
      <c r="Q61" s="90" t="s">
        <v>1388</v>
      </c>
      <c r="R61" s="82"/>
      <c r="S61" s="82"/>
      <c r="T61" s="82"/>
      <c r="U61" s="82"/>
      <c r="V61" s="82"/>
      <c r="W61" s="82"/>
      <c r="X61" s="82"/>
      <c r="Y61" s="82"/>
      <c r="Z61" s="82"/>
    </row>
    <row r="62" spans="1:26" hidden="1">
      <c r="A62" s="82"/>
      <c r="B62" s="82"/>
      <c r="C62" s="86">
        <v>41</v>
      </c>
      <c r="D62" s="86" t="s">
        <v>1590</v>
      </c>
      <c r="E62" s="86" t="s">
        <v>1591</v>
      </c>
      <c r="F62" s="86" t="s">
        <v>1605</v>
      </c>
      <c r="G62" s="86"/>
      <c r="H62" s="86" t="s">
        <v>1606</v>
      </c>
      <c r="I62" s="86" t="s">
        <v>1607</v>
      </c>
      <c r="J62" s="86" t="s">
        <v>1595</v>
      </c>
      <c r="K62" s="86" t="s">
        <v>1373</v>
      </c>
      <c r="L62" s="86" t="s">
        <v>1596</v>
      </c>
      <c r="M62" s="87">
        <v>0</v>
      </c>
      <c r="N62" s="86" t="s">
        <v>1315</v>
      </c>
      <c r="O62" s="86" t="s">
        <v>1608</v>
      </c>
      <c r="P62" s="86" t="s">
        <v>1609</v>
      </c>
      <c r="Q62" s="90" t="s">
        <v>1388</v>
      </c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26" hidden="1">
      <c r="A63" s="82"/>
      <c r="B63" s="82"/>
      <c r="C63" s="86">
        <v>42</v>
      </c>
      <c r="D63" s="86" t="s">
        <v>1590</v>
      </c>
      <c r="E63" s="86" t="s">
        <v>1610</v>
      </c>
      <c r="F63" s="86" t="s">
        <v>1611</v>
      </c>
      <c r="G63" s="86" t="s">
        <v>1612</v>
      </c>
      <c r="H63" s="86" t="s">
        <v>1613</v>
      </c>
      <c r="I63" s="86" t="s">
        <v>1614</v>
      </c>
      <c r="J63" s="86" t="s">
        <v>1550</v>
      </c>
      <c r="K63" s="86" t="s">
        <v>1615</v>
      </c>
      <c r="L63" s="86" t="s">
        <v>1596</v>
      </c>
      <c r="M63" s="87">
        <v>0</v>
      </c>
      <c r="N63" s="86" t="s">
        <v>1315</v>
      </c>
      <c r="O63" s="86" t="s">
        <v>1616</v>
      </c>
      <c r="P63" s="86" t="s">
        <v>1617</v>
      </c>
      <c r="Q63" s="90" t="s">
        <v>1388</v>
      </c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26" hidden="1">
      <c r="A64" s="82"/>
      <c r="B64" s="82"/>
      <c r="C64" s="86">
        <v>43</v>
      </c>
      <c r="D64" s="86" t="s">
        <v>1590</v>
      </c>
      <c r="E64" s="86" t="s">
        <v>1618</v>
      </c>
      <c r="F64" s="86" t="s">
        <v>1619</v>
      </c>
      <c r="G64" s="86" t="s">
        <v>1620</v>
      </c>
      <c r="H64" s="86" t="s">
        <v>1621</v>
      </c>
      <c r="I64" s="86" t="s">
        <v>1622</v>
      </c>
      <c r="J64" s="86" t="s">
        <v>1550</v>
      </c>
      <c r="K64" s="86" t="s">
        <v>1615</v>
      </c>
      <c r="L64" s="86" t="s">
        <v>1596</v>
      </c>
      <c r="M64" s="87">
        <v>0</v>
      </c>
      <c r="N64" s="86" t="s">
        <v>1315</v>
      </c>
      <c r="O64" s="86" t="s">
        <v>1623</v>
      </c>
      <c r="P64" s="86" t="s">
        <v>1624</v>
      </c>
      <c r="Q64" s="90" t="s">
        <v>1388</v>
      </c>
      <c r="R64" s="82"/>
      <c r="S64" s="82"/>
      <c r="T64" s="82"/>
      <c r="U64" s="82"/>
      <c r="V64" s="82"/>
      <c r="W64" s="82"/>
      <c r="X64" s="82"/>
      <c r="Y64" s="82"/>
      <c r="Z64" s="82"/>
    </row>
    <row r="65" spans="1:26" hidden="1">
      <c r="A65" s="82"/>
      <c r="B65" s="82"/>
      <c r="C65" s="86">
        <v>44</v>
      </c>
      <c r="D65" s="91" t="s">
        <v>1590</v>
      </c>
      <c r="E65" s="91" t="s">
        <v>1625</v>
      </c>
      <c r="F65" s="91" t="s">
        <v>1626</v>
      </c>
      <c r="G65" s="87" t="s">
        <v>1627</v>
      </c>
      <c r="H65" s="86" t="s">
        <v>1628</v>
      </c>
      <c r="I65" s="86" t="s">
        <v>1629</v>
      </c>
      <c r="J65" s="86" t="s">
        <v>1595</v>
      </c>
      <c r="K65" s="86" t="s">
        <v>1615</v>
      </c>
      <c r="L65" s="86" t="s">
        <v>1596</v>
      </c>
      <c r="M65" s="87">
        <v>0</v>
      </c>
      <c r="N65" s="86" t="s">
        <v>1315</v>
      </c>
      <c r="O65" s="86" t="s">
        <v>1630</v>
      </c>
      <c r="P65" s="86" t="s">
        <v>1631</v>
      </c>
      <c r="Q65" s="90" t="s">
        <v>1388</v>
      </c>
      <c r="R65" s="82"/>
      <c r="S65" s="82"/>
      <c r="T65" s="82"/>
      <c r="U65" s="82"/>
      <c r="V65" s="82"/>
      <c r="W65" s="82"/>
      <c r="X65" s="82"/>
      <c r="Y65" s="82"/>
      <c r="Z65" s="82"/>
    </row>
    <row r="66" spans="1:26">
      <c r="A66" s="82"/>
      <c r="B66" s="82"/>
      <c r="C66" s="86"/>
      <c r="D66" s="91"/>
      <c r="E66" s="91"/>
      <c r="F66" s="91"/>
      <c r="G66" s="87"/>
      <c r="H66" s="86"/>
      <c r="I66" s="86"/>
      <c r="J66" s="86"/>
      <c r="K66" s="86"/>
      <c r="L66" s="86"/>
      <c r="M66" s="87"/>
      <c r="N66" s="86"/>
      <c r="O66" s="86"/>
      <c r="P66" s="86"/>
      <c r="Q66" s="90"/>
      <c r="R66" s="82"/>
      <c r="S66" s="82"/>
      <c r="T66" s="82"/>
      <c r="U66" s="82"/>
      <c r="V66" s="82"/>
      <c r="W66" s="82"/>
      <c r="X66" s="82"/>
      <c r="Y66" s="82"/>
      <c r="Z66" s="82"/>
    </row>
    <row r="67" spans="1:26">
      <c r="A67" s="82"/>
      <c r="B67" s="82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7"/>
      <c r="N67" s="86"/>
      <c r="O67" s="86"/>
      <c r="P67" s="86"/>
      <c r="Q67" s="90"/>
      <c r="R67" s="82"/>
      <c r="S67" s="82"/>
      <c r="T67" s="82"/>
      <c r="U67" s="82"/>
      <c r="V67" s="82"/>
      <c r="W67" s="82"/>
      <c r="X67" s="82"/>
      <c r="Y67" s="82"/>
      <c r="Z67" s="82"/>
    </row>
    <row r="68" spans="1:26">
      <c r="A68" s="82"/>
      <c r="B68" s="82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7"/>
      <c r="N68" s="86"/>
      <c r="O68" s="86"/>
      <c r="P68" s="86"/>
      <c r="Q68" s="90"/>
      <c r="R68" s="82"/>
      <c r="S68" s="82"/>
      <c r="T68" s="82"/>
      <c r="U68" s="82"/>
      <c r="V68" s="82"/>
      <c r="W68" s="82"/>
      <c r="X68" s="82"/>
      <c r="Y68" s="82"/>
      <c r="Z68" s="82"/>
    </row>
    <row r="69" spans="1:26">
      <c r="A69" s="82"/>
      <c r="B69" s="82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7"/>
      <c r="N69" s="86"/>
      <c r="O69" s="86"/>
      <c r="P69" s="86"/>
      <c r="Q69" s="90"/>
      <c r="R69" s="82"/>
      <c r="S69" s="82"/>
      <c r="T69" s="82"/>
      <c r="U69" s="82"/>
      <c r="V69" s="82"/>
      <c r="W69" s="82"/>
      <c r="X69" s="82"/>
      <c r="Y69" s="82"/>
      <c r="Z69" s="82"/>
    </row>
    <row r="70" spans="1:26">
      <c r="A70" s="82"/>
      <c r="B70" s="82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7"/>
      <c r="N70" s="86"/>
      <c r="O70" s="86"/>
      <c r="P70" s="86"/>
      <c r="Q70" s="90"/>
      <c r="R70" s="82"/>
      <c r="S70" s="82"/>
      <c r="T70" s="82"/>
      <c r="U70" s="82"/>
      <c r="V70" s="82"/>
      <c r="W70" s="82"/>
      <c r="X70" s="82"/>
      <c r="Y70" s="82"/>
      <c r="Z70" s="82"/>
    </row>
    <row r="71" spans="1:26">
      <c r="A71" s="82"/>
      <c r="B71" s="82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7"/>
      <c r="N71" s="86"/>
      <c r="O71" s="86"/>
      <c r="P71" s="86"/>
      <c r="Q71" s="90"/>
      <c r="R71" s="82"/>
      <c r="S71" s="82"/>
      <c r="T71" s="82"/>
      <c r="U71" s="82"/>
      <c r="V71" s="82"/>
      <c r="W71" s="82"/>
      <c r="X71" s="82"/>
      <c r="Y71" s="82"/>
      <c r="Z71" s="82"/>
    </row>
    <row r="72" spans="1:26">
      <c r="A72" s="82"/>
      <c r="B72" s="8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88"/>
      <c r="N72" s="86"/>
      <c r="O72" s="86"/>
      <c r="P72" s="86"/>
      <c r="Q72" s="90"/>
      <c r="R72" s="82"/>
      <c r="S72" s="82"/>
      <c r="T72" s="82"/>
      <c r="U72" s="82"/>
      <c r="V72" s="82"/>
      <c r="W72" s="82"/>
      <c r="X72" s="82"/>
      <c r="Y72" s="82"/>
      <c r="Z72" s="82"/>
    </row>
    <row r="73" spans="1:26">
      <c r="A73" s="82"/>
      <c r="B73" s="82"/>
      <c r="C73" s="86"/>
      <c r="D73" s="91"/>
      <c r="E73" s="91"/>
      <c r="F73" s="91"/>
      <c r="G73" s="87"/>
      <c r="H73" s="86"/>
      <c r="I73" s="86"/>
      <c r="J73" s="86"/>
      <c r="K73" s="86"/>
      <c r="L73" s="86"/>
      <c r="M73" s="87"/>
      <c r="N73" s="86"/>
      <c r="O73" s="86"/>
      <c r="P73" s="86"/>
      <c r="Q73" s="86"/>
      <c r="R73" s="82"/>
      <c r="S73" s="82"/>
      <c r="T73" s="82"/>
      <c r="U73" s="82"/>
      <c r="V73" s="82"/>
      <c r="W73" s="82"/>
      <c r="X73" s="82"/>
      <c r="Y73" s="82"/>
      <c r="Z73" s="82"/>
    </row>
    <row r="74" spans="1:26">
      <c r="A74" s="82"/>
      <c r="B74" s="82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7"/>
      <c r="N74" s="86"/>
      <c r="O74" s="86"/>
      <c r="P74" s="86"/>
      <c r="Q74" s="86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6">
      <c r="A75" s="82"/>
      <c r="B75" s="82"/>
      <c r="C75" s="161"/>
      <c r="D75" s="161"/>
      <c r="E75" s="161"/>
      <c r="F75" s="161"/>
      <c r="G75" s="162"/>
      <c r="H75" s="162"/>
      <c r="I75" s="163"/>
      <c r="J75" s="163"/>
      <c r="K75" s="163"/>
      <c r="L75" s="163"/>
      <c r="M75" s="163"/>
      <c r="N75" s="163"/>
      <c r="O75" s="163"/>
      <c r="P75" s="163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>
      <c r="A76" s="82"/>
      <c r="B76" s="82"/>
      <c r="C76" s="93"/>
      <c r="D76" s="93"/>
      <c r="E76" s="93"/>
      <c r="F76" s="93"/>
      <c r="G76" s="93"/>
      <c r="H76" s="164"/>
      <c r="I76" s="165"/>
      <c r="J76" s="165"/>
      <c r="K76" s="165"/>
      <c r="L76" s="165"/>
      <c r="M76" s="165"/>
      <c r="N76" s="165"/>
      <c r="O76" s="165"/>
      <c r="P76" s="165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68">
      <c r="A77" s="82"/>
      <c r="B77" s="82"/>
      <c r="C77" s="99" t="s">
        <v>1632</v>
      </c>
      <c r="D77" s="100">
        <f t="shared" ref="D77:D84" si="0">COUNTIF($D$22:$D$72,C77)</f>
        <v>0</v>
      </c>
      <c r="E77" s="100">
        <f t="shared" ref="E77:E84" si="1">COUNTIFS($D$22:$D$72,C77,$M$22:$M$72,"&lt;&gt;")</f>
        <v>0</v>
      </c>
      <c r="F77" s="100">
        <f t="shared" ref="F77:F84" si="2">COUNTIFS($D$22:$D$72,C77,$K$22:$K$72,"P0 Critical")</f>
        <v>0</v>
      </c>
      <c r="G77" s="101" t="str">
        <f t="shared" ref="G77:G84" si="3">IFERROR(AVERAGEIF($D$22:$D$72,C77,$M$22:$M$72),"")</f>
        <v/>
      </c>
      <c r="H77" s="166"/>
      <c r="I77" s="167"/>
      <c r="J77" s="167"/>
      <c r="K77" s="167"/>
      <c r="L77" s="167"/>
      <c r="M77" s="167"/>
      <c r="N77" s="167"/>
      <c r="O77" s="167"/>
      <c r="P77" s="167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4">
      <c r="A78" s="82"/>
      <c r="B78" s="82"/>
      <c r="C78" s="96" t="s">
        <v>553</v>
      </c>
      <c r="D78" s="97">
        <f t="shared" si="0"/>
        <v>0</v>
      </c>
      <c r="E78" s="97">
        <f t="shared" si="1"/>
        <v>0</v>
      </c>
      <c r="F78" s="97">
        <f t="shared" si="2"/>
        <v>0</v>
      </c>
      <c r="G78" s="98" t="str">
        <f t="shared" si="3"/>
        <v/>
      </c>
      <c r="H78" s="168" t="s">
        <v>1633</v>
      </c>
      <c r="I78" s="167"/>
      <c r="J78" s="167"/>
      <c r="K78" s="167"/>
      <c r="L78" s="167"/>
      <c r="M78" s="167"/>
      <c r="N78" s="169"/>
      <c r="O78" s="169"/>
      <c r="P78" s="169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>
      <c r="A79" s="82"/>
      <c r="B79" s="82"/>
      <c r="C79" s="72" t="s">
        <v>1024</v>
      </c>
      <c r="D79" s="92">
        <f t="shared" si="0"/>
        <v>12</v>
      </c>
      <c r="E79" s="92">
        <f t="shared" si="1"/>
        <v>12</v>
      </c>
      <c r="F79" s="92">
        <f t="shared" si="2"/>
        <v>9</v>
      </c>
      <c r="G79" s="87">
        <f t="shared" si="3"/>
        <v>0.25666666666666665</v>
      </c>
      <c r="H79" s="170" t="s">
        <v>1634</v>
      </c>
      <c r="I79" s="169"/>
      <c r="J79" s="169"/>
      <c r="K79" s="169"/>
      <c r="L79" s="169"/>
      <c r="M79" s="169"/>
      <c r="N79" s="169"/>
      <c r="O79" s="169"/>
      <c r="P79" s="169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>
      <c r="A80" s="82"/>
      <c r="B80" s="82"/>
      <c r="C80" s="86" t="s">
        <v>1398</v>
      </c>
      <c r="D80" s="91">
        <f t="shared" si="0"/>
        <v>6</v>
      </c>
      <c r="E80" s="91">
        <f t="shared" si="1"/>
        <v>6</v>
      </c>
      <c r="F80" s="91">
        <f t="shared" si="2"/>
        <v>5</v>
      </c>
      <c r="G80" s="87">
        <f t="shared" si="3"/>
        <v>0.53333333333333333</v>
      </c>
      <c r="H80" s="170" t="s">
        <v>1635</v>
      </c>
      <c r="I80" s="169"/>
      <c r="J80" s="169"/>
      <c r="K80" s="169"/>
      <c r="L80" s="169"/>
      <c r="M80" s="169"/>
      <c r="N80" s="169"/>
      <c r="O80" s="169"/>
      <c r="P80" s="169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>
      <c r="A81" s="82"/>
      <c r="B81" s="82"/>
      <c r="C81" s="86" t="s">
        <v>1438</v>
      </c>
      <c r="D81" s="91">
        <f t="shared" si="0"/>
        <v>4</v>
      </c>
      <c r="E81" s="91">
        <f t="shared" si="1"/>
        <v>4</v>
      </c>
      <c r="F81" s="91">
        <f t="shared" si="2"/>
        <v>4</v>
      </c>
      <c r="G81" s="87">
        <f t="shared" si="3"/>
        <v>0.05</v>
      </c>
      <c r="H81" s="170" t="s">
        <v>1636</v>
      </c>
      <c r="I81" s="169"/>
      <c r="J81" s="169"/>
      <c r="K81" s="169"/>
      <c r="L81" s="169"/>
      <c r="M81" s="169"/>
      <c r="N81" s="169"/>
      <c r="O81" s="169"/>
      <c r="P81" s="169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>
      <c r="A82" s="82"/>
      <c r="B82" s="82"/>
      <c r="C82" s="86" t="s">
        <v>1471</v>
      </c>
      <c r="D82" s="91">
        <f t="shared" si="0"/>
        <v>9</v>
      </c>
      <c r="E82" s="91">
        <f t="shared" si="1"/>
        <v>9</v>
      </c>
      <c r="F82" s="91">
        <f t="shared" si="2"/>
        <v>8</v>
      </c>
      <c r="G82" s="87">
        <f t="shared" si="3"/>
        <v>1.4444444444444446E-2</v>
      </c>
      <c r="H82" s="170" t="s">
        <v>1637</v>
      </c>
      <c r="I82" s="169"/>
      <c r="J82" s="169"/>
      <c r="K82" s="169"/>
      <c r="L82" s="169"/>
      <c r="M82" s="169"/>
      <c r="N82" s="169"/>
      <c r="O82" s="169"/>
      <c r="P82" s="169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>
      <c r="A83" s="82"/>
      <c r="B83" s="82"/>
      <c r="C83" s="86" t="s">
        <v>1536</v>
      </c>
      <c r="D83" s="91">
        <f t="shared" si="0"/>
        <v>3</v>
      </c>
      <c r="E83" s="91">
        <f t="shared" si="1"/>
        <v>3</v>
      </c>
      <c r="F83" s="91">
        <f t="shared" si="2"/>
        <v>3</v>
      </c>
      <c r="G83" s="87">
        <f t="shared" si="3"/>
        <v>0</v>
      </c>
      <c r="H83" s="170" t="s">
        <v>1638</v>
      </c>
      <c r="I83" s="169"/>
      <c r="J83" s="169"/>
      <c r="K83" s="169"/>
      <c r="L83" s="169"/>
      <c r="M83" s="169"/>
      <c r="N83" s="169"/>
      <c r="O83" s="169"/>
      <c r="P83" s="169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>
      <c r="A84" s="82"/>
      <c r="B84" s="82"/>
      <c r="C84" s="86" t="s">
        <v>1561</v>
      </c>
      <c r="D84" s="91">
        <f t="shared" si="0"/>
        <v>4</v>
      </c>
      <c r="E84" s="91">
        <f t="shared" si="1"/>
        <v>4</v>
      </c>
      <c r="F84" s="91">
        <f t="shared" si="2"/>
        <v>4</v>
      </c>
      <c r="G84" s="87">
        <f t="shared" si="3"/>
        <v>1.2500000000000001E-2</v>
      </c>
      <c r="H84" s="170" t="s">
        <v>1639</v>
      </c>
      <c r="I84" s="169"/>
      <c r="J84" s="169"/>
      <c r="K84" s="169"/>
      <c r="L84" s="169"/>
      <c r="M84" s="169"/>
      <c r="N84" s="169"/>
      <c r="O84" s="169"/>
      <c r="P84" s="169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26">
      <c r="A85" s="82"/>
      <c r="B85" s="82"/>
      <c r="C85" s="86" t="s">
        <v>1590</v>
      </c>
      <c r="D85" s="86">
        <v>6</v>
      </c>
      <c r="E85" s="86">
        <v>6</v>
      </c>
      <c r="F85" s="86">
        <v>0</v>
      </c>
      <c r="G85" s="87">
        <v>8.3333333333333332E-3</v>
      </c>
      <c r="H85" s="86" t="s">
        <v>1640</v>
      </c>
      <c r="I85" s="81"/>
      <c r="J85" s="81"/>
      <c r="K85" s="81"/>
      <c r="L85" s="81"/>
      <c r="M85" s="81"/>
      <c r="N85" s="81"/>
      <c r="O85" s="81"/>
      <c r="P85" s="81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39">
      <c r="A86" s="82"/>
      <c r="B86" s="82"/>
      <c r="C86" s="86" t="s">
        <v>1641</v>
      </c>
      <c r="D86" s="86">
        <v>9</v>
      </c>
      <c r="E86" s="86">
        <v>9</v>
      </c>
      <c r="F86" s="86">
        <v>0</v>
      </c>
      <c r="G86" s="87">
        <v>5.5555555555555558E-3</v>
      </c>
      <c r="H86" s="86" t="s">
        <v>1642</v>
      </c>
      <c r="I86" s="81"/>
      <c r="J86" s="81"/>
      <c r="K86" s="81"/>
      <c r="L86" s="81"/>
      <c r="M86" s="81"/>
      <c r="N86" s="81"/>
      <c r="O86" s="81"/>
      <c r="P86" s="81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6">
      <c r="A87" s="82"/>
      <c r="B87" s="82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>
      <c r="A88" s="82"/>
      <c r="B88" s="82"/>
      <c r="C88" s="74"/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74"/>
      <c r="O88" s="165"/>
      <c r="P88" s="165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>
      <c r="A89" s="82"/>
      <c r="B89" s="82"/>
      <c r="C89" s="81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81"/>
      <c r="O89" s="169"/>
      <c r="P89" s="169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>
      <c r="A90" s="82"/>
      <c r="B90" s="82"/>
      <c r="C90" s="81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81"/>
      <c r="O90" s="169"/>
      <c r="P90" s="169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>
      <c r="A91" s="82"/>
      <c r="B91" s="82"/>
      <c r="C91" s="81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81"/>
      <c r="O91" s="169"/>
      <c r="P91" s="169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>
      <c r="A92" s="82"/>
      <c r="B92" s="82"/>
      <c r="C92" s="81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81"/>
      <c r="O92" s="169"/>
      <c r="P92" s="169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>
      <c r="A93" s="82"/>
      <c r="B93" s="82"/>
      <c r="C93" s="73">
        <v>5</v>
      </c>
      <c r="D93" s="167" t="s">
        <v>1643</v>
      </c>
      <c r="E93" s="167"/>
      <c r="F93" s="167"/>
      <c r="G93" s="167"/>
      <c r="H93" s="167" t="s">
        <v>1644</v>
      </c>
      <c r="I93" s="167"/>
      <c r="J93" s="167"/>
      <c r="K93" s="167"/>
      <c r="L93" s="167"/>
      <c r="M93" s="167"/>
      <c r="N93" s="73" t="s">
        <v>1337</v>
      </c>
      <c r="O93" s="167" t="s">
        <v>1203</v>
      </c>
      <c r="P93" s="167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>
      <c r="A94" s="82"/>
      <c r="B94" s="82"/>
      <c r="C94" s="73">
        <v>6</v>
      </c>
      <c r="D94" s="167" t="s">
        <v>1645</v>
      </c>
      <c r="E94" s="167"/>
      <c r="F94" s="167"/>
      <c r="G94" s="167"/>
      <c r="H94" s="167" t="s">
        <v>1646</v>
      </c>
      <c r="I94" s="167"/>
      <c r="J94" s="167"/>
      <c r="K94" s="167"/>
      <c r="L94" s="167"/>
      <c r="M94" s="167"/>
      <c r="N94" s="73" t="s">
        <v>1647</v>
      </c>
      <c r="O94" s="167" t="s">
        <v>1203</v>
      </c>
      <c r="P94" s="167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>
      <c r="A95" s="82"/>
      <c r="B95" s="82"/>
      <c r="C95" s="81">
        <v>7</v>
      </c>
      <c r="D95" s="169" t="s">
        <v>1648</v>
      </c>
      <c r="E95" s="169"/>
      <c r="F95" s="169"/>
      <c r="G95" s="169"/>
      <c r="H95" s="169" t="s">
        <v>1649</v>
      </c>
      <c r="I95" s="169"/>
      <c r="J95" s="169"/>
      <c r="K95" s="169"/>
      <c r="L95" s="169"/>
      <c r="M95" s="169"/>
      <c r="N95" s="81" t="s">
        <v>1650</v>
      </c>
      <c r="O95" s="169" t="s">
        <v>1651</v>
      </c>
      <c r="P95" s="169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>
      <c r="A96" s="82"/>
      <c r="B96" s="82"/>
      <c r="C96" s="81">
        <v>8</v>
      </c>
      <c r="D96" s="169" t="s">
        <v>1652</v>
      </c>
      <c r="E96" s="169"/>
      <c r="F96" s="169"/>
      <c r="G96" s="169"/>
      <c r="H96" s="169" t="s">
        <v>1653</v>
      </c>
      <c r="I96" s="169"/>
      <c r="J96" s="169"/>
      <c r="K96" s="169"/>
      <c r="L96" s="169"/>
      <c r="M96" s="169"/>
      <c r="N96" s="81" t="s">
        <v>1654</v>
      </c>
      <c r="O96" s="169" t="s">
        <v>1203</v>
      </c>
      <c r="P96" s="169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>
      <c r="A97" s="82"/>
      <c r="B97" s="82"/>
      <c r="C97" s="81">
        <v>9</v>
      </c>
      <c r="D97" s="169" t="s">
        <v>1655</v>
      </c>
      <c r="E97" s="169"/>
      <c r="F97" s="169"/>
      <c r="G97" s="169"/>
      <c r="H97" s="169" t="s">
        <v>1656</v>
      </c>
      <c r="I97" s="169"/>
      <c r="J97" s="169"/>
      <c r="K97" s="169"/>
      <c r="L97" s="169"/>
      <c r="M97" s="169"/>
      <c r="N97" s="81" t="s">
        <v>1657</v>
      </c>
      <c r="O97" s="169" t="s">
        <v>1203</v>
      </c>
      <c r="P97" s="169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>
      <c r="A98" s="82"/>
      <c r="B98" s="82"/>
      <c r="C98" s="81">
        <v>10</v>
      </c>
      <c r="D98" s="169" t="s">
        <v>1658</v>
      </c>
      <c r="E98" s="169"/>
      <c r="F98" s="169"/>
      <c r="G98" s="169"/>
      <c r="H98" s="169" t="s">
        <v>1659</v>
      </c>
      <c r="I98" s="169"/>
      <c r="J98" s="169"/>
      <c r="K98" s="169"/>
      <c r="L98" s="169"/>
      <c r="M98" s="169"/>
      <c r="N98" s="81" t="s">
        <v>1660</v>
      </c>
      <c r="O98" s="169" t="s">
        <v>1203</v>
      </c>
      <c r="P98" s="169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>
      <c r="A99" s="82"/>
      <c r="B99" s="82"/>
      <c r="C99" s="81">
        <v>11</v>
      </c>
      <c r="D99" s="169" t="s">
        <v>1661</v>
      </c>
      <c r="E99" s="169"/>
      <c r="F99" s="169"/>
      <c r="G99" s="169"/>
      <c r="H99" s="169" t="s">
        <v>1662</v>
      </c>
      <c r="I99" s="169"/>
      <c r="J99" s="169"/>
      <c r="K99" s="169"/>
      <c r="L99" s="169"/>
      <c r="M99" s="169"/>
      <c r="N99" s="81" t="s">
        <v>1663</v>
      </c>
      <c r="O99" s="169" t="s">
        <v>1203</v>
      </c>
      <c r="P99" s="169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>
      <c r="A100" s="82"/>
      <c r="B100" s="82"/>
      <c r="C100" s="81">
        <v>12</v>
      </c>
      <c r="D100" s="169" t="s">
        <v>1664</v>
      </c>
      <c r="E100" s="169"/>
      <c r="F100" s="169"/>
      <c r="G100" s="169"/>
      <c r="H100" s="169" t="s">
        <v>1665</v>
      </c>
      <c r="I100" s="169"/>
      <c r="J100" s="169"/>
      <c r="K100" s="169"/>
      <c r="L100" s="169"/>
      <c r="M100" s="169"/>
      <c r="N100" s="81" t="s">
        <v>1666</v>
      </c>
      <c r="O100" s="169" t="s">
        <v>1667</v>
      </c>
      <c r="P100" s="169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>
      <c r="A101" s="82"/>
      <c r="B101" s="82"/>
      <c r="C101" s="81">
        <v>13</v>
      </c>
      <c r="D101" s="169" t="s">
        <v>1668</v>
      </c>
      <c r="E101" s="169"/>
      <c r="F101" s="169"/>
      <c r="G101" s="169"/>
      <c r="H101" s="169" t="s">
        <v>1669</v>
      </c>
      <c r="I101" s="169"/>
      <c r="J101" s="169"/>
      <c r="K101" s="169"/>
      <c r="L101" s="169"/>
      <c r="M101" s="169"/>
      <c r="N101" s="81" t="s">
        <v>567</v>
      </c>
      <c r="O101" s="169" t="s">
        <v>1203</v>
      </c>
      <c r="P101" s="169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>
      <c r="A102" s="82"/>
      <c r="B102" s="82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>
      <c r="A103" s="82"/>
      <c r="B103" s="82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6">
      <c r="A104" s="82"/>
      <c r="B104" s="82"/>
      <c r="C104" s="172" t="s">
        <v>1670</v>
      </c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95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4">
      <c r="A105" s="82"/>
      <c r="B105" s="82"/>
      <c r="C105" s="94" t="s">
        <v>1671</v>
      </c>
      <c r="D105" s="173" t="s">
        <v>1672</v>
      </c>
      <c r="E105" s="173"/>
      <c r="F105" s="173"/>
      <c r="G105" s="173" t="s">
        <v>1248</v>
      </c>
      <c r="H105" s="173"/>
      <c r="I105" s="173"/>
      <c r="J105" s="173" t="s">
        <v>1673</v>
      </c>
      <c r="K105" s="173"/>
      <c r="L105" s="173"/>
      <c r="M105" s="94" t="s">
        <v>1674</v>
      </c>
      <c r="N105" s="94" t="s">
        <v>553</v>
      </c>
      <c r="O105" s="94" t="s">
        <v>1675</v>
      </c>
      <c r="P105" s="94" t="s">
        <v>1676</v>
      </c>
      <c r="Q105" s="94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>
      <c r="A106" s="82"/>
      <c r="B106" s="82"/>
      <c r="C106" s="72">
        <v>1</v>
      </c>
      <c r="D106" s="174" t="s">
        <v>1677</v>
      </c>
      <c r="E106" s="174"/>
      <c r="F106" s="174"/>
      <c r="G106" s="174" t="s">
        <v>1678</v>
      </c>
      <c r="H106" s="174"/>
      <c r="I106" s="174"/>
      <c r="J106" s="174" t="s">
        <v>1679</v>
      </c>
      <c r="K106" s="174"/>
      <c r="L106" s="174"/>
      <c r="M106" s="72" t="s">
        <v>1680</v>
      </c>
      <c r="N106" s="72" t="s">
        <v>1024</v>
      </c>
      <c r="O106" s="72" t="s">
        <v>1681</v>
      </c>
      <c r="P106" s="72" t="s">
        <v>1682</v>
      </c>
      <c r="Q106" s="86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>
      <c r="A107" s="82"/>
      <c r="B107" s="82"/>
      <c r="C107" s="72">
        <v>2</v>
      </c>
      <c r="D107" s="174" t="s">
        <v>1683</v>
      </c>
      <c r="E107" s="174"/>
      <c r="F107" s="174"/>
      <c r="G107" s="174" t="s">
        <v>1684</v>
      </c>
      <c r="H107" s="174"/>
      <c r="I107" s="174"/>
      <c r="J107" s="174" t="s">
        <v>1685</v>
      </c>
      <c r="K107" s="174"/>
      <c r="L107" s="174"/>
      <c r="M107" s="72" t="s">
        <v>1680</v>
      </c>
      <c r="N107" s="72" t="s">
        <v>1024</v>
      </c>
      <c r="O107" s="72" t="s">
        <v>1686</v>
      </c>
      <c r="P107" s="72" t="s">
        <v>1687</v>
      </c>
      <c r="Q107" s="86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>
      <c r="A108" s="82"/>
      <c r="B108" s="82"/>
      <c r="C108" s="86">
        <v>3</v>
      </c>
      <c r="D108" s="170" t="s">
        <v>1688</v>
      </c>
      <c r="E108" s="170"/>
      <c r="F108" s="170"/>
      <c r="G108" s="170" t="s">
        <v>1689</v>
      </c>
      <c r="H108" s="170"/>
      <c r="I108" s="170"/>
      <c r="J108" s="170" t="s">
        <v>1690</v>
      </c>
      <c r="K108" s="170"/>
      <c r="L108" s="170"/>
      <c r="M108" s="86" t="s">
        <v>1691</v>
      </c>
      <c r="N108" s="86" t="s">
        <v>1398</v>
      </c>
      <c r="O108" s="86" t="s">
        <v>1686</v>
      </c>
      <c r="P108" s="86" t="s">
        <v>1692</v>
      </c>
      <c r="Q108" s="86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26">
      <c r="A109" s="82"/>
      <c r="B109" s="82"/>
      <c r="C109" s="86">
        <v>4</v>
      </c>
      <c r="D109" s="170" t="s">
        <v>1693</v>
      </c>
      <c r="E109" s="170"/>
      <c r="F109" s="170"/>
      <c r="G109" s="170" t="s">
        <v>1694</v>
      </c>
      <c r="H109" s="170"/>
      <c r="I109" s="170"/>
      <c r="J109" s="170" t="s">
        <v>1695</v>
      </c>
      <c r="K109" s="170"/>
      <c r="L109" s="170"/>
      <c r="M109" s="86" t="s">
        <v>1696</v>
      </c>
      <c r="N109" s="86" t="s">
        <v>1438</v>
      </c>
      <c r="O109" s="86" t="s">
        <v>1686</v>
      </c>
      <c r="P109" s="86" t="s">
        <v>1697</v>
      </c>
      <c r="Q109" s="86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>
      <c r="A110" s="82"/>
      <c r="B110" s="82"/>
      <c r="C110" s="86">
        <v>5</v>
      </c>
      <c r="D110" s="170" t="s">
        <v>1698</v>
      </c>
      <c r="E110" s="170"/>
      <c r="F110" s="170"/>
      <c r="G110" s="170" t="s">
        <v>1699</v>
      </c>
      <c r="H110" s="170"/>
      <c r="I110" s="170"/>
      <c r="J110" s="170" t="s">
        <v>1700</v>
      </c>
      <c r="K110" s="170"/>
      <c r="L110" s="170"/>
      <c r="M110" s="86" t="s">
        <v>1701</v>
      </c>
      <c r="N110" s="86" t="s">
        <v>1471</v>
      </c>
      <c r="O110" s="86" t="s">
        <v>1686</v>
      </c>
      <c r="P110" s="86" t="s">
        <v>1702</v>
      </c>
      <c r="Q110" s="86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>
      <c r="A111" s="82"/>
      <c r="B111" s="82"/>
      <c r="C111" s="86">
        <v>6</v>
      </c>
      <c r="D111" s="170" t="s">
        <v>1703</v>
      </c>
      <c r="E111" s="170"/>
      <c r="F111" s="170"/>
      <c r="G111" s="170" t="s">
        <v>1704</v>
      </c>
      <c r="H111" s="170"/>
      <c r="I111" s="170"/>
      <c r="J111" s="170" t="s">
        <v>1705</v>
      </c>
      <c r="K111" s="170"/>
      <c r="L111" s="170"/>
      <c r="M111" s="86" t="s">
        <v>1706</v>
      </c>
      <c r="N111" s="86" t="s">
        <v>1471</v>
      </c>
      <c r="O111" s="86" t="s">
        <v>1686</v>
      </c>
      <c r="P111" s="86" t="s">
        <v>1707</v>
      </c>
      <c r="Q111" s="86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>
      <c r="A112" s="82"/>
      <c r="B112" s="82"/>
      <c r="C112" s="86">
        <v>7</v>
      </c>
      <c r="D112" s="170" t="s">
        <v>1708</v>
      </c>
      <c r="E112" s="170"/>
      <c r="F112" s="170"/>
      <c r="G112" s="170" t="s">
        <v>1709</v>
      </c>
      <c r="H112" s="170"/>
      <c r="I112" s="170"/>
      <c r="J112" s="170" t="s">
        <v>1710</v>
      </c>
      <c r="K112" s="170"/>
      <c r="L112" s="170"/>
      <c r="M112" s="86" t="s">
        <v>1711</v>
      </c>
      <c r="N112" s="86" t="s">
        <v>1536</v>
      </c>
      <c r="O112" s="86" t="s">
        <v>1686</v>
      </c>
      <c r="P112" s="86" t="s">
        <v>1712</v>
      </c>
      <c r="Q112" s="86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>
      <c r="A113" s="82"/>
      <c r="B113" s="82"/>
      <c r="C113" s="86">
        <v>8</v>
      </c>
      <c r="D113" s="170" t="s">
        <v>1713</v>
      </c>
      <c r="E113" s="170"/>
      <c r="F113" s="170"/>
      <c r="G113" s="170" t="s">
        <v>1714</v>
      </c>
      <c r="H113" s="170"/>
      <c r="I113" s="170"/>
      <c r="J113" s="170" t="s">
        <v>1715</v>
      </c>
      <c r="K113" s="170"/>
      <c r="L113" s="170"/>
      <c r="M113" s="86" t="s">
        <v>1716</v>
      </c>
      <c r="N113" s="86" t="s">
        <v>1561</v>
      </c>
      <c r="O113" s="86" t="s">
        <v>1686</v>
      </c>
      <c r="P113" s="86" t="s">
        <v>1717</v>
      </c>
      <c r="Q113" s="86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>
      <c r="A114" s="82"/>
      <c r="B114" s="82"/>
      <c r="C114" s="86">
        <v>9</v>
      </c>
      <c r="D114" s="170" t="s">
        <v>1718</v>
      </c>
      <c r="E114" s="170"/>
      <c r="F114" s="170"/>
      <c r="G114" s="170" t="s">
        <v>1719</v>
      </c>
      <c r="H114" s="170"/>
      <c r="I114" s="170"/>
      <c r="J114" s="170" t="s">
        <v>1720</v>
      </c>
      <c r="K114" s="170"/>
      <c r="L114" s="170"/>
      <c r="M114" s="86" t="s">
        <v>1721</v>
      </c>
      <c r="N114" s="86" t="s">
        <v>1641</v>
      </c>
      <c r="O114" s="86" t="s">
        <v>1722</v>
      </c>
      <c r="P114" s="86" t="s">
        <v>1723</v>
      </c>
      <c r="Q114" s="86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>
      <c r="A115" s="82"/>
      <c r="B115" s="82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>
      <c r="A116" s="82"/>
      <c r="B116" s="82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>
      <c r="A117" s="82"/>
      <c r="B117" s="82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>
      <c r="A118" s="82"/>
      <c r="B118" s="82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>
      <c r="A119" s="82"/>
      <c r="B119" s="82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>
      <c r="A120" s="82"/>
      <c r="B120" s="82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>
      <c r="A121" s="82"/>
      <c r="B121" s="82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>
      <c r="A122" s="82"/>
      <c r="B122" s="82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>
      <c r="A123" s="82"/>
      <c r="B123" s="82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>
      <c r="A124" s="82"/>
      <c r="B124" s="82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>
      <c r="A125" s="82"/>
      <c r="B125" s="82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>
      <c r="A126" s="82"/>
      <c r="B126" s="82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>
      <c r="A127" s="82"/>
      <c r="B127" s="82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>
      <c r="A128" s="82"/>
      <c r="B128" s="82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>
      <c r="A129" s="82"/>
      <c r="B129" s="82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>
      <c r="A130" s="82"/>
      <c r="B130" s="82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>
      <c r="A131" s="82"/>
      <c r="B131" s="82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>
      <c r="A132" s="82"/>
      <c r="B132" s="82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>
      <c r="A133" s="82"/>
      <c r="B133" s="82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>
      <c r="A134" s="82"/>
      <c r="B134" s="82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>
      <c r="A135" s="82"/>
      <c r="B135" s="82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>
      <c r="A136" s="82"/>
      <c r="B136" s="82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>
      <c r="A137" s="82"/>
      <c r="B137" s="82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>
      <c r="A138" s="82"/>
      <c r="B138" s="82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>
      <c r="A139" s="82"/>
      <c r="B139" s="82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>
      <c r="A140" s="82"/>
      <c r="B140" s="82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</row>
    <row r="142" spans="1:26"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</row>
    <row r="143" spans="1:26"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</row>
    <row r="144" spans="1:26"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</row>
    <row r="145" spans="3:16"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</row>
    <row r="146" spans="3:16"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</row>
    <row r="147" spans="3:16"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</row>
    <row r="148" spans="3:16"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</row>
    <row r="149" spans="3:16"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</row>
    <row r="150" spans="3:16"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</row>
  </sheetData>
  <mergeCells count="99">
    <mergeCell ref="D113:F113"/>
    <mergeCell ref="G113:I113"/>
    <mergeCell ref="J113:L113"/>
    <mergeCell ref="D114:F114"/>
    <mergeCell ref="G114:I114"/>
    <mergeCell ref="J114:L114"/>
    <mergeCell ref="D111:F111"/>
    <mergeCell ref="G111:I111"/>
    <mergeCell ref="J111:L111"/>
    <mergeCell ref="D112:F112"/>
    <mergeCell ref="G112:I112"/>
    <mergeCell ref="J112:L112"/>
    <mergeCell ref="D109:F109"/>
    <mergeCell ref="G109:I109"/>
    <mergeCell ref="J109:L109"/>
    <mergeCell ref="D110:F110"/>
    <mergeCell ref="G110:I110"/>
    <mergeCell ref="J110:L110"/>
    <mergeCell ref="D107:F107"/>
    <mergeCell ref="G107:I107"/>
    <mergeCell ref="J107:L107"/>
    <mergeCell ref="D108:F108"/>
    <mergeCell ref="G108:I108"/>
    <mergeCell ref="J108:L108"/>
    <mergeCell ref="C104:P104"/>
    <mergeCell ref="D105:F105"/>
    <mergeCell ref="G105:I105"/>
    <mergeCell ref="J105:L105"/>
    <mergeCell ref="D106:F106"/>
    <mergeCell ref="G106:I106"/>
    <mergeCell ref="J106:L106"/>
    <mergeCell ref="D100:G100"/>
    <mergeCell ref="H100:M100"/>
    <mergeCell ref="O100:P100"/>
    <mergeCell ref="D101:G101"/>
    <mergeCell ref="H101:M101"/>
    <mergeCell ref="O101:P101"/>
    <mergeCell ref="D98:G98"/>
    <mergeCell ref="H98:M98"/>
    <mergeCell ref="O98:P98"/>
    <mergeCell ref="D99:G99"/>
    <mergeCell ref="H99:M99"/>
    <mergeCell ref="O99:P99"/>
    <mergeCell ref="D96:G96"/>
    <mergeCell ref="H96:M96"/>
    <mergeCell ref="O96:P96"/>
    <mergeCell ref="D97:G97"/>
    <mergeCell ref="H97:M97"/>
    <mergeCell ref="O97:P97"/>
    <mergeCell ref="D94:G94"/>
    <mergeCell ref="H94:M94"/>
    <mergeCell ref="O94:P94"/>
    <mergeCell ref="D95:G95"/>
    <mergeCell ref="H95:M95"/>
    <mergeCell ref="O95:P95"/>
    <mergeCell ref="D92:G92"/>
    <mergeCell ref="H92:M92"/>
    <mergeCell ref="O92:P92"/>
    <mergeCell ref="D93:G93"/>
    <mergeCell ref="H93:M93"/>
    <mergeCell ref="O93:P93"/>
    <mergeCell ref="D90:G90"/>
    <mergeCell ref="H90:M90"/>
    <mergeCell ref="O90:P90"/>
    <mergeCell ref="D91:G91"/>
    <mergeCell ref="H91:M91"/>
    <mergeCell ref="O91:P91"/>
    <mergeCell ref="C87:P87"/>
    <mergeCell ref="D88:G88"/>
    <mergeCell ref="H88:M88"/>
    <mergeCell ref="O88:P88"/>
    <mergeCell ref="D89:G89"/>
    <mergeCell ref="H89:M89"/>
    <mergeCell ref="O89:P89"/>
    <mergeCell ref="H80:P80"/>
    <mergeCell ref="H81:P81"/>
    <mergeCell ref="H82:P82"/>
    <mergeCell ref="H83:P83"/>
    <mergeCell ref="H84:P84"/>
    <mergeCell ref="C75:P75"/>
    <mergeCell ref="H76:P76"/>
    <mergeCell ref="H77:P77"/>
    <mergeCell ref="H78:P78"/>
    <mergeCell ref="H79:P79"/>
    <mergeCell ref="C2:Q2"/>
    <mergeCell ref="C3:I5"/>
    <mergeCell ref="C19:Q20"/>
    <mergeCell ref="O4:P4"/>
    <mergeCell ref="O5:P5"/>
    <mergeCell ref="K6:L6"/>
    <mergeCell ref="K7:L7"/>
    <mergeCell ref="M6:N6"/>
    <mergeCell ref="M7:N7"/>
    <mergeCell ref="O6:P6"/>
    <mergeCell ref="O7:P7"/>
    <mergeCell ref="K4:L4"/>
    <mergeCell ref="K5:L5"/>
    <mergeCell ref="M4:N4"/>
    <mergeCell ref="M5:N5"/>
  </mergeCells>
  <conditionalFormatting sqref="D19:D42">
    <cfRule type="expression" dxfId="89" priority="6">
      <formula>D19="Wave A"</formula>
    </cfRule>
    <cfRule type="expression" dxfId="88" priority="7">
      <formula>D19="Wave B"</formula>
    </cfRule>
    <cfRule type="expression" dxfId="87" priority="8">
      <formula>D19="Wave C"</formula>
    </cfRule>
    <cfRule type="expression" dxfId="86" priority="9">
      <formula>D19="Wave D"</formula>
    </cfRule>
    <cfRule type="expression" dxfId="85" priority="10">
      <formula>D19="Wave E"</formula>
    </cfRule>
    <cfRule type="expression" dxfId="84" priority="11">
      <formula>D19="Wave F"</formula>
    </cfRule>
  </conditionalFormatting>
  <conditionalFormatting sqref="D19:D58">
    <cfRule type="expression" dxfId="83" priority="21">
      <formula>D19="Wave 0"</formula>
    </cfRule>
    <cfRule type="expression" dxfId="82" priority="28">
      <formula>D19="Wave G"</formula>
    </cfRule>
    <cfRule type="expression" dxfId="81" priority="27">
      <formula>D19="Wave F"</formula>
    </cfRule>
    <cfRule type="expression" dxfId="80" priority="26">
      <formula>D19="Wave E"</formula>
    </cfRule>
    <cfRule type="expression" dxfId="79" priority="25">
      <formula>D19="Wave D"</formula>
    </cfRule>
    <cfRule type="expression" dxfId="78" priority="24">
      <formula>D19="Wave C"</formula>
    </cfRule>
    <cfRule type="expression" dxfId="77" priority="23">
      <formula>D19="Wave B"</formula>
    </cfRule>
    <cfRule type="expression" dxfId="76" priority="22">
      <formula>D19="Wave A"</formula>
    </cfRule>
  </conditionalFormatting>
  <conditionalFormatting sqref="D22:D61">
    <cfRule type="expression" dxfId="75" priority="40">
      <formula>D22="Wave 0"</formula>
    </cfRule>
    <cfRule type="expression" dxfId="74" priority="47">
      <formula>D22="Wave G"</formula>
    </cfRule>
    <cfRule type="expression" dxfId="73" priority="46">
      <formula>D22="Wave F"</formula>
    </cfRule>
    <cfRule type="expression" dxfId="72" priority="45">
      <formula>D22="Wave E"</formula>
    </cfRule>
    <cfRule type="expression" dxfId="71" priority="44">
      <formula>D22="Wave D"</formula>
    </cfRule>
    <cfRule type="expression" dxfId="70" priority="43">
      <formula>D22="Wave C"</formula>
    </cfRule>
    <cfRule type="expression" dxfId="69" priority="42">
      <formula>D22="Wave B"</formula>
    </cfRule>
    <cfRule type="expression" dxfId="68" priority="41">
      <formula>D22="Wave A"</formula>
    </cfRule>
  </conditionalFormatting>
  <conditionalFormatting sqref="E6:E15">
    <cfRule type="colorScale" priority="12">
      <colorScale>
        <cfvo type="min"/>
        <cfvo type="percentile" val="50"/>
        <cfvo type="max"/>
        <color rgb="FFF4CCCC"/>
        <color rgb="FFFFF2CC"/>
        <color rgb="FFD9EAD3"/>
      </colorScale>
    </cfRule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E8:E17">
    <cfRule type="colorScale" priority="29">
      <colorScale>
        <cfvo type="min"/>
        <cfvo type="percentile" val="50"/>
        <cfvo type="max"/>
        <color rgb="FFF4CCCC"/>
        <color rgb="FFFFF2CC"/>
        <color rgb="FFE2F0D9"/>
      </colorScale>
    </cfRule>
  </conditionalFormatting>
  <conditionalFormatting sqref="F6:F15">
    <cfRule type="expression" dxfId="67" priority="14">
      <formula>LEFT(F6,18)="Partially complete"</formula>
    </cfRule>
    <cfRule type="expression" dxfId="66" priority="13">
      <formula>OR(F6="Not started",F6="Infrastructure only")</formula>
    </cfRule>
    <cfRule type="expression" dxfId="65" priority="3">
      <formula>LEFT(F6,18)="Partially complete"</formula>
    </cfRule>
    <cfRule type="expression" dxfId="64" priority="2">
      <formula>OR(F6="Not started",F6="Infrastructure only")</formula>
    </cfRule>
  </conditionalFormatting>
  <conditionalFormatting sqref="F8:F17">
    <cfRule type="expression" dxfId="63" priority="30">
      <formula>OR(F8="Not started",F8="Infrastructure only")</formula>
    </cfRule>
    <cfRule type="expression" dxfId="62" priority="31">
      <formula>LEFT(F8,7)="Partial"</formula>
    </cfRule>
  </conditionalFormatting>
  <conditionalFormatting sqref="J19:J42">
    <cfRule type="expression" dxfId="61" priority="5">
      <formula>J19="P1 High"</formula>
    </cfRule>
    <cfRule type="expression" dxfId="60" priority="4">
      <formula>J19="P0 Critical"</formula>
    </cfRule>
  </conditionalFormatting>
  <conditionalFormatting sqref="J19:J58">
    <cfRule type="expression" dxfId="59" priority="16">
      <formula>J19="P1 High"</formula>
    </cfRule>
    <cfRule type="expression" dxfId="58" priority="15">
      <formula>J19="P0 Critical"</formula>
    </cfRule>
  </conditionalFormatting>
  <conditionalFormatting sqref="J19:K58">
    <cfRule type="expression" dxfId="57" priority="17">
      <formula>LEFT(J19,11)="Conditional"</formula>
    </cfRule>
  </conditionalFormatting>
  <conditionalFormatting sqref="K19:K58">
    <cfRule type="expression" dxfId="56" priority="19">
      <formula>ISNUMBER(SEARCH("merged from RA DLE",K19))</formula>
    </cfRule>
    <cfRule type="expression" dxfId="55" priority="20">
      <formula>ISNUMBER(SEARCH("corrected RA DLE",K19))</formula>
    </cfRule>
  </conditionalFormatting>
  <conditionalFormatting sqref="K22:K61">
    <cfRule type="expression" dxfId="54" priority="34">
      <formula>K22="P1 High"</formula>
    </cfRule>
    <cfRule type="expression" dxfId="53" priority="35">
      <formula>K22="P2 Later"</formula>
    </cfRule>
    <cfRule type="expression" dxfId="52" priority="33">
      <formula>K22="P0 Critical"</formula>
    </cfRule>
  </conditionalFormatting>
  <conditionalFormatting sqref="L22:L61">
    <cfRule type="expression" dxfId="51" priority="36">
      <formula>L22="Conditional"</formula>
    </cfRule>
  </conditionalFormatting>
  <conditionalFormatting sqref="M22:M61">
    <cfRule type="colorScale" priority="32">
      <colorScale>
        <cfvo type="min"/>
        <cfvo type="percentile" val="50"/>
        <cfvo type="max"/>
        <color rgb="FFF4CCCC"/>
        <color rgb="FFFFF2CC"/>
        <color rgb="FFE2F0D9"/>
      </colorScale>
    </cfRule>
  </conditionalFormatting>
  <conditionalFormatting sqref="M62:M72">
    <cfRule type="colorScale" priority="48">
      <colorScale>
        <cfvo type="min"/>
        <cfvo type="percentile" val="50"/>
        <cfvo type="max"/>
        <color rgb="FFF4CCCC"/>
        <color rgb="FFFFF2CC"/>
        <color rgb="FFE2F0D9"/>
      </colorScale>
    </cfRule>
  </conditionalFormatting>
  <conditionalFormatting sqref="N22:N61">
    <cfRule type="expression" dxfId="50" priority="39">
      <formula>N22="High"</formula>
    </cfRule>
    <cfRule type="expression" dxfId="49" priority="38">
      <formula>N22="Medium"</formula>
    </cfRule>
    <cfRule type="expression" dxfId="48" priority="37">
      <formula>N22="Low"</formula>
    </cfRule>
  </conditionalFormatting>
  <conditionalFormatting sqref="Q22:Q65">
    <cfRule type="expression" dxfId="47" priority="65">
      <formula>Q22="NOT ASSESSED"</formula>
    </cfRule>
    <cfRule type="expression" dxfId="46" priority="61">
      <formula>Q22="PARTIAL"</formula>
    </cfRule>
    <cfRule type="expression" dxfId="45" priority="62">
      <formula>Q22="NOT STARTED"</formula>
    </cfRule>
    <cfRule type="expression" dxfId="44" priority="63">
      <formula>Q22="BLOCKED"</formula>
    </cfRule>
    <cfRule type="expression" dxfId="43" priority="64">
      <formula>Q22="GOVERNANCE ONLY"</formula>
    </cfRule>
  </conditionalFormatting>
  <conditionalFormatting sqref="Q22:Q67">
    <cfRule type="expression" dxfId="42" priority="52">
      <formula>Q22="PARTIAL"</formula>
    </cfRule>
    <cfRule type="expression" dxfId="41" priority="54">
      <formula>Q22="BLOCKED"</formula>
    </cfRule>
    <cfRule type="expression" dxfId="40" priority="55">
      <formula>Q22="GOVERNANCE ONLY"</formula>
    </cfRule>
    <cfRule type="expression" dxfId="39" priority="53">
      <formula>Q22="NOT STARTED"</formula>
    </cfRule>
  </conditionalFormatting>
  <conditionalFormatting sqref="Q22:Q72">
    <cfRule type="expression" dxfId="38" priority="50">
      <formula>Q22="NOT STARTED"</formula>
    </cfRule>
    <cfRule type="expression" dxfId="37" priority="51">
      <formula>Q22="GOVERNANCE ONLY"</formula>
    </cfRule>
    <cfRule type="expression" dxfId="36" priority="49">
      <formula>Q22="PARTIAL"</formula>
    </cfRule>
  </conditionalFormatting>
  <conditionalFormatting sqref="Q22:Q74">
    <cfRule type="expression" dxfId="35" priority="56">
      <formula>Q22="PARTIAL"</formula>
    </cfRule>
    <cfRule type="expression" dxfId="34" priority="57">
      <formula>Q22="NOT STARTED"</formula>
    </cfRule>
    <cfRule type="expression" dxfId="33" priority="58">
      <formula>Q22="BLOCKED"</formula>
    </cfRule>
    <cfRule type="expression" dxfId="32" priority="59">
      <formula>Q22="GOVERNANCE ONLY"</formula>
    </cfRule>
    <cfRule type="expression" dxfId="31" priority="60">
      <formula>Q22="NOT ASSESSED"</formula>
    </cfRule>
  </conditionalFormatting>
  <dataValidations count="3">
    <dataValidation type="list" sqref="K22:K72" xr:uid="{00000000-0002-0000-0700-000000000000}">
      <formula1>"P0 Critical,P1 High,P2 Later"</formula1>
    </dataValidation>
    <dataValidation type="list" sqref="L22:L72" xr:uid="{00000000-0002-0000-0700-000001000000}">
      <formula1>"Core,Conditional"</formula1>
    </dataValidation>
    <dataValidation type="list" sqref="N22:N72" xr:uid="{00000000-0002-0000-0700-000002000000}">
      <formula1>"High,Medium,Low"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30"/>
  <sheetViews>
    <sheetView workbookViewId="0">
      <selection sqref="A1:Q1"/>
    </sheetView>
  </sheetViews>
  <sheetFormatPr baseColWidth="10" defaultColWidth="8.83203125" defaultRowHeight="13"/>
  <cols>
    <col min="1" max="1" width="24.6640625" style="102" customWidth="1"/>
    <col min="2" max="2" width="44.83203125" style="102" customWidth="1"/>
    <col min="3" max="3" width="18" style="102" customWidth="1"/>
    <col min="4" max="4" width="17" style="102" customWidth="1"/>
    <col min="5" max="5" width="26" style="102" customWidth="1"/>
    <col min="6" max="6" width="30" style="102" customWidth="1"/>
    <col min="7" max="7" width="51.83203125" style="102" customWidth="1"/>
    <col min="8" max="8" width="34" style="102" customWidth="1"/>
    <col min="9" max="9" width="38" style="102" customWidth="1"/>
    <col min="10" max="10" width="34" style="102" customWidth="1"/>
    <col min="11" max="11" width="39" style="102" customWidth="1"/>
    <col min="12" max="12" width="10" style="102" customWidth="1"/>
    <col min="13" max="13" width="12" style="102" customWidth="1"/>
    <col min="14" max="14" width="20" style="102" customWidth="1"/>
    <col min="15" max="15" width="38" style="102" customWidth="1"/>
    <col min="16" max="16" width="28" style="102" customWidth="1"/>
    <col min="17" max="17" width="48" style="102" customWidth="1"/>
    <col min="18" max="16384" width="8.83203125" style="102"/>
  </cols>
  <sheetData>
    <row r="1" spans="1:17" ht="21">
      <c r="A1" s="175" t="s">
        <v>1728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</row>
    <row r="2" spans="1:17">
      <c r="A2" s="176" t="s">
        <v>1729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4" spans="1:17">
      <c r="A4" s="123" t="s">
        <v>1730</v>
      </c>
      <c r="B4" s="123" t="s">
        <v>1731</v>
      </c>
      <c r="D4" s="123" t="s">
        <v>1732</v>
      </c>
      <c r="E4" s="123" t="s">
        <v>1733</v>
      </c>
      <c r="G4" s="123" t="s">
        <v>1734</v>
      </c>
      <c r="H4" s="123" t="s">
        <v>1733</v>
      </c>
      <c r="J4" s="123" t="s">
        <v>1735</v>
      </c>
      <c r="K4" s="123" t="s">
        <v>1736</v>
      </c>
      <c r="L4" s="123"/>
      <c r="M4" s="123"/>
      <c r="N4" s="123"/>
      <c r="O4" s="123"/>
      <c r="P4" s="123"/>
      <c r="Q4" s="123"/>
    </row>
    <row r="5" spans="1:17" ht="42">
      <c r="A5" s="127" t="s">
        <v>1737</v>
      </c>
      <c r="B5" s="127">
        <v>12</v>
      </c>
      <c r="D5" s="127" t="s">
        <v>1738</v>
      </c>
      <c r="E5" s="127" t="s">
        <v>1620</v>
      </c>
      <c r="G5" s="127" t="s">
        <v>1739</v>
      </c>
      <c r="H5" s="127" t="s">
        <v>1611</v>
      </c>
      <c r="J5" s="127" t="s">
        <v>1740</v>
      </c>
      <c r="K5" s="127" t="s">
        <v>1741</v>
      </c>
      <c r="L5" s="127"/>
      <c r="M5" s="127"/>
      <c r="N5" s="127"/>
      <c r="O5" s="127"/>
      <c r="P5" s="127"/>
      <c r="Q5" s="127"/>
    </row>
    <row r="6" spans="1:17" ht="42">
      <c r="A6" s="127" t="s">
        <v>1742</v>
      </c>
      <c r="B6" s="127">
        <v>5</v>
      </c>
      <c r="D6" s="127" t="s">
        <v>1743</v>
      </c>
      <c r="E6" s="127" t="s">
        <v>1619</v>
      </c>
      <c r="G6" s="127" t="s">
        <v>1744</v>
      </c>
      <c r="H6" s="127" t="s">
        <v>1745</v>
      </c>
      <c r="J6" s="127" t="s">
        <v>1746</v>
      </c>
      <c r="K6" s="127" t="s">
        <v>1747</v>
      </c>
      <c r="L6" s="127"/>
      <c r="M6" s="127"/>
      <c r="N6" s="127"/>
      <c r="O6" s="127"/>
      <c r="P6" s="127"/>
      <c r="Q6" s="127"/>
    </row>
    <row r="7" spans="1:17" ht="42">
      <c r="A7" s="127" t="s">
        <v>1748</v>
      </c>
      <c r="B7" s="127">
        <v>0</v>
      </c>
      <c r="D7" s="127" t="s">
        <v>1749</v>
      </c>
      <c r="E7" s="127" t="s">
        <v>1612</v>
      </c>
      <c r="G7" s="127" t="s">
        <v>1750</v>
      </c>
      <c r="H7" s="127" t="s">
        <v>1751</v>
      </c>
      <c r="J7" s="127" t="s">
        <v>1752</v>
      </c>
      <c r="K7" s="127" t="s">
        <v>1753</v>
      </c>
      <c r="L7" s="127"/>
      <c r="M7" s="127"/>
      <c r="N7" s="127"/>
      <c r="O7" s="127"/>
      <c r="P7" s="127"/>
      <c r="Q7" s="127"/>
    </row>
    <row r="9" spans="1:17" ht="14">
      <c r="A9" s="124" t="s">
        <v>848</v>
      </c>
      <c r="B9" s="125" t="s">
        <v>1754</v>
      </c>
      <c r="C9" s="125" t="s">
        <v>1297</v>
      </c>
      <c r="D9" s="125" t="s">
        <v>1298</v>
      </c>
      <c r="E9" s="125" t="s">
        <v>1755</v>
      </c>
      <c r="F9" s="125" t="s">
        <v>1300</v>
      </c>
      <c r="G9" s="125" t="s">
        <v>1301</v>
      </c>
      <c r="H9" s="125" t="s">
        <v>1756</v>
      </c>
      <c r="I9" s="125" t="s">
        <v>1757</v>
      </c>
      <c r="J9" s="125" t="s">
        <v>1758</v>
      </c>
      <c r="K9" s="125" t="s">
        <v>1759</v>
      </c>
      <c r="L9" s="125" t="s">
        <v>1760</v>
      </c>
      <c r="M9" s="125" t="s">
        <v>307</v>
      </c>
      <c r="N9" s="125" t="s">
        <v>1761</v>
      </c>
      <c r="O9" s="125" t="s">
        <v>1305</v>
      </c>
      <c r="P9" s="125" t="s">
        <v>1762</v>
      </c>
      <c r="Q9" s="126" t="s">
        <v>1763</v>
      </c>
    </row>
    <row r="10" spans="1:17" ht="56">
      <c r="A10" s="128">
        <v>1</v>
      </c>
      <c r="B10" s="41" t="s">
        <v>1764</v>
      </c>
      <c r="C10" s="41" t="s">
        <v>1765</v>
      </c>
      <c r="D10" s="41" t="s">
        <v>261</v>
      </c>
      <c r="E10" s="41" t="s">
        <v>1766</v>
      </c>
      <c r="F10" s="41" t="s">
        <v>1767</v>
      </c>
      <c r="G10" s="41" t="s">
        <v>1768</v>
      </c>
      <c r="H10" s="41" t="s">
        <v>1769</v>
      </c>
      <c r="I10" s="41" t="s">
        <v>1770</v>
      </c>
      <c r="J10" s="41" t="s">
        <v>1771</v>
      </c>
      <c r="K10" s="41" t="s">
        <v>1772</v>
      </c>
      <c r="L10" s="41" t="s">
        <v>1315</v>
      </c>
      <c r="M10" s="41" t="s">
        <v>1314</v>
      </c>
      <c r="N10" s="41" t="s">
        <v>1773</v>
      </c>
      <c r="O10" s="41" t="s">
        <v>1774</v>
      </c>
      <c r="P10" s="41" t="s">
        <v>1775</v>
      </c>
      <c r="Q10" s="129" t="s">
        <v>1776</v>
      </c>
    </row>
    <row r="11" spans="1:17" ht="56">
      <c r="A11" s="128">
        <v>2</v>
      </c>
      <c r="B11" s="41" t="s">
        <v>1764</v>
      </c>
      <c r="C11" s="41" t="s">
        <v>1777</v>
      </c>
      <c r="D11" s="41" t="s">
        <v>280</v>
      </c>
      <c r="E11" s="41" t="s">
        <v>1778</v>
      </c>
      <c r="F11" s="41" t="s">
        <v>1779</v>
      </c>
      <c r="G11" s="41" t="s">
        <v>1780</v>
      </c>
      <c r="H11" s="41" t="s">
        <v>1781</v>
      </c>
      <c r="I11" s="41" t="s">
        <v>1782</v>
      </c>
      <c r="J11" s="41" t="s">
        <v>1783</v>
      </c>
      <c r="K11" s="41" t="s">
        <v>1784</v>
      </c>
      <c r="L11" s="41" t="s">
        <v>1315</v>
      </c>
      <c r="M11" s="41" t="s">
        <v>1314</v>
      </c>
      <c r="N11" s="41" t="s">
        <v>1785</v>
      </c>
      <c r="O11" s="41" t="s">
        <v>1786</v>
      </c>
      <c r="P11" s="41" t="s">
        <v>1787</v>
      </c>
      <c r="Q11" s="129" t="s">
        <v>1788</v>
      </c>
    </row>
    <row r="12" spans="1:17" ht="42">
      <c r="A12" s="128">
        <v>3</v>
      </c>
      <c r="B12" s="41" t="s">
        <v>1764</v>
      </c>
      <c r="C12" s="41" t="s">
        <v>1789</v>
      </c>
      <c r="D12" s="41" t="s">
        <v>402</v>
      </c>
      <c r="E12" s="41" t="s">
        <v>1790</v>
      </c>
      <c r="F12" s="41" t="s">
        <v>1791</v>
      </c>
      <c r="G12" s="41" t="s">
        <v>1792</v>
      </c>
      <c r="H12" s="41" t="s">
        <v>1793</v>
      </c>
      <c r="I12" s="41" t="s">
        <v>1794</v>
      </c>
      <c r="J12" s="41" t="s">
        <v>1795</v>
      </c>
      <c r="K12" s="41" t="s">
        <v>1796</v>
      </c>
      <c r="L12" s="41" t="s">
        <v>1315</v>
      </c>
      <c r="M12" s="41" t="s">
        <v>1314</v>
      </c>
      <c r="N12" s="41" t="s">
        <v>1797</v>
      </c>
      <c r="O12" s="41" t="s">
        <v>1798</v>
      </c>
      <c r="P12" s="41" t="s">
        <v>1799</v>
      </c>
      <c r="Q12" s="129" t="s">
        <v>1800</v>
      </c>
    </row>
    <row r="13" spans="1:17" ht="42">
      <c r="A13" s="128">
        <v>4</v>
      </c>
      <c r="B13" s="41" t="s">
        <v>1801</v>
      </c>
      <c r="C13" s="41" t="s">
        <v>1802</v>
      </c>
      <c r="D13" s="41" t="s">
        <v>1605</v>
      </c>
      <c r="E13" s="41" t="s">
        <v>1803</v>
      </c>
      <c r="F13" s="41" t="s">
        <v>1804</v>
      </c>
      <c r="G13" s="41" t="s">
        <v>1805</v>
      </c>
      <c r="H13" s="41" t="s">
        <v>1806</v>
      </c>
      <c r="I13" s="41" t="s">
        <v>1807</v>
      </c>
      <c r="J13" s="41" t="s">
        <v>1808</v>
      </c>
      <c r="K13" s="41" t="s">
        <v>1809</v>
      </c>
      <c r="L13" s="41" t="s">
        <v>1315</v>
      </c>
      <c r="M13" s="41" t="s">
        <v>1314</v>
      </c>
      <c r="N13" s="41" t="s">
        <v>1810</v>
      </c>
      <c r="O13" s="41" t="s">
        <v>1811</v>
      </c>
      <c r="P13" s="41" t="s">
        <v>1812</v>
      </c>
      <c r="Q13" s="129" t="s">
        <v>1813</v>
      </c>
    </row>
    <row r="14" spans="1:17" ht="42">
      <c r="A14" s="128">
        <v>5</v>
      </c>
      <c r="B14" s="41" t="s">
        <v>1814</v>
      </c>
      <c r="C14" s="41" t="s">
        <v>1815</v>
      </c>
      <c r="D14" s="41" t="s">
        <v>1626</v>
      </c>
      <c r="E14" s="41" t="s">
        <v>1627</v>
      </c>
      <c r="F14" s="41" t="s">
        <v>1816</v>
      </c>
      <c r="G14" s="41" t="s">
        <v>1817</v>
      </c>
      <c r="H14" s="41" t="s">
        <v>1818</v>
      </c>
      <c r="I14" s="41" t="s">
        <v>1819</v>
      </c>
      <c r="J14" s="41" t="s">
        <v>1820</v>
      </c>
      <c r="K14" s="41" t="s">
        <v>1821</v>
      </c>
      <c r="L14" s="41" t="s">
        <v>1459</v>
      </c>
      <c r="M14" s="41" t="s">
        <v>1373</v>
      </c>
      <c r="N14" s="41" t="s">
        <v>1822</v>
      </c>
      <c r="O14" s="41" t="s">
        <v>1823</v>
      </c>
      <c r="P14" s="41" t="s">
        <v>1824</v>
      </c>
      <c r="Q14" s="129" t="s">
        <v>1825</v>
      </c>
    </row>
    <row r="15" spans="1:17" ht="56">
      <c r="A15" s="130">
        <v>6</v>
      </c>
      <c r="B15" s="131" t="s">
        <v>1826</v>
      </c>
      <c r="C15" s="131" t="s">
        <v>1610</v>
      </c>
      <c r="D15" s="131" t="s">
        <v>1611</v>
      </c>
      <c r="E15" s="131" t="s">
        <v>1827</v>
      </c>
      <c r="F15" s="131" t="s">
        <v>1828</v>
      </c>
      <c r="G15" s="131" t="s">
        <v>1829</v>
      </c>
      <c r="H15" s="131" t="s">
        <v>1830</v>
      </c>
      <c r="I15" s="131" t="s">
        <v>1831</v>
      </c>
      <c r="J15" s="131" t="s">
        <v>1832</v>
      </c>
      <c r="K15" s="131" t="s">
        <v>1833</v>
      </c>
      <c r="L15" s="131" t="s">
        <v>1315</v>
      </c>
      <c r="M15" s="131" t="s">
        <v>1314</v>
      </c>
      <c r="N15" s="131" t="s">
        <v>1834</v>
      </c>
      <c r="O15" s="131" t="s">
        <v>1835</v>
      </c>
      <c r="P15" s="131" t="s">
        <v>1836</v>
      </c>
      <c r="Q15" s="132" t="s">
        <v>1837</v>
      </c>
    </row>
    <row r="16" spans="1:17" ht="42">
      <c r="A16" s="130">
        <v>7</v>
      </c>
      <c r="B16" s="131" t="s">
        <v>1838</v>
      </c>
      <c r="C16" s="131" t="s">
        <v>1839</v>
      </c>
      <c r="D16" s="131" t="s">
        <v>1612</v>
      </c>
      <c r="E16" s="131" t="s">
        <v>1840</v>
      </c>
      <c r="F16" s="131" t="s">
        <v>1841</v>
      </c>
      <c r="G16" s="131" t="s">
        <v>1842</v>
      </c>
      <c r="H16" s="131" t="s">
        <v>1843</v>
      </c>
      <c r="I16" s="131" t="s">
        <v>1844</v>
      </c>
      <c r="J16" s="131" t="s">
        <v>1845</v>
      </c>
      <c r="K16" s="131" t="s">
        <v>1846</v>
      </c>
      <c r="L16" s="131" t="s">
        <v>1315</v>
      </c>
      <c r="M16" s="131" t="s">
        <v>1314</v>
      </c>
      <c r="N16" s="131" t="s">
        <v>1847</v>
      </c>
      <c r="O16" s="131" t="s">
        <v>1848</v>
      </c>
      <c r="P16" s="131" t="s">
        <v>1849</v>
      </c>
      <c r="Q16" s="132" t="s">
        <v>1850</v>
      </c>
    </row>
    <row r="17" spans="1:17" ht="70">
      <c r="A17" s="130">
        <v>8</v>
      </c>
      <c r="B17" s="131" t="s">
        <v>1838</v>
      </c>
      <c r="C17" s="131" t="s">
        <v>1851</v>
      </c>
      <c r="D17" s="131" t="s">
        <v>1619</v>
      </c>
      <c r="E17" s="131" t="s">
        <v>1852</v>
      </c>
      <c r="F17" s="131" t="s">
        <v>1853</v>
      </c>
      <c r="G17" s="131" t="s">
        <v>1854</v>
      </c>
      <c r="H17" s="131" t="s">
        <v>1855</v>
      </c>
      <c r="I17" s="131" t="s">
        <v>1856</v>
      </c>
      <c r="J17" s="131" t="s">
        <v>1857</v>
      </c>
      <c r="K17" s="131" t="s">
        <v>1858</v>
      </c>
      <c r="L17" s="131" t="s">
        <v>1315</v>
      </c>
      <c r="M17" s="131" t="s">
        <v>1314</v>
      </c>
      <c r="N17" s="131" t="s">
        <v>1847</v>
      </c>
      <c r="O17" s="131" t="s">
        <v>1859</v>
      </c>
      <c r="P17" s="131" t="s">
        <v>1860</v>
      </c>
      <c r="Q17" s="132" t="s">
        <v>1861</v>
      </c>
    </row>
    <row r="18" spans="1:17" ht="56">
      <c r="A18" s="130">
        <v>9</v>
      </c>
      <c r="B18" s="131" t="s">
        <v>1862</v>
      </c>
      <c r="C18" s="131" t="s">
        <v>1863</v>
      </c>
      <c r="D18" s="131" t="s">
        <v>1620</v>
      </c>
      <c r="E18" s="131" t="s">
        <v>1864</v>
      </c>
      <c r="F18" s="131" t="s">
        <v>1865</v>
      </c>
      <c r="G18" s="131" t="s">
        <v>1866</v>
      </c>
      <c r="H18" s="131" t="s">
        <v>1867</v>
      </c>
      <c r="I18" s="131" t="s">
        <v>1868</v>
      </c>
      <c r="J18" s="131" t="s">
        <v>1869</v>
      </c>
      <c r="K18" s="131" t="s">
        <v>1870</v>
      </c>
      <c r="L18" s="131" t="s">
        <v>1459</v>
      </c>
      <c r="M18" s="131" t="s">
        <v>1314</v>
      </c>
      <c r="N18" s="131" t="s">
        <v>1847</v>
      </c>
      <c r="O18" s="131" t="s">
        <v>1871</v>
      </c>
      <c r="P18" s="131" t="s">
        <v>1872</v>
      </c>
      <c r="Q18" s="132" t="s">
        <v>1873</v>
      </c>
    </row>
    <row r="19" spans="1:17" ht="56">
      <c r="A19" s="128">
        <v>10</v>
      </c>
      <c r="B19" s="41" t="s">
        <v>1874</v>
      </c>
      <c r="C19" s="41" t="s">
        <v>1875</v>
      </c>
      <c r="D19" s="41" t="s">
        <v>285</v>
      </c>
      <c r="E19" s="41" t="s">
        <v>1876</v>
      </c>
      <c r="F19" s="41" t="s">
        <v>1877</v>
      </c>
      <c r="G19" s="41" t="s">
        <v>1878</v>
      </c>
      <c r="H19" s="41" t="s">
        <v>1879</v>
      </c>
      <c r="I19" s="41" t="s">
        <v>1880</v>
      </c>
      <c r="J19" s="41" t="s">
        <v>1881</v>
      </c>
      <c r="K19" s="41" t="s">
        <v>1882</v>
      </c>
      <c r="L19" s="41" t="s">
        <v>1315</v>
      </c>
      <c r="M19" s="41" t="s">
        <v>1314</v>
      </c>
      <c r="N19" s="41" t="s">
        <v>1883</v>
      </c>
      <c r="O19" s="41" t="s">
        <v>1884</v>
      </c>
      <c r="P19" s="41" t="s">
        <v>1885</v>
      </c>
      <c r="Q19" s="129" t="s">
        <v>1886</v>
      </c>
    </row>
    <row r="20" spans="1:17" ht="56">
      <c r="A20" s="128">
        <v>11</v>
      </c>
      <c r="B20" s="41" t="s">
        <v>1887</v>
      </c>
      <c r="C20" s="41" t="s">
        <v>1888</v>
      </c>
      <c r="D20" s="41" t="s">
        <v>1889</v>
      </c>
      <c r="E20" s="41" t="s">
        <v>1890</v>
      </c>
      <c r="F20" s="41" t="s">
        <v>1891</v>
      </c>
      <c r="G20" s="41" t="s">
        <v>1892</v>
      </c>
      <c r="H20" s="41" t="s">
        <v>1893</v>
      </c>
      <c r="I20" s="41" t="s">
        <v>1894</v>
      </c>
      <c r="J20" s="41" t="s">
        <v>1895</v>
      </c>
      <c r="K20" s="41" t="s">
        <v>1896</v>
      </c>
      <c r="L20" s="41" t="s">
        <v>1459</v>
      </c>
      <c r="M20" s="41" t="s">
        <v>1373</v>
      </c>
      <c r="N20" s="41" t="s">
        <v>1897</v>
      </c>
      <c r="O20" s="41" t="s">
        <v>1898</v>
      </c>
      <c r="P20" s="41" t="s">
        <v>1899</v>
      </c>
      <c r="Q20" s="129" t="s">
        <v>1900</v>
      </c>
    </row>
    <row r="21" spans="1:17" ht="56">
      <c r="A21" s="133">
        <v>12</v>
      </c>
      <c r="B21" s="134" t="s">
        <v>1901</v>
      </c>
      <c r="C21" s="134" t="s">
        <v>1902</v>
      </c>
      <c r="D21" s="134" t="s">
        <v>1903</v>
      </c>
      <c r="E21" s="134" t="s">
        <v>1904</v>
      </c>
      <c r="F21" s="134" t="s">
        <v>1905</v>
      </c>
      <c r="G21" s="134" t="s">
        <v>1906</v>
      </c>
      <c r="H21" s="134" t="s">
        <v>1907</v>
      </c>
      <c r="I21" s="134" t="s">
        <v>1908</v>
      </c>
      <c r="J21" s="134" t="s">
        <v>1909</v>
      </c>
      <c r="K21" s="134" t="s">
        <v>1910</v>
      </c>
      <c r="L21" s="134" t="s">
        <v>1315</v>
      </c>
      <c r="M21" s="134" t="s">
        <v>1314</v>
      </c>
      <c r="N21" s="134" t="s">
        <v>1911</v>
      </c>
      <c r="O21" s="134" t="s">
        <v>1912</v>
      </c>
      <c r="P21" s="134" t="s">
        <v>1913</v>
      </c>
      <c r="Q21" s="135" t="s">
        <v>1914</v>
      </c>
    </row>
    <row r="24" spans="1:17" ht="14">
      <c r="A24" s="177" t="s">
        <v>1915</v>
      </c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</row>
    <row r="25" spans="1:17" ht="42">
      <c r="A25" s="136" t="s">
        <v>1733</v>
      </c>
      <c r="B25" s="137" t="s">
        <v>1916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</row>
    <row r="26" spans="1:17" ht="42">
      <c r="A26" s="136" t="s">
        <v>1733</v>
      </c>
      <c r="B26" s="137" t="s">
        <v>1917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</row>
    <row r="27" spans="1:17" ht="42">
      <c r="A27" s="136" t="s">
        <v>1733</v>
      </c>
      <c r="B27" s="137" t="s">
        <v>1918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</row>
    <row r="28" spans="1:17" ht="56">
      <c r="A28" s="136" t="s">
        <v>1919</v>
      </c>
      <c r="B28" s="137" t="s">
        <v>1920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</row>
    <row r="29" spans="1:17" ht="42">
      <c r="A29" s="136" t="s">
        <v>1921</v>
      </c>
      <c r="B29" s="137" t="s">
        <v>1922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</row>
    <row r="30" spans="1:17" ht="42">
      <c r="A30" s="136" t="s">
        <v>1923</v>
      </c>
      <c r="B30" s="137" t="s">
        <v>1924</v>
      </c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</row>
  </sheetData>
  <mergeCells count="3">
    <mergeCell ref="A1:Q1"/>
    <mergeCell ref="A2:Q2"/>
    <mergeCell ref="A24:Q24"/>
  </mergeCells>
  <conditionalFormatting sqref="L10:L21">
    <cfRule type="expression" dxfId="30" priority="1">
      <formula>L10="High"</formula>
    </cfRule>
  </conditionalFormatting>
  <conditionalFormatting sqref="M10:M21">
    <cfRule type="expression" dxfId="29" priority="2">
      <formula>ISNUMBER(SEARCH("P0",M10))</formula>
    </cfRule>
  </conditionalFormatting>
  <conditionalFormatting sqref="N10:N21">
    <cfRule type="expression" dxfId="28" priority="3">
      <formula>OR(ISNUMBER(SEARCH("0%",N10)),ISNUMBER(SEARCH("not implemented",N10)))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61"/>
  <sheetViews>
    <sheetView topLeftCell="A16" workbookViewId="0">
      <selection activeCell="E14" sqref="E14"/>
    </sheetView>
  </sheetViews>
  <sheetFormatPr baseColWidth="10" defaultColWidth="8.83203125" defaultRowHeight="13"/>
  <cols>
    <col min="1" max="1" width="20.1640625" style="102" bestFit="1" customWidth="1"/>
    <col min="2" max="2" width="30.6640625" style="102" customWidth="1"/>
    <col min="3" max="3" width="22" style="102" customWidth="1"/>
    <col min="4" max="4" width="25" style="102" bestFit="1" customWidth="1"/>
    <col min="5" max="5" width="29.6640625" style="102" bestFit="1" customWidth="1"/>
    <col min="6" max="6" width="30.5" style="102" bestFit="1" customWidth="1"/>
    <col min="7" max="7" width="45.83203125" style="102" bestFit="1" customWidth="1"/>
    <col min="8" max="8" width="44" style="102" customWidth="1"/>
    <col min="9" max="9" width="39.5" style="102" bestFit="1" customWidth="1"/>
    <col min="10" max="10" width="39" style="102" customWidth="1"/>
    <col min="11" max="11" width="41.5" style="102" bestFit="1" customWidth="1"/>
    <col min="12" max="12" width="8.5" style="102" bestFit="1" customWidth="1"/>
    <col min="13" max="13" width="20.1640625" style="102" bestFit="1" customWidth="1"/>
    <col min="14" max="14" width="39" style="102" customWidth="1"/>
    <col min="15" max="15" width="30" style="102" customWidth="1"/>
    <col min="16" max="16" width="34" style="102" customWidth="1"/>
    <col min="17" max="17" width="47.6640625" style="102" bestFit="1" customWidth="1"/>
    <col min="18" max="18" width="32.33203125" style="102" bestFit="1" customWidth="1"/>
    <col min="19" max="16384" width="8.83203125" style="102"/>
  </cols>
  <sheetData>
    <row r="1" spans="1:18" ht="21">
      <c r="A1" s="178" t="s">
        <v>1925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</row>
    <row r="2" spans="1:18">
      <c r="A2" s="179" t="s">
        <v>1926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</row>
    <row r="4" spans="1:18">
      <c r="A4" s="181" t="s">
        <v>1730</v>
      </c>
      <c r="B4" s="181" t="s">
        <v>1731</v>
      </c>
      <c r="D4" s="181" t="s">
        <v>1927</v>
      </c>
      <c r="E4" s="181" t="s">
        <v>1733</v>
      </c>
      <c r="G4" s="181" t="s">
        <v>1928</v>
      </c>
      <c r="H4" s="181" t="s">
        <v>1733</v>
      </c>
      <c r="J4" s="181" t="s">
        <v>1929</v>
      </c>
      <c r="K4" s="181" t="s">
        <v>1736</v>
      </c>
      <c r="L4" s="181"/>
      <c r="M4" s="181"/>
      <c r="N4" s="181"/>
      <c r="O4" s="181"/>
      <c r="P4" s="181"/>
      <c r="Q4" s="181"/>
      <c r="R4" s="181"/>
    </row>
    <row r="5" spans="1:18" ht="28">
      <c r="A5" s="138" t="s">
        <v>1930</v>
      </c>
      <c r="B5" s="138">
        <v>6</v>
      </c>
      <c r="D5" s="138" t="s">
        <v>1931</v>
      </c>
      <c r="E5" s="138" t="s">
        <v>1932</v>
      </c>
      <c r="G5" s="138" t="s">
        <v>1933</v>
      </c>
      <c r="H5" s="138" t="s">
        <v>873</v>
      </c>
      <c r="J5" s="138" t="s">
        <v>1934</v>
      </c>
      <c r="K5" s="138" t="s">
        <v>1935</v>
      </c>
      <c r="L5" s="138"/>
      <c r="M5" s="138"/>
      <c r="N5" s="138"/>
      <c r="O5" s="138"/>
      <c r="P5" s="138"/>
      <c r="Q5" s="138"/>
      <c r="R5" s="138"/>
    </row>
    <row r="6" spans="1:18" ht="28">
      <c r="A6" s="138" t="s">
        <v>1936</v>
      </c>
      <c r="B6" s="138">
        <v>9</v>
      </c>
      <c r="D6" s="138" t="s">
        <v>1937</v>
      </c>
      <c r="E6" s="138" t="s">
        <v>1938</v>
      </c>
      <c r="G6" s="138" t="s">
        <v>1939</v>
      </c>
      <c r="H6" s="138" t="s">
        <v>907</v>
      </c>
      <c r="J6" s="138" t="s">
        <v>1940</v>
      </c>
      <c r="K6" s="138" t="s">
        <v>1941</v>
      </c>
      <c r="L6" s="138"/>
      <c r="M6" s="138"/>
      <c r="N6" s="138"/>
      <c r="O6" s="138"/>
      <c r="P6" s="138"/>
      <c r="Q6" s="138"/>
      <c r="R6" s="138"/>
    </row>
    <row r="7" spans="1:18" ht="28">
      <c r="A7" s="138" t="s">
        <v>1942</v>
      </c>
      <c r="B7" s="138">
        <v>2</v>
      </c>
      <c r="D7" s="138" t="s">
        <v>1943</v>
      </c>
      <c r="E7" s="138" t="s">
        <v>1944</v>
      </c>
      <c r="G7" s="138" t="s">
        <v>1945</v>
      </c>
      <c r="H7" s="138" t="s">
        <v>479</v>
      </c>
      <c r="J7" s="138" t="s">
        <v>1946</v>
      </c>
      <c r="K7" s="138" t="s">
        <v>1947</v>
      </c>
      <c r="L7" s="138"/>
      <c r="M7" s="138"/>
      <c r="N7" s="138"/>
      <c r="O7" s="138"/>
      <c r="P7" s="138"/>
      <c r="Q7" s="138"/>
      <c r="R7" s="138"/>
    </row>
    <row r="8" spans="1:18" ht="42">
      <c r="A8" s="138" t="s">
        <v>1948</v>
      </c>
      <c r="B8" s="138">
        <v>0</v>
      </c>
      <c r="D8" s="138" t="s">
        <v>1949</v>
      </c>
      <c r="E8" s="138" t="s">
        <v>1950</v>
      </c>
      <c r="G8" s="138" t="s">
        <v>1951</v>
      </c>
      <c r="H8" s="138" t="s">
        <v>1015</v>
      </c>
      <c r="J8" s="138" t="s">
        <v>1952</v>
      </c>
      <c r="K8" s="138" t="s">
        <v>1953</v>
      </c>
      <c r="L8" s="138"/>
      <c r="M8" s="138"/>
      <c r="N8" s="138"/>
      <c r="O8" s="138"/>
      <c r="P8" s="138"/>
      <c r="Q8" s="138"/>
      <c r="R8" s="138"/>
    </row>
    <row r="10" spans="1:18" ht="14">
      <c r="A10" s="139" t="s">
        <v>848</v>
      </c>
      <c r="B10" s="140" t="s">
        <v>1954</v>
      </c>
      <c r="C10" s="140" t="s">
        <v>1754</v>
      </c>
      <c r="D10" s="140" t="s">
        <v>1955</v>
      </c>
      <c r="E10" s="140" t="s">
        <v>1956</v>
      </c>
      <c r="F10" s="140" t="s">
        <v>1300</v>
      </c>
      <c r="G10" s="140" t="s">
        <v>1301</v>
      </c>
      <c r="H10" s="140" t="s">
        <v>1957</v>
      </c>
      <c r="I10" s="140" t="s">
        <v>1757</v>
      </c>
      <c r="J10" s="140" t="s">
        <v>1958</v>
      </c>
      <c r="K10" s="140" t="s">
        <v>1759</v>
      </c>
      <c r="L10" s="140" t="s">
        <v>307</v>
      </c>
      <c r="M10" s="140" t="s">
        <v>1959</v>
      </c>
      <c r="N10" s="140" t="s">
        <v>1305</v>
      </c>
      <c r="O10" s="140" t="s">
        <v>1725</v>
      </c>
      <c r="P10" s="140" t="s">
        <v>1960</v>
      </c>
      <c r="Q10" s="140" t="s">
        <v>1961</v>
      </c>
      <c r="R10" s="141" t="s">
        <v>1726</v>
      </c>
    </row>
    <row r="11" spans="1:18" ht="56">
      <c r="A11" s="182">
        <v>1</v>
      </c>
      <c r="B11" s="183" t="s">
        <v>1932</v>
      </c>
      <c r="C11" s="183" t="s">
        <v>1931</v>
      </c>
      <c r="D11" s="183" t="s">
        <v>1962</v>
      </c>
      <c r="E11" s="183" t="s">
        <v>1963</v>
      </c>
      <c r="F11" s="183" t="s">
        <v>1964</v>
      </c>
      <c r="G11" s="183" t="s">
        <v>1965</v>
      </c>
      <c r="H11" s="183" t="s">
        <v>1966</v>
      </c>
      <c r="I11" s="183" t="s">
        <v>1967</v>
      </c>
      <c r="J11" s="183" t="s">
        <v>1968</v>
      </c>
      <c r="K11" s="183" t="s">
        <v>1969</v>
      </c>
      <c r="L11" s="183" t="s">
        <v>1314</v>
      </c>
      <c r="M11" s="183" t="s">
        <v>1970</v>
      </c>
      <c r="N11" s="183" t="s">
        <v>1971</v>
      </c>
      <c r="O11" s="183" t="s">
        <v>1972</v>
      </c>
      <c r="P11" s="183" t="s">
        <v>1973</v>
      </c>
      <c r="Q11" s="183" t="s">
        <v>1974</v>
      </c>
      <c r="R11" s="184" t="s">
        <v>1975</v>
      </c>
    </row>
    <row r="12" spans="1:18" ht="70">
      <c r="A12" s="185">
        <v>2</v>
      </c>
      <c r="B12" s="186" t="s">
        <v>1976</v>
      </c>
      <c r="C12" s="186" t="s">
        <v>1977</v>
      </c>
      <c r="D12" s="186" t="s">
        <v>1978</v>
      </c>
      <c r="E12" s="186" t="s">
        <v>1979</v>
      </c>
      <c r="F12" s="186" t="s">
        <v>1980</v>
      </c>
      <c r="G12" s="186" t="s">
        <v>1981</v>
      </c>
      <c r="H12" s="186" t="s">
        <v>1982</v>
      </c>
      <c r="I12" s="186" t="s">
        <v>1983</v>
      </c>
      <c r="J12" s="186" t="s">
        <v>1984</v>
      </c>
      <c r="K12" s="186" t="s">
        <v>1985</v>
      </c>
      <c r="L12" s="186" t="s">
        <v>1314</v>
      </c>
      <c r="M12" s="186" t="s">
        <v>1986</v>
      </c>
      <c r="N12" s="186" t="s">
        <v>1987</v>
      </c>
      <c r="O12" s="186" t="s">
        <v>1988</v>
      </c>
      <c r="P12" s="186" t="s">
        <v>1989</v>
      </c>
      <c r="Q12" s="186" t="s">
        <v>1990</v>
      </c>
      <c r="R12" s="187" t="s">
        <v>1991</v>
      </c>
    </row>
    <row r="13" spans="1:18" ht="70">
      <c r="A13" s="188">
        <v>3</v>
      </c>
      <c r="B13" s="189" t="s">
        <v>1992</v>
      </c>
      <c r="C13" s="189" t="s">
        <v>1993</v>
      </c>
      <c r="D13" s="189" t="s">
        <v>1015</v>
      </c>
      <c r="E13" s="189" t="s">
        <v>1994</v>
      </c>
      <c r="F13" s="189" t="s">
        <v>1995</v>
      </c>
      <c r="G13" s="189" t="s">
        <v>1996</v>
      </c>
      <c r="H13" s="189" t="s">
        <v>1997</v>
      </c>
      <c r="I13" s="189" t="s">
        <v>1998</v>
      </c>
      <c r="J13" s="189" t="s">
        <v>1999</v>
      </c>
      <c r="K13" s="189" t="s">
        <v>2000</v>
      </c>
      <c r="L13" s="189" t="s">
        <v>1314</v>
      </c>
      <c r="M13" s="189" t="s">
        <v>2001</v>
      </c>
      <c r="N13" s="189" t="s">
        <v>2002</v>
      </c>
      <c r="O13" s="189" t="s">
        <v>2003</v>
      </c>
      <c r="P13" s="189" t="s">
        <v>2004</v>
      </c>
      <c r="Q13" s="189" t="s">
        <v>2005</v>
      </c>
      <c r="R13" s="190" t="s">
        <v>2006</v>
      </c>
    </row>
    <row r="14" spans="1:18" ht="70">
      <c r="A14" s="191">
        <v>4</v>
      </c>
      <c r="B14" s="192" t="s">
        <v>2007</v>
      </c>
      <c r="C14" s="192" t="s">
        <v>2008</v>
      </c>
      <c r="D14" s="192" t="s">
        <v>2009</v>
      </c>
      <c r="E14" s="192" t="s">
        <v>2010</v>
      </c>
      <c r="F14" s="192" t="s">
        <v>2011</v>
      </c>
      <c r="G14" s="192" t="s">
        <v>2012</v>
      </c>
      <c r="H14" s="192" t="s">
        <v>2013</v>
      </c>
      <c r="I14" s="192" t="s">
        <v>2014</v>
      </c>
      <c r="J14" s="192" t="s">
        <v>2015</v>
      </c>
      <c r="K14" s="192" t="s">
        <v>2016</v>
      </c>
      <c r="L14" s="192" t="s">
        <v>1314</v>
      </c>
      <c r="M14" s="192" t="s">
        <v>2017</v>
      </c>
      <c r="N14" s="192" t="s">
        <v>2018</v>
      </c>
      <c r="O14" s="192" t="s">
        <v>2019</v>
      </c>
      <c r="P14" s="192" t="s">
        <v>2020</v>
      </c>
      <c r="Q14" s="192" t="s">
        <v>2021</v>
      </c>
      <c r="R14" s="193" t="s">
        <v>2022</v>
      </c>
    </row>
    <row r="15" spans="1:18" ht="70">
      <c r="A15" s="194">
        <v>5</v>
      </c>
      <c r="B15" s="195" t="s">
        <v>2023</v>
      </c>
      <c r="C15" s="195" t="s">
        <v>2024</v>
      </c>
      <c r="D15" s="195" t="s">
        <v>2025</v>
      </c>
      <c r="E15" s="195" t="s">
        <v>2026</v>
      </c>
      <c r="F15" s="195" t="s">
        <v>1093</v>
      </c>
      <c r="G15" s="195" t="s">
        <v>2027</v>
      </c>
      <c r="H15" s="195" t="s">
        <v>2028</v>
      </c>
      <c r="I15" s="195" t="s">
        <v>2029</v>
      </c>
      <c r="J15" s="195" t="s">
        <v>2030</v>
      </c>
      <c r="K15" s="195" t="s">
        <v>2031</v>
      </c>
      <c r="L15" s="195" t="s">
        <v>1314</v>
      </c>
      <c r="M15" s="195" t="s">
        <v>2032</v>
      </c>
      <c r="N15" s="195" t="s">
        <v>2033</v>
      </c>
      <c r="O15" s="195" t="s">
        <v>2034</v>
      </c>
      <c r="P15" s="195" t="s">
        <v>2035</v>
      </c>
      <c r="Q15" s="195" t="s">
        <v>2036</v>
      </c>
      <c r="R15" s="196" t="s">
        <v>2037</v>
      </c>
    </row>
    <row r="16" spans="1:18" ht="70">
      <c r="A16" s="197">
        <v>6</v>
      </c>
      <c r="B16" s="198" t="s">
        <v>2038</v>
      </c>
      <c r="C16" s="198" t="s">
        <v>2039</v>
      </c>
      <c r="D16" s="198" t="s">
        <v>2040</v>
      </c>
      <c r="E16" s="198" t="s">
        <v>2041</v>
      </c>
      <c r="F16" s="198" t="s">
        <v>2042</v>
      </c>
      <c r="G16" s="198" t="s">
        <v>2043</v>
      </c>
      <c r="H16" s="198" t="s">
        <v>2044</v>
      </c>
      <c r="I16" s="198" t="s">
        <v>2045</v>
      </c>
      <c r="J16" s="198" t="s">
        <v>2046</v>
      </c>
      <c r="K16" s="198" t="s">
        <v>2047</v>
      </c>
      <c r="L16" s="198" t="s">
        <v>1373</v>
      </c>
      <c r="M16" s="198" t="s">
        <v>2048</v>
      </c>
      <c r="N16" s="198" t="s">
        <v>2049</v>
      </c>
      <c r="O16" s="198" t="s">
        <v>2050</v>
      </c>
      <c r="P16" s="198" t="s">
        <v>2051</v>
      </c>
      <c r="Q16" s="198" t="s">
        <v>2052</v>
      </c>
      <c r="R16" s="199" t="s">
        <v>2053</v>
      </c>
    </row>
    <row r="19" spans="1:18" ht="14">
      <c r="A19" s="180" t="s">
        <v>2054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</row>
    <row r="20" spans="1:18" ht="14">
      <c r="A20" s="142" t="s">
        <v>849</v>
      </c>
      <c r="B20" s="143" t="s">
        <v>30</v>
      </c>
      <c r="C20" s="143" t="s">
        <v>2055</v>
      </c>
      <c r="D20" s="143" t="s">
        <v>1954</v>
      </c>
      <c r="E20" s="143" t="s">
        <v>2056</v>
      </c>
      <c r="F20" s="144" t="s">
        <v>2057</v>
      </c>
    </row>
    <row r="21" spans="1:18" ht="28">
      <c r="A21" s="200" t="s">
        <v>2058</v>
      </c>
      <c r="B21" s="41" t="s">
        <v>873</v>
      </c>
      <c r="C21" s="41" t="s">
        <v>874</v>
      </c>
      <c r="D21" s="41" t="s">
        <v>1932</v>
      </c>
      <c r="E21" s="41" t="s">
        <v>2059</v>
      </c>
      <c r="F21" s="201" t="s">
        <v>2060</v>
      </c>
    </row>
    <row r="22" spans="1:18" ht="28">
      <c r="A22" s="200" t="s">
        <v>1045</v>
      </c>
      <c r="B22" s="41" t="s">
        <v>907</v>
      </c>
      <c r="C22" s="41" t="s">
        <v>908</v>
      </c>
      <c r="D22" s="41" t="s">
        <v>1932</v>
      </c>
      <c r="E22" s="41" t="s">
        <v>2059</v>
      </c>
      <c r="F22" s="201" t="s">
        <v>2061</v>
      </c>
    </row>
    <row r="23" spans="1:18" ht="28">
      <c r="A23" s="200" t="s">
        <v>1045</v>
      </c>
      <c r="B23" s="41" t="s">
        <v>910</v>
      </c>
      <c r="C23" s="41" t="s">
        <v>911</v>
      </c>
      <c r="D23" s="41" t="s">
        <v>1932</v>
      </c>
      <c r="E23" s="41" t="s">
        <v>2059</v>
      </c>
      <c r="F23" s="201" t="s">
        <v>2062</v>
      </c>
    </row>
    <row r="24" spans="1:18" ht="28">
      <c r="A24" s="200" t="s">
        <v>1045</v>
      </c>
      <c r="B24" s="41" t="s">
        <v>913</v>
      </c>
      <c r="C24" s="41" t="s">
        <v>914</v>
      </c>
      <c r="D24" s="41" t="s">
        <v>1932</v>
      </c>
      <c r="E24" s="41" t="s">
        <v>2059</v>
      </c>
      <c r="F24" s="201" t="s">
        <v>2063</v>
      </c>
    </row>
    <row r="25" spans="1:18" ht="14">
      <c r="A25" s="200" t="s">
        <v>1045</v>
      </c>
      <c r="B25" s="41" t="s">
        <v>916</v>
      </c>
      <c r="C25" s="41" t="s">
        <v>917</v>
      </c>
      <c r="D25" s="41" t="s">
        <v>1932</v>
      </c>
      <c r="E25" s="41" t="s">
        <v>2059</v>
      </c>
      <c r="F25" s="201" t="s">
        <v>2064</v>
      </c>
    </row>
    <row r="26" spans="1:18" ht="14">
      <c r="A26" s="200" t="s">
        <v>1045</v>
      </c>
      <c r="B26" s="41" t="s">
        <v>919</v>
      </c>
      <c r="C26" s="41" t="s">
        <v>920</v>
      </c>
      <c r="D26" s="41" t="s">
        <v>1932</v>
      </c>
      <c r="E26" s="41" t="s">
        <v>2065</v>
      </c>
      <c r="F26" s="201" t="s">
        <v>2066</v>
      </c>
    </row>
    <row r="27" spans="1:18" ht="14">
      <c r="A27" s="200" t="s">
        <v>1724</v>
      </c>
      <c r="B27" s="41" t="s">
        <v>475</v>
      </c>
      <c r="C27" s="41" t="s">
        <v>877</v>
      </c>
      <c r="D27" s="41" t="s">
        <v>1976</v>
      </c>
      <c r="E27" s="41" t="s">
        <v>2059</v>
      </c>
      <c r="F27" s="201" t="s">
        <v>2067</v>
      </c>
    </row>
    <row r="28" spans="1:18" ht="14">
      <c r="A28" s="200" t="s">
        <v>1724</v>
      </c>
      <c r="B28" s="41" t="s">
        <v>881</v>
      </c>
      <c r="C28" s="41" t="s">
        <v>2068</v>
      </c>
      <c r="D28" s="41" t="s">
        <v>1976</v>
      </c>
      <c r="E28" s="41" t="s">
        <v>2059</v>
      </c>
      <c r="F28" s="201" t="s">
        <v>2069</v>
      </c>
    </row>
    <row r="29" spans="1:18" ht="28">
      <c r="A29" s="200" t="s">
        <v>2070</v>
      </c>
      <c r="B29" s="41" t="s">
        <v>479</v>
      </c>
      <c r="C29" s="41" t="s">
        <v>885</v>
      </c>
      <c r="D29" s="41" t="s">
        <v>1976</v>
      </c>
      <c r="E29" s="41" t="s">
        <v>2059</v>
      </c>
      <c r="F29" s="201" t="s">
        <v>2071</v>
      </c>
    </row>
    <row r="30" spans="1:18" ht="14">
      <c r="A30" s="200" t="s">
        <v>1724</v>
      </c>
      <c r="B30" s="41" t="s">
        <v>481</v>
      </c>
      <c r="C30" s="41" t="s">
        <v>892</v>
      </c>
      <c r="D30" s="41" t="s">
        <v>1976</v>
      </c>
      <c r="E30" s="41" t="s">
        <v>2059</v>
      </c>
      <c r="F30" s="201" t="s">
        <v>2072</v>
      </c>
    </row>
    <row r="31" spans="1:18" ht="28">
      <c r="A31" s="200" t="s">
        <v>1724</v>
      </c>
      <c r="B31" s="41" t="s">
        <v>894</v>
      </c>
      <c r="C31" s="41" t="s">
        <v>484</v>
      </c>
      <c r="D31" s="41" t="s">
        <v>1976</v>
      </c>
      <c r="E31" s="41" t="s">
        <v>2059</v>
      </c>
      <c r="F31" s="201" t="s">
        <v>2073</v>
      </c>
    </row>
    <row r="32" spans="1:18" ht="28">
      <c r="A32" s="200" t="s">
        <v>2074</v>
      </c>
      <c r="B32" s="41" t="s">
        <v>888</v>
      </c>
      <c r="C32" s="41" t="s">
        <v>889</v>
      </c>
      <c r="D32" s="41" t="s">
        <v>1976</v>
      </c>
      <c r="E32" s="41" t="s">
        <v>2065</v>
      </c>
      <c r="F32" s="201" t="s">
        <v>2075</v>
      </c>
    </row>
    <row r="33" spans="1:6" ht="28">
      <c r="A33" s="200" t="s">
        <v>1946</v>
      </c>
      <c r="B33" s="41" t="s">
        <v>1015</v>
      </c>
      <c r="C33" s="41" t="s">
        <v>1016</v>
      </c>
      <c r="D33" s="41" t="s">
        <v>1992</v>
      </c>
      <c r="E33" s="41" t="s">
        <v>2059</v>
      </c>
      <c r="F33" s="201" t="s">
        <v>2076</v>
      </c>
    </row>
    <row r="34" spans="1:6" ht="28">
      <c r="A34" s="200" t="s">
        <v>2077</v>
      </c>
      <c r="B34" s="41" t="s">
        <v>969</v>
      </c>
      <c r="C34" s="41" t="s">
        <v>970</v>
      </c>
      <c r="D34" s="41" t="s">
        <v>2007</v>
      </c>
      <c r="E34" s="41" t="s">
        <v>2059</v>
      </c>
      <c r="F34" s="201" t="s">
        <v>2078</v>
      </c>
    </row>
    <row r="35" spans="1:6" ht="28">
      <c r="A35" s="200" t="s">
        <v>1934</v>
      </c>
      <c r="B35" s="41" t="s">
        <v>972</v>
      </c>
      <c r="C35" s="41" t="s">
        <v>973</v>
      </c>
      <c r="D35" s="41" t="s">
        <v>2007</v>
      </c>
      <c r="E35" s="41" t="s">
        <v>2059</v>
      </c>
      <c r="F35" s="201" t="s">
        <v>2079</v>
      </c>
    </row>
    <row r="36" spans="1:6" ht="14">
      <c r="A36" s="200" t="s">
        <v>2080</v>
      </c>
      <c r="B36" s="41" t="s">
        <v>975</v>
      </c>
      <c r="C36" s="41" t="s">
        <v>976</v>
      </c>
      <c r="D36" s="41" t="s">
        <v>2007</v>
      </c>
      <c r="E36" s="41" t="s">
        <v>2059</v>
      </c>
      <c r="F36" s="201" t="s">
        <v>2081</v>
      </c>
    </row>
    <row r="37" spans="1:6" ht="14">
      <c r="A37" s="200" t="s">
        <v>1940</v>
      </c>
      <c r="B37" s="41" t="s">
        <v>922</v>
      </c>
      <c r="C37" s="41" t="s">
        <v>923</v>
      </c>
      <c r="D37" s="41" t="s">
        <v>2023</v>
      </c>
      <c r="E37" s="41" t="s">
        <v>2059</v>
      </c>
      <c r="F37" s="201" t="s">
        <v>2082</v>
      </c>
    </row>
    <row r="38" spans="1:6" ht="14">
      <c r="A38" s="200" t="s">
        <v>1940</v>
      </c>
      <c r="B38" s="41" t="s">
        <v>935</v>
      </c>
      <c r="C38" s="41" t="s">
        <v>936</v>
      </c>
      <c r="D38" s="41" t="s">
        <v>2023</v>
      </c>
      <c r="E38" s="41" t="s">
        <v>2059</v>
      </c>
      <c r="F38" s="201" t="s">
        <v>2083</v>
      </c>
    </row>
    <row r="39" spans="1:6" ht="28">
      <c r="A39" s="200" t="s">
        <v>1940</v>
      </c>
      <c r="B39" s="41" t="s">
        <v>925</v>
      </c>
      <c r="C39" s="41" t="s">
        <v>926</v>
      </c>
      <c r="D39" s="41" t="s">
        <v>2023</v>
      </c>
      <c r="E39" s="41" t="s">
        <v>2059</v>
      </c>
      <c r="F39" s="201" t="s">
        <v>2084</v>
      </c>
    </row>
    <row r="40" spans="1:6" ht="14">
      <c r="A40" s="200" t="s">
        <v>1940</v>
      </c>
      <c r="B40" s="41" t="s">
        <v>928</v>
      </c>
      <c r="C40" s="41" t="s">
        <v>929</v>
      </c>
      <c r="D40" s="41" t="s">
        <v>2023</v>
      </c>
      <c r="E40" s="41" t="s">
        <v>2059</v>
      </c>
      <c r="F40" s="201" t="s">
        <v>2085</v>
      </c>
    </row>
    <row r="41" spans="1:6" ht="14">
      <c r="A41" s="200" t="s">
        <v>1940</v>
      </c>
      <c r="B41" s="41" t="s">
        <v>931</v>
      </c>
      <c r="C41" s="41" t="s">
        <v>932</v>
      </c>
      <c r="D41" s="41" t="s">
        <v>2023</v>
      </c>
      <c r="E41" s="41" t="s">
        <v>1727</v>
      </c>
      <c r="F41" s="201" t="s">
        <v>2086</v>
      </c>
    </row>
    <row r="42" spans="1:6" ht="28">
      <c r="A42" s="200" t="s">
        <v>1952</v>
      </c>
      <c r="B42" s="41" t="s">
        <v>978</v>
      </c>
      <c r="C42" s="41" t="s">
        <v>979</v>
      </c>
      <c r="D42" s="41" t="s">
        <v>2038</v>
      </c>
      <c r="E42" s="41" t="s">
        <v>2059</v>
      </c>
      <c r="F42" s="201" t="s">
        <v>2087</v>
      </c>
    </row>
    <row r="43" spans="1:6" ht="14">
      <c r="A43" s="200" t="s">
        <v>2088</v>
      </c>
      <c r="B43" s="41" t="s">
        <v>981</v>
      </c>
      <c r="C43" s="41" t="s">
        <v>982</v>
      </c>
      <c r="D43" s="41" t="s">
        <v>2038</v>
      </c>
      <c r="E43" s="41" t="s">
        <v>2059</v>
      </c>
      <c r="F43" s="201" t="s">
        <v>2089</v>
      </c>
    </row>
    <row r="44" spans="1:6" ht="14">
      <c r="A44" s="200" t="s">
        <v>2090</v>
      </c>
      <c r="B44" s="41" t="s">
        <v>984</v>
      </c>
      <c r="C44" s="41" t="s">
        <v>985</v>
      </c>
      <c r="D44" s="41" t="s">
        <v>2038</v>
      </c>
      <c r="E44" s="41" t="s">
        <v>2059</v>
      </c>
      <c r="F44" s="201" t="s">
        <v>2091</v>
      </c>
    </row>
    <row r="45" spans="1:6" ht="14">
      <c r="A45" s="200" t="s">
        <v>2090</v>
      </c>
      <c r="B45" s="41" t="s">
        <v>987</v>
      </c>
      <c r="C45" s="41" t="s">
        <v>988</v>
      </c>
      <c r="D45" s="41" t="s">
        <v>2038</v>
      </c>
      <c r="E45" s="41" t="s">
        <v>2059</v>
      </c>
      <c r="F45" s="201" t="s">
        <v>2092</v>
      </c>
    </row>
    <row r="46" spans="1:6" ht="14">
      <c r="A46" s="200" t="s">
        <v>2090</v>
      </c>
      <c r="B46" s="41" t="s">
        <v>990</v>
      </c>
      <c r="C46" s="41" t="s">
        <v>991</v>
      </c>
      <c r="D46" s="41" t="s">
        <v>2038</v>
      </c>
      <c r="E46" s="41" t="s">
        <v>2059</v>
      </c>
      <c r="F46" s="201" t="s">
        <v>2093</v>
      </c>
    </row>
    <row r="47" spans="1:6" ht="14">
      <c r="A47" s="200" t="s">
        <v>2090</v>
      </c>
      <c r="B47" s="41" t="s">
        <v>993</v>
      </c>
      <c r="C47" s="41" t="s">
        <v>994</v>
      </c>
      <c r="D47" s="41" t="s">
        <v>2038</v>
      </c>
      <c r="E47" s="41" t="s">
        <v>2059</v>
      </c>
      <c r="F47" s="201" t="s">
        <v>2094</v>
      </c>
    </row>
    <row r="48" spans="1:6" ht="14">
      <c r="A48" s="200" t="s">
        <v>2090</v>
      </c>
      <c r="B48" s="41" t="s">
        <v>996</v>
      </c>
      <c r="C48" s="41" t="s">
        <v>997</v>
      </c>
      <c r="D48" s="41" t="s">
        <v>2038</v>
      </c>
      <c r="E48" s="41" t="s">
        <v>2059</v>
      </c>
      <c r="F48" s="201" t="s">
        <v>2095</v>
      </c>
    </row>
    <row r="49" spans="1:18" ht="28">
      <c r="A49" s="200" t="s">
        <v>2074</v>
      </c>
      <c r="B49" s="41" t="s">
        <v>898</v>
      </c>
      <c r="C49" s="41" t="s">
        <v>899</v>
      </c>
      <c r="D49" s="41" t="s">
        <v>2038</v>
      </c>
      <c r="E49" s="41" t="s">
        <v>2065</v>
      </c>
      <c r="F49" s="201" t="s">
        <v>2096</v>
      </c>
    </row>
    <row r="50" spans="1:18" ht="14">
      <c r="A50" s="202" t="s">
        <v>2074</v>
      </c>
      <c r="B50" s="203" t="s">
        <v>902</v>
      </c>
      <c r="C50" s="203" t="s">
        <v>903</v>
      </c>
      <c r="D50" s="203" t="s">
        <v>2038</v>
      </c>
      <c r="E50" s="203" t="s">
        <v>2065</v>
      </c>
      <c r="F50" s="204" t="s">
        <v>2097</v>
      </c>
    </row>
    <row r="53" spans="1:18" ht="14">
      <c r="A53" s="180" t="s">
        <v>2098</v>
      </c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</row>
    <row r="54" spans="1:18" ht="70">
      <c r="A54" s="205" t="s">
        <v>1733</v>
      </c>
      <c r="B54" s="206" t="s">
        <v>2099</v>
      </c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</row>
    <row r="55" spans="1:18" ht="42">
      <c r="A55" s="205" t="s">
        <v>1733</v>
      </c>
      <c r="B55" s="206" t="s">
        <v>2100</v>
      </c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</row>
    <row r="56" spans="1:18" ht="56">
      <c r="A56" s="205" t="s">
        <v>1733</v>
      </c>
      <c r="B56" s="206" t="s">
        <v>2101</v>
      </c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</row>
    <row r="57" spans="1:18" ht="56">
      <c r="A57" s="205" t="s">
        <v>1733</v>
      </c>
      <c r="B57" s="206" t="s">
        <v>2102</v>
      </c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</row>
    <row r="58" spans="1:18" ht="42">
      <c r="A58" s="205" t="s">
        <v>1733</v>
      </c>
      <c r="B58" s="206" t="s">
        <v>2103</v>
      </c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</row>
    <row r="59" spans="1:18" ht="42">
      <c r="A59" s="205" t="s">
        <v>1733</v>
      </c>
      <c r="B59" s="206" t="s">
        <v>2104</v>
      </c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</row>
    <row r="60" spans="1:18" ht="84">
      <c r="A60" s="205" t="s">
        <v>1919</v>
      </c>
      <c r="B60" s="206" t="s">
        <v>2105</v>
      </c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</row>
    <row r="61" spans="1:18" ht="70">
      <c r="A61" s="205" t="s">
        <v>1921</v>
      </c>
      <c r="B61" s="206" t="s">
        <v>2106</v>
      </c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</row>
  </sheetData>
  <mergeCells count="4">
    <mergeCell ref="A1:R1"/>
    <mergeCell ref="A2:R2"/>
    <mergeCell ref="A19:R19"/>
    <mergeCell ref="A53:R53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Development Governance Matrix</vt:lpstr>
      <vt:lpstr>PVG</vt:lpstr>
      <vt:lpstr>Treasury Core Capability Stack</vt:lpstr>
      <vt:lpstr>RA DLE</vt:lpstr>
      <vt:lpstr>HR &amp; TEP</vt:lpstr>
      <vt:lpstr>Sheet1</vt:lpstr>
      <vt:lpstr>Supply Chain-Qulaity Cap Block</vt:lpstr>
      <vt:lpstr>Integrated R&amp;D–RA Lifecycle Man</vt:lpstr>
      <vt:lpstr>AI Agent Platform Cap Block</vt:lpstr>
      <vt:lpstr>Supply Planning Procure Cap Blo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Natig Yusubov</cp:lastModifiedBy>
  <dcterms:created xsi:type="dcterms:W3CDTF">2026-09-05T16:16:35Z</dcterms:created>
  <dcterms:modified xsi:type="dcterms:W3CDTF">2026-09-05T16:18:43Z</dcterms:modified>
</cp:coreProperties>
</file>