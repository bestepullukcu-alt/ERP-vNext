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3.xml" ContentType="application/vnd.openxmlformats-officedocument.spreadsheetml.table+xml"/>
  <Override PartName="/xl/worksheets/sheet29.xml" ContentType="application/vnd.openxmlformats-officedocument.spreadsheetml.worksheet+xml"/>
  <Override PartName="/xl/tables/table4.xml" ContentType="application/vnd.openxmlformats-officedocument.spreadsheetml.table+xml"/>
  <Override PartName="/xl/worksheets/sheet3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5.xml" ContentType="application/vnd.openxmlformats-officedocument.spreadsheetml.table+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37c0e706454a98" /></Relationships>
</file>

<file path=xl/workbook.xml><?xml version="1.0" encoding="utf-8"?>
<workbook xmlns="http://schemas.openxmlformats.org/spreadsheetml/2006/main" xmlns:r="http://schemas.openxmlformats.org/officeDocument/2006/relationships">
  <sheets>
    <sheet name="Development Governance Matrix" sheetId="1" r:id="R3cfd148792dc4f25"/>
    <sheet name="Module Status" sheetId="2" r:id="Rc66a5cfe150e4e92"/>
    <sheet name="Sheet6" sheetId="3" r:id="Reeb34c17ba2843b6"/>
    <sheet name="Standards" sheetId="4" r:id="Rf3931776323d47b7"/>
    <sheet name="Blueprint_Data" sheetId="5" r:id="R8551d79e2afd422f"/>
    <sheet name="Blueprint_View" sheetId="6" r:id="Rdc89f2ee9fa34479"/>
    <sheet name="Dependencies" sheetId="7" r:id="Rf9c6a3ea345e4b8e"/>
    <sheet name="Checks" sheetId="8" r:id="Rdcc00733b47341ad"/>
    <sheet name="Release_Gate" sheetId="9" r:id="R04c5252ae1904092"/>
    <sheet name="Release_Backlog" sheetId="10" r:id="R59d4a896a5984438"/>
    <sheet name="SoR_Map" sheetId="11" r:id="R009670240b414ba8"/>
    <sheet name="Dashboards" sheetId="12" r:id="R3789be73bd8741d3"/>
    <sheet name="README" sheetId="13" r:id="Rf3734ce671c7442b"/>
    <sheet name="VERSION_LOG" sheetId="14" r:id="R44ef0d3b647d411b"/>
    <sheet name="Enterprise Object Catalog" sheetId="15" r:id="R77c34e91fe654906"/>
    <sheet name="Module Pages" sheetId="16" r:id="R34054d05f4204b32"/>
    <sheet name="External Systems Register" sheetId="17" r:id="R12de0e0abc5e40c3"/>
    <sheet name="Page Coverage Check" sheetId="18" r:id="Rba146dfef32549b0"/>
    <sheet name="Contract Bundle Dictionary" sheetId="19" r:id="Re6dbb736501c46e5"/>
    <sheet name="Dependencies_Normalized" sheetId="20" r:id="R2ae27a1f941a43e1"/>
    <sheet name="Release_Candidates" sheetId="21" r:id="R893e6042394f42ec"/>
    <sheet name="NAV_Update_Summary" sheetId="22" r:id="Rcf037f5661844e39"/>
    <sheet name="Module_Gap_Update_Summary" sheetId="23" r:id="R4ee49e1d140241aa"/>
    <sheet name="Agent_Modules_Update_Summary" sheetId="24" r:id="Reaa102ffc88045fd"/>
    <sheet name="HCM_Update_Summary" sheetId="25" r:id="R88dad883b5234d0a"/>
    <sheet name="Talent_Ecosystem_Update_Summary" sheetId="26" r:id="R871e9e03ef2041d9"/>
    <sheet name="Gap_Register_Summary" sheetId="27" r:id="R1103867418f54e48"/>
    <sheet name="Prioritized_Gap_Register" sheetId="28" r:id="Rcd514aed587445f2"/>
    <sheet name="MG_Domain_Map" sheetId="29" r:id="R7cc89b80de8b4777"/>
    <sheet name="MG_Update_Summary" sheetId="30" r:id="Ra7d45658f7a84688"/>
    <sheet name="MG_Release_Gate" sheetId="31" r:id="Raa5a1328645a4b0d"/>
  </sheets>
  <calcPr calcMode="auto" fullCalcOnLoad="1" forceFullCalc="1"/>
</workbook>
</file>

<file path=xl/sharedStrings.xml><?xml version="1.0" encoding="utf-8"?>
<sst xmlns="http://schemas.openxmlformats.org/spreadsheetml/2006/main" count="7447" uniqueCount="7447">
  <si>
    <t xml:space="preserve">Level</t>
  </si>
  <si>
    <t xml:space="preserve">Mandatory Document</t>
  </si>
  <si>
    <t xml:space="preserve">Description</t>
  </si>
  <si>
    <t xml:space="preserve">AI Governance Assets Required</t>
  </si>
  <si>
    <t xml:space="preserve">Portfolio</t>
  </si>
  <si>
    <t xml:space="preserve">Enterprise Blueprint</t>
  </si>
  <si>
    <t xml:space="preserve">Defines domains, capability areas, capability blocks, modules, ownership boundaries, and target architecture.</t>
  </si>
  <si>
    <t xml:space="preserve">Enterprise Architecture Prompt, Capability Taxonomy Rules, Naming Rules</t>
  </si>
  <si>
    <t xml:space="preserve">Master Development Plan</t>
  </si>
  <si>
    <t xml:space="preserve">Defines development standards, module statuses, execution waves, architecture rules, coding rules, and AI development rules.</t>
  </si>
  <si>
    <t xml:space="preserve">Core Development Prompt, Clean Architecture Rules, CQRS Rules, Validation Rules</t>
  </si>
  <si>
    <t xml:space="preserve">Blueprint - Master Plan Reconciliation Matrix</t>
  </si>
  <si>
    <t xml:space="preserve">Maps Blueprint domains/modules to Master Plan implementation modules, priorities, dependencies, and execution ownership.</t>
  </si>
  <si>
    <t xml:space="preserve">Mapping Rules, Dependency Rules, Traceability Rules</t>
  </si>
  <si>
    <t xml:space="preserve">AI Prompt &amp; Skill Governance Registry</t>
  </si>
  <si>
    <t xml:space="preserve">Defines approved system prompts, master prompts, review prompts, skill packs, rule packs, and validation prompts.</t>
  </si>
  <si>
    <t xml:space="preserve">Prompt Governance Rules, Skill Pack Registry, AI Output Validation Rules</t>
  </si>
  <si>
    <t xml:space="preserve">Block</t>
  </si>
  <si>
    <t xml:space="preserve">Capability Block Documentation</t>
  </si>
  <si>
    <t xml:space="preserve">Defines the block scope, purpose, included modules, architecture boundaries, business value, ownership, and governance rules.</t>
  </si>
  <si>
    <t xml:space="preserve">Capability Block Prompt, Boundary Rules, Capability Modeling Rules</t>
  </si>
  <si>
    <t xml:space="preserve">Capability Block Execution Plan</t>
  </si>
  <si>
    <t xml:space="preserve">Defines module sequencing, parallel workstreams, delivery phases, milestones, blockers, and rollout approach.</t>
  </si>
  <si>
    <t xml:space="preserve">Execution Planning Prompt, Sequencing Rules, Parallelization Rules</t>
  </si>
  <si>
    <t xml:space="preserve">Capability Block Dependency &amp; Integration Map</t>
  </si>
  <si>
    <t xml:space="preserve">Defines module dependencies, APIs, events, shared services, infrastructure dependencies, and external integrations.</t>
  </si>
  <si>
    <t xml:space="preserve">Dependency Analysis Skill, API/Event Rules, Integration Rules</t>
  </si>
  <si>
    <t xml:space="preserve">Capability Block Acceptance &amp; Risk Register</t>
  </si>
  <si>
    <t xml:space="preserve">Defines block-level readiness criteria, risks, blockers, compliance risks, integration risks, and release conditions.</t>
  </si>
  <si>
    <t xml:space="preserve">Risk Analysis Prompt, Block Acceptance Rules</t>
  </si>
  <si>
    <t xml:space="preserve">Module</t>
  </si>
  <si>
    <t xml:space="preserve">Module Specification</t>
  </si>
  <si>
    <t xml:space="preserve">Defines module scope, objectives, business logic, domain boundaries, lifecycle states, permissions, integrations, and exclusions.</t>
  </si>
  <si>
    <t xml:space="preserve">Module System Prompt, Domain Modeling Rules, Business Logic Rules</t>
  </si>
  <si>
    <t xml:space="preserve">Module Development Plan</t>
  </si>
  <si>
    <t xml:space="preserve">Defines step-by-step implementation order for backend, frontend, persistence, integration, testing, migration, and deployment.</t>
  </si>
  <si>
    <t xml:space="preserve">AI Development Workflow Prompt, Backend Rules, Frontend Rules, Migration Rules</t>
  </si>
  <si>
    <t xml:space="preserve">Module API / UI / Data / Integration Specification</t>
  </si>
  <si>
    <t xml:space="preserve">Defines endpoints, request/response models, UI screens, database design, events, DTOs, validations, localization, and persistence rules.</t>
  </si>
  <si>
    <t xml:space="preserve">API Design Rules, UI Rules, Database Rules, Event Contract Rules</t>
  </si>
  <si>
    <t xml:space="preserve">Module Security &amp; Permission Matrix</t>
  </si>
  <si>
    <t xml:space="preserve">Defines roles, permissions, actor types, RBAC/ABAC rules, entitlement checks, tenant isolation, and restricted actions.</t>
  </si>
  <si>
    <t xml:space="preserve">Security Rules, Permission Matrix Prompt, Tenant Isolation Rules</t>
  </si>
  <si>
    <t xml:space="preserve">Module Test Plan &amp; Definition of Done</t>
  </si>
  <si>
    <t xml:space="preserve">Defines test coverage, acceptance criteria, gateway smoke tests, browser smoke tests, security checks, and completion criteria.</t>
  </si>
  <si>
    <t xml:space="preserve">QA Prompt, Testing Rules, Smoke Test Rules, DoD Rules</t>
  </si>
  <si>
    <t xml:space="preserve">Delivery</t>
  </si>
  <si>
    <t xml:space="preserve">Work Package Checklist</t>
  </si>
  <si>
    <t xml:space="preserve">Tracks concrete execution tasks, coding, validation, review, documentation, localization, testing, and completion status.</t>
  </si>
  <si>
    <t xml:space="preserve">Delivery Checklist Rules, Completion Validation Rules</t>
  </si>
  <si>
    <t xml:space="preserve">Code Review Checklist</t>
  </si>
  <si>
    <t xml:space="preserve">Verifies architecture compliance, naming, CQRS, DDD, security, tenancy, audit, localization, and test coverage.</t>
  </si>
  <si>
    <t xml:space="preserve">Code Review Prompt, Quality Gate Rules</t>
  </si>
  <si>
    <t xml:space="preserve">QA / Acceptance Report</t>
  </si>
  <si>
    <t xml:space="preserve">Records test evidence, acceptance status, defects, unresolved risks, production readiness, and approval decision.</t>
  </si>
  <si>
    <t xml:space="preserve">QA Review Prompt, Acceptance Rules, Audit Rules</t>
  </si>
  <si>
    <t xml:space="preserve">Deployment Checklist &amp; Release Notes</t>
  </si>
  <si>
    <t xml:space="preserve">Confirms environment readiness, secrets, gateway routes, migrations, smoke tests, rollback, delivered scope, and known limitations.</t>
  </si>
  <si>
    <t xml:space="preserve">Deployment Rules, Release Notes Prompt, Rollback Rules</t>
  </si>
  <si>
    <t xml:space="preserve">Module Status Console (Select a Module ID or filter the table below)</t>
  </si>
  <si>
    <t xml:space="preserve">Select Module ID:</t>
  </si>
  <si>
    <t xml:space="preserve">Module Name</t>
  </si>
  <si>
    <t xml:space="preserve">Domain / Landscape</t>
  </si>
  <si>
    <t xml:space="preserve">Wave</t>
  </si>
  <si>
    <t xml:space="preserve">Release Scope</t>
  </si>
  <si>
    <t xml:space="preserve">Blocker?</t>
  </si>
  <si>
    <t xml:space="preserve">Blocker Types</t>
  </si>
  <si>
    <t xml:space="preserve">Missing Dep Cnt</t>
  </si>
  <si>
    <t xml:space="preserve">Out-of-Seq Cnt</t>
  </si>
  <si>
    <t xml:space="preserve">SoR Collision</t>
  </si>
  <si>
    <t xml:space="preserve">Missing OM Fields Cnt</t>
  </si>
  <si>
    <t xml:space="preserve">Suggested Next Action</t>
  </si>
  <si>
    <t xml:space="preserve">Upstream Dependencies (must exist first)</t>
  </si>
  <si>
    <t xml:space="preserve">Prereq Module ID</t>
  </si>
  <si>
    <t xml:space="preserve">Prereq Module Name</t>
  </si>
  <si>
    <t xml:space="preserve">Prereq Wave</t>
  </si>
  <si>
    <t xml:space="preserve">Prereq Release Scope</t>
  </si>
  <si>
    <t xml:space="preserve">NO</t>
  </si>
  <si>
    <t xml:space="preserve">Missing Dependency</t>
  </si>
  <si>
    <t xml:space="preserve">Missing Dependency; SoR Collision</t>
  </si>
  <si>
    <t xml:space="preserve">YES</t>
  </si>
  <si>
    <t xml:space="preserve">Suite / Platform</t>
  </si>
  <si>
    <t xml:space="preserve">Capability Group</t>
  </si>
  <si>
    <t xml:space="preserve">Aim / Goal (Capability Group)</t>
  </si>
  <si>
    <t xml:space="preserve">Dependency Gate (must exist first)</t>
  </si>
  <si>
    <t xml:space="preserve">Delivery Outcome / Value</t>
  </si>
  <si>
    <t xml:space="preserve">Soft Pages (for development)</t>
  </si>
  <si>
    <t xml:space="preserve">Placement</t>
  </si>
  <si>
    <t xml:space="preserve">Minimum Integration Contracts (must be standardized)</t>
  </si>
  <si>
    <t xml:space="preserve">SoR Module (primary objects impacted)</t>
  </si>
  <si>
    <t xml:space="preserve">Default Support Model (L1/L2/L3)</t>
  </si>
  <si>
    <t xml:space="preserve">Integration Contracts</t>
  </si>
  <si>
    <t xml:space="preserve">0) Enterprise Control Points</t>
  </si>
  <si>
    <t xml:space="preserve">Enterprise Governance Registry Layer</t>
  </si>
  <si>
    <t xml:space="preserve">Authoritative Registries</t>
  </si>
  <si>
    <t xml:space="preserve">Establish a single enterprise source of truth for ownership, interfaces, semantics, policy, and rationale to prevent duplication and enable auditability.</t>
  </si>
  <si>
    <t xml:space="preserve">System-of-Record &amp; Ownership Registry</t>
  </si>
  <si>
    <t xml:space="preserve">W-2</t>
  </si>
  <si>
    <t xml:space="preserve">RBAC/ABAC Authorization; Audit Trail Service; Module Boundary Registry</t>
  </si>
  <si>
    <t xml:space="preserve">Single ownership per object; blocks duplicate SoR creation; clear accountable owners</t>
  </si>
  <si>
    <t xml:space="preserve">Registry Hub; SoR Ownership Console; Ownership Change Workflow</t>
  </si>
  <si>
    <t xml:space="preserve">Control-Plane (Governance Registry)</t>
  </si>
  <si>
    <t xml:space="preserve">GOV-REG-BUNDLE (SSO/OIDC, RBAC/ABAC, AuditEvent v1, Registry API OpenAPI, Change Events CloudEvents, SemVer+Deprecation, Correlation-ID, Error Model, OTel)</t>
  </si>
  <si>
    <t xml:space="preserve">SoR: Ownership assignments; accountable owner mapping; SoR declarations (per object/data domain)</t>
  </si>
  <si>
    <t xml:space="preserve">L1 Service Desk; L2 Platform Ops; L3 Product Eng</t>
  </si>
  <si>
    <t xml:space="preserve">CP-BASE</t>
  </si>
  <si>
    <t xml:space="preserve">Interface Registry</t>
  </si>
  <si>
    <t xml:space="preserve">RBAC/ABAC Authorization; Audit Trail Service; Module Boundary Registry; Platform Standards Registry</t>
  </si>
  <si>
    <t xml:space="preserve">Governed interfaces as products (owner, consumers, versions); reduces API/event sprawl</t>
  </si>
  <si>
    <t xml:space="preserve">Registry Hub; Interface Registry Console; Version &amp; Deprecation Manager</t>
  </si>
  <si>
    <t xml:space="preserve">GOV-REG-BUNDLE</t>
  </si>
  <si>
    <t xml:space="preserve">SoR: Interface inventory (APIs/events/webhooks), consumers, versions, deprecation states</t>
  </si>
  <si>
    <t xml:space="preserve">CP-BASE + INT-BASE</t>
  </si>
  <si>
    <t xml:space="preserve">Data Contract Registry</t>
  </si>
  <si>
    <t xml:space="preserve">Contracted schemas + lifecycle governance; reduces breaking changes &amp; downstream rework</t>
  </si>
  <si>
    <t xml:space="preserve">Registry Hub; Data Contract Console; Schema Diff Viewer; Contract Version Timeline</t>
  </si>
  <si>
    <t xml:space="preserve">GOV-REG-BUNDLE + SCHEMA-BINDING (schema registry binding, compatibility rules, contract IDs)</t>
  </si>
  <si>
    <t xml:space="preserve">SoR: Data contracts (schemas), compatibility policy linkage, contract version lineage</t>
  </si>
  <si>
    <t xml:space="preserve">CP-BASE + DATA-BASE</t>
  </si>
  <si>
    <t xml:space="preserve">Metric &amp; Semantic Registry</t>
  </si>
  <si>
    <t xml:space="preserve">W-4</t>
  </si>
  <si>
    <t xml:space="preserve">System-of-Record &amp; Ownership Registry; Data Contract Registry; Data Dictionary / Glossary</t>
  </si>
  <si>
    <t xml:space="preserve">Certified semantics; prevents KPI fragmentation; consistent measurement &amp; accountability</t>
  </si>
  <si>
    <t xml:space="preserve">Metric &amp; KPI Studio; Certified Metrics Dashboard; Calculation Contract Editor</t>
  </si>
  <si>
    <t xml:space="preserve">Control-Plane (Semantic Governance)</t>
  </si>
  <si>
    <t xml:space="preserve">GOV-REG-BUNDLE + SEMANTIC-BUNDLE (metric IDs, calc contracts, certification state machine)</t>
  </si>
  <si>
    <t xml:space="preserve">SoR: Metric definitions, semantic IDs, calc logic contracts, certification status</t>
  </si>
  <si>
    <t xml:space="preserve">L1 Service Desk; L2 Data/BI Ops; L3 Data Product Eng</t>
  </si>
  <si>
    <t xml:space="preserve">Policy &amp; Control Library</t>
  </si>
  <si>
    <t xml:space="preserve">W-1</t>
  </si>
  <si>
    <t xml:space="preserve">SSO / MFA; RBAC / ABAC Authorization</t>
  </si>
  <si>
    <t xml:space="preserve">Control baseline + taxonomy; accelerates assurance alignment and enforcement</t>
  </si>
  <si>
    <t xml:space="preserve">Policy Library; Control Library; Evidence Requirement Mapper</t>
  </si>
  <si>
    <t xml:space="preserve">Control-Plane (Governance Library)</t>
  </si>
  <si>
    <t xml:space="preserve">SoR: Policies, control taxonomy, control objectives, evidence requirements map</t>
  </si>
  <si>
    <t xml:space="preserve">L1 Service Desk; L2 GRC Ops; L3 Product Eng</t>
  </si>
  <si>
    <t xml:space="preserve">CP-BASE + DOC-EVID</t>
  </si>
  <si>
    <t xml:space="preserve">Policy Exception / Waiver Register</t>
  </si>
  <si>
    <t xml:space="preserve">Policy &amp; Control Library; Workflow Designer; Audit Trail Service</t>
  </si>
  <si>
    <t xml:space="preserve">Managed exceptions with expiry + compensating controls; eliminates “shadow policy”</t>
  </si>
  <si>
    <t xml:space="preserve">Waiver Request Form; Waiver Approval Inbox; Waiver Registry; Expiry Alerts</t>
  </si>
  <si>
    <t xml:space="preserve">Control-Plane (Governance Register)</t>
  </si>
  <si>
    <t xml:space="preserve">GOV-REG-BUNDLE + WORKFLOW-BUNDLE (approval, SLA, escalation, waiver lifecycle events)</t>
  </si>
  <si>
    <t xml:space="preserve">SoR: Waivers/exceptions, expiry, compensating controls, approval trail</t>
  </si>
  <si>
    <t xml:space="preserve">CP-BASE + PLAT-BASE</t>
  </si>
  <si>
    <t xml:space="preserve">Decision &amp; Rationale Log</t>
  </si>
  <si>
    <t xml:space="preserve">SSO / MFA; Audit Trail Service</t>
  </si>
  <si>
    <t xml:space="preserve">Decision traceability; reduces re-litigation; audit defensibility</t>
  </si>
  <si>
    <t xml:space="preserve">Decision Log Workspace; Decision Record Editor; Decision-to-Evidence Linker</t>
  </si>
  <si>
    <t xml:space="preserve">Control-Plane (Governance Memory)</t>
  </si>
  <si>
    <t xml:space="preserve">GOV-REG-BUNDLE + EVIDENCE-LINK (decision object model, evidence links, export)</t>
  </si>
  <si>
    <t xml:space="preserve">SoR: Decision records, rationale, decision-to-evidence links</t>
  </si>
  <si>
    <t xml:space="preserve">L1 Service Desk; L2 Governance Ops; L3 Product Eng</t>
  </si>
  <si>
    <t xml:space="preserve">Enterprise Capability / Product Catalog</t>
  </si>
  <si>
    <t xml:space="preserve">W-3</t>
  </si>
  <si>
    <t xml:space="preserve">Module Boundary Registry; System-of-Record &amp; Ownership Registry</t>
  </si>
  <si>
    <t xml:space="preserve">Single map of capabilities→owners→KPIs; prevents duplicate “product” creation</t>
  </si>
  <si>
    <t xml:space="preserve">Capability Catalog; Owner Matrix; Capability-to-Module Map; KPI Link Panel</t>
  </si>
  <si>
    <t xml:space="preserve">Control-Plane (Operating Model Catalog)</t>
  </si>
  <si>
    <t xml:space="preserve">SoR: Capability inventory, capability→module mapping, owner matrix (reference to SoR ownership)</t>
  </si>
  <si>
    <t xml:space="preserve">1) Platform &amp; Shared Services</t>
  </si>
  <si>
    <t xml:space="preserve">Platform Foundation</t>
  </si>
  <si>
    <t xml:space="preserve">Environment &amp; Release Management</t>
  </si>
  <si>
    <t xml:space="preserve">Standardize environments and release flow to reduce deployment risk and improve delivery velocity with governance.</t>
  </si>
  <si>
    <t xml:space="preserve">Tenant / Environment Management</t>
  </si>
  <si>
    <t xml:space="preserve">—</t>
  </si>
  <si>
    <t xml:space="preserve">Multi-tenant foundation; environment isolation; controlled rollout</t>
  </si>
  <si>
    <t xml:space="preserve">Environment Manager; Tenant Console</t>
  </si>
  <si>
    <t xml:space="preserve">Platform Core Service</t>
  </si>
  <si>
    <t xml:space="preserve">PLAT-CORE-BUNDLE (SSO/OIDC, Admin API, AuditEvent v1 for critical admin ops, OTel, Correlation-ID, Error Model)</t>
  </si>
  <si>
    <t xml:space="preserve">SoR: Tenants, environments, environment metadata (regions, tiers), isolation policies</t>
  </si>
  <si>
    <t xml:space="preserve">L1 Service Desk; L2 Platform Ops; L3 Platform Eng</t>
  </si>
  <si>
    <t xml:space="preserve">Release Governance &amp; Promotion (DEV/UAT/PROD)</t>
  </si>
  <si>
    <t xml:space="preserve">Promotion gates + release traceability; consistent DEV→UAT→PROD</t>
  </si>
  <si>
    <t xml:space="preserve">Release Pipeline Board; Promotion Gate Review; Release Evidence Pack</t>
  </si>
  <si>
    <t xml:space="preserve">PLAT-CORE-BUNDLE + RELEASE-BUNDLE (promotion gates, approvals, evidence pack export)</t>
  </si>
  <si>
    <t xml:space="preserve">SoR: Release artifacts, promotion approvals, gate outcomes, release evidence packs</t>
  </si>
  <si>
    <t xml:space="preserve">Feature Flags &amp; Configuration Profiles</t>
  </si>
  <si>
    <t xml:space="preserve">Release Governance &amp; Promotion; Secrets &amp; Configuration Vault</t>
  </si>
  <si>
    <t xml:space="preserve">Progressive rollout/rollback; safe experimentation</t>
  </si>
  <si>
    <t xml:space="preserve">Feature Flag Console; Config Profile Manager; Rollout Timeline</t>
  </si>
  <si>
    <t xml:space="preserve">Platform Shared Service</t>
  </si>
  <si>
    <t xml:space="preserve">PLAT-CORE-BUNDLE + CONFIG-BUNDLE (flag schema, config profiles, rollout events, audit hooks)</t>
  </si>
  <si>
    <t xml:space="preserve">SoR: Feature flags, rollout rules, config profiles (non-secret)</t>
  </si>
  <si>
    <t xml:space="preserve">Secrets &amp; Configuration Vault</t>
  </si>
  <si>
    <t xml:space="preserve">Secure secret lifecycle; reduced exposure risk; safe integrations</t>
  </si>
  <si>
    <t xml:space="preserve">Secrets Vault UI; Access Policy Hook; Rotation Scheduler</t>
  </si>
  <si>
    <t xml:space="preserve">PLAT-CORE-BUNDLE + SECRET-BUNDLE (secret CRUD, rotation, policy hooks, key mgmt integration)</t>
  </si>
  <si>
    <t xml:space="preserve">SoR: Secrets, secret metadata, rotation schedules, access policy bindings</t>
  </si>
  <si>
    <t xml:space="preserve">L1 Service Desk; L2 SecOps/Platform Ops; L3 Platform Eng</t>
  </si>
  <si>
    <t xml:space="preserve">Platform Standards &amp; Guardrails</t>
  </si>
  <si>
    <t xml:space="preserve">Institutionalize platform patterns and boundary rules to enforce reuse and prevent shadow systems.</t>
  </si>
  <si>
    <t xml:space="preserve">Platform Standards Registry</t>
  </si>
  <si>
    <t xml:space="preserve">Non-negotiables + patterns; consistent delivery</t>
  </si>
  <si>
    <t xml:space="preserve">Standards Library; Pattern Catalog; Standards Change Workflow</t>
  </si>
  <si>
    <t xml:space="preserve">Control-Plane Standard</t>
  </si>
  <si>
    <t xml:space="preserve">SoR: Standards, patterns, guardrail policies, standard change log</t>
  </si>
  <si>
    <t xml:space="preserve">L1 Service Desk; L2 Platform Governance; L3 Platform Eng</t>
  </si>
  <si>
    <t xml:space="preserve">Module Boundary Registry</t>
  </si>
  <si>
    <t xml:space="preserve">Explicit boundaries; prevents overlap and ownership ambiguity</t>
  </si>
  <si>
    <t xml:space="preserve">Boundary Registry; Scope Declaration Editor; Boundary Review Workflow</t>
  </si>
  <si>
    <t xml:space="preserve">Control-Plane Registry</t>
  </si>
  <si>
    <t xml:space="preserve">SoR: Module scope declarations, in/out boundaries, boundary review decisions</t>
  </si>
  <si>
    <t xml:space="preserve">L1 Service Desk; L2 Platform Governance; L3 Product Eng</t>
  </si>
  <si>
    <t xml:space="preserve">Reuse Enforcement Checks</t>
  </si>
  <si>
    <t xml:space="preserve">Platform Standards Registry; Module Boundary Registry</t>
  </si>
  <si>
    <t xml:space="preserve">Automated guardrails; blocks duplicated builds; forces shared-service reuse</t>
  </si>
  <si>
    <t xml:space="preserve">Reuse Compliance Dashboard; Waiver Request Link; Exception Approval</t>
  </si>
  <si>
    <t xml:space="preserve">Platform Governance Service</t>
  </si>
  <si>
    <t xml:space="preserve">GOV-REG-BUNDLE + CI-GUARDRAIL-BUNDLE (policy-as-code hooks, waiver integration, build-time checks)</t>
  </si>
  <si>
    <t xml:space="preserve">Not SoR: enforcement engine; References SoR: standards/boundaries/waivers</t>
  </si>
  <si>
    <t xml:space="preserve">Service Certification</t>
  </si>
  <si>
    <t xml:space="preserve">Certification bar for platform-grade services; drives trust &amp; reuse</t>
  </si>
  <si>
    <t xml:space="preserve">Service Certification Workbench; Certification Status Board</t>
  </si>
  <si>
    <t xml:space="preserve">GOV-REG-BUNDLE + CERT-BUNDLE (cert criteria, evidence links, status lifecycle)</t>
  </si>
  <si>
    <t xml:space="preserve">SoR: Certification records, criteria, certification evidence links</t>
  </si>
  <si>
    <t xml:space="preserve">Identity, Access &amp; Trust</t>
  </si>
  <si>
    <t xml:space="preserve">Access &amp; Authorization</t>
  </si>
  <si>
    <t xml:space="preserve">Ensure consistent identity and fine-grained authorization to secure operations and data access across all modules.</t>
  </si>
  <si>
    <t xml:space="preserve">SSO / MFA</t>
  </si>
  <si>
    <t xml:space="preserve">Central authentication; eliminates identity fragmentation</t>
  </si>
  <si>
    <t xml:space="preserve">SSO Config Page; MFA Policy Console; IdP Connection Manager</t>
  </si>
  <si>
    <t xml:space="preserve">Platform Security Service</t>
  </si>
  <si>
    <t xml:space="preserve">SEC-IDENTITY-BUNDLE (OIDC/SAML, MFA policies, session management, AuditEvent v1, OTel)</t>
  </si>
  <si>
    <t xml:space="preserve">SoR: IdP connections, auth policies, MFA rules, session security settings</t>
  </si>
  <si>
    <t xml:space="preserve">L1 Service Desk; L2 SecOps; L3 Identity Eng</t>
  </si>
  <si>
    <t xml:space="preserve">RBAC / ABAC Authorization</t>
  </si>
  <si>
    <t xml:space="preserve">Central permissions model; governed access by role/attribute</t>
  </si>
  <si>
    <t xml:space="preserve">Role &amp; Permission Builder; Policy Console; Access Review Dashboard</t>
  </si>
  <si>
    <t xml:space="preserve">SEC-AUTHZ-BUNDLE (policy decision/entitlement APIs, RBAC/ABAC model, audit hooks)</t>
  </si>
  <si>
    <t xml:space="preserve">SoR: Roles, entitlements, policies, access reviews (where implemented)</t>
  </si>
  <si>
    <t xml:space="preserve">Data Masking &amp; Row/Field Security</t>
  </si>
  <si>
    <t xml:space="preserve">RBAC / ABAC Authorization; Data Dictionary / Glossary (later acceptable)</t>
  </si>
  <si>
    <t xml:space="preserve">Sensitive data protection; regulated segmentation without duplication</t>
  </si>
  <si>
    <t xml:space="preserve">Data Access Matrix; Masking Rules Studio; Policy Test Harness</t>
  </si>
  <si>
    <t xml:space="preserve">SEC-DATA-BUNDLE (masking rules schema, row/field policy hooks, test harness contract)</t>
  </si>
  <si>
    <t xml:space="preserve">SoR: Masking policies, row/field rules, classification bindings</t>
  </si>
  <si>
    <t xml:space="preserve">L1 Service Desk; L2 SecOps/Data Ops; L3 Security/Data Eng</t>
  </si>
  <si>
    <t xml:space="preserve">Controls &amp; Non-repudiation</t>
  </si>
  <si>
    <t xml:space="preserve">Deliver provable accountability for critical actions via SoD, auditable trails, and legally-defensible signatures.</t>
  </si>
  <si>
    <t xml:space="preserve">Segregation of Duties (SoD) Controls</t>
  </si>
  <si>
    <t xml:space="preserve">RBAC/ABAC Authorization; Audit Trail Service; Workflow Designer</t>
  </si>
  <si>
    <t xml:space="preserve">Prevents toxic combinations; compliance-grade approvals</t>
  </si>
  <si>
    <t xml:space="preserve">SoD Rules Manager; Violation Alerts; SoD Exception Workflow</t>
  </si>
  <si>
    <t xml:space="preserve">Platform Control Service</t>
  </si>
  <si>
    <t xml:space="preserve">SEC-CONTROL-BUNDLE (SoD rules schema, violation events, workflow exception binding, AuditEvent v1)</t>
  </si>
  <si>
    <t xml:space="preserve">SoR: SoD rules, violations, SoD exceptions/approvals</t>
  </si>
  <si>
    <t xml:space="preserve">L1 Service Desk; L2 SecOps/GRC Ops; L3 Security Eng</t>
  </si>
  <si>
    <t xml:space="preserve">Audit Trail Service</t>
  </si>
  <si>
    <t xml:space="preserve">Non-repudiation; critical action traceability</t>
  </si>
  <si>
    <t xml:space="preserve">Audit Trail Explorer; Critical Actions Feed; Export &amp; Retention Controls</t>
  </si>
  <si>
    <t xml:space="preserve">AUDIT-BUNDLE (AuditEvent v1, retention/export, tamper-evidence, OTel)</t>
  </si>
  <si>
    <t xml:space="preserve">SoR: Audit events, audit retention policies, export artifacts</t>
  </si>
  <si>
    <t xml:space="preserve">L1 Service Desk; L2 SecOps; L3 Platform/Security Eng</t>
  </si>
  <si>
    <t xml:space="preserve">e-Signature Service</t>
  </si>
  <si>
    <t xml:space="preserve">Audit Trail Service; Controlled Documents; Policy &amp; Control Library</t>
  </si>
  <si>
    <t xml:space="preserve">Legally defensible sign-offs</t>
  </si>
  <si>
    <t xml:space="preserve">Signature Requests; Signature Verification Viewer; Signature Audit Export</t>
  </si>
  <si>
    <t xml:space="preserve">ESIGN-BUNDLE (signature envelope schema, signer identity binding, audit hooks, evidence link)</t>
  </si>
  <si>
    <t xml:space="preserve">SoR: Signature envelopes, signer attestations, verification artifacts</t>
  </si>
  <si>
    <t xml:space="preserve">Workflow, Rules &amp; Automation</t>
  </si>
  <si>
    <t xml:space="preserve">Workflow Orchestration</t>
  </si>
  <si>
    <t xml:space="preserve">Provide a single orchestration runtime for approvals, SLAs, escalations, and tasking to eliminate fragmented process engines.</t>
  </si>
  <si>
    <t xml:space="preserve">Workflow Designer (Approvals/SLAs/Escalations)</t>
  </si>
  <si>
    <t xml:space="preserve">RBAC/ABAC Authorization; Audit Trail Service</t>
  </si>
  <si>
    <t xml:space="preserve">Single workflow runtime; approval/SLA governance</t>
  </si>
  <si>
    <t xml:space="preserve">Workflow Designer; SLA Console; Escalation Rules; Workflow Run History</t>
  </si>
  <si>
    <t xml:space="preserve">Platform Workflow Service</t>
  </si>
  <si>
    <t xml:space="preserve">WORKFLOW-BUNDLE (workflow definition API, task/inbox schema, SLA/escalation schema, AuditEvent v1, OTel)</t>
  </si>
  <si>
    <t xml:space="preserve">SoR: Workflow definitions, run history, SLA rules, escalation policies</t>
  </si>
  <si>
    <t xml:space="preserve">L1 Service Desk; L2 Platform Ops; L3 Workflow Eng</t>
  </si>
  <si>
    <t xml:space="preserve">Task &amp; Checklist Engine</t>
  </si>
  <si>
    <t xml:space="preserve">Workflow Designer</t>
  </si>
  <si>
    <t xml:space="preserve">Standard execution; reduces operational variance</t>
  </si>
  <si>
    <t xml:space="preserve">Task Builder; Checklist Templates; Assignment Inbox</t>
  </si>
  <si>
    <t xml:space="preserve">WORKFLOW-BUNDLE + TASK-BUNDLE (task templates, checklist schema, assignment rules)</t>
  </si>
  <si>
    <t xml:space="preserve">SoR: Task templates, checklist templates, assignment rules</t>
  </si>
  <si>
    <t xml:space="preserve">Decisioning &amp; Automation</t>
  </si>
  <si>
    <t xml:space="preserve">Operationalize business logic and repeatable automation to increase throughput and reduce manual work/error rates.</t>
  </si>
  <si>
    <t xml:space="preserve">Business Rules Engine</t>
  </si>
  <si>
    <t xml:space="preserve">Workflow Designer; Audit Trail Service</t>
  </si>
  <si>
    <t xml:space="preserve">Central decision logic; governance + versioning</t>
  </si>
  <si>
    <t xml:space="preserve">Rules Studio; Rule Version Diff; Rule Test Runner</t>
  </si>
  <si>
    <t xml:space="preserve">Platform Automation Service</t>
  </si>
  <si>
    <t xml:space="preserve">RULES-BUNDLE (rule schema, versioning, test runner contract, AuditEvent v1)</t>
  </si>
  <si>
    <t xml:space="preserve">SoR: Business rules, rule versions, rule test evidence</t>
  </si>
  <si>
    <t xml:space="preserve">L1 Service Desk; L2 Platform Ops; L3 Automation Eng</t>
  </si>
  <si>
    <t xml:space="preserve">Scheduler / Job Orchestration</t>
  </si>
  <si>
    <t xml:space="preserve">Secrets &amp; Configuration Vault; Logging &amp; Monitoring</t>
  </si>
  <si>
    <t xml:space="preserve">Reliable scheduled execution; traceable runs</t>
  </si>
  <si>
    <t xml:space="preserve">Job Scheduler Console; Run History; Retry &amp; Backoff Policies</t>
  </si>
  <si>
    <t xml:space="preserve">SCHED-BUNDLE (job spec schema, run history, retry/backoff policy, OTel, secrets hook)</t>
  </si>
  <si>
    <t xml:space="preserve">SoR: Job definitions, schedules, run history, retry policies</t>
  </si>
  <si>
    <t xml:space="preserve">Engagement</t>
  </si>
  <si>
    <t xml:space="preserve">Ensure consistent, policy-compliant communication and subscription management across channels and processes.</t>
  </si>
  <si>
    <t xml:space="preserve">Notification Service (Email/SMS/WhatsApp)</t>
  </si>
  <si>
    <t xml:space="preserve">Workflow Designer; RBAC/ABAC Authorization</t>
  </si>
  <si>
    <t xml:space="preserve">Consistent comms; SLA/approval notifications; reduces channel fragmentation</t>
  </si>
  <si>
    <t xml:space="preserve">Notification Templates; Channel Routing; Delivery Analytics</t>
  </si>
  <si>
    <t xml:space="preserve">Platform Engagement Service</t>
  </si>
  <si>
    <t xml:space="preserve">NOTIFY-BUNDLE (template schema, routing rules, delivery events, consent hooks optional, OTel)</t>
  </si>
  <si>
    <t xml:space="preserve">SoR: Notification templates, routing policies, delivery logs</t>
  </si>
  <si>
    <t xml:space="preserve">L1 Service Desk; L2 Platform Ops; L3 Engagement Eng</t>
  </si>
  <si>
    <t xml:space="preserve">Content, Records &amp; Evidence</t>
  </si>
  <si>
    <t xml:space="preserve">Content Lifecycle</t>
  </si>
  <si>
    <t xml:space="preserve">Manage controlled content end-to-end to support operational consistency and compliance.</t>
  </si>
  <si>
    <t xml:space="preserve">Document Management (Templates/Versioning)</t>
  </si>
  <si>
    <t xml:space="preserve">Controlled documentation runtime; foundation for policies/standards/specs</t>
  </si>
  <si>
    <t xml:space="preserve">Document Library; Template Manager; Version Compare</t>
  </si>
  <si>
    <t xml:space="preserve">Platform Content Service</t>
  </si>
  <si>
    <t xml:space="preserve">CONTENT-BUNDLE (document object model, versioning, access control hooks, AuditEvent v1, OTel)</t>
  </si>
  <si>
    <t xml:space="preserve">SoR: Documents, templates, versions, document metadata</t>
  </si>
  <si>
    <t xml:space="preserve">L1 Service Desk; L2 Content Ops; L3 Content Eng</t>
  </si>
  <si>
    <t xml:space="preserve">Controlled Documents (SOPs/Work Instructions)</t>
  </si>
  <si>
    <t xml:space="preserve">Document Management; Workflow Designer</t>
  </si>
  <si>
    <t xml:space="preserve">SOP lifecycle with approvals; compliance enablement</t>
  </si>
  <si>
    <t xml:space="preserve">Controlled Doc Editor; Approval Timeline; Training Linkage Panel</t>
  </si>
  <si>
    <t xml:space="preserve">CONTENT-BUNDLE + CONTROLLED-DOC-BUNDLE (approval workflow binding, training linkage contract, evidence link)</t>
  </si>
  <si>
    <t xml:space="preserve">SoR: SOP/work-instruction controlled states, approvals, training linkages</t>
  </si>
  <si>
    <t xml:space="preserve">L1 Service Desk; L2 Quality Ops/Content Ops; L3 Content Eng</t>
  </si>
  <si>
    <t xml:space="preserve">Records &amp; Retention</t>
  </si>
  <si>
    <t xml:space="preserve">Enforce retention, legal hold, and records integrity to meet regulatory and litigation readiness requirements.</t>
  </si>
  <si>
    <t xml:space="preserve">Records Management (Retention/Legal Hold)</t>
  </si>
  <si>
    <t xml:space="preserve">Document Management; Audit Trail Service</t>
  </si>
  <si>
    <t xml:space="preserve">Retention posture; legal hold readiness</t>
  </si>
  <si>
    <t xml:space="preserve">Records Register; Retention Policies; Legal Holds</t>
  </si>
  <si>
    <t xml:space="preserve">Platform Records Service</t>
  </si>
  <si>
    <t xml:space="preserve">RECORDS-BUNDLE (retention policy schema, legal hold API, export/immutability hooks, AuditEvent v1)</t>
  </si>
  <si>
    <t xml:space="preserve">SoR: Retention policies, legal holds, record declarations</t>
  </si>
  <si>
    <t xml:space="preserve">L1 Service Desk; L2 Records Ops/Legal Ops; L3 Records Eng</t>
  </si>
  <si>
    <t xml:space="preserve">Evidence &amp; Traceability</t>
  </si>
  <si>
    <t xml:space="preserve">Create verifiable evidence chains for audits and investigations.</t>
  </si>
  <si>
    <t xml:space="preserve">Evidence Linking Service (object ↔ evidence)</t>
  </si>
  <si>
    <t xml:space="preserve">Audit Trail Service; Records Management; Decision &amp; Rationale Log</t>
  </si>
  <si>
    <t xml:space="preserve">Evidence graph; faster investigations/audit packs</t>
  </si>
  <si>
    <t xml:space="preserve">Evidence Linker; Evidence Viewer; Evidence Search &amp; Filters</t>
  </si>
  <si>
    <t xml:space="preserve">Platform Evidence Service</t>
  </si>
  <si>
    <t xml:space="preserve">EVIDENCE-LINK (evidence object model, link types, provenance, export, AuditEvent v1)</t>
  </si>
  <si>
    <t xml:space="preserve">SoR: Evidence objects, evidence links/relationships, evidence provenance</t>
  </si>
  <si>
    <t xml:space="preserve">L1 Service Desk; L2 GRC/Quality Ops; L3 Evidence Eng</t>
  </si>
  <si>
    <t xml:space="preserve">Integration &amp; Interoperability</t>
  </si>
  <si>
    <t xml:space="preserve">Interface Runtime</t>
  </si>
  <si>
    <t xml:space="preserve">Provide standardized integration channels to connect internal modules and external ecosystems reliably.</t>
  </si>
  <si>
    <t xml:space="preserve">API Gateway</t>
  </si>
  <si>
    <t xml:space="preserve">Interface Registry; Secrets Vault; Logging &amp; Monitoring; RBAC/ABAC Authorization</t>
  </si>
  <si>
    <t xml:space="preserve">Standard API surface; secure exposure; throttling; observability</t>
  </si>
  <si>
    <t xml:space="preserve">API Gateway Console; Route Manager; Throttle Policies</t>
  </si>
  <si>
    <t xml:space="preserve">Platform Integration Service</t>
  </si>
  <si>
    <t xml:space="preserve">INTEG-RUNTIME-BUNDLE (OpenAPI governance link, OAuth2/JWT, throttling, WAF hooks optional, OTel, Correlation-ID)</t>
  </si>
  <si>
    <t xml:space="preserve">Not SoR: runtime gateway; References SoR: interface registry, consumer registry</t>
  </si>
  <si>
    <t xml:space="preserve">L1 Service Desk; L2 Platform Ops; L3 Integration Eng</t>
  </si>
  <si>
    <t xml:space="preserve">API Consumer &amp; Credential Management (Developer Portal)</t>
  </si>
  <si>
    <t xml:space="preserve">API Gateway; SSO/MFA; RBAC/ABAC; Audit Trail Service</t>
  </si>
  <si>
    <t xml:space="preserve">Controlled consumer onboarding, keys/tokens, quotas, subscriptions</t>
  </si>
  <si>
    <t xml:space="preserve">Developer Portal; App Registration; Credential Issuance; Quota Plans; Subscription Manager</t>
  </si>
  <si>
    <t xml:space="preserve">CONSUMER-BUNDLE (app registration schema, credential issuance, quota/subscription model, audit hooks)</t>
  </si>
  <si>
    <t xml:space="preserve">SoR: API consumers/apps, credentials metadata, quotas/subscriptions</t>
  </si>
  <si>
    <t xml:space="preserve">Webhook Service</t>
  </si>
  <si>
    <t xml:space="preserve">API Gateway; Interface Registry</t>
  </si>
  <si>
    <t xml:space="preserve">Push integrations; reduces polling overhead</t>
  </si>
  <si>
    <t xml:space="preserve">Webhook Manager; Delivery Logs; Retry Policies</t>
  </si>
  <si>
    <t xml:space="preserve">WEBHOOK-BUNDLE (webhook spec, delivery events, retry/idempotency, signature verification hooks)</t>
  </si>
  <si>
    <t xml:space="preserve">SoR: Webhook subscriptions, delivery logs, retry state</t>
  </si>
  <si>
    <t xml:space="preserve">Event Bus / Message Queue</t>
  </si>
  <si>
    <t xml:space="preserve">Logging &amp; Monitoring; Interface Registry (event interfaces); Event Taxonomy &amp; Naming Standard (minimum)</t>
  </si>
  <si>
    <t xml:space="preserve">Event-driven foundation; scalable async patterns</t>
  </si>
  <si>
    <t xml:space="preserve">Topic Browser; Subscription Manager; Event Replay Viewer</t>
  </si>
  <si>
    <t xml:space="preserve">EVENT-BUS-BUNDLE (AsyncAPI binding, CloudEvents envelope, topic/subscription model, replay contract, OTel, Correlation-ID)</t>
  </si>
  <si>
    <t xml:space="preserve">SoR: Topics, subscriptions, retention/replay policies (platform-level)</t>
  </si>
  <si>
    <t xml:space="preserve">EDI Hub (B2B Orders/Invoices/ASNs)</t>
  </si>
  <si>
    <t xml:space="preserve">API/Event runtime; Data Contract Registry; Integration Monitoring &amp; Reconciliation</t>
  </si>
  <si>
    <t xml:space="preserve">B2B enablement; structured partner exchange</t>
  </si>
  <si>
    <t xml:space="preserve">EDI Console; Partner Profiles; Message Trace</t>
  </si>
  <si>
    <t xml:space="preserve">EDI-BUNDLE (partner profile schema, message trace, mapping contracts, acknowledgements, OTel)</t>
  </si>
  <si>
    <t xml:space="preserve">SoR: Partner profiles (EDI), EDI message trace, mapping configurations</t>
  </si>
  <si>
    <t xml:space="preserve">L1 Service Desk; L2 Integration Ops; L3 Integration Eng</t>
  </si>
  <si>
    <t xml:space="preserve">Integration Assurance</t>
  </si>
  <si>
    <t xml:space="preserve">Detect, reconcile, and resolve integration failures fast to protect data quality and business continuity.</t>
  </si>
  <si>
    <t xml:space="preserve">Integration Monitoring &amp; Reconciliation</t>
  </si>
  <si>
    <t xml:space="preserve">API Gateway; Event Bus; Data Contract Registry; Logging &amp; Monitoring</t>
  </si>
  <si>
    <t xml:space="preserve">Integration reliability; protects data integrity; faster recovery</t>
  </si>
  <si>
    <t xml:space="preserve">Integration Health Dashboard; Reconciliation Workbench; Exception Inbox</t>
  </si>
  <si>
    <t xml:space="preserve">Platform Integration Assurance</t>
  </si>
  <si>
    <t xml:space="preserve">INTEG-ASSURE-BUNDLE (recon job schema, exception model, contract validation hooks, OTel)</t>
  </si>
  <si>
    <t xml:space="preserve">SoR: Integration exceptions, reconciliation outcomes, failure runbooks linkage</t>
  </si>
  <si>
    <t xml:space="preserve">Interface Governance</t>
  </si>
  <si>
    <t xml:space="preserve">Make interfaces governable assets (owned, versioned, deprecated safely) to reduce breaking changes and integration debt.</t>
  </si>
  <si>
    <t xml:space="preserve">Event Taxonomy &amp; Naming Standard</t>
  </si>
  <si>
    <t xml:space="preserve">Interface Registry; Event Bus / Message Queue</t>
  </si>
  <si>
    <t xml:space="preserve">Normalized events; consistent routing/search</t>
  </si>
  <si>
    <t xml:space="preserve">Event Naming Validator; Standards Library; Event Catalog View</t>
  </si>
  <si>
    <t xml:space="preserve">GOV-REG-BUNDLE (standard policy + validator contract)</t>
  </si>
  <si>
    <t xml:space="preserve">SoR: Event naming rules/taxonomy (standard), validator outcomes (optional)</t>
  </si>
  <si>
    <t xml:space="preserve">L1 Service Desk; L2 Platform Governance; L3 Integration Eng</t>
  </si>
  <si>
    <t xml:space="preserve">Schema Compatibility &amp; Deprecation Policy</t>
  </si>
  <si>
    <t xml:space="preserve">Predictable evolution; fewer breaking changes</t>
  </si>
  <si>
    <t xml:space="preserve">Version/Deprecation Manager; Compatibility Reports; Deprecation Calendar</t>
  </si>
  <si>
    <t xml:space="preserve">Control-Plane Policy</t>
  </si>
  <si>
    <t xml:space="preserve">GOV-REG-BUNDLE + COMPAT-BUNDLE (compatibility rules, semver policy, deprecation calendar)</t>
  </si>
  <si>
    <t xml:space="preserve">SoR: Compatibility policy, deprecation schedules, compatibility reports</t>
  </si>
  <si>
    <t xml:space="preserve">Canonical ID &amp; Correlation Standard</t>
  </si>
  <si>
    <t xml:space="preserve">Interface Registry; Logging &amp; Monitoring</t>
  </si>
  <si>
    <t xml:space="preserve">End-to-end traceability; consistent correlation IDs</t>
  </si>
  <si>
    <t xml:space="preserve">Canonical ID Directory; Correlation Inspector; Trace Stitching View</t>
  </si>
  <si>
    <t xml:space="preserve">GOV-REG-BUNDLE + TRACE-BUNDLE (canonical ID schema, correlation header rules, trace stitching contract)</t>
  </si>
  <si>
    <t xml:space="preserve">SoR: Canonical ID definitions, correlation rules (standard)</t>
  </si>
  <si>
    <t xml:space="preserve">L1 Service Desk; L2 Platform Governance; L3 Platform/Integration Eng</t>
  </si>
  <si>
    <t xml:space="preserve">Observability &amp; Continuity</t>
  </si>
  <si>
    <t xml:space="preserve">Observability</t>
  </si>
  <si>
    <t xml:space="preserve">Provide end-to-end visibility and operational telemetry to meet service reliability targets and speed up incident response.</t>
  </si>
  <si>
    <t xml:space="preserve">Logging &amp; Monitoring</t>
  </si>
  <si>
    <t xml:space="preserve">Telemetry baseline; faster triage</t>
  </si>
  <si>
    <t xml:space="preserve">Observability Dashboard; Log Explorer; Trace Viewer</t>
  </si>
  <si>
    <t xml:space="preserve">Platform Observability Service</t>
  </si>
  <si>
    <t xml:space="preserve">OBS-BUNDLE (OTel logs/metrics/traces, alert hooks, Correlation-ID, Error Model)</t>
  </si>
  <si>
    <t xml:space="preserve">SoR: Telemetry retention configs, dashboards (if managed), alert sources</t>
  </si>
  <si>
    <t xml:space="preserve">L1 Service Desk; L2 SRE/Platform Ops; L3 SRE/Platform Eng</t>
  </si>
  <si>
    <t xml:space="preserve">Alerting &amp; Incident Runbooks</t>
  </si>
  <si>
    <t xml:space="preserve">Faster response; standardized playbooks</t>
  </si>
  <si>
    <t xml:space="preserve">Alert Console; Runbook Library; On-call Escalation Map</t>
  </si>
  <si>
    <t xml:space="preserve">ALERT-BUNDLE (alert rule schema, routing/escalation model, runbook link contract, OTel)</t>
  </si>
  <si>
    <t xml:space="preserve">SoR: Alert rules (where hosted), runbook library, escalation maps</t>
  </si>
  <si>
    <t xml:space="preserve">L1 NOC/Service Desk; L2 SRE; L3 SRE/Platform Eng</t>
  </si>
  <si>
    <t xml:space="preserve">SLO/SLA Monitoring</t>
  </si>
  <si>
    <t xml:space="preserve">Logging &amp; Monitoring; Alerting &amp; Incident Runbooks</t>
  </si>
  <si>
    <t xml:space="preserve">Reliability governance; error budgets; measurable posture</t>
  </si>
  <si>
    <t xml:space="preserve">SLO/SLA Console; Error Budget Board; SLO Change Workflow</t>
  </si>
  <si>
    <t xml:space="preserve">Platform Reliability Governance</t>
  </si>
  <si>
    <t xml:space="preserve">SLO-BUNDLE (SLO definitions, indicator bindings, error budget model, change workflow hooks)</t>
  </si>
  <si>
    <t xml:space="preserve">SoR: SLO definitions, error budgets, SLO change approvals</t>
  </si>
  <si>
    <t xml:space="preserve">Resilience</t>
  </si>
  <si>
    <t xml:space="preserve">Ensure recoverability and operational resilience through backup, DR, and capacity planning aligned to business risk.</t>
  </si>
  <si>
    <t xml:space="preserve">Backup &amp; Restore</t>
  </si>
  <si>
    <t xml:space="preserve">Tenant / Environment Management; Core data stores</t>
  </si>
  <si>
    <t xml:space="preserve">Recoverability; reduced operational risk</t>
  </si>
  <si>
    <t xml:space="preserve">Backup Center; Restore Wizard; Backup Validation Reports</t>
  </si>
  <si>
    <t xml:space="preserve">Platform Resilience Service</t>
  </si>
  <si>
    <t xml:space="preserve">BCP-TECH-BUNDLE (backup policies, restore workflows, validation reports, audit hooks)</t>
  </si>
  <si>
    <t xml:space="preserve">SoR: Backup policies, backup run history, restore evidence</t>
  </si>
  <si>
    <t xml:space="preserve">Disaster Recovery (RTO/RPO)</t>
  </si>
  <si>
    <t xml:space="preserve">Backup &amp; Restore; Observability maturity</t>
  </si>
  <si>
    <t xml:space="preserve">Production-scale continuity posture</t>
  </si>
  <si>
    <t xml:space="preserve">DR Readiness Dashboard; Failover Drill Planner; DR Evidence Pack</t>
  </si>
  <si>
    <t xml:space="preserve">Platform Resilience Governance</t>
  </si>
  <si>
    <t xml:space="preserve">DR-BUNDLE (RTO/RPO objectives, drill plans, failover runbooks, evidence pack export)</t>
  </si>
  <si>
    <t xml:space="preserve">SoR: DR plans, drill results, RTO/RPO attestations/evidence</t>
  </si>
  <si>
    <t xml:space="preserve">L1 Service Desk; L2 SRE/BCM Ops; L3 Platform Eng</t>
  </si>
  <si>
    <t xml:space="preserve">Performance &amp; Capacity Management</t>
  </si>
  <si>
    <t xml:space="preserve">Logging &amp; Monitoring; baseline load data</t>
  </si>
  <si>
    <t xml:space="preserve">Proactive scaling; cost/performance optimization</t>
  </si>
  <si>
    <t xml:space="preserve">Capacity Planner; Performance Insights; Load Test Evidence</t>
  </si>
  <si>
    <t xml:space="preserve">Platform Performance Service</t>
  </si>
  <si>
    <t xml:space="preserve">PERF-BUNDLE (capacity models, load test evidence schema, performance KPIs, OTel)</t>
  </si>
  <si>
    <t xml:space="preserve">SoR: Capacity plans, performance baselines, load test evidence</t>
  </si>
  <si>
    <t xml:space="preserve">L1 Service Desk; L2 SRE; L3 Platform Eng</t>
  </si>
  <si>
    <t xml:space="preserve">Business Continuity &amp; Crisis Management (BCM)</t>
  </si>
  <si>
    <t xml:space="preserve">Alerting &amp; Incident Runbooks; Backup &amp; Restore baseline</t>
  </si>
  <si>
    <t xml:space="preserve">BCP plans/exercises/owners/evidence; reduces operational &amp; regulatory risk</t>
  </si>
  <si>
    <t xml:space="preserve">BCP Library; Exercise Planner; Action Register; BCM Evidence Pack</t>
  </si>
  <si>
    <t xml:space="preserve">Governance Suite (BCM)</t>
  </si>
  <si>
    <t xml:space="preserve">BCM-BUNDLE (BCP templates, exercise workflow, action register schema, evidence pack export)</t>
  </si>
  <si>
    <t xml:space="preserve">SoR: BCM plans, exercises, action registers, BCM evidence packs</t>
  </si>
  <si>
    <t xml:space="preserve">L1 Service Desk; L2 BCM Ops; L3 Product Eng</t>
  </si>
  <si>
    <t xml:space="preserve">2) Data, Knowledge &amp; Intelligence</t>
  </si>
  <si>
    <t xml:space="preserve">Data &amp; Knowledge Plane</t>
  </si>
  <si>
    <t xml:space="preserve">Master Data &amp; Governance</t>
  </si>
  <si>
    <t xml:space="preserve">Deliver trusted, de-duplicated core data and stewardship workflows to improve consistency and downstream analytics reliability.</t>
  </si>
  <si>
    <t xml:space="preserve">Reference Data Management</t>
  </si>
  <si>
    <t xml:space="preserve">System-of-Record &amp; Ownership Registry; Workflow Designer</t>
  </si>
  <si>
    <t xml:space="preserve">Consistent reference values; prevents classification drift</t>
  </si>
  <si>
    <t xml:space="preserve">Reference Data Manager; Approval Flow; Change Log</t>
  </si>
  <si>
    <t xml:space="preserve">Data Governance Service</t>
  </si>
  <si>
    <t xml:space="preserve">DATA-GOV-BUNDLE (SSO/OIDC, RBAC/ABAC, AuditEvent v1, DataContract link, Workflow hooks, Evidence-link optional, OTel, Correlation-ID, Error Model)</t>
  </si>
  <si>
    <t xml:space="preserve">SoR: reference code sets, reference hierarchies, reference value lifecycle</t>
  </si>
  <si>
    <t xml:space="preserve">L1 Service Desk; L2 Data Ops; L3 Data Platform Eng</t>
  </si>
  <si>
    <t xml:space="preserve">Master Data Management (MDM)</t>
  </si>
  <si>
    <t xml:space="preserve">SoR &amp; Ownership Registry; Reference Data Management; Data Contract Registry</t>
  </si>
  <si>
    <t xml:space="preserve">Golden records; reduces fragmentation and reconciliation</t>
  </si>
  <si>
    <t xml:space="preserve">MDM Hub; Golden Record Viewer; Match/Merge Workbench</t>
  </si>
  <si>
    <t xml:space="preserve">DATA-GOV-BUNDLE + MDM-BUNDLE (golden record model, match/merge rules, survivorship policy, stewardship queue integration, lineage hooks)</t>
  </si>
  <si>
    <t xml:space="preserve">SoR: golden entities (e.g., customer/product/supplier), match rules, survivorship policies</t>
  </si>
  <si>
    <t xml:space="preserve">Data Stewardship Workflows</t>
  </si>
  <si>
    <t xml:space="preserve">MDM; Workflow Designer</t>
  </si>
  <si>
    <t xml:space="preserve">Accountable stewardship queue; clear ownership for data fixes</t>
  </si>
  <si>
    <t xml:space="preserve">Stewardship Inbox; Assignment Rules; SLA Escalations</t>
  </si>
  <si>
    <t xml:space="preserve">DATA-GOV-BUNDLE + WORKFLOW-BUNDLE (task/inbox schema, SLA/escalations, audit hooks)</t>
  </si>
  <si>
    <t xml:space="preserve">SoR: stewardship cases, assignments, SLA timers, resolutions</t>
  </si>
  <si>
    <t xml:space="preserve">L1 Service Desk; L2 Data Ops; L3 Data Stewardship/Product Eng</t>
  </si>
  <si>
    <t xml:space="preserve">Data Quality Rules / Dedupe</t>
  </si>
  <si>
    <t xml:space="preserve">MDM; Data Stewardship Workflows</t>
  </si>
  <si>
    <t xml:space="preserve">Trust uplift; enforce quality gates</t>
  </si>
  <si>
    <t xml:space="preserve">DQ Rules Studio; DQ Monitoring; Exception Queue</t>
  </si>
  <si>
    <t xml:space="preserve">DATA-GOV-BUNDLE + DQ-BUNDLE (DQ rule model, validation jobs binding, exception model, scorecards hooks)</t>
  </si>
  <si>
    <t xml:space="preserve">SoR: DQ rules, DQ exceptions, DQ scores per dataset/entity</t>
  </si>
  <si>
    <t xml:space="preserve">Metadata &amp; Traceability</t>
  </si>
  <si>
    <t xml:space="preserve">Provide discoverability, lineage, and governed ownership so data usage is transparent, accountable, and audit-ready.</t>
  </si>
  <si>
    <t xml:space="preserve">Metadata Catalog</t>
  </si>
  <si>
    <t xml:space="preserve">Data Contract Registry; SoR &amp; Ownership Registry</t>
  </si>
  <si>
    <t xml:space="preserve">Discoverability + ownership transparency; governed consumption</t>
  </si>
  <si>
    <t xml:space="preserve">Data Catalog; Asset Profiles; Owner &amp; SLA Panel</t>
  </si>
  <si>
    <t xml:space="preserve">META-BUNDLE (asset model, ownership bindings, contract links, classification tags, audit hooks, OTel)</t>
  </si>
  <si>
    <t xml:space="preserve">SoR: metadata assets, ownership links, classifications, SLAs per asset</t>
  </si>
  <si>
    <t xml:space="preserve">Data Dictionary / Glossary</t>
  </si>
  <si>
    <t xml:space="preserve">Shared semantics; reduces stakeholder misalignment</t>
  </si>
  <si>
    <t xml:space="preserve">Glossary Workspace; Term Approval; Synonym Manager</t>
  </si>
  <si>
    <t xml:space="preserve">META-BUNDLE + GLOSSARY-BUNDLE (term lifecycle, approvals, synonym model, link-to-metrics)</t>
  </si>
  <si>
    <t xml:space="preserve">SoR: business terms, definitions, synonyms, stewardship approvals</t>
  </si>
  <si>
    <t xml:space="preserve">L1 Service Desk; L2 Data Governance Ops; L3 Data Product Eng</t>
  </si>
  <si>
    <t xml:space="preserve">Data Product Registry</t>
  </si>
  <si>
    <t xml:space="preserve">Metadata Catalog; Data Contract Registry; SoR &amp; Ownership Registry</t>
  </si>
  <si>
    <t xml:space="preserve">Data products as governed assets; reduces pipeline sprawl</t>
  </si>
  <si>
    <t xml:space="preserve">Data Product Catalog; SLA Panel; Consumer List; Contract Link View</t>
  </si>
  <si>
    <t xml:space="preserve">META-BUNDLE + DATA-PRODUCT-BUNDLE (product SLA model, consumer registry binding, contract/version bindings)</t>
  </si>
  <si>
    <t xml:space="preserve">SoR: data products, consumers, SLAs, contract bindings</t>
  </si>
  <si>
    <t xml:space="preserve">L1 Service Desk; L2 Data Ops; L3 Data Product Eng</t>
  </si>
  <si>
    <t xml:space="preserve">Lineage Tracking</t>
  </si>
  <si>
    <t xml:space="preserve">Metadata Catalog; ETL/ELT Pipelines</t>
  </si>
  <si>
    <t xml:space="preserve">Impact analysis; provenance at scale</t>
  </si>
  <si>
    <t xml:space="preserve">Lineage Viewer; Impact Analyzer; Change Impact Reports</t>
  </si>
  <si>
    <t xml:space="preserve">Data Platform Observability</t>
  </si>
  <si>
    <t xml:space="preserve">LINEAGE-BUNDLE (lineage event model, pipeline run binding, contract IDs, OTel)</t>
  </si>
  <si>
    <t xml:space="preserve">SoR: lineage graph edges, run-to-asset provenance, impact reports</t>
  </si>
  <si>
    <t xml:space="preserve">Search &amp; Knowledge Graph</t>
  </si>
  <si>
    <t xml:space="preserve">Accelerate knowledge retrieval and relationship discovery to support decisioning, compliance, and reuse.</t>
  </si>
  <si>
    <t xml:space="preserve">Enterprise Search</t>
  </si>
  <si>
    <t xml:space="preserve">Metadata Catalog; Document Management</t>
  </si>
  <si>
    <t xml:space="preserve">Unified findability across data + docs</t>
  </si>
  <si>
    <t xml:space="preserve">Search UI; Saved Queries; Result Governance Filters</t>
  </si>
  <si>
    <t xml:space="preserve">Knowledge Access Layer</t>
  </si>
  <si>
    <t xml:space="preserve">SEARCH-BUNDLE (index model, ACL binding to RBAC/ABAC, query audit, relevance tuning config, OTel)</t>
  </si>
  <si>
    <t xml:space="preserve">Not SoR: search index is derivative; References SoR: metadata/docs</t>
  </si>
  <si>
    <t xml:space="preserve">L1 Service Desk; L2 Data Ops; L3 Search/Platform Eng</t>
  </si>
  <si>
    <t xml:space="preserve">Semantic Tagging &amp; Taxonomy Management</t>
  </si>
  <si>
    <t xml:space="preserve">Data Dictionary/Glossary; Enterprise Search</t>
  </si>
  <si>
    <t xml:space="preserve">Structured classification; better retrieval &amp; governance</t>
  </si>
  <si>
    <t xml:space="preserve">Taxonomy Manager; Tagging Rules; Tag Governance Workflow</t>
  </si>
  <si>
    <t xml:space="preserve">TAXONOMY-BUNDLE (taxonomy model, tag lifecycle, rule-based tagging, approval workflow, audit hooks)</t>
  </si>
  <si>
    <t xml:space="preserve">SoR: taxonomies, tags, tagging rules, tag approvals</t>
  </si>
  <si>
    <t xml:space="preserve">Knowledge Graph / Entity Linking</t>
  </si>
  <si>
    <t xml:space="preserve">Canonical ID &amp; Correlation Standard; Metadata Catalog; Semantic Tagging</t>
  </si>
  <si>
    <t xml:space="preserve">Relationship intelligence; traceability uplift</t>
  </si>
  <si>
    <t xml:space="preserve">KG Explorer; Entity Resolution Workbench; Link Audits</t>
  </si>
  <si>
    <t xml:space="preserve">Knowledge Intelligence Layer</t>
  </si>
  <si>
    <t xml:space="preserve">KG-BUNDLE (entity model, link types, resolution rules, provenance/audit, correlation ID binding, OTel)</t>
  </si>
  <si>
    <t xml:space="preserve">SoR: KG entities/links (if adopted as authoritative for relationships); link audit trails</t>
  </si>
  <si>
    <t xml:space="preserve">L1 Service Desk; L2 Data Ops; L3 Knowledge/Graph Eng</t>
  </si>
  <si>
    <t xml:space="preserve">Measurement &amp; Semantic Single Truth</t>
  </si>
  <si>
    <t xml:space="preserve">Standardize KPI definitions and metric ownership so reporting is consistent, comparable, and trusted.</t>
  </si>
  <si>
    <t xml:space="preserve">KPI Catalog</t>
  </si>
  <si>
    <t xml:space="preserve">Metric &amp; Semantic Registry; Data Dictionary / Glossary</t>
  </si>
  <si>
    <t xml:space="preserve">Standard KPI definitions; governance-ready reporting</t>
  </si>
  <si>
    <t xml:space="preserve">KPI Catalog UI; KPI Owner Console; KPI Change Workflow</t>
  </si>
  <si>
    <t xml:space="preserve">Semantic Governance Layer</t>
  </si>
  <si>
    <t xml:space="preserve">SEMANTIC-BUNDLE (KPI IDs, owner model, certification state, change workflow hooks)</t>
  </si>
  <si>
    <t xml:space="preserve">SoR: KPI definitions, KPI ownership, KPI change history</t>
  </si>
  <si>
    <t xml:space="preserve">L1 Service Desk; L2 BI Ops; L3 Data Product Eng</t>
  </si>
  <si>
    <t xml:space="preserve">Metric Definitions &amp; Ownership</t>
  </si>
  <si>
    <t xml:space="preserve">Certified metrics program; consistent reporting</t>
  </si>
  <si>
    <t xml:space="preserve">Metric Definition Studio; Ownership Panel; Certification Workflow</t>
  </si>
  <si>
    <t xml:space="preserve">SEMANTIC-BUNDLE + METRIC-CERT-BUNDLE (calc contracts, certification criteria, audit hooks)</t>
  </si>
  <si>
    <t xml:space="preserve">SoR: metric definitions, calc logic contracts, certification status</t>
  </si>
  <si>
    <t xml:space="preserve">Scorecards / Dashboards</t>
  </si>
  <si>
    <t xml:space="preserve">Metric &amp; Semantic Registry; Data Warehouse/Lakehouse</t>
  </si>
  <si>
    <t xml:space="preserve">Executive visibility; adoption accelerator</t>
  </si>
  <si>
    <t xml:space="preserve">Scorecard Builder; Dashboard Gallery; Access Controls</t>
  </si>
  <si>
    <t xml:space="preserve">Consumption Layer (BI)</t>
  </si>
  <si>
    <t xml:space="preserve">BI-BUNDLE (metric binding, access control model, audit of access/export, OTel)</t>
  </si>
  <si>
    <t xml:space="preserve">Not SoR: dashboards are derivative; References SoR: metrics + warehouse</t>
  </si>
  <si>
    <t xml:space="preserve">L1 Service Desk; L2 BI Ops; L3 BI/Analytics Eng</t>
  </si>
  <si>
    <t xml:space="preserve">Baseline &amp; Experiment Measurement</t>
  </si>
  <si>
    <t xml:space="preserve">Scorecards/Dashboards; Metric &amp; Semantic Registry</t>
  </si>
  <si>
    <t xml:space="preserve">Closed-loop improvement; measurable impact</t>
  </si>
  <si>
    <t xml:space="preserve">Experiment Tracker; Baseline Comparator; Outcome Review</t>
  </si>
  <si>
    <t xml:space="preserve">Decision Intelligence Layer</t>
  </si>
  <si>
    <t xml:space="preserve">EXPERIMENT-BUNDLE (experiment object model, baseline comparator, metric bindings, audit hooks)</t>
  </si>
  <si>
    <t xml:space="preserve">SoR: experiments, hypotheses (if split later), outcomes, benefits attribution</t>
  </si>
  <si>
    <t xml:space="preserve">L1 Service Desk; L2 BI Ops; L3 Decision Intelligence Eng</t>
  </si>
  <si>
    <t xml:space="preserve">Intelligence &amp; Automation Lane</t>
  </si>
  <si>
    <t xml:space="preserve">Data Platform</t>
  </si>
  <si>
    <t xml:space="preserve">Provide scalable data storage and pipeline execution to operationalize data products and analytics.</t>
  </si>
  <si>
    <t xml:space="preserve">Data Warehouse / Lakehouse</t>
  </si>
  <si>
    <t xml:space="preserve">Secrets Vault; Logging &amp; Monitoring; Data Contract Registry</t>
  </si>
  <si>
    <t xml:space="preserve">Analytics foundation; controlled ingestion &amp; governed consumption</t>
  </si>
  <si>
    <t xml:space="preserve">Lakehouse Workspace; Dataset Catalog; Access Policy Panel</t>
  </si>
  <si>
    <t xml:space="preserve">Data Platform Core</t>
  </si>
  <si>
    <t xml:space="preserve">LAKEHOUSE-BUNDLE (dataset model, contract binding, access policies, audit hooks, OTel)</t>
  </si>
  <si>
    <t xml:space="preserve">SoR: datasets (analytical), dataset ACLs, retention/storage policies</t>
  </si>
  <si>
    <t xml:space="preserve">ETL/ELT Pipelines</t>
  </si>
  <si>
    <t xml:space="preserve">Lakehouse; Scheduler/Job Orchestration; Data Contract Registry</t>
  </si>
  <si>
    <t xml:space="preserve">Reliable ingestion/transform; scalable data ops</t>
  </si>
  <si>
    <t xml:space="preserve">Pipeline Orchestrator; Run History; Data Quality Hooks</t>
  </si>
  <si>
    <t xml:space="preserve">PIPELINE-BUNDLE (pipeline spec, run history, contract validation hooks, lineage hooks, retry policy, OTel)</t>
  </si>
  <si>
    <t xml:space="preserve">SoR: pipeline definitions, run history, pipeline SLAs</t>
  </si>
  <si>
    <t xml:space="preserve">Streaming / Event Analytics (optional)</t>
  </si>
  <si>
    <t xml:space="preserve">Event Bus; Lakehouse</t>
  </si>
  <si>
    <t xml:space="preserve">Near-real-time insight; ops intelligence</t>
  </si>
  <si>
    <t xml:space="preserve">Streaming Monitor; Topic Analytics; Late/Event Handling</t>
  </si>
  <si>
    <t xml:space="preserve">Data Platform Extension</t>
  </si>
  <si>
    <t xml:space="preserve">STREAM-BUNDLE (stream job spec, windowing policy, late event handling, contract bindings, OTel)</t>
  </si>
  <si>
    <t xml:space="preserve">SoR: stream job definitions, stream run history, processing SLAs</t>
  </si>
  <si>
    <t xml:space="preserve">AI Ops / MLOps</t>
  </si>
  <si>
    <t xml:space="preserve">Industrialize model/prompt lifecycle with governance and monitoring to reduce model risk and improve reliability.</t>
  </si>
  <si>
    <t xml:space="preserve">Model Registry &amp; Versioning</t>
  </si>
  <si>
    <t xml:space="preserve">Lakehouse; Policy &amp; Control Library; Audit Trail Service</t>
  </si>
  <si>
    <t xml:space="preserve">Controlled ML lifecycle; reproducibility</t>
  </si>
  <si>
    <t xml:space="preserve">Model Registry UI; Version Compare; Approval Workflow</t>
  </si>
  <si>
    <t xml:space="preserve">AI Governance Layer</t>
  </si>
  <si>
    <t xml:space="preserve">MLOPS-BUNDLE (model metadata schema, versioning, approval workflow, audit hooks, evaluation binding)</t>
  </si>
  <si>
    <t xml:space="preserve">SoR: model versions, model metadata, approval trail</t>
  </si>
  <si>
    <t xml:space="preserve">L1 Service Desk; L2 MLOps Ops; L3 ML Platform Eng</t>
  </si>
  <si>
    <t xml:space="preserve">Evaluation &amp; Drift Monitoring</t>
  </si>
  <si>
    <t xml:space="preserve">Model Registry; Logging &amp; Monitoring</t>
  </si>
  <si>
    <t xml:space="preserve">Model risk mgmt; quality assurance</t>
  </si>
  <si>
    <t xml:space="preserve">Drift Monitor; Evaluation Reports; Alert Policies</t>
  </si>
  <si>
    <t xml:space="preserve">AI Observability</t>
  </si>
  <si>
    <t xml:space="preserve">MODEL-OBS-BUNDLE (drift metrics, eval reports schema, alert rules, OTel)</t>
  </si>
  <si>
    <t xml:space="preserve">SoR: evaluation runs, drift signals, alert configurations</t>
  </si>
  <si>
    <t xml:space="preserve">Prompt Registry &amp; Approval Workflow</t>
  </si>
  <si>
    <t xml:space="preserve">Policy &amp; Control Library; Workflow Designer</t>
  </si>
  <si>
    <t xml:space="preserve">Prompt governance; reduces unmanaged automation risk</t>
  </si>
  <si>
    <t xml:space="preserve">Prompt Console; Approval Inbox; Version Timeline</t>
  </si>
  <si>
    <t xml:space="preserve">PROMPT-GOV-BUNDLE (prompt object model, versioning, approval gates, audit hooks)</t>
  </si>
  <si>
    <t xml:space="preserve">SoR: prompts, prompt versions, approval trail</t>
  </si>
  <si>
    <t xml:space="preserve">L1 Service Desk; L2 MLOps Ops; L3 AI Platform Eng</t>
  </si>
  <si>
    <t xml:space="preserve">Human-in-the-Loop Verification</t>
  </si>
  <si>
    <t xml:space="preserve">Workflow Designer; Prompt Registry</t>
  </si>
  <si>
    <t xml:space="preserve">Oversight gates; mitigates high-risk automation</t>
  </si>
  <si>
    <t xml:space="preserve">Human Review Queue; Feedback Console; Audit Export</t>
  </si>
  <si>
    <t xml:space="preserve">AI Assurance Layer</t>
  </si>
  <si>
    <t xml:space="preserve">HITL-BUNDLE (review task model, sampling policy, feedback schema, audit export)</t>
  </si>
  <si>
    <t xml:space="preserve">SoR: review decisions, feedback artifacts, override reasons</t>
  </si>
  <si>
    <t xml:space="preserve">L1 Service Desk; L2 Ops Review Team; L3 AI Platform Eng</t>
  </si>
  <si>
    <t xml:space="preserve">Decision Intelligence</t>
  </si>
  <si>
    <t xml:space="preserve">Improve decision quality through scenarios and optimization with outcome tracking for continuous improvement.</t>
  </si>
  <si>
    <t xml:space="preserve">Scenario Modeling (what-if)</t>
  </si>
  <si>
    <t xml:space="preserve">Metric &amp; Semantic Registry; Lakehouse</t>
  </si>
  <si>
    <t xml:space="preserve">Decision support; trade-off clarity</t>
  </si>
  <si>
    <t xml:space="preserve">Scenario Lab; Scenario Library; Assumption Manager</t>
  </si>
  <si>
    <t xml:space="preserve">SCENARIO-BUNDLE (scenario model, assumptions, metric bindings, provenance/audit, OTel)</t>
  </si>
  <si>
    <t xml:space="preserve">SoR: scenarios, assumptions, scenario results snapshots</t>
  </si>
  <si>
    <t xml:space="preserve">L1 Service Desk; L2 Analytics Ops; L3 Decision Intelligence Eng</t>
  </si>
  <si>
    <t xml:space="preserve">Optimization Engine</t>
  </si>
  <si>
    <t xml:space="preserve">Scenario Modeling</t>
  </si>
  <si>
    <t xml:space="preserve">Prescriptive improvements; performance lift</t>
  </si>
  <si>
    <t xml:space="preserve">Optimization Runs Console; Run Comparator; Constraint Editor</t>
  </si>
  <si>
    <t xml:space="preserve">OPT-BUNDLE (constraint model, solver run schema, comparator, audit hooks, OTel)</t>
  </si>
  <si>
    <t xml:space="preserve">SoR: optimization runs, constraints, solver configs, results</t>
  </si>
  <si>
    <t xml:space="preserve">Decision Logs &amp; Outcome Tracking</t>
  </si>
  <si>
    <t xml:space="preserve">Decision &amp; Rationale Log; Metric &amp; Semantic Registry</t>
  </si>
  <si>
    <t xml:space="preserve">Closed-loop governance; learning &amp; accountability</t>
  </si>
  <si>
    <t xml:space="preserve">Decision Log Explorer; Outcome Tracker; Benefits Realization View</t>
  </si>
  <si>
    <t xml:space="preserve">DECISION-OUTCOME-BUNDLE (decision outcome schema, metric bindings, benefits tracking, evidence links)</t>
  </si>
  <si>
    <t xml:space="preserve">SoR: outcomes, benefits realization records, decision-to-outcome linkage</t>
  </si>
  <si>
    <t xml:space="preserve">L1 Service Desk; L2 Governance/BI Ops; L3 Decision Intelligence Eng</t>
  </si>
  <si>
    <t xml:space="preserve">Control Towers</t>
  </si>
  <si>
    <t xml:space="preserve">Provide cross-functional operational visibility and exception-to-action workflows to drive performance and accountability.</t>
  </si>
  <si>
    <t xml:space="preserve">Cross-functional Cockpit Builder</t>
  </si>
  <si>
    <t xml:space="preserve">Scorecards/Dashboards; Workflow Designer</t>
  </si>
  <si>
    <t xml:space="preserve">Ops cockpits; faster decision cycles</t>
  </si>
  <si>
    <t xml:space="preserve">Control Tower Builder; Widget Catalog; Data Source Manager</t>
  </si>
  <si>
    <t xml:space="preserve">Ops Intelligence Layer</t>
  </si>
  <si>
    <t xml:space="preserve">COCKPIT-BUNDLE (widget model, data source bindings, access controls, audit hooks, OTel)</t>
  </si>
  <si>
    <t xml:space="preserve">Not SoR: cockpit configuration is presentation; References SoR: metrics/workflows</t>
  </si>
  <si>
    <t xml:space="preserve">L1 Service Desk; L2 Ops Analytics; L3 Product/Platform Eng</t>
  </si>
  <si>
    <t xml:space="preserve">Operational Scorecards</t>
  </si>
  <si>
    <t xml:space="preserve">Metric &amp; Semantic Registry; Cockpit Builder</t>
  </si>
  <si>
    <t xml:space="preserve">Accountability + performance mgmt</t>
  </si>
  <si>
    <t xml:space="preserve">Operational Scorecards; Scorecard Templates; Owner Views</t>
  </si>
  <si>
    <t xml:space="preserve">BI-BUNDLE + OPS-SCORECARD-BUNDLE (owner views, escalation hooks, audit)</t>
  </si>
  <si>
    <t xml:space="preserve">Not SoR: scorecards are derivative; References SoR: metrics/warehouse</t>
  </si>
  <si>
    <t xml:space="preserve">L1 Service Desk; L2 Ops Analytics; L3 BI/Analytics Eng</t>
  </si>
  <si>
    <t xml:space="preserve">Exception Management (alerts → actions)</t>
  </si>
  <si>
    <t xml:space="preserve">Alerting &amp; Runbooks; Workflow Designer; Integration Monitoring</t>
  </si>
  <si>
    <t xml:space="preserve">Exception-to-action loop; faster resolution</t>
  </si>
  <si>
    <t xml:space="preserve">Exception Inbox; Action Handoff to Workflow; Root Cause Capture</t>
  </si>
  <si>
    <t xml:space="preserve">Ops Execution Overlay</t>
  </si>
  <si>
    <t xml:space="preserve">EXCEPTION-BUNDLE (exception model, routing rules, workflow handoff contract, RCA schema, audit hooks)</t>
  </si>
  <si>
    <t xml:space="preserve">SoR: exceptions (operational), RCA records, action outcomes</t>
  </si>
  <si>
    <t xml:space="preserve">L1 NOC/Service Desk; L2 Ops Control; L3 Platform/Product Eng</t>
  </si>
  <si>
    <t xml:space="preserve">3) Soft-Systems Governance (SSM)</t>
  </si>
  <si>
    <t xml:space="preserve">Soft-Systems Governance Suite</t>
  </si>
  <si>
    <t xml:space="preserve">SSM Method Execution</t>
  </si>
  <si>
    <t xml:space="preserve">Convert messy problem spaces into structured models and developer-ready change packages with traceable rationale.</t>
  </si>
  <si>
    <t xml:space="preserve">Soft-System Analysis &amp; Design (SSM Hub)</t>
  </si>
  <si>
    <t xml:space="preserve">Decision &amp; Rationale Log; Document Management (Templates/Versioning)</t>
  </si>
  <si>
    <t xml:space="preserve">Structured problem→change conversion; accelerates governance-to-delivery</t>
  </si>
  <si>
    <t xml:space="preserve">SSM Hub Home; Workspace Selector; Evidence Link Panel</t>
  </si>
  <si>
    <t xml:space="preserve">Governance Suite (SSM Core)</t>
  </si>
  <si>
    <t xml:space="preserve">SSM-CORE-BUNDLE (SSO/OIDC, RBAC/ABAC, AuditEvent v1, Evidence-Link API, Doc API, Workflow hooks, OTel, Correlation-ID, Error Model, Export/Pack)</t>
  </si>
  <si>
    <t xml:space="preserve">SoR: SSM workspaces, problem statements, model artifacts index, linkage map to decisions/evidence</t>
  </si>
  <si>
    <t xml:space="preserve">L1 Service Desk; L2 Governance Ops; L3 SSM Product Eng</t>
  </si>
  <si>
    <t xml:space="preserve">Rich Pictures / System Graph Builder</t>
  </si>
  <si>
    <t xml:space="preserve">Visual alignment; faster convergence</t>
  </si>
  <si>
    <t xml:space="preserve">Rich Picture Canvas; Graph Builder; Version Timeline</t>
  </si>
  <si>
    <t xml:space="preserve">Governance Suite (SSM Modeling)</t>
  </si>
  <si>
    <t xml:space="preserve">SSM-CORE-BUNDLE + GRAPH-BUNDLE (graph schema, versioning, export SVG/PNG, evidence anchors)</t>
  </si>
  <si>
    <t xml:space="preserve">SoR: Rich picture artifacts, system graphs, versions, annotations</t>
  </si>
  <si>
    <t xml:space="preserve">CATWOE &amp; Root Definition Workspace</t>
  </si>
  <si>
    <t xml:space="preserve">Better framing; reduces solution misfit</t>
  </si>
  <si>
    <t xml:space="preserve">CATWOE Workspace; Root Definition Editor; Review Workflow</t>
  </si>
  <si>
    <t xml:space="preserve">SSM-CORE-BUNDLE + METHOD-WORKSPACE-BUNDLE (structured templates, review workflow binding, version diff)</t>
  </si>
  <si>
    <t xml:space="preserve">SoR: CATWOE entries, root definitions, review states, version history</t>
  </si>
  <si>
    <t xml:space="preserve">Conceptual Model Builder</t>
  </si>
  <si>
    <t xml:space="preserve">Model-driven specs; reduces ambiguity</t>
  </si>
  <si>
    <t xml:space="preserve">Concept Model Builder; Version Timeline; Export Draft</t>
  </si>
  <si>
    <t xml:space="preserve">SSM-CORE-BUNDLE + MODEL-BUNDLE (conceptual model schema, versioning, export JSON/MD)</t>
  </si>
  <si>
    <t xml:space="preserve">SoR: Conceptual models, activities, transformations, constraints, versions</t>
  </si>
  <si>
    <t xml:space="preserve">Comparison Matrix &amp; Gap Register</t>
  </si>
  <si>
    <t xml:space="preserve">Gap transparency; prioritization</t>
  </si>
  <si>
    <t xml:space="preserve">Comparison Matrix; Gap Register Board; Ownership Assignment</t>
  </si>
  <si>
    <t xml:space="preserve">Governance Suite (SSM Analysis)</t>
  </si>
  <si>
    <t xml:space="preserve">SSM-CORE-BUNDLE + GAP-BUNDLE (gap object model, prioritization, ownership assignment hooks)</t>
  </si>
  <si>
    <t xml:space="preserve">SoR: Gaps, comparisons, gap owners, gap status transitions</t>
  </si>
  <si>
    <t xml:space="preserve">Change Package Registry</t>
  </si>
  <si>
    <t xml:space="preserve">Comparison Matrix &amp; Gap Register; Workflow Designer (Approvals/SLAs/Escalations)</t>
  </si>
  <si>
    <t xml:space="preserve">Work packaging; controlled delivery</t>
  </si>
  <si>
    <t xml:space="preserve">Change Package Board; Dependency View; Approval Timeline</t>
  </si>
  <si>
    <t xml:space="preserve">Governance Suite (Delivery Handoff)</t>
  </si>
  <si>
    <t xml:space="preserve">SSM-CORE-BUNDLE + WORKFLOW-BUNDLE + CHANGE-PACK-BUNDLE (package schema, dependencies, approval gates, audit hooks)</t>
  </si>
  <si>
    <t xml:space="preserve">SoR: Change packages, dependency graph, approvals, delivery status mapping</t>
  </si>
  <si>
    <t xml:space="preserve">L1 Service Desk; L2 Governance Ops/PMO; L3 SSM Product Eng</t>
  </si>
  <si>
    <t xml:space="preserve">Learning Log &amp; Model Versioning</t>
  </si>
  <si>
    <t xml:space="preserve">Soft-System Analysis &amp; Design (SSM Hub); Decision &amp; Rationale Log</t>
  </si>
  <si>
    <t xml:space="preserve">Institutional learning; governance memory</t>
  </si>
  <si>
    <t xml:space="preserve">Learning Log; Model Version Diff; Insights Summary</t>
  </si>
  <si>
    <t xml:space="preserve">Governance Suite (Learning Loop)</t>
  </si>
  <si>
    <t xml:space="preserve">SSM-CORE-BUNDLE + LEARNING-BUNDLE (learning entry schema, tagging/taxonomy hooks, diff views)</t>
  </si>
  <si>
    <t xml:space="preserve">SoR: Learning entries, insights summaries, model change rationale links</t>
  </si>
  <si>
    <t xml:space="preserve">Developer Pack Exporter (requirements/specs)</t>
  </si>
  <si>
    <t xml:space="preserve">Change Package Registry; Document Management (Templates/Versioning)</t>
  </si>
  <si>
    <t xml:space="preserve">Dev-ready handoffs; reduced rework</t>
  </si>
  <si>
    <t xml:space="preserve">Export Wizard; Spec Bundle Viewer; Traceability Map</t>
  </si>
  <si>
    <t xml:space="preserve">EXPORT-BUNDLE (spec bundle schema, traceability manifest, export formats, signed export optional)</t>
  </si>
  <si>
    <t xml:space="preserve">Not SoR: exporter runtime; References SoR: change packages, docs, evidence links</t>
  </si>
  <si>
    <t xml:space="preserve">Decision Rights Outputs</t>
  </si>
  <si>
    <t xml:space="preserve">Operationalize decision rights by publishing ownership/interface decisions and evidence packs into authoritative registries.</t>
  </si>
  <si>
    <t xml:space="preserve">SoR Assignment Publication</t>
  </si>
  <si>
    <t xml:space="preserve">System-of-Record &amp; Ownership Registry; Soft-System Analysis &amp; Design (SSM Hub)</t>
  </si>
  <si>
    <t xml:space="preserve">Decisions become enforceable SoR entries</t>
  </si>
  <si>
    <t xml:space="preserve">SoR Assignment Wizard; Publish Status; Change Log</t>
  </si>
  <si>
    <t xml:space="preserve">Governance Suite (Publication)</t>
  </si>
  <si>
    <t xml:space="preserve">PUBLISH-BUNDLE (registry write-back contract, approval/attestation hook, audit, idempotency)</t>
  </si>
  <si>
    <t xml:space="preserve">Not SoR: publication tool; Writes to SoR: Ownership Registry</t>
  </si>
  <si>
    <t xml:space="preserve">Interface Decision Publication</t>
  </si>
  <si>
    <t xml:space="preserve">Interface Registry; Soft-System Analysis &amp; Design (SSM Hub)</t>
  </si>
  <si>
    <t xml:space="preserve">Interface decisions become controlled assets</t>
  </si>
  <si>
    <t xml:space="preserve">Interface Decision Pack Builder; Publish Status; Deprecation Calendar</t>
  </si>
  <si>
    <t xml:space="preserve">PUBLISH-BUNDLE + INTERFACE-GOV-BUNDLE (versioning, deprecation calendar binding, consumer notification hook)</t>
  </si>
  <si>
    <t xml:space="preserve">Not SoR: publication tool; Writes to SoR: Interface Registry</t>
  </si>
  <si>
    <t xml:space="preserve">Evidence Pack Publication</t>
  </si>
  <si>
    <t xml:space="preserve">Evidence Linking Service; Records Management (Retention/Legal Hold)</t>
  </si>
  <si>
    <t xml:space="preserve">Faster audit pack assembly; compliance uplift</t>
  </si>
  <si>
    <t xml:space="preserve">Evidence Pack Publisher; Evidence Links; Export Center</t>
  </si>
  <si>
    <t xml:space="preserve">PUBLISH-BUNDLE + EVIDENCE-PACK-BUNDLE (pack schema, retention class binding, export controls)</t>
  </si>
  <si>
    <t xml:space="preserve">SoR: Published evidence packs (as records), pack manifests, export logs</t>
  </si>
  <si>
    <t xml:space="preserve">L1 Service Desk; L2 GRC/Records Ops; L3 Evidence/SSM Eng</t>
  </si>
  <si>
    <t xml:space="preserve">Methods &amp; Learning</t>
  </si>
  <si>
    <t xml:space="preserve">Institutionalize reusable methods and learning loops to increase decision quality and reduce reinvention.</t>
  </si>
  <si>
    <t xml:space="preserve">Problem-Framing &amp; Methods Hub</t>
  </si>
  <si>
    <t xml:space="preserve">Standardized framing; higher-quality inputs</t>
  </si>
  <si>
    <t xml:space="preserve">Methods Hub; Template Gallery; Intake Wizard</t>
  </si>
  <si>
    <t xml:space="preserve">Governance Suite (Methods)</t>
  </si>
  <si>
    <t xml:space="preserve">METHODS-BUNDLE (method templates, intake schema, approval workflow hook, versioning)</t>
  </si>
  <si>
    <t xml:space="preserve">SoR: Method templates, intake patterns, framing artifacts catalog</t>
  </si>
  <si>
    <t xml:space="preserve">Method Library (SSM, DT, FMEA, etc.)</t>
  </si>
  <si>
    <t xml:space="preserve">Reusable methods; practice scaling</t>
  </si>
  <si>
    <t xml:space="preserve">Method Library; Method Detail Page; Version History</t>
  </si>
  <si>
    <t xml:space="preserve">METHODS-BUNDLE + LIBRARY-BUNDLE (catalog, tagging/taxonomy hooks, version diff)</t>
  </si>
  <si>
    <t xml:space="preserve">SoR: Methods catalog, method versions, usage references</t>
  </si>
  <si>
    <t xml:space="preserve">Hypothesis &amp; Experiment Registry</t>
  </si>
  <si>
    <t xml:space="preserve">Test-and-learn discipline</t>
  </si>
  <si>
    <t xml:space="preserve">Hypothesis Registry; Experiment Tracker; Approval Gate</t>
  </si>
  <si>
    <t xml:space="preserve">EXPERIMENT-BUNDLE (hypothesis schema, experiment design, approval gates, outcome link contract)</t>
  </si>
  <si>
    <t xml:space="preserve">SoR: Hypotheses, experiments, approvals, outcomes links</t>
  </si>
  <si>
    <t xml:space="preserve">L1 Service Desk; L2 Governance Ops/Analytics Ops; L3 SSM/Data Eng</t>
  </si>
  <si>
    <t xml:space="preserve">Lessons Learned Repository</t>
  </si>
  <si>
    <t xml:space="preserve">Decision &amp; Rationale Log; Learning Log &amp; Model Versioning</t>
  </si>
  <si>
    <t xml:space="preserve">Reduced repeat failures; continuous improvement</t>
  </si>
  <si>
    <t xml:space="preserve">Lessons Library; Submission Form; Tagging &amp; Search</t>
  </si>
  <si>
    <t xml:space="preserve">LEARNING-BUNDLE + SEARCH-BUNDLE (tagging/taxonomy, search index contract, evidence links)</t>
  </si>
  <si>
    <t xml:space="preserve">SoR: Lessons records, tags, cross-links to decisions/models</t>
  </si>
  <si>
    <t xml:space="preserve">Stakeholder &amp; Culture</t>
  </si>
  <si>
    <t xml:space="preserve">Increase adoption success by managing stakeholder dynamics, readiness, and ways-of-working alignment.</t>
  </si>
  <si>
    <t xml:space="preserve">Stakeholder Registry &amp; Salience Scoring</t>
  </si>
  <si>
    <t xml:space="preserve">Adoption risk management</t>
  </si>
  <si>
    <t xml:space="preserve">Stakeholder Registry; Salience Panel; Influence Map</t>
  </si>
  <si>
    <t xml:space="preserve">Governance Suite (Adoption Enablement)</t>
  </si>
  <si>
    <t xml:space="preserve">STAKEHOLDER-BUNDLE (stakeholder object model, salience scoring, relationship graph binding, audit hooks)</t>
  </si>
  <si>
    <t xml:space="preserve">SoR: Stakeholders, salience scores, influence mappings</t>
  </si>
  <si>
    <t xml:space="preserve">L1 Service Desk; L2 Change/Adoption Ops; L3 SSM Product Eng</t>
  </si>
  <si>
    <t xml:space="preserve">Concerns/Incentives/Resistance Mapping</t>
  </si>
  <si>
    <t xml:space="preserve">Early resistance surfacing</t>
  </si>
  <si>
    <t xml:space="preserve">Resistance Map; Concern Tracker; Mitigation Planner</t>
  </si>
  <si>
    <t xml:space="preserve">STAKEHOLDER-BUNDLE + MITIGATION-BUNDLE (concern taxonomy, mitigation actions, workflow hooks)</t>
  </si>
  <si>
    <t xml:space="preserve">SoR: Concern/resistance items, mitigations, owners, status</t>
  </si>
  <si>
    <t xml:space="preserve">Readiness Assessments</t>
  </si>
  <si>
    <t xml:space="preserve">Go-live gating; reduced rollout risk</t>
  </si>
  <si>
    <t xml:space="preserve">Readiness Dashboard; Survey Runner; Action Register</t>
  </si>
  <si>
    <t xml:space="preserve">READINESS-BUNDLE (assessment templates, scoring, action register, evidence export)</t>
  </si>
  <si>
    <t xml:space="preserve">SoR: Readiness assessments, scores, action items</t>
  </si>
  <si>
    <t xml:space="preserve">Ways-of-Working / Values Catalog</t>
  </si>
  <si>
    <t xml:space="preserve">Operating model alignment</t>
  </si>
  <si>
    <t xml:space="preserve">Values Catalog; WoW Templates; Adoption Playbooks</t>
  </si>
  <si>
    <t xml:space="preserve">Governance Suite (Operating Model)</t>
  </si>
  <si>
    <t xml:space="preserve">WOW-BUNDLE (values model, WoW templates, playbook versioning, adoption linkages)</t>
  </si>
  <si>
    <t xml:space="preserve">SoR: Values, WoW templates, playbooks, version history</t>
  </si>
  <si>
    <t xml:space="preserve">Narrative &amp; Sense-Making</t>
  </si>
  <si>
    <t xml:space="preserve">Capture qualitative signal and convert it into structured insight linked to incidents, models, and decisions.</t>
  </si>
  <si>
    <t xml:space="preserve">Narrative Capture Workspace</t>
  </si>
  <si>
    <t xml:space="preserve">Captures qualitative signal</t>
  </si>
  <si>
    <t xml:space="preserve">Narrative Workspace; Capture Form; Consent Controls</t>
  </si>
  <si>
    <t xml:space="preserve">Governance Suite (Experience Signal)</t>
  </si>
  <si>
    <t xml:space="preserve">NARRATIVE-BUNDLE (narrative object model, consent/PII controls, linkage API, audit hooks)</t>
  </si>
  <si>
    <t xml:space="preserve">SoR: Narratives, consent status, tags, linkage references</t>
  </si>
  <si>
    <t xml:space="preserve">L1 Service Desk; L2 Experience Ops; L3 SSM Product Eng</t>
  </si>
  <si>
    <t xml:space="preserve">Persona Library</t>
  </si>
  <si>
    <t xml:space="preserve">Shared user understanding</t>
  </si>
  <si>
    <t xml:space="preserve">Persona Library; Persona Detail; Link to Journeys</t>
  </si>
  <si>
    <t xml:space="preserve">PERSONA-BUNDLE (persona schema, versioning, journey linkage contract)</t>
  </si>
  <si>
    <t xml:space="preserve">SoR: Personas, persona versions, persona-to-journey links</t>
  </si>
  <si>
    <t xml:space="preserve">Thematic Clustering &amp; Insight Extraction</t>
  </si>
  <si>
    <t xml:space="preserve">Structured insight extraction</t>
  </si>
  <si>
    <t xml:space="preserve">Theme Board; Insight Extractor; Evidence Links</t>
  </si>
  <si>
    <t xml:space="preserve">INSIGHT-BUNDLE (theme schema, clustering output model, evidence links, export)</t>
  </si>
  <si>
    <t xml:space="preserve">SoR: Themes, insights, supporting narrative sets, evidence links</t>
  </si>
  <si>
    <t xml:space="preserve">L1 Service Desk; L2 Experience Ops/Analytics Ops; L3 Data/SSM Eng</t>
  </si>
  <si>
    <t xml:space="preserve">Narrative ↔ Incident ↔ Model Linkage</t>
  </si>
  <si>
    <t xml:space="preserve">Incident Management; Soft-System Analysis &amp; Design (SSM Hub)</t>
  </si>
  <si>
    <t xml:space="preserve">Traceability from ops pain to model change</t>
  </si>
  <si>
    <t xml:space="preserve">Linkage Graph; Link Manager; Root Cause Narrative</t>
  </si>
  <si>
    <t xml:space="preserve">Governance Suite (Cross-Linking)</t>
  </si>
  <si>
    <t xml:space="preserve">LINKAGE-BUNDLE (link types, correlation IDs, incident contract refs, audit hooks)</t>
  </si>
  <si>
    <t xml:space="preserve">Not SoR: linkage UI; References SoR: ITSM incidents, SSM models, narratives</t>
  </si>
  <si>
    <t xml:space="preserve">L1 Service Desk; L2 Governance Ops; L3 SSM/Product Eng</t>
  </si>
  <si>
    <t xml:space="preserve">Boundary &amp; Interface Governance</t>
  </si>
  <si>
    <t xml:space="preserve">Keep scope and interfaces stable via structured negotiation, escalation, and periodic reviews.</t>
  </si>
  <si>
    <t xml:space="preserve">Boundary Definitions (in/out scope)</t>
  </si>
  <si>
    <t xml:space="preserve">Module Boundary Registry; Soft-System Analysis &amp; Design (SSM Hub)</t>
  </si>
  <si>
    <t xml:space="preserve">Ongoing scope control</t>
  </si>
  <si>
    <t xml:space="preserve">Boundary Registry; Scope Editor; Review Evidence Pack</t>
  </si>
  <si>
    <t xml:space="preserve">Governance Suite (Boundary Control)</t>
  </si>
  <si>
    <t xml:space="preserve">BOUNDARY-BUNDLE (boundary proposals, review cycles, evidence pack binding, audit hooks)</t>
  </si>
  <si>
    <t xml:space="preserve">Not SoR: working layer; Writes/aligns to SoR: Module Boundary Registry</t>
  </si>
  <si>
    <t xml:space="preserve">Interface Negotiation &amp; Change Workflow</t>
  </si>
  <si>
    <t xml:space="preserve">Interface Registry; Workflow Designer</t>
  </si>
  <si>
    <t xml:space="preserve">Controlled interface change mgmt</t>
  </si>
  <si>
    <t xml:space="preserve">Negotiation Inbox; Change Proposal; Approval Timeline</t>
  </si>
  <si>
    <t xml:space="preserve">WORKFLOW-BUNDLE + INTERFACE-GOV-BUNDLE (change proposal schema, approvals, deprecation alignment)</t>
  </si>
  <si>
    <t xml:space="preserve">Not SoR: workflow layer; Writes/aligns to SoR: Interface Registry</t>
  </si>
  <si>
    <t xml:space="preserve">L1 Service Desk; L2 Governance Ops; L3 SSM/Integration Eng</t>
  </si>
  <si>
    <t xml:space="preserve">Conflict Resolution &amp; Escalation Paths</t>
  </si>
  <si>
    <t xml:space="preserve">Workflow Designer; Stakeholder Registry &amp; Salience Scoring</t>
  </si>
  <si>
    <t xml:space="preserve">Faster resolution; escalation clarity</t>
  </si>
  <si>
    <t xml:space="preserve">Escalation Console; Resolution Log; Decision Links</t>
  </si>
  <si>
    <t xml:space="preserve">Governance Suite (Decisioning)</t>
  </si>
  <si>
    <t xml:space="preserve">WORKFLOW-BUNDLE + ESCALATION-BUNDLE (escalation routes, decision link contract, audit hooks)</t>
  </si>
  <si>
    <t xml:space="preserve">SoR: Resolution logs, escalation decisions, decision links</t>
  </si>
  <si>
    <t xml:space="preserve">Periodic Boundary Review Cycles</t>
  </si>
  <si>
    <t xml:space="preserve">Prevents drift over time</t>
  </si>
  <si>
    <t xml:space="preserve">Review Scheduler; Review Reports; Action Register</t>
  </si>
  <si>
    <t xml:space="preserve">REVIEW-BUNDLE (cycle scheduler, review report schema, action register, evidence export)</t>
  </si>
  <si>
    <t xml:space="preserve">SoR: Review cycles, review reports, actions and owners</t>
  </si>
  <si>
    <t xml:space="preserve">Change Management &amp; Adoption</t>
  </si>
  <si>
    <t xml:space="preserve">Drive measurable adoption via impact planning, communications, champions, telemetry, and training coordination.</t>
  </si>
  <si>
    <t xml:space="preserve">Change Impact Assessments</t>
  </si>
  <si>
    <t xml:space="preserve">Change Package Registry; Metric &amp; Semantic Registry</t>
  </si>
  <si>
    <t xml:space="preserve">Predictable outcomes; risk mgmt</t>
  </si>
  <si>
    <t xml:space="preserve">Impact Wizard; Impact Register; Mitigation Planner</t>
  </si>
  <si>
    <t xml:space="preserve">CHANGE-IMPACT-BUNDLE (impact model, KPI bindings, mitigation actions, workflow hooks)</t>
  </si>
  <si>
    <t xml:space="preserve">SoR: Impact assessments, impacted groups, mitigation plans</t>
  </si>
  <si>
    <t xml:space="preserve">Communication Planning</t>
  </si>
  <si>
    <t xml:space="preserve">Stakeholder Registry &amp; Salience Scoring; Change Impact Assessments</t>
  </si>
  <si>
    <t xml:space="preserve">Adoption enablement</t>
  </si>
  <si>
    <t xml:space="preserve">Comms Plan Builder; Calendar View; Stakeholder Segments</t>
  </si>
  <si>
    <t xml:space="preserve">COMMS-BUNDLE (plan schema, audience segments, channel hooks, audit/export)</t>
  </si>
  <si>
    <t xml:space="preserve">SoR: Comms plans, audiences, comms calendar artifacts</t>
  </si>
  <si>
    <t xml:space="preserve">L1 Service Desk; L2 Change/Comms Ops; L3 SSM Product Eng</t>
  </si>
  <si>
    <t xml:space="preserve">Champion Network Management</t>
  </si>
  <si>
    <t xml:space="preserve">Scaled change network</t>
  </si>
  <si>
    <t xml:space="preserve">Champions Directory; Engagement Tracker; Training Links</t>
  </si>
  <si>
    <t xml:space="preserve">CHAMPION-BUNDLE (champion roster, engagement tracking, training linkage contract)</t>
  </si>
  <si>
    <t xml:space="preserve">SoR: Champions network, engagement records, training link references</t>
  </si>
  <si>
    <t xml:space="preserve">Adoption Telemetry &amp; Sentiment Signals</t>
  </si>
  <si>
    <t xml:space="preserve">Scorecards / Dashboards; Workflow Designer</t>
  </si>
  <si>
    <t xml:space="preserve">Adoption visibility; corrective actions</t>
  </si>
  <si>
    <t xml:space="preserve">Adoption Dashboard; Sentiment View; Action Handoff</t>
  </si>
  <si>
    <t xml:space="preserve">ADOPTION-MEASURE-BUNDLE (telemetry inputs, sentiment model, action handoff contract, KPI bindings)</t>
  </si>
  <si>
    <t xml:space="preserve">SoR: Adoption metrics configs, sentiment signals, action handoffs</t>
  </si>
  <si>
    <t xml:space="preserve">L1 Service Desk; L2 Change/Analytics Ops; L3 Data/SSM Eng</t>
  </si>
  <si>
    <t xml:space="preserve">Training Plan Coordination</t>
  </si>
  <si>
    <t xml:space="preserve">Controlled Documents (SOPs/Work Instructions); Change Impact Assessments</t>
  </si>
  <si>
    <t xml:space="preserve">Coordinated enablement</t>
  </si>
  <si>
    <t xml:space="preserve">Training Planner; Curriculum Map; Completion Evidence</t>
  </si>
  <si>
    <t xml:space="preserve">Governance Suite (Enablement)</t>
  </si>
  <si>
    <t xml:space="preserve">TRAINING-BUNDLE (training plan schema, curriculum map, completion evidence, workflow hooks)</t>
  </si>
  <si>
    <t xml:space="preserve">SoR: Training plans, curriculum maps, completion evidence manifests</t>
  </si>
  <si>
    <t xml:space="preserve">L1 Service Desk; L2 L&amp;D/Quality Ops; L3 SSM Product Eng</t>
  </si>
  <si>
    <t xml:space="preserve">Ethics, Values &amp; Societal Impact</t>
  </si>
  <si>
    <t xml:space="preserve">Ensure changes are value-aligned and risk-aware with ethical review, bias checks, and attestations.</t>
  </si>
  <si>
    <t xml:space="preserve">Ethical Review Workflow</t>
  </si>
  <si>
    <t xml:space="preserve">Ethical governance gate</t>
  </si>
  <si>
    <t xml:space="preserve">Ethics Review Workbench; Decision Log; Evidence Links</t>
  </si>
  <si>
    <t xml:space="preserve">Governance Suite (Ethics Gate)</t>
  </si>
  <si>
    <t xml:space="preserve">ETHICS-BUNDLE (review checklist schema, approval gates, evidence links, audit hooks)</t>
  </si>
  <si>
    <t xml:space="preserve">SoR: Ethics reviews, decisions, approvals, evidence links</t>
  </si>
  <si>
    <t xml:space="preserve">L1 Service Desk; L2 GRC/Ethics Ops; L3 SSM Product Eng</t>
  </si>
  <si>
    <t xml:space="preserve">Stakeholder Value Mapping (trade-offs)</t>
  </si>
  <si>
    <t xml:space="preserve">Ethical Review Workflow; Stakeholder Registry &amp; Salience Scoring</t>
  </si>
  <si>
    <t xml:space="preserve">Explicit trade-offs &amp; decisions</t>
  </si>
  <si>
    <t xml:space="preserve">Trade-off Register; Value Map; Decision Links</t>
  </si>
  <si>
    <t xml:space="preserve">ETHICS-BUNDLE + TRADEOFF-BUNDLE (trade-off model, value map schema, decision linkage)</t>
  </si>
  <si>
    <t xml:space="preserve">SoR: Trade-offs, value maps, decision links</t>
  </si>
  <si>
    <t xml:space="preserve">AI Ethics &amp; Bias/Fairness Checks</t>
  </si>
  <si>
    <t xml:space="preserve">Model Registry &amp; Versioning; Ethical Review Workflow</t>
  </si>
  <si>
    <t xml:space="preserve">AI risk mitigation</t>
  </si>
  <si>
    <t xml:space="preserve">AI Ethics Checklist; Evaluation Panel; Approval Gate</t>
  </si>
  <si>
    <t xml:space="preserve">AI-RISK-BUNDLE (risk checklist, eval results schema, model/prompt registry bindings)</t>
  </si>
  <si>
    <t xml:space="preserve">Not SoR: check runner; References SoR: Model Registry, Ethics Reviews</t>
  </si>
  <si>
    <t xml:space="preserve">L1 Service Desk; L2 MAI/Model Risk Ops; L3 ML/SSM Eng</t>
  </si>
  <si>
    <t xml:space="preserve">Social/Health Impact Metrics</t>
  </si>
  <si>
    <t xml:space="preserve">Societal impact visibility</t>
  </si>
  <si>
    <t xml:space="preserve">Impact Metrics Dashboard; Trend View; Ownership Panel</t>
  </si>
  <si>
    <t xml:space="preserve">IMPACT-METRIC-BUNDLE (impact KPI schema, ownership, certification hooks)</t>
  </si>
  <si>
    <t xml:space="preserve">Not SoR: metrics runtime; References SoR: Metric &amp; Semantic Registry</t>
  </si>
  <si>
    <t xml:space="preserve">L1 Service Desk; L2 Governance/Analytics Ops; L3 Data Eng</t>
  </si>
  <si>
    <t xml:space="preserve">Governance Attestations</t>
  </si>
  <si>
    <t xml:space="preserve">Policy Management &amp; Attestations; e-Signature Service</t>
  </si>
  <si>
    <t xml:space="preserve">Formal sign-offs</t>
  </si>
  <si>
    <t xml:space="preserve">Attestation Center; Audit Export; Evidence Pack</t>
  </si>
  <si>
    <t xml:space="preserve">Governance Suite (Assurance)</t>
  </si>
  <si>
    <t xml:space="preserve">ATTEST-BUNDLE (attestation schema, signer binding, evidence pack export, audit hooks)</t>
  </si>
  <si>
    <t xml:space="preserve">SoR: Attestations, signatures references, attestation evidence packs</t>
  </si>
  <si>
    <t xml:space="preserve">L1 Service Desk; L2 GRC Ops; L3 Security/SSM Eng</t>
  </si>
  <si>
    <t xml:space="preserve">Experience Signal Overlay</t>
  </si>
  <si>
    <t xml:space="preserve">Capture and operationalize experience signals to improve trust, outcomes, and responsiveness.</t>
  </si>
  <si>
    <t xml:space="preserve">Journey Mapping</t>
  </si>
  <si>
    <t xml:space="preserve">Experience modeling</t>
  </si>
  <si>
    <t xml:space="preserve">Journey Mapper; Journey Library; Persona Links</t>
  </si>
  <si>
    <t xml:space="preserve">JOURNEY-BUNDLE (journey schema, persona linkage, versioning, export)</t>
  </si>
  <si>
    <t xml:space="preserve">SoR: Journeys, journey versions, persona links</t>
  </si>
  <si>
    <t xml:space="preserve">Voice Capture</t>
  </si>
  <si>
    <t xml:space="preserve">Journey Mapping; Workflow Designer</t>
  </si>
  <si>
    <t xml:space="preserve">Closed-loop feedback intake</t>
  </si>
  <si>
    <t xml:space="preserve">Voice Intake Portal; Routing Rules; Evidence Links</t>
  </si>
  <si>
    <t xml:space="preserve">VOICE-BUNDLE (intake schema, routing rules, consent hooks, evidence links)</t>
  </si>
  <si>
    <t xml:space="preserve">SoR: Voice items, routing outcomes, consent status</t>
  </si>
  <si>
    <t xml:space="preserve">Experience KPIs</t>
  </si>
  <si>
    <t xml:space="preserve">Metric &amp; Semantic Registry; Voice Capture</t>
  </si>
  <si>
    <t xml:space="preserve">Experience measurement</t>
  </si>
  <si>
    <t xml:space="preserve">Experience KPI Dashboard; KPI Definitions; Ownership Panel</t>
  </si>
  <si>
    <t xml:space="preserve">EXPERIENCE-KPI-BUNDLE (KPI model, metric bindings, ownership, certification hooks)</t>
  </si>
  <si>
    <t xml:space="preserve">Not SoR: KPI runtime; References SoR: Metric &amp; Semantic Registry</t>
  </si>
  <si>
    <t xml:space="preserve">L1 Service Desk; L2 Analytics Ops; L3 Data Eng</t>
  </si>
  <si>
    <t xml:space="preserve">Trust &amp; Transparency Metrics</t>
  </si>
  <si>
    <t xml:space="preserve">Trust posture visibility</t>
  </si>
  <si>
    <t xml:space="preserve">Trust Panel; Transparency Reports; Evidence Export</t>
  </si>
  <si>
    <t xml:space="preserve">TRUST-METRIC-BUNDLE (trust KPI model, reporting pack schema, evidence export contract)</t>
  </si>
  <si>
    <t xml:space="preserve">L1 Service Desk; L2 Analytics/Governance Ops; L3 Data Eng</t>
  </si>
  <si>
    <t xml:space="preserve">4) Enterprise Application Ecosystem</t>
  </si>
  <si>
    <t xml:space="preserve">Portfolio &amp; Delivery Suite (PPM)</t>
  </si>
  <si>
    <t xml:space="preserve">Portfolio, Programs &amp; Projects</t>
  </si>
  <si>
    <t xml:space="preserve">Govern demand→portfolio→delivery→benefits with traceable decisions and capacity alignment.</t>
  </si>
  <si>
    <t xml:space="preserve">Project &amp; Portfolio Management (PPM)</t>
  </si>
  <si>
    <t xml:space="preserve">Decision &amp; Rationale Log; Workflow Designer; SoR &amp; Ownership Registry (project objects)</t>
  </si>
  <si>
    <t xml:space="preserve">Strategy-to-execution traceability; prioritization; delivery tracking; benefits realization</t>
  </si>
  <si>
    <t xml:space="preserve">Demand Intake; Portfolio Board; Roadmap; Capacity Plan; Benefits Tracker; Delivery Status</t>
  </si>
  <si>
    <t xml:space="preserve">Domain App (Enterprise)</t>
  </si>
  <si>
    <t xml:space="preserve">APP-PPM-BUNDLE (OIDC/SSO, RBAC hooks, Workflow APIs, AuditEvent v1, Evidence Pack export, Data Contracts for key objects, OTel/Correlation-ID)</t>
  </si>
  <si>
    <t xml:space="preserve">SoR: demand items, portfolio items, programs/projects, roadmaps, benefits, capacity plans</t>
  </si>
  <si>
    <t xml:space="preserve">L1 Service Desk; L2 PPM App Ops; L3 PPM Product/Config Eng</t>
  </si>
  <si>
    <t xml:space="preserve">ERP Suite</t>
  </si>
  <si>
    <t xml:space="preserve">Financial Management</t>
  </si>
  <si>
    <t xml:space="preserve">Run core finance processes as enterprise SoR while ensuring governed integration, traceability, and audit-ready outputs via platform standards.</t>
  </si>
  <si>
    <t xml:space="preserve">General Ledger (GL)</t>
  </si>
  <si>
    <t xml:space="preserve">API Gateway; Data Contract Registry; SoR &amp; Ownership Registry</t>
  </si>
  <si>
    <t xml:space="preserve">Finance SoR integration; journal traceability; audit defensibility</t>
  </si>
  <si>
    <t xml:space="preserve">ERP Integration Cockpit; GL Data Contract View; Journal Trace Viewer; GL Evidence Pack</t>
  </si>
  <si>
    <t xml:space="preserve">Domain App (ERP)</t>
  </si>
  <si>
    <t xml:space="preserve">ERP-FIN-BUNDLE (API Gateway, OAuth2/JWT, GL data contracts, Canonical IDs, AuditEvent v1, Evidence links/export, OTel/Correlation-ID, error model)</t>
  </si>
  <si>
    <t xml:space="preserve">SoR: accounts, ledgers, journals, postings, fiscal calendars</t>
  </si>
  <si>
    <t xml:space="preserve">L1 Service Desk; L2 ERP Finance Ops; L3 ERP Product/Tech Eng</t>
  </si>
  <si>
    <t xml:space="preserve">Accounts Payable (AP)</t>
  </si>
  <si>
    <t xml:space="preserve">Workflow Designer; Data Contract Registry; Audit Trail Service</t>
  </si>
  <si>
    <t xml:space="preserve">Payables controls; exception-to-approval; invoice audit trail</t>
  </si>
  <si>
    <t xml:space="preserve">ERP Integration Cockpit; AP Data Contract View; Invoice Flow Trace; AP Evidence Pack</t>
  </si>
  <si>
    <t xml:space="preserve">ERP-FIN-BUNDLE + AP-CONTROL-BUNDLE (workflow approvals, SoD hook optional, invoice/GRN/PO link contracts, audit + evidence export)</t>
  </si>
  <si>
    <t xml:space="preserve">SoR: suppliers (financial view), invoices, AP vouchers, payment proposals, approvals</t>
  </si>
  <si>
    <t xml:space="preserve">Accounts Receivable (AR)</t>
  </si>
  <si>
    <t xml:space="preserve">Data Contract Registry; Billing integration surface</t>
  </si>
  <si>
    <t xml:space="preserve">Revenue traceability; invoice lineage; dispute visibility</t>
  </si>
  <si>
    <t xml:space="preserve">ERP Integration Cockpit; AR Data Contract View; Billing Trace Viewer; AR Evidence Pack</t>
  </si>
  <si>
    <t xml:space="preserve">ERP-FIN-BUNDLE + AR-BILLING-BUNDLE (billing contracts, customer ID binding, dispute reference IDs, audit hooks)</t>
  </si>
  <si>
    <t xml:space="preserve">SoR: invoices (AR), receivables, collections states, credit memos</t>
  </si>
  <si>
    <t xml:space="preserve">Bank Reconciliation</t>
  </si>
  <si>
    <t xml:space="preserve">Data Warehouse/Lakehouse; Integration Monitoring &amp; Reconciliation</t>
  </si>
  <si>
    <t xml:space="preserve">Controls uplift; reconciled cash posture; leakage reduction</t>
  </si>
  <si>
    <t xml:space="preserve">ERP Integration Cockpit; Reconciliation Trace View; Exception Queue; Evidence Pack</t>
  </si>
  <si>
    <t xml:space="preserve">Domain App (ERP + Data)</t>
  </si>
  <si>
    <t xml:space="preserve">ERP-RECON-BUNDLE (bank statement ingestion contract, match rules, exception model, evidence export, OTel)</t>
  </si>
  <si>
    <t xml:space="preserve">SoR: reconciliation runs, match outcomes, recon exceptions, sign-offs</t>
  </si>
  <si>
    <t xml:space="preserve">L1 Service Desk; L2 ERP Treasury Ops; L3 ERP/Data Eng</t>
  </si>
  <si>
    <t xml:space="preserve">Period Close &amp; Consolidation</t>
  </si>
  <si>
    <t xml:space="preserve">Audit Trail; Task &amp; Checklist Engine; Evidence Linking</t>
  </si>
  <si>
    <t xml:space="preserve">Close governance; repeatable checklists; evidence packs</t>
  </si>
  <si>
    <t xml:space="preserve">Close Control Center; Close Checklist; Close Evidence Pack; Close KPI Dashboard</t>
  </si>
  <si>
    <t xml:space="preserve">ERP-CLOSE-BUNDLE (close checklist templates, task engine integration, approvals, evidence pack generation, audit hooks)</t>
  </si>
  <si>
    <t xml:space="preserve">SoR: close calendar, close tasks, close sign-offs, consolidation results</t>
  </si>
  <si>
    <t xml:space="preserve">Intercompany Accounting</t>
  </si>
  <si>
    <t xml:space="preserve">Data Contract Registry; Canonical ID &amp; Correlation; Integration Monitoring &amp; Reconciliation</t>
  </si>
  <si>
    <t xml:space="preserve">Reduced intercompany breaks; traceable settlements</t>
  </si>
  <si>
    <t xml:space="preserve">Intercompany Monitor; Settlement Trace View; Exception Queue; Evidence Pack</t>
  </si>
  <si>
    <t xml:space="preserve">ERP-INTERCO-BUNDLE (interco transaction contracts, partner entity IDs, reconciliation exceptions, settlement evidence)</t>
  </si>
  <si>
    <t xml:space="preserve">SoR: intercompany transactions, settlements, eliminations, exceptions</t>
  </si>
  <si>
    <t xml:space="preserve">Treasury &amp; Cash</t>
  </si>
  <si>
    <t xml:space="preserve">Centralize cash visibility and approvals with controlled interfaces and evidence trails for treasury-grade assurance.</t>
  </si>
  <si>
    <t xml:space="preserve">Cash Positioning</t>
  </si>
  <si>
    <t xml:space="preserve">Data Contract Registry; Integration Monitoring &amp; Reconciliation</t>
  </si>
  <si>
    <t xml:space="preserve">Daily cash posture visibility; treasury cockpit</t>
  </si>
  <si>
    <t xml:space="preserve">Treasury Cockpit; Cash Position Contract View; Evidence Pack</t>
  </si>
  <si>
    <t xml:space="preserve">ERP-TREASURY-BUNDLE (cash position contracts, bank feed binding, reconciliation hooks, audit/evidence export)</t>
  </si>
  <si>
    <t xml:space="preserve">SoR: cash positions, bank balances snapshots, cash categories</t>
  </si>
  <si>
    <t xml:space="preserve">L1 Service Desk; L2 Treasury Ops; L3 ERP Product/Tech Eng</t>
  </si>
  <si>
    <t xml:space="preserve">Cash Forecasting</t>
  </si>
  <si>
    <t xml:space="preserve">Data Warehouse/Lakehouse; Metric &amp; Semantic Registry</t>
  </si>
  <si>
    <t xml:space="preserve">Forecast capability; scenario baseline</t>
  </si>
  <si>
    <t xml:space="preserve">Forecast Workspace; Scenario Comparison; Forecast Evidence Pack</t>
  </si>
  <si>
    <t xml:space="preserve">ERP-FORECAST-BUNDLE (forecast model contracts, scenario comparison, metric registry binding, audit/evidence export)</t>
  </si>
  <si>
    <t xml:space="preserve">SoR: forecast versions, assumptions, scenarios, approvals</t>
  </si>
  <si>
    <t xml:space="preserve">L1 Service Desk; L2 Treasury Ops; L3 Data/ERP Eng</t>
  </si>
  <si>
    <t xml:space="preserve">Payments &amp; Approvals</t>
  </si>
  <si>
    <t xml:space="preserve">Workflow Designer; SoD (optional); Audit Trail</t>
  </si>
  <si>
    <t xml:space="preserve">Controlled payments; approvals; non-repudiation</t>
  </si>
  <si>
    <t xml:space="preserve">Payment Approval Inbox; Payment Trace Viewer; Attestation/Evidence Pack</t>
  </si>
  <si>
    <t xml:space="preserve">ERP-PAYMENT-BUNDLE (payment run objects, approval workflow, SoD checks, signature/attestation hook optional, audit trail)</t>
  </si>
  <si>
    <t xml:space="preserve">SoR: payment batches, payment instructions, approvals, release states</t>
  </si>
  <si>
    <t xml:space="preserve">FX Exposure Management</t>
  </si>
  <si>
    <t xml:space="preserve">Data Warehouse/Lakehouse; Treasury integrations</t>
  </si>
  <si>
    <t xml:space="preserve">Exposure visibility; hedging decisions support</t>
  </si>
  <si>
    <t xml:space="preserve">FX Exposure Dashboard; Hedging Trace View; Evidence Pack</t>
  </si>
  <si>
    <t xml:space="preserve">ERP-FX-BUNDLE (position contracts, exposure calc logic binding, scenario support, evidence export)</t>
  </si>
  <si>
    <t xml:space="preserve">SoR: exposures, hedges (records), hedge decisions trace</t>
  </si>
  <si>
    <t xml:space="preserve">Tax &amp; Statutory</t>
  </si>
  <si>
    <t xml:space="preserve">Ensure compliant statutory posture by operationalizing tax reporting through governed data contracts and audit packs.</t>
  </si>
  <si>
    <t xml:space="preserve">VAT/GST &amp; Withholding</t>
  </si>
  <si>
    <t xml:space="preserve">Data Contract Registry; Evidence Linking</t>
  </si>
  <si>
    <t xml:space="preserve">Tax traceability; governed inputs</t>
  </si>
  <si>
    <t xml:space="preserve">Tax Console; Tax Contract View; Evidence Pack</t>
  </si>
  <si>
    <t xml:space="preserve">ERP-TAX-BUNDLE (tax calc inputs/outputs contracts, evidence links, audit export, retention hooks)</t>
  </si>
  <si>
    <t xml:space="preserve">SoR: tax determinations, tax postings, withholding records</t>
  </si>
  <si>
    <t xml:space="preserve">L1 Service Desk; L2 Tax Ops; L3 ERP Product/Tech Eng</t>
  </si>
  <si>
    <t xml:space="preserve">E-Invoicing / E-Archive</t>
  </si>
  <si>
    <t xml:space="preserve">API Gateway; Records Management</t>
  </si>
  <si>
    <t xml:space="preserve">Compliance interfaces; immutable archiving posture</t>
  </si>
  <si>
    <t xml:space="preserve">eInvoice Monitor; Archive Verification; Compliance Evidence Pack</t>
  </si>
  <si>
    <t xml:space="preserve">Domain App (ERP + Records)</t>
  </si>
  <si>
    <t xml:space="preserve">ERP-EINV-BUNDLE (e-invoice payload contracts, submission logs, receipt/ack tracking, immutable archive binding)</t>
  </si>
  <si>
    <t xml:space="preserve">SoR: e-invoice submissions, acknowledgements, archive verification artifacts</t>
  </si>
  <si>
    <t xml:space="preserve">L1 Service Desk; L2 Tax Ops; L3 Integration/ERP Eng</t>
  </si>
  <si>
    <t xml:space="preserve">Statutory Reporting Packs</t>
  </si>
  <si>
    <t xml:space="preserve">Reporting throughput; compliant pack automation</t>
  </si>
  <si>
    <t xml:space="preserve">Stat Pack Builder; Submission Tracker; Evidence Pack</t>
  </si>
  <si>
    <t xml:space="preserve">ERP-STATREP-BUNDLE (report pack templates, certified metrics binding, submission tracking, evidence export)</t>
  </si>
  <si>
    <t xml:space="preserve">SoR: statutory pack versions, submissions, sign-offs</t>
  </si>
  <si>
    <t xml:space="preserve">L1 Service Desk; L2 Tax Ops; L3 Data/ERP Eng</t>
  </si>
  <si>
    <t xml:space="preserve">Transfer Pricing Support</t>
  </si>
  <si>
    <t xml:space="preserve">Data Warehouse/Lakehouse; Lineage Tracking</t>
  </si>
  <si>
    <t xml:space="preserve">TP datasets with provenance; audit readiness</t>
  </si>
  <si>
    <t xml:space="preserve">TP Workspace; Dataset Trace; Evidence Pack</t>
  </si>
  <si>
    <t xml:space="preserve">Domain App (Data)</t>
  </si>
  <si>
    <t xml:space="preserve">TP-BUNDLE (TP dataset contracts, lineage hooks, evidence pack export)</t>
  </si>
  <si>
    <t xml:space="preserve">SoR: TP datasets, TP analyses, TP evidence packs</t>
  </si>
  <si>
    <t xml:space="preserve">L1 Service Desk; L2 Finance/Data Ops; L3 Data Eng</t>
  </si>
  <si>
    <t xml:space="preserve">Expense &amp; Assets</t>
  </si>
  <si>
    <t xml:space="preserve">Govern spend and asset lifecycle with controlled approvals and evidence-grade traceability.</t>
  </si>
  <si>
    <t xml:space="preserve">Travel &amp; Expense (T&amp;E)</t>
  </si>
  <si>
    <t xml:space="preserve">Spend control; policy compliance; approvals</t>
  </si>
  <si>
    <t xml:space="preserve">Expense Portal; Approval Inbox; Expense Trace View; Evidence Pack</t>
  </si>
  <si>
    <t xml:space="preserve">Domain App (ERP/Expense)</t>
  </si>
  <si>
    <t xml:space="preserve">EXPENSE-BUNDLE (policy binding, approval workflow, receipt/doc attachment contracts, audit/evidence export)</t>
  </si>
  <si>
    <t xml:space="preserve">SoR: expense claims, reimbursements, policy checks, approvals</t>
  </si>
  <si>
    <t xml:space="preserve">L1 Service Desk; L2 Expense Ops; L3 ERP/Expense Eng</t>
  </si>
  <si>
    <t xml:space="preserve">Corporate Card Reconciliation</t>
  </si>
  <si>
    <t xml:space="preserve">Leakage reduction; reconciled spend</t>
  </si>
  <si>
    <t xml:space="preserve">Card Reconciliation Workbench; Exception Queue; Evidence Pack</t>
  </si>
  <si>
    <t xml:space="preserve">CARD-RECON-BUNDLE (card feed contracts, match rules, exceptions, evidence export)</t>
  </si>
  <si>
    <t xml:space="preserve">SoR: card transactions (internal ledger view), recon outcomes, exceptions</t>
  </si>
  <si>
    <t xml:space="preserve">L1 Service Desk; L2 Expense Ops; L3 Data/ERP Eng</t>
  </si>
  <si>
    <t xml:space="preserve">Fixed Assets</t>
  </si>
  <si>
    <t xml:space="preserve">Records Management; Data Contract Registry</t>
  </si>
  <si>
    <t xml:space="preserve">Asset traceability; depreciation governance</t>
  </si>
  <si>
    <t xml:space="preserve">Asset Register View; Depreciation Trace; Evidence Pack</t>
  </si>
  <si>
    <t xml:space="preserve">ASSET-BUNDLE (asset master contracts, depreciation schedule, evidence export, retention hooks)</t>
  </si>
  <si>
    <t xml:space="preserve">SoR: fixed assets, depreciation schedules, disposals</t>
  </si>
  <si>
    <t xml:space="preserve">L1 Service Desk; L2 Finance Ops; L3 ERP Eng</t>
  </si>
  <si>
    <t xml:space="preserve">Lease Accounting</t>
  </si>
  <si>
    <t xml:space="preserve">Lease compliance; audit posture</t>
  </si>
  <si>
    <t xml:space="preserve">Lease Register; Compliance Trace; Evidence Pack</t>
  </si>
  <si>
    <t xml:space="preserve">LEASE-BUNDLE (lease contract objects, calc rules binding, evidence export, retention hooks)</t>
  </si>
  <si>
    <t xml:space="preserve">SoR: leases, lease schedules, compliance records</t>
  </si>
  <si>
    <t xml:space="preserve">FP&amp;A / EPM</t>
  </si>
  <si>
    <t xml:space="preserve">Drive planning and performance management with scenario governance and metric alignment to certified semantics.</t>
  </si>
  <si>
    <t xml:space="preserve">Budgeting</t>
  </si>
  <si>
    <t xml:space="preserve">Metric &amp; Semantic Registry; Workflow Designer</t>
  </si>
  <si>
    <t xml:space="preserve">Budget governance; sign-offs; traceability</t>
  </si>
  <si>
    <t xml:space="preserve">Budget Workspace; Budget Approval Flow; Evidence Pack</t>
  </si>
  <si>
    <t xml:space="preserve">Domain App (EPM + Data)</t>
  </si>
  <si>
    <t xml:space="preserve">EPM-PLAN-BUNDLE (budget versions, approvals, certified metrics binding, evidence export)</t>
  </si>
  <si>
    <t xml:space="preserve">SoR: budgets, budget versions, approvals</t>
  </si>
  <si>
    <t xml:space="preserve">L1 Service Desk; L2 FP&amp;A Ops; L3 EPM/Data Eng</t>
  </si>
  <si>
    <t xml:space="preserve">Rolling Forecast</t>
  </si>
  <si>
    <t xml:space="preserve">Driver-based forecasting</t>
  </si>
  <si>
    <t xml:space="preserve">Forecast Workspace; Driver Library; Evidence Pack</t>
  </si>
  <si>
    <t xml:space="preserve">EPM-FORECAST-BUNDLE (forecast versions, driver library schema, certified metrics binding, evidence export)</t>
  </si>
  <si>
    <t xml:space="preserve">SoR: forecasts, drivers, scenario assumptions</t>
  </si>
  <si>
    <t xml:space="preserve">Scenario Planning</t>
  </si>
  <si>
    <t xml:space="preserve">What-if comparisons; decision support</t>
  </si>
  <si>
    <t xml:space="preserve">Scenario Lab; Comparator; Outcome Tracker</t>
  </si>
  <si>
    <t xml:space="preserve">Domain App (EPM + Decision Intelligence)</t>
  </si>
  <si>
    <t xml:space="preserve">SCENARIO-BUNDLE (scenario objects, comparator outputs, decision links, audit/evidence export)</t>
  </si>
  <si>
    <t xml:space="preserve">SoR: scenarios, scenario outputs, decision records linkage</t>
  </si>
  <si>
    <t xml:space="preserve">L1 Service Desk; L2 FP&amp;A Ops; L3 Data/Decision Eng</t>
  </si>
  <si>
    <t xml:space="preserve">Management Reporting</t>
  </si>
  <si>
    <t xml:space="preserve">Exec reporting aligned to semantic single truth</t>
  </si>
  <si>
    <t xml:space="preserve">Mgmt Report Gallery; Certified Metric Linkage; Evidence Pack</t>
  </si>
  <si>
    <t xml:space="preserve">Domain App (BI)</t>
  </si>
  <si>
    <t xml:space="preserve">MGMT-REPORT-BUNDLE (report templates, certified metrics binding, access control hooks, evidence export)</t>
  </si>
  <si>
    <t xml:space="preserve">SoR: management report packs, publication versions, approvals</t>
  </si>
  <si>
    <t xml:space="preserve">L1 Service Desk; L2 BI Ops; L3 BI/Data Eng</t>
  </si>
  <si>
    <t xml:space="preserve">Procurement Suite</t>
  </si>
  <si>
    <t xml:space="preserve">Procure-to-Pay (P2P)</t>
  </si>
  <si>
    <t xml:space="preserve">Execute supplier and procurement lifecycle while pushing exceptions/risk into governed workflows and controls.</t>
  </si>
  <si>
    <t xml:space="preserve">Supplier Onboarding (KYC/Sanctions/Docs)</t>
  </si>
  <si>
    <t xml:space="preserve">SSO/MFA; Workflow Designer; Document Mgmt; Policy &amp; Control Library</t>
  </si>
  <si>
    <t xml:space="preserve">Controlled supplier intake; compliance checks; auditable evidence</t>
  </si>
  <si>
    <t xml:space="preserve">Supplier Integration View; KYC Status Dashboard; Onboarding Evidence Pack</t>
  </si>
  <si>
    <t xml:space="preserve">Domain App (Procurement)</t>
  </si>
  <si>
    <t xml:space="preserve">P2P-BUNDLE (supplier object model, doc attachments, workflow approvals, audit/evidence export, sanctions/KYC integration contracts)</t>
  </si>
  <si>
    <t xml:space="preserve">SoR: suppliers (procurement master), onboarding cases, KYC outcomes, approvals</t>
  </si>
  <si>
    <t xml:space="preserve">L1 Service Desk; L2 Procurement Ops; L3 Procurement App Eng</t>
  </si>
  <si>
    <t xml:space="preserve">Requisition &amp; Purchase Orders</t>
  </si>
  <si>
    <t xml:space="preserve">API Gateway; Data Contract Registry; Workflow Designer</t>
  </si>
  <si>
    <t xml:space="preserve">P2P execution; spend control; exception-to-action</t>
  </si>
  <si>
    <t xml:space="preserve">P2P Execution Monitor; PO Trace View; Exception Inbox</t>
  </si>
  <si>
    <t xml:space="preserve">P2P-BUNDLE + PO-BUNDLE (req/PO contracts, approval workflow, vendor/customer IDs, audit hooks)</t>
  </si>
  <si>
    <t xml:space="preserve">SoR: requisitions, purchase orders, approval trail, PO lifecycle events</t>
  </si>
  <si>
    <t xml:space="preserve">Receiving (GRN)</t>
  </si>
  <si>
    <t xml:space="preserve">Requisition &amp; Purchase Orders; Data Contract Registry</t>
  </si>
  <si>
    <t xml:space="preserve">3-way match readiness; receiving traceability</t>
  </si>
  <si>
    <t xml:space="preserve">Receiving Trace View; Mismatch Exceptions; Evidence Pack</t>
  </si>
  <si>
    <t xml:space="preserve">Domain App (Procurement/Warehouse Bridge)</t>
  </si>
  <si>
    <t xml:space="preserve">P2P-BUNDLE + GRN-BUNDLE (GRN objects, match keys, exception model, audit/evidence export)</t>
  </si>
  <si>
    <t xml:space="preserve">SoR: goods receipts, receiving exceptions, match artifacts</t>
  </si>
  <si>
    <t xml:space="preserve">Invoice Capture &amp; 3-Way Match</t>
  </si>
  <si>
    <t xml:space="preserve">Receiving (GRN); AP; Workflow Designer</t>
  </si>
  <si>
    <t xml:space="preserve">Controls uplift; reduced leakage</t>
  </si>
  <si>
    <t xml:space="preserve">Matching Console; Exception Queue; Audit Evidence Pack</t>
  </si>
  <si>
    <t xml:space="preserve">Domain App (P2P + Finance Bridge)</t>
  </si>
  <si>
    <t xml:space="preserve">P2P-BUNDLE + MATCH-BUNDLE (match rules, exception queue, approval workflow, evidence pack export)</t>
  </si>
  <si>
    <t xml:space="preserve">SoR: match outcomes, invoice exceptions, approvals (invoice processing view)</t>
  </si>
  <si>
    <t xml:space="preserve">L1 Service Desk; L2 Procurement Ops; L3 Procurement/ERP Eng</t>
  </si>
  <si>
    <t xml:space="preserve">Contracting &amp; Clause Library</t>
  </si>
  <si>
    <t xml:space="preserve">CLM; Clause Library; Document Mgmt</t>
  </si>
  <si>
    <t xml:space="preserve">Standard contracts; reduced commercial risk</t>
  </si>
  <si>
    <t xml:space="preserve">Contract Workspace (integration); Clause Alignment View; Contract Evidence Pack</t>
  </si>
  <si>
    <t xml:space="preserve">Domain App (Procurement + Legal Bridge)</t>
  </si>
  <si>
    <t xml:space="preserve">CLM-CONTRACT-BUNDLE (contract objects, clause references, approvals, evidence export, retention hooks)</t>
  </si>
  <si>
    <t xml:space="preserve">SoR: sourcing/procurement contracts (if designated), clause deviations (reference)</t>
  </si>
  <si>
    <t xml:space="preserve">L1 Service Desk; L2 Procurement Ops; L3 CLM/Legal Eng</t>
  </si>
  <si>
    <t xml:space="preserve">Sourcing (RFQ/RFP)</t>
  </si>
  <si>
    <t xml:space="preserve">Supplier Onboarding; Workflow Designer</t>
  </si>
  <si>
    <t xml:space="preserve">Traceable awards; structured sourcing</t>
  </si>
  <si>
    <t xml:space="preserve">Sourcing Monitor; Bid Trace View; Award Evidence Pack</t>
  </si>
  <si>
    <t xml:space="preserve">SOURCING-BUNDLE (RFx objects, bid schemas, evaluation scoring, decision/evidence export)</t>
  </si>
  <si>
    <t xml:space="preserve">SoR: RFx events, bids, evaluations, award decisions</t>
  </si>
  <si>
    <t xml:space="preserve">Payment Run Support</t>
  </si>
  <si>
    <t xml:space="preserve">Payments &amp; Approvals; AP</t>
  </si>
  <si>
    <t xml:space="preserve">Run governance; approval trace</t>
  </si>
  <si>
    <t xml:space="preserve">Payment Run Monitor; Approval Trace; Evidence Pack</t>
  </si>
  <si>
    <t xml:space="preserve">Domain App (Procurement + Finance Bridge)</t>
  </si>
  <si>
    <t xml:space="preserve">P2P-PAYRUN-BUNDLE (pay-run objects, linkage to AP/treasury, approvals, audit/evidence export)</t>
  </si>
  <si>
    <t xml:space="preserve">Not SoR: orchestrates pay-run support; References SoR: AP/Payments</t>
  </si>
  <si>
    <t xml:space="preserve">L1 Service Desk; L2 Procurement Ops; L3 ERP/Procurement Eng</t>
  </si>
  <si>
    <t xml:space="preserve">Supplier Performance &amp; Risk</t>
  </si>
  <si>
    <t xml:space="preserve">Risk Register &amp; Controls; Metric &amp; Semantic Registry; Supplier Onboarding</t>
  </si>
  <si>
    <t xml:space="preserve">Risk visibility; remediation prioritization</t>
  </si>
  <si>
    <t xml:space="preserve">Supplier Risk Dashboard; Scorecard View; Remediation Handoff</t>
  </si>
  <si>
    <t xml:space="preserve">Domain App (Procurement + GRC Bridge)</t>
  </si>
  <si>
    <t xml:space="preserve">SUPP-RISK-BUNDLE (risk scoring model, scorecards w/ certified metrics, remediation workflow handoff)</t>
  </si>
  <si>
    <t xml:space="preserve">SoR: supplier performance records (procurement view), risk assessments (reference to GRC SoR if designated)</t>
  </si>
  <si>
    <t xml:space="preserve">L1 Service Desk; L2 Procurement Ops; L3 Procurement/GRC Eng</t>
  </si>
  <si>
    <t xml:space="preserve">Supplier Portal</t>
  </si>
  <si>
    <t xml:space="preserve">Supplier Onboarding; API Gateway</t>
  </si>
  <si>
    <t xml:space="preserve">Supplier self-service; reduced ops load</t>
  </si>
  <si>
    <t xml:space="preserve">Supplier Portal Integration Health; Supplier Activity Feed</t>
  </si>
  <si>
    <t xml:space="preserve">Channel App (External Portal)</t>
  </si>
  <si>
    <t xml:space="preserve">PORTAL-BUNDLE (external identity, API gateway binding, consent/privacy hooks, audit)</t>
  </si>
  <si>
    <t xml:space="preserve">Not SoR: portal; References SoR: supplier master/onboarding</t>
  </si>
  <si>
    <t xml:space="preserve">L1 Service Desk; L2 Procurement Ops; L3 Portal/Integration Eng</t>
  </si>
  <si>
    <t xml:space="preserve">Commercial Suite (CRM + O2C)</t>
  </si>
  <si>
    <t xml:space="preserve">CRM Core</t>
  </si>
  <si>
    <t xml:space="preserve">Maintain customer master and commercial structure with governed integrations and consistent semantics.</t>
  </si>
  <si>
    <t xml:space="preserve">Customer 360 / Account Hierarchy</t>
  </si>
  <si>
    <t xml:space="preserve">SoR &amp; Ownership Registry; Canonical ID; Data Contract Registry</t>
  </si>
  <si>
    <t xml:space="preserve">Customer master alignment; blocks duplicate customer truth</t>
  </si>
  <si>
    <t xml:space="preserve">Customer 360 Integration View; Hierarchy Trace; Evidence Pack</t>
  </si>
  <si>
    <t xml:space="preserve">Domain App (CRM)</t>
  </si>
  <si>
    <t xml:space="preserve">CRM-CORE-BUNDLE (account hierarchy schema, canonical IDs, data contracts, audit/evidence export)</t>
  </si>
  <si>
    <t xml:space="preserve">SoR: accounts/customers (CRM view), hierarchies, account attributes (if designated)</t>
  </si>
  <si>
    <t xml:space="preserve">L1 Service Desk; L2 CRM Ops; L3 CRM Product/Tech Eng</t>
  </si>
  <si>
    <t xml:space="preserve">Contact &amp; Relationship Management</t>
  </si>
  <si>
    <t xml:space="preserve">Customer 360; Consent &amp; Preference Mgmt</t>
  </si>
  <si>
    <t xml:space="preserve">Compliant contact usage; relationship consistency</t>
  </si>
  <si>
    <t xml:space="preserve">Contact Sync Monitor; Consent Trace View; Evidence Pack</t>
  </si>
  <si>
    <t xml:space="preserve">CRM-CORE-BUNDLE + CONSENT-BINDING (contact objects, consent references, audit hooks)</t>
  </si>
  <si>
    <t xml:space="preserve">SoR: contacts (CRM), relationship links, interaction preferences references</t>
  </si>
  <si>
    <t xml:space="preserve">Territory Management</t>
  </si>
  <si>
    <t xml:space="preserve">Customer 360; Workflow Designer</t>
  </si>
  <si>
    <t xml:space="preserve">Controlled territory changes; performance tracking</t>
  </si>
  <si>
    <t xml:space="preserve">Territory Model Viewer; Change Approval Trace; Evidence Pack</t>
  </si>
  <si>
    <t xml:space="preserve">CRM-TERRITORY-BUNDLE (territory model schema, approvals, audit/evidence export)</t>
  </si>
  <si>
    <t xml:space="preserve">SoR: territories, assignments, territory change approvals</t>
  </si>
  <si>
    <t xml:space="preserve">Sales</t>
  </si>
  <si>
    <t xml:space="preserve">Run pipeline execution with forecast governance and auditable commercial decision trails.</t>
  </si>
  <si>
    <t xml:space="preserve">Lead Management</t>
  </si>
  <si>
    <t xml:space="preserve">Workflow Designer; Data Contract Registry</t>
  </si>
  <si>
    <t xml:space="preserve">Routing + measurable conversion</t>
  </si>
  <si>
    <t xml:space="preserve">Lead Flow Monitor; Routing Rules Trace; Evidence Pack</t>
  </si>
  <si>
    <t xml:space="preserve">CRM-SALES-BUNDLE (lead objects, routing rules, audit hooks, OTel)</t>
  </si>
  <si>
    <t xml:space="preserve">SoR: leads, lead routing rules, lead lifecycle events</t>
  </si>
  <si>
    <t xml:space="preserve">Opportunity &amp; Pipeline Management</t>
  </si>
  <si>
    <t xml:space="preserve">Lead Management; Metric &amp; Semantic Registry</t>
  </si>
  <si>
    <t xml:space="preserve">Pipeline visibility; forecast inputs</t>
  </si>
  <si>
    <t xml:space="preserve">Pipeline Cockpit; Stage Trace View; Evidence Pack</t>
  </si>
  <si>
    <t xml:space="preserve">CRM-SALES-BUNDLE + METRIC-BINDING (opportunity schema, stage model, KPI bindings)</t>
  </si>
  <si>
    <t xml:space="preserve">SoR: opportunities, pipeline stages, pipeline history</t>
  </si>
  <si>
    <t xml:space="preserve">Forecasting &amp; Quotas</t>
  </si>
  <si>
    <t xml:space="preserve">Quota governance; forecast discipline</t>
  </si>
  <si>
    <t xml:space="preserve">Forecast Dashboard; Quota Change Trace; Evidence Pack</t>
  </si>
  <si>
    <t xml:space="preserve">Domain App (CRM + BI)</t>
  </si>
  <si>
    <t xml:space="preserve">CRM-FORECAST-BUNDLE (forecast objects, quota model, approvals/audit, certified metrics binding)</t>
  </si>
  <si>
    <t xml:space="preserve">SoR: forecasts (sales), quotas, quota changes approvals</t>
  </si>
  <si>
    <t xml:space="preserve">L1 Service Desk; L2 CRM Ops; L3 CRM/BI Eng</t>
  </si>
  <si>
    <t xml:space="preserve">Field Sales / Visit Planning</t>
  </si>
  <si>
    <t xml:space="preserve">Execution enablement</t>
  </si>
  <si>
    <t xml:space="preserve">Visit Plan Monitor; Compliance Trace; Evidence Pack</t>
  </si>
  <si>
    <t xml:space="preserve">CRM-VISIT-BUNDLE (visit objects, geo/time binding, compliance evidence export)</t>
  </si>
  <si>
    <t xml:space="preserve">SoR: visit plans, visit logs, compliance evidence (if required)</t>
  </si>
  <si>
    <t xml:space="preserve">L1 Service Desk; L2 CRM Ops; L3 CRM Eng</t>
  </si>
  <si>
    <t xml:space="preserve">CPQ &amp; Pricing</t>
  </si>
  <si>
    <t xml:space="preserve">Govern pricing and quoting with guardrails, approvals, and traceable handoffs to contract/order.</t>
  </si>
  <si>
    <t xml:space="preserve">Price Lists &amp; Discount Guardrails</t>
  </si>
  <si>
    <t xml:space="preserve">Pricing controls; discount governance</t>
  </si>
  <si>
    <t xml:space="preserve">Pricing Guardrail Console; Approval Inbox; Evidence Pack</t>
  </si>
  <si>
    <t xml:space="preserve">Domain App (CPQ)</t>
  </si>
  <si>
    <t xml:space="preserve">CPQ-PRICE-BUNDLE (price list schema, discount rules, approvals, policy binding, audit/evidence export)</t>
  </si>
  <si>
    <t xml:space="preserve">SoR: price lists, discount rules, pricing approvals</t>
  </si>
  <si>
    <t xml:space="preserve">L1 Service Desk; L2 CPQ Ops; L3 CPQ Eng</t>
  </si>
  <si>
    <t xml:space="preserve">Quote Generation</t>
  </si>
  <si>
    <t xml:space="preserve">Price Lists &amp; Discount Guardrails; Workflow Designer</t>
  </si>
  <si>
    <t xml:space="preserve">Quote throughput; traceable approvals</t>
  </si>
  <si>
    <t xml:space="preserve">Quote Builder; Quote Approval Trace; Evidence Pack</t>
  </si>
  <si>
    <t xml:space="preserve">CPQ-QUOTE-BUNDLE (quote object model, approval workflow, audit/evidence export)</t>
  </si>
  <si>
    <t xml:space="preserve">SoR: quotes, quote versions, quote approvals</t>
  </si>
  <si>
    <t xml:space="preserve">Quote-to-Contract Handoff</t>
  </si>
  <si>
    <t xml:space="preserve">CLM; Quote Generation</t>
  </si>
  <si>
    <t xml:space="preserve">Clean handoff; reduced leakage</t>
  </si>
  <si>
    <t xml:space="preserve">Handoff Monitor; Contract Linkage View; Evidence Pack</t>
  </si>
  <si>
    <t xml:space="preserve">Domain App (CPQ → Legal)</t>
  </si>
  <si>
    <t xml:space="preserve">CPQ-CLM-BRIDGE (handoff contract, canonical IDs, evidence linkage)</t>
  </si>
  <si>
    <t xml:space="preserve">Not SoR: orchestrates handoff; References SoR: CLM contract objects</t>
  </si>
  <si>
    <t xml:space="preserve">L1 Service Desk; L2 CPQ Ops; L3 CPQ/CLM Eng</t>
  </si>
  <si>
    <t xml:space="preserve">Product Configuration</t>
  </si>
  <si>
    <t xml:space="preserve">Business Rules Engine; Data Contract Registry</t>
  </si>
  <si>
    <t xml:space="preserve">Config governance</t>
  </si>
  <si>
    <t xml:space="preserve">CPQ Config Trace; Rules Alignment View; Exception Handling</t>
  </si>
  <si>
    <t xml:space="preserve">CPQ-CONFIG-BUNDLE (configuration schema, rules binding, exception model, audit hooks)</t>
  </si>
  <si>
    <t xml:space="preserve">SoR: product configurations (quotes), rule bindings (references)</t>
  </si>
  <si>
    <t xml:space="preserve">Service</t>
  </si>
  <si>
    <t xml:space="preserve">Execute service delivery with SLA governance and closed-loop satisfaction telemetry.</t>
  </si>
  <si>
    <t xml:space="preserve">Case Management</t>
  </si>
  <si>
    <t xml:space="preserve">Workflow Designer; Notification Service; Audit Trail</t>
  </si>
  <si>
    <t xml:space="preserve">Service execution baseline; traceable cases</t>
  </si>
  <si>
    <t xml:space="preserve">Service Desk Integration View; Case Trace Viewer; Case Evidence Pack</t>
  </si>
  <si>
    <t xml:space="preserve">Domain App (Service/ITSM or CRM Service)</t>
  </si>
  <si>
    <t xml:space="preserve">SERVICE-BUNDLE (case schema, SLA clocks, notification templates binding, audit/evidence export, OTel)</t>
  </si>
  <si>
    <t xml:space="preserve">SoR: cases, case lifecycle events, assignments, customer comms logs</t>
  </si>
  <si>
    <t xml:space="preserve">L1 Service Desk; L2 Service Ops; L3 Service App Eng</t>
  </si>
  <si>
    <t xml:space="preserve">SLA Routing &amp; Escalation</t>
  </si>
  <si>
    <t xml:space="preserve">Case Management; Workflow Designer</t>
  </si>
  <si>
    <t xml:space="preserve">SLA performance; governed escalations</t>
  </si>
  <si>
    <t xml:space="preserve">SLA Exceptions; Escalation Trace; Evidence Pack</t>
  </si>
  <si>
    <t xml:space="preserve">Domain App (Service)</t>
  </si>
  <si>
    <t xml:space="preserve">SERVICE-SLA-BUNDLE (routing rules, escalation policies, SLA breach events, runbook links)</t>
  </si>
  <si>
    <t xml:space="preserve">SoR: SLA policies (service), escalation rules, breach records</t>
  </si>
  <si>
    <t xml:space="preserve">Knowledge Base</t>
  </si>
  <si>
    <t xml:space="preserve">Document Mgmt; Enterprise Search</t>
  </si>
  <si>
    <t xml:space="preserve">Self-service enablement</t>
  </si>
  <si>
    <t xml:space="preserve">KB Sync Monitor; Article Trace View; Feedback Loop</t>
  </si>
  <si>
    <t xml:space="preserve">Domain App (Service + Content)</t>
  </si>
  <si>
    <t xml:space="preserve">KB-BUNDLE (article sync contracts, search indexing contract, feedback capture schema)</t>
  </si>
  <si>
    <t xml:space="preserve">SoR: knowledge articles (if designated), article feedback</t>
  </si>
  <si>
    <t xml:space="preserve">L1 Service Desk; L2 Service Ops; L3 Content/Service Eng</t>
  </si>
  <si>
    <t xml:space="preserve">Customer Satisfaction Loop</t>
  </si>
  <si>
    <t xml:space="preserve">Case Management; Scorecards/Dashboards</t>
  </si>
  <si>
    <t xml:space="preserve">Closed-loop improvement</t>
  </si>
  <si>
    <t xml:space="preserve">CSAT Dashboard; Feedback Handoff to Workflow; Evidence Pack</t>
  </si>
  <si>
    <t xml:space="preserve">Domain App (Service + BI)</t>
  </si>
  <si>
    <t xml:space="preserve">CSAT-BUNDLE (survey/feedback schema, workflow handoff, certified metric binding)</t>
  </si>
  <si>
    <t xml:space="preserve">SoR: CSAT responses (service), improvement actions linkage</t>
  </si>
  <si>
    <t xml:space="preserve">L1 Service Desk; L2 Service Ops; L3 BI/Service Eng</t>
  </si>
  <si>
    <t xml:space="preserve">Marketing</t>
  </si>
  <si>
    <t xml:space="preserve">Drive campaigns with consent governance and measurable outcomes aligned to certified metrics.</t>
  </si>
  <si>
    <t xml:space="preserve">Consent &amp; Preference Management</t>
  </si>
  <si>
    <t xml:space="preserve">SSO/MFA; Policy &amp; Control Library; Audit Trail</t>
  </si>
  <si>
    <t xml:space="preserve">Compliance posture; controlled permissions</t>
  </si>
  <si>
    <t xml:space="preserve">Consent Center (integration); Consent Audit Trail; Evidence Pack</t>
  </si>
  <si>
    <t xml:space="preserve">Domain App (CRM/MarTech Core)</t>
  </si>
  <si>
    <t xml:space="preserve">CONSENT-BUNDLE (consent object model, channel prefs, lawful basis tags, audit export, privacy hooks)</t>
  </si>
  <si>
    <t xml:space="preserve">SoR: consents, preferences, consent history, consent evidence</t>
  </si>
  <si>
    <t xml:space="preserve">L1 Service Desk; L2 MarTech Ops; L3 CRM/MarTech Eng</t>
  </si>
  <si>
    <t xml:space="preserve">Campaign Management</t>
  </si>
  <si>
    <t xml:space="preserve">Consent &amp; Preference Mgmt; Metric &amp; Semantic Registry</t>
  </si>
  <si>
    <t xml:space="preserve">Campaign governance; traceable outcomes</t>
  </si>
  <si>
    <t xml:space="preserve">Campaign Monitor; KPI Linkage View; Audit Export</t>
  </si>
  <si>
    <t xml:space="preserve">Domain App (MarTech)</t>
  </si>
  <si>
    <t xml:space="preserve">CAMPAIGN-BUNDLE (campaign schema, audience references, KPI bindings, audit/export)</t>
  </si>
  <si>
    <t xml:space="preserve">SoR: campaigns, campaign versions, campaign results (if hosted)</t>
  </si>
  <si>
    <t xml:space="preserve">L1 Service Desk; L2 MarTech Ops; L3 MarTech Eng</t>
  </si>
  <si>
    <t xml:space="preserve">Journeys &amp; Automation</t>
  </si>
  <si>
    <t xml:space="preserve">Workflow Designer; Consent &amp; Preference Mgmt</t>
  </si>
  <si>
    <t xml:space="preserve">Orchestrated journeys with governance gates</t>
  </si>
  <si>
    <t xml:space="preserve">Journey Orchestration Monitor; Trigger Trace; Governance Gate</t>
  </si>
  <si>
    <t xml:space="preserve">JOURNEY-BUNDLE (journey definitions, triggers, suppression rules, audit hooks)</t>
  </si>
  <si>
    <t xml:space="preserve">SoR: journey definitions, trigger rules, journey run logs</t>
  </si>
  <si>
    <t xml:space="preserve">Segmentation / CDP</t>
  </si>
  <si>
    <t xml:space="preserve">DWH/Lakehouse; Data Product Registry; Consent &amp; Preference Mgmt</t>
  </si>
  <si>
    <t xml:space="preserve">Segment trust, lineage, and controlled use</t>
  </si>
  <si>
    <t xml:space="preserve">Segment Builder; Contract View; Evidence Pack</t>
  </si>
  <si>
    <t xml:space="preserve">Domain App (Data/MarTech)</t>
  </si>
  <si>
    <t xml:space="preserve">CDP-BUNDLE (segment schema, lineage hooks, consent filters, data product linkage)</t>
  </si>
  <si>
    <t xml:space="preserve">SoR: segments, segment versions, segment usage logs</t>
  </si>
  <si>
    <t xml:space="preserve">L1 Service Desk; L2 Data Ops/MarTech Ops; L3 Data Eng</t>
  </si>
  <si>
    <t xml:space="preserve">Order-to-Cash (Bridge)</t>
  </si>
  <si>
    <t xml:space="preserve">Ensure clean handoffs from order capture to billing with exception routing and audit-ready traceability.</t>
  </si>
  <si>
    <t xml:space="preserve">Order Capture</t>
  </si>
  <si>
    <t xml:space="preserve">Data Contract Registry; API Gateway</t>
  </si>
  <si>
    <t xml:space="preserve">Controlled order intake</t>
  </si>
  <si>
    <t xml:space="preserve">Order Intake Monitor; Order Trace Viewer; Evidence Pack</t>
  </si>
  <si>
    <t xml:space="preserve">Domain App (O2C Bridge)</t>
  </si>
  <si>
    <t xml:space="preserve">O2C-BRIDGE-BUNDLE (order schema, idempotency, canonical IDs, audit/evidence export, OTel)</t>
  </si>
  <si>
    <t xml:space="preserve">SoR: orders (if designated here), order intake logs, order validation outcomes</t>
  </si>
  <si>
    <t xml:space="preserve">L1 Service Desk; L2 O2C Ops; L3 O2C/Integration Eng</t>
  </si>
  <si>
    <t xml:space="preserve">Billing &amp; Invoicing</t>
  </si>
  <si>
    <t xml:space="preserve">Order Capture; AR; Data Contract Registry</t>
  </si>
  <si>
    <t xml:space="preserve">Revenue cycle traceability</t>
  </si>
  <si>
    <t xml:space="preserve">Billing Trace Viewer; Discrepancy Exceptions; Evidence Pack</t>
  </si>
  <si>
    <t xml:space="preserve">BILLING-BUNDLE (billing schema, AR integration contract, discrepancy exception model, audit hooks)</t>
  </si>
  <si>
    <t xml:space="preserve">SoR: billing runs (bridge), billing exceptions, bill-to-AR handoff logs</t>
  </si>
  <si>
    <t xml:space="preserve">L1 Service Desk; L2 O2C Ops; L3 O2C/ERP Eng</t>
  </si>
  <si>
    <t xml:space="preserve">Returns (RMA)</t>
  </si>
  <si>
    <t xml:space="preserve">Order Capture; Workflow Designer</t>
  </si>
  <si>
    <t xml:space="preserve">Returns governance; evidence</t>
  </si>
  <si>
    <t xml:space="preserve">Returns Monitor; RMA Trace Viewer; Evidence Pack</t>
  </si>
  <si>
    <t xml:space="preserve">RMA-BUNDLE (RMA schema, approvals, disposition rules, evidence export)</t>
  </si>
  <si>
    <t xml:space="preserve">SoR: RMAs, return dispositions, approvals, return events</t>
  </si>
  <si>
    <t xml:space="preserve">L1 Service Desk; L2 O2C Ops; L3 O2C Eng</t>
  </si>
  <si>
    <t xml:space="preserve">Disputes / Claims</t>
  </si>
  <si>
    <t xml:space="preserve">Billing &amp; Invoicing; Workflow Designer</t>
  </si>
  <si>
    <t xml:space="preserve">Dispute resolution trace</t>
  </si>
  <si>
    <t xml:space="preserve">Dispute Inbox; Resolution Trace; Evidence Pack</t>
  </si>
  <si>
    <t xml:space="preserve">DISPUTE-BUNDLE (dispute schema, SLA/escalation, resolution states, evidence export)</t>
  </si>
  <si>
    <t xml:space="preserve">SoR: disputes, claims, resolution actions, approvals</t>
  </si>
  <si>
    <t xml:space="preserve">Allocation &amp; ATP/CTP</t>
  </si>
  <si>
    <t xml:space="preserve">Demand Planning; Inventory Ledger &amp; Valuation</t>
  </si>
  <si>
    <t xml:space="preserve">Allocation optimization</t>
  </si>
  <si>
    <t xml:space="preserve">Allocation Dashboard; Exception Queue; Decision Trace</t>
  </si>
  <si>
    <t xml:space="preserve">Domain App (Supply Planning)</t>
  </si>
  <si>
    <t xml:space="preserve">ATP-BUNDLE (availability calc contracts, decision logs linkage, exception model)</t>
  </si>
  <si>
    <t xml:space="preserve">SoR: allocation decisions, ATP/CTP promises, exceptions</t>
  </si>
  <si>
    <t xml:space="preserve">L1 Service Desk; L2 Planning Ops; L3 Planning Eng</t>
  </si>
  <si>
    <t xml:space="preserve">Supply Chain Execution Suite</t>
  </si>
  <si>
    <t xml:space="preserve">Inventory &amp; Traceability</t>
  </si>
  <si>
    <t xml:space="preserve">Maintain inventory integrity and compliance traceability (lot/serial/expiry) with recall readiness.</t>
  </si>
  <si>
    <t xml:space="preserve">Inventory Ledger &amp; Valuation</t>
  </si>
  <si>
    <t xml:space="preserve">Inventory truth; valuation governance</t>
  </si>
  <si>
    <t xml:space="preserve">Inventory Cockpit; Ledger Trace; Evidence Pack</t>
  </si>
  <si>
    <t xml:space="preserve">Domain App (Supply Chain)</t>
  </si>
  <si>
    <t xml:space="preserve">INVENTORY-BUNDLE (inventory ledger schema, valuation rules, canonical IDs, audit/evidence export)</t>
  </si>
  <si>
    <t xml:space="preserve">SoR: inventory balances, movements, valuation, locations (as scoped)</t>
  </si>
  <si>
    <t xml:space="preserve">L1 Service Desk; L2 Supply Chain Ops; L3 SCM Eng</t>
  </si>
  <si>
    <t xml:space="preserve">Lot/Batch/Serial Tracking</t>
  </si>
  <si>
    <t xml:space="preserve">Canonical ID; Data Contract Registry</t>
  </si>
  <si>
    <t xml:space="preserve">Traceability baseline; compliance readiness</t>
  </si>
  <si>
    <t xml:space="preserve">Traceability Evidence Viewer; Lot/Serial Explorer; Event Trace</t>
  </si>
  <si>
    <t xml:space="preserve">TRACE-BUNDLE (lot/serial object model, event contracts, correlation IDs, evidence export)</t>
  </si>
  <si>
    <t xml:space="preserve">SoR: lots/serials, trace events, chain-of-custody links</t>
  </si>
  <si>
    <t xml:space="preserve">Quarantine / Blocked Stock</t>
  </si>
  <si>
    <t xml:space="preserve">Lot/Batch/Serial; Workflow Designer</t>
  </si>
  <si>
    <t xml:space="preserve">Controlled release; audit-ready</t>
  </si>
  <si>
    <t xml:space="preserve">Quarantine Console; Release Approval Trace; Evidence Pack</t>
  </si>
  <si>
    <t xml:space="preserve">QUARANTINE-BUNDLE (quarantine states, release approvals, audit hooks, evidence export)</t>
  </si>
  <si>
    <t xml:space="preserve">SoR: quarantine holds, release approvals, disposition outcomes</t>
  </si>
  <si>
    <t xml:space="preserve">Expiry / FEFO Management</t>
  </si>
  <si>
    <t xml:space="preserve">Lot/Batch/Serial; Demand Planning</t>
  </si>
  <si>
    <t xml:space="preserve">FEFO governance</t>
  </si>
  <si>
    <t xml:space="preserve">FEFO Compliance Dashboard; Exception Inbox; Evidence Pack</t>
  </si>
  <si>
    <t xml:space="preserve">Domain App (Supply Chain + Planning)</t>
  </si>
  <si>
    <t xml:space="preserve">FEFO-BUNDLE (expiry rules, allocation constraints binding, exception model)</t>
  </si>
  <si>
    <t xml:space="preserve">SoR: expiry policies, FEFO exceptions, constrained allocations</t>
  </si>
  <si>
    <t xml:space="preserve">L1 Service Desk; L2 Supply Chain Ops; L3 SCM/Planning Eng</t>
  </si>
  <si>
    <t xml:space="preserve">Recall Readiness</t>
  </si>
  <si>
    <t xml:space="preserve">Lot/Batch/Serial; Evidence Linking</t>
  </si>
  <si>
    <t xml:space="preserve">Recall posture</t>
  </si>
  <si>
    <t xml:space="preserve">Recall Readiness Dashboard; Evidence Pack Generator; Drill Planner</t>
  </si>
  <si>
    <t xml:space="preserve">Domain App (Supply Chain + Assurance)</t>
  </si>
  <si>
    <t xml:space="preserve">RECALL-BUNDLE (recall drill plans, trace queries, evidence pack export, audit hooks)</t>
  </si>
  <si>
    <t xml:space="preserve">SoR: recall cases (if hosted), drill results, recall evidence packs</t>
  </si>
  <si>
    <t xml:space="preserve">L1 Service Desk; L2 Quality/Supply Ops; L3 SCM/Quality Eng</t>
  </si>
  <si>
    <t xml:space="preserve">Warehouse (WMS)</t>
  </si>
  <si>
    <t xml:space="preserve">Optimize warehouse operations via standardized events/contracts and exception-centric execution.</t>
  </si>
  <si>
    <t xml:space="preserve">Putaway / Picking / Packing</t>
  </si>
  <si>
    <t xml:space="preserve">Inventory Ledger &amp; Valuation; Data Contract Registry</t>
  </si>
  <si>
    <t xml:space="preserve">Warehouse execution visibility</t>
  </si>
  <si>
    <t xml:space="preserve">WMS Integration Monitor; Activity Trace; Exception Inbox</t>
  </si>
  <si>
    <t xml:space="preserve">Domain App (WMS)</t>
  </si>
  <si>
    <t xml:space="preserve">WMS-BUNDLE (warehouse task schema, scan events, exception model, OTel)</t>
  </si>
  <si>
    <t xml:space="preserve">SoR: warehouse tasks, execution events, pick/pack confirmations</t>
  </si>
  <si>
    <t xml:space="preserve">L1 Service Desk; L2 Warehouse Ops; L3 WMS Eng</t>
  </si>
  <si>
    <t xml:space="preserve">3PL Integration</t>
  </si>
  <si>
    <t xml:space="preserve">API Gateway; Integration Monitoring &amp; Reconciliation</t>
  </si>
  <si>
    <t xml:space="preserve">External warehouse alignment</t>
  </si>
  <si>
    <t xml:space="preserve">3PL Integration Health; Reconciliation Workbench; Exception Inbox</t>
  </si>
  <si>
    <t xml:space="preserve">Integration Bridge (WMS)</t>
  </si>
  <si>
    <t xml:space="preserve">3PL-BUNDLE (partner contracts, event mapping, reconciliation exceptions, audit hooks)</t>
  </si>
  <si>
    <t xml:space="preserve">Not SoR: integration bridge; References SoR: WMS/Inventory</t>
  </si>
  <si>
    <t xml:space="preserve">Wave Planning</t>
  </si>
  <si>
    <t xml:space="preserve">Ops optimization</t>
  </si>
  <si>
    <t xml:space="preserve">Wave Planner View; Performance KPIs; Exception Queue</t>
  </si>
  <si>
    <t xml:space="preserve">WMS-WAVE-BUNDLE (wave objects, optimization params, KPI bindings)</t>
  </si>
  <si>
    <t xml:space="preserve">SoR: waves, wave assignments, wave outcomes</t>
  </si>
  <si>
    <t xml:space="preserve">Cycle Counting</t>
  </si>
  <si>
    <t xml:space="preserve">Accuracy uplift</t>
  </si>
  <si>
    <t xml:space="preserve">Cycle Count Dashboard; Variance Trace; Evidence Pack</t>
  </si>
  <si>
    <t xml:space="preserve">WMS-COUNT-BUNDLE (count tasks, variance schema, approvals optional, evidence export)</t>
  </si>
  <si>
    <t xml:space="preserve">SoR: count events, variances, adjustments proposals</t>
  </si>
  <si>
    <t xml:space="preserve">Barcode/RFID</t>
  </si>
  <si>
    <t xml:space="preserve">Putaway / Picking / Packing; Device integration</t>
  </si>
  <si>
    <t xml:space="preserve">Scan-driven traceability</t>
  </si>
  <si>
    <t xml:space="preserve">Scan Event Monitor; Compliance Trace; Device Health</t>
  </si>
  <si>
    <t xml:space="preserve">Edge + Domain App (WMS)</t>
  </si>
  <si>
    <t xml:space="preserve">SCAN-BUNDLE (scan event schema, device identity, offline buffer/replay contract)</t>
  </si>
  <si>
    <t xml:space="preserve">SoR: scan events (if stored), device registrations (if included)</t>
  </si>
  <si>
    <t xml:space="preserve">L1 Service Desk; L2 Warehouse Ops; L3 WMS/Edge Eng</t>
  </si>
  <si>
    <t xml:space="preserve">Transport (TMS)</t>
  </si>
  <si>
    <t xml:space="preserve">Drive logistics execution with shipment visibility, claims governance, and evidence-grade POD traceability.</t>
  </si>
  <si>
    <t xml:space="preserve">Shipment Tracking &amp; POD</t>
  </si>
  <si>
    <t xml:space="preserve">Event Bus; Integration Monitoring &amp; Reconciliation</t>
  </si>
  <si>
    <t xml:space="preserve">Shipment visibility; POD evidence</t>
  </si>
  <si>
    <t xml:space="preserve">Shipment Tracker; POD Evidence Pack; Exception Inbox</t>
  </si>
  <si>
    <t xml:space="preserve">Domain App (TMS)</t>
  </si>
  <si>
    <t xml:space="preserve">TMS-BUNDLE (shipment schema, status events, POD artifact model, evidence export, OTel)</t>
  </si>
  <si>
    <t xml:space="preserve">SoR: shipments, tracking events, POD artifacts</t>
  </si>
  <si>
    <t xml:space="preserve">L1 Service Desk; L2 Logistics Ops; L3 TMS Eng</t>
  </si>
  <si>
    <t xml:space="preserve">Carrier Management</t>
  </si>
  <si>
    <t xml:space="preserve">Logistics foundation</t>
  </si>
  <si>
    <t xml:space="preserve">Carrier Console; Contract/Rate Trace; Evidence Pack</t>
  </si>
  <si>
    <t xml:space="preserve">CARRIER-BUNDLE (carrier schema, rate cards, contract refs, evidence export)</t>
  </si>
  <si>
    <t xml:space="preserve">SoR: carriers, carrier contracts (refs), rates</t>
  </si>
  <si>
    <t xml:space="preserve">Routing &amp; Load Planning</t>
  </si>
  <si>
    <t xml:space="preserve">Optimization</t>
  </si>
  <si>
    <t xml:space="preserve">Routing Workspace; Plan vs Actual View; Constraint Editor</t>
  </si>
  <si>
    <t xml:space="preserve">ROUTE-BUNDLE (route plans, constraints schema, plan vs actual events, evidence export)</t>
  </si>
  <si>
    <t xml:space="preserve">SoR: route plans, load plans, constraint sets</t>
  </si>
  <si>
    <t xml:space="preserve">Reverse Logistics</t>
  </si>
  <si>
    <t xml:space="preserve">Returns (RMA); Shipment Tracking &amp; POD</t>
  </si>
  <si>
    <t xml:space="preserve">Reverse flow controls</t>
  </si>
  <si>
    <t xml:space="preserve">Reverse Logistics Monitor; RMA Linkage; Evidence Pack</t>
  </si>
  <si>
    <t xml:space="preserve">Domain App (TMS + O2C)</t>
  </si>
  <si>
    <t xml:space="preserve">REVERSE-BUNDLE (reverse shipment schema, RMA linkage contract, evidence export)</t>
  </si>
  <si>
    <t xml:space="preserve">SoR: reverse shipments, RMA-to-shipment links</t>
  </si>
  <si>
    <t xml:space="preserve">L1 Service Desk; L2 Logistics Ops; L3 TMS/O2C Eng</t>
  </si>
  <si>
    <t xml:space="preserve">Claims Management</t>
  </si>
  <si>
    <t xml:space="preserve">Claims governance</t>
  </si>
  <si>
    <t xml:space="preserve">Claims Inbox; Resolution Trace; Evidence Pack</t>
  </si>
  <si>
    <t xml:space="preserve">CLAIMS-BUNDLE (claim schema, evidence attachments, workflow handoff optional, audit export)</t>
  </si>
  <si>
    <t xml:space="preserve">SoR: logistics claims, claim resolutions, evidence sets</t>
  </si>
  <si>
    <t xml:space="preserve">Planning (APS/MRP/S&amp;OP/IBP)</t>
  </si>
  <si>
    <t xml:space="preserve">Planning Execution</t>
  </si>
  <si>
    <t xml:space="preserve">Run demand/supply planning with controlled sign-offs and scenario governance.</t>
  </si>
  <si>
    <t xml:space="preserve">Demand Planning</t>
  </si>
  <si>
    <t xml:space="preserve">DWH/Lakehouse; Metric &amp; Semantic Registry</t>
  </si>
  <si>
    <t xml:space="preserve">Planning analytics</t>
  </si>
  <si>
    <t xml:space="preserve">Demand Workspace; Forecast Accuracy KPIs; Evidence Pack</t>
  </si>
  <si>
    <t xml:space="preserve">Domain App (Planning)</t>
  </si>
  <si>
    <t xml:space="preserve">PLAN-DEMAND-BUNDLE (forecast objects, KPI bindings, approvals, evidence export)</t>
  </si>
  <si>
    <t xml:space="preserve">SoR: demand plans, forecast versions, accuracy KPIs (calcs reference)</t>
  </si>
  <si>
    <t xml:space="preserve">L1 Service Desk; L2 Planning Ops; L3 Planning/Data Eng</t>
  </si>
  <si>
    <t xml:space="preserve">MRP &amp; Replenishment</t>
  </si>
  <si>
    <t xml:space="preserve">Supply planning</t>
  </si>
  <si>
    <t xml:space="preserve">MRP Monitor; Exception Queue; Evidence Pack</t>
  </si>
  <si>
    <t xml:space="preserve">PLAN-MRP-BUNDLE (MRP runs, exception model, replenishment proposals, evidence export)</t>
  </si>
  <si>
    <t xml:space="preserve">SoR: MRP runs, replenishment proposals, exceptions</t>
  </si>
  <si>
    <t xml:space="preserve">S&amp;OP Workflow &amp; Sign-offs</t>
  </si>
  <si>
    <t xml:space="preserve">Workflow Designer; Demand Planning</t>
  </si>
  <si>
    <t xml:space="preserve">Governance sign-offs</t>
  </si>
  <si>
    <t xml:space="preserve">S&amp;OP Board; Sign-off Trace; Evidence Pack</t>
  </si>
  <si>
    <t xml:space="preserve">Governance + Domain App (Planning)</t>
  </si>
  <si>
    <t xml:space="preserve">PLAN-SOP-BUNDLE (meeting cycles, sign-off objects, workflow binding, evidence export)</t>
  </si>
  <si>
    <t xml:space="preserve">SoR: S&amp;OP cycles, sign-offs, decision records linkage</t>
  </si>
  <si>
    <t xml:space="preserve">Safety Stock Optimization</t>
  </si>
  <si>
    <t xml:space="preserve">MRP &amp; Replenishment; Scenario Modeling</t>
  </si>
  <si>
    <t xml:space="preserve">Inventory optimization</t>
  </si>
  <si>
    <t xml:space="preserve">Safety Stock Lab; Scenario Comparator; Decision Trace</t>
  </si>
  <si>
    <t xml:space="preserve">PLAN-SSO-BUNDLE (optimization runs, constraints schema, scenario outputs, evidence export)</t>
  </si>
  <si>
    <t xml:space="preserve">SoR: safety stock policies, optimization results, decisions linkage</t>
  </si>
  <si>
    <t xml:space="preserve">Capacity Planning</t>
  </si>
  <si>
    <t xml:space="preserve">Demand Planning; supply constraints data</t>
  </si>
  <si>
    <t xml:space="preserve">Constraint management</t>
  </si>
  <si>
    <t xml:space="preserve">Capacity Dashboard; Constraint Trace; Evidence Pack</t>
  </si>
  <si>
    <t xml:space="preserve">PLAN-CAP-BUNDLE (capacity models, constraints, scenario outputs, evidence export)</t>
  </si>
  <si>
    <t xml:space="preserve">SoR: capacity models, capacity plans, constraints</t>
  </si>
  <si>
    <t xml:space="preserve">Manufacturing Suite (if applicable)</t>
  </si>
  <si>
    <t xml:space="preserve">Manufacturing Execution</t>
  </si>
  <si>
    <t xml:space="preserve">Execute production with compliant electronic records and operational performance telemetry.</t>
  </si>
  <si>
    <t xml:space="preserve">BOM &amp; Routings</t>
  </si>
  <si>
    <t xml:space="preserve">Data Contract Registry; Change Control</t>
  </si>
  <si>
    <t xml:space="preserve">Manufacturing structure</t>
  </si>
  <si>
    <t xml:space="preserve">BOM/Routing Viewer; Change Trace; Evidence Pack</t>
  </si>
  <si>
    <t xml:space="preserve">Domain App (MES/ERP Mfg)</t>
  </si>
  <si>
    <t xml:space="preserve">MFG-STRUCT-BUNDLE (BOM schema, routing schema, change approvals, evidence export)</t>
  </si>
  <si>
    <t xml:space="preserve">SoR: BOMs, routings, manufacturing masters</t>
  </si>
  <si>
    <t xml:space="preserve">L1 Service Desk; L2 Manufacturing Ops; L3 MES/ERP Eng</t>
  </si>
  <si>
    <t xml:space="preserve">Work Orders</t>
  </si>
  <si>
    <t xml:space="preserve">Execution control</t>
  </si>
  <si>
    <t xml:space="preserve">Work Order Monitor; Execution Trace; Evidence Pack</t>
  </si>
  <si>
    <t xml:space="preserve">Domain App (MES)</t>
  </si>
  <si>
    <t xml:space="preserve">MES-WO-BUNDLE (work order schema, execution events, traceability hooks, audit export)</t>
  </si>
  <si>
    <t xml:space="preserve">SoR: work orders, execution logs, consumption/production confirmations</t>
  </si>
  <si>
    <t xml:space="preserve">L1 Service Desk; L2 Manufacturing Ops; L3 MES Eng</t>
  </si>
  <si>
    <t xml:space="preserve">Batch Execution / eBR</t>
  </si>
  <si>
    <t xml:space="preserve">Work Orders; e-Signature Service</t>
  </si>
  <si>
    <t xml:space="preserve">Regulated manufacturing evidence</t>
  </si>
  <si>
    <t xml:space="preserve">Batch Console; eBR Evidence Pack; Signature Trace</t>
  </si>
  <si>
    <t xml:space="preserve">Domain App (MES + GxP overlay)</t>
  </si>
  <si>
    <t xml:space="preserve">EBR-BUNDLE (batch record schema, signature binding, audit/evidence export, retention hooks)</t>
  </si>
  <si>
    <t xml:space="preserve">SoR: electronic batch records, batch approvals/signatures, deviations (refs)</t>
  </si>
  <si>
    <t xml:space="preserve">L1 Service Desk; L2 Manufacturing Ops; L3 MES/Quality Eng</t>
  </si>
  <si>
    <t xml:space="preserve">OEE &amp; Downtime Tracking</t>
  </si>
  <si>
    <t xml:space="preserve">Logging &amp; Monitoring; manufacturing telemetry</t>
  </si>
  <si>
    <t xml:space="preserve">Performance visibility</t>
  </si>
  <si>
    <t xml:space="preserve">OEE Dashboard; Downtime Root Cause Viewer; Action Handoff</t>
  </si>
  <si>
    <t xml:space="preserve">Domain App (Manufacturing Analytics)</t>
  </si>
  <si>
    <t xml:space="preserve">OEE-BUNDLE (telemetry contract, downtime codes taxonomy, KPI bindings, workflow handoff)</t>
  </si>
  <si>
    <t xml:space="preserve">SoR: downtime events (if hosted), OEE calculations (derived), action items refs</t>
  </si>
  <si>
    <t xml:space="preserve">L1 Service Desk; L2 Manufacturing Ops; L3 Data/MES Eng</t>
  </si>
  <si>
    <t xml:space="preserve">Co-Manufacturer Management</t>
  </si>
  <si>
    <t xml:space="preserve">Supplier Quality; Supplier Onboarding</t>
  </si>
  <si>
    <t xml:space="preserve">External manufacturing governance</t>
  </si>
  <si>
    <t xml:space="preserve">Co-Mfg Integration View; Quality/Evidence View; Exception Inbox</t>
  </si>
  <si>
    <t xml:space="preserve">Domain App (Manufacturing + Procurement)</t>
  </si>
  <si>
    <t xml:space="preserve">COMFG-BUNDLE (co-mfg partner schema, quality evidence links, exception model, audit export)</t>
  </si>
  <si>
    <t xml:space="preserve">SoR: co-mfg partner records (mfg view), co-mfg batches refs, quality evidence links</t>
  </si>
  <si>
    <t xml:space="preserve">L1 Service Desk; L2 Manufacturing Ops; L3 MES/Procurement Eng</t>
  </si>
  <si>
    <t xml:space="preserve">Asset &amp; Maintenance (EAM)</t>
  </si>
  <si>
    <t xml:space="preserve">Asset Reliability</t>
  </si>
  <si>
    <t xml:space="preserve">Sustain asset reliability with controlled maintenance evidence and calibration discipline.</t>
  </si>
  <si>
    <t xml:space="preserve">Preventive Maintenance</t>
  </si>
  <si>
    <t xml:space="preserve">CMDB/Asset Mgmt</t>
  </si>
  <si>
    <t xml:space="preserve">Reliability posture</t>
  </si>
  <si>
    <t xml:space="preserve">PM Scheduler View; Compliance KPIs; Evidence Pack</t>
  </si>
  <si>
    <t xml:space="preserve">Domain App (EAM)</t>
  </si>
  <si>
    <t xml:space="preserve">EAM-BUNDLE (PM plans, schedules, compliance KPIs, evidence export)</t>
  </si>
  <si>
    <t xml:space="preserve">SoR: PM plans, schedules, completion logs</t>
  </si>
  <si>
    <t xml:space="preserve">L1 Service Desk; L2 Maintenance Ops; L3 EAM Eng</t>
  </si>
  <si>
    <t xml:space="preserve">Maintenance execution control</t>
  </si>
  <si>
    <t xml:space="preserve">Maintenance Workbench; Work Order Trace; Evidence Pack</t>
  </si>
  <si>
    <t xml:space="preserve">EAM-WO-BUNDLE (WO schema, parts/labor postings, evidence export, audit hooks)</t>
  </si>
  <si>
    <t xml:space="preserve">SoR: maintenance work orders, execution logs, approvals (if used)</t>
  </si>
  <si>
    <t xml:space="preserve">Calibration Management</t>
  </si>
  <si>
    <t xml:space="preserve">CMDB/Asset Mgmt; Evidence Linking</t>
  </si>
  <si>
    <t xml:space="preserve">Compliance calibration</t>
  </si>
  <si>
    <t xml:space="preserve">Calibration Console; Calibration Evidence Pack; Schedule View</t>
  </si>
  <si>
    <t xml:space="preserve">Domain App (EAM + Quality overlay)</t>
  </si>
  <si>
    <t xml:space="preserve">CAL-BUNDLE (calibration schedules, cert artifacts, evidence link/export)</t>
  </si>
  <si>
    <t xml:space="preserve">SoR: calibration schedules, calibration results, certificates</t>
  </si>
  <si>
    <t xml:space="preserve">L1 Service Desk; L2 Maintenance Ops; L3 EAM/Quality Eng</t>
  </si>
  <si>
    <t xml:space="preserve">Spare Parts Management</t>
  </si>
  <si>
    <t xml:space="preserve">Maintenance enablement</t>
  </si>
  <si>
    <t xml:space="preserve">Spares Dashboard; Inventory Trace; Reorder Alerts</t>
  </si>
  <si>
    <t xml:space="preserve">Domain App (EAM + SCM bridge)</t>
  </si>
  <si>
    <t xml:space="preserve">SPARES-BUNDLE (spares catalog schema, reorder rules, inventory linkage contract)</t>
  </si>
  <si>
    <t xml:space="preserve">SoR: spares catalog (maintenance view), reorder policies, reservations</t>
  </si>
  <si>
    <t xml:space="preserve">L1 Service Desk; L2 Maintenance Ops; L3 EAM/SCM Eng</t>
  </si>
  <si>
    <t xml:space="preserve">Laboratory (LIMS)</t>
  </si>
  <si>
    <t xml:space="preserve">Laboratory Operations</t>
  </si>
  <si>
    <t xml:space="preserve">Run sample-to-result lifecycle with CoA outputs and trend insight wired into quality evidence.</t>
  </si>
  <si>
    <t xml:space="preserve">Sample Management</t>
  </si>
  <si>
    <t xml:space="preserve">Document Control; Data Contract Registry</t>
  </si>
  <si>
    <t xml:space="preserve">Chain-of-custody baseline</t>
  </si>
  <si>
    <t xml:space="preserve">Sample Intake Monitor; Chain-of-Custody Trace; Evidence Pack</t>
  </si>
  <si>
    <t xml:space="preserve">Domain App (LIMS)</t>
  </si>
  <si>
    <t xml:space="preserve">LIMS-BUNDLE (sample schema, custody events, audit/evidence export, retention hooks)</t>
  </si>
  <si>
    <t xml:space="preserve">SoR: samples, chain-of-custody, test requests</t>
  </si>
  <si>
    <t xml:space="preserve">L1 Service Desk; L2 Lab Ops; L3 LIMS Eng</t>
  </si>
  <si>
    <t xml:space="preserve">Test Results &amp; CoA</t>
  </si>
  <si>
    <t xml:space="preserve">Sample Management; Evidence Linking</t>
  </si>
  <si>
    <t xml:space="preserve">Quality outputs</t>
  </si>
  <si>
    <t xml:space="preserve">Results Console; CoA Evidence Pack; Signature Trace (optional)</t>
  </si>
  <si>
    <t xml:space="preserve">Domain App (LIMS + Quality overlay)</t>
  </si>
  <si>
    <t xml:space="preserve">COA-BUNDLE (results schema, CoA artifact model, evidence links, signature binding optional)</t>
  </si>
  <si>
    <t xml:space="preserve">SoR: test results, CoA artifacts, approvals/signatures (if used)</t>
  </si>
  <si>
    <t xml:space="preserve">L1 Service Desk; L2 Lab Ops; L3 LIMS/Quality Eng</t>
  </si>
  <si>
    <t xml:space="preserve">Stability Studies</t>
  </si>
  <si>
    <t xml:space="preserve">Sample Management; DWH/Lakehouse</t>
  </si>
  <si>
    <t xml:space="preserve">Stability governance</t>
  </si>
  <si>
    <t xml:space="preserve">Stability Workspace; Study Trace; Evidence Pack</t>
  </si>
  <si>
    <t xml:space="preserve">Domain App (LIMS + Data)</t>
  </si>
  <si>
    <t xml:space="preserve">STABILITY-BUNDLE (study schema, timepoint plans, results linkage, evidence export)</t>
  </si>
  <si>
    <t xml:space="preserve">SoR: stability studies, schedules, study outcomes</t>
  </si>
  <si>
    <t xml:space="preserve">L1 Service Desk; L2 Lab Ops; L3 LIMS/Data Eng</t>
  </si>
  <si>
    <t xml:space="preserve">Trend Analysis</t>
  </si>
  <si>
    <t xml:space="preserve">DWH/Lakehouse</t>
  </si>
  <si>
    <t xml:space="preserve">Quality trends</t>
  </si>
  <si>
    <t xml:space="preserve">Trend Dashboard; Outlier/Alert Inbox; CAPA Linkage</t>
  </si>
  <si>
    <t xml:space="preserve">Domain App (Quality Analytics)</t>
  </si>
  <si>
    <t xml:space="preserve">QUALITY-TREND-BUNDLE (trend KPIs, outlier model, CAPA linkage contract, certified metrics binding)</t>
  </si>
  <si>
    <t xml:space="preserve">SoR: trend analyses (if hosted), alerts/outliers, CAPA links</t>
  </si>
  <si>
    <t xml:space="preserve">L1 Service Desk; L2 Quality Ops; L3 Data/Quality Eng</t>
  </si>
  <si>
    <t xml:space="preserve">5) Assurance, Risk, and Controls</t>
  </si>
  <si>
    <t xml:space="preserve">Quality (QMS)</t>
  </si>
  <si>
    <t xml:space="preserve">Quality Operations</t>
  </si>
  <si>
    <t xml:space="preserve">Deliver regulated quality workflows while consuming shared content/evidence runtimes and ensuring audit-ready traceability.</t>
  </si>
  <si>
    <t xml:space="preserve">Document Control</t>
  </si>
  <si>
    <t xml:space="preserve">Document Management; Workflow Designer; Audit Trail Service</t>
  </si>
  <si>
    <t xml:space="preserve">Controlled doc semantics; compliance posture starts early</t>
  </si>
  <si>
    <t xml:space="preserve">Controlled Doc Approval View; Training Linkage View; Evidence Pack</t>
  </si>
  <si>
    <t xml:space="preserve">Domain App (Assurance Suite)</t>
  </si>
  <si>
    <t xml:space="preserve">ASSURANCE-APP-BUNDLE (SSO/RBAC, Workflow v1, AuditEvent v1, Evidence-Link, Controlled Doc refs, Export Pack, OTel, Correlation-ID, Error Model)</t>
  </si>
  <si>
    <t xml:space="preserve">SoR: controlled quality documents (GxP/QMS docs), training linkage state (if owned here)</t>
  </si>
  <si>
    <t xml:space="preserve">L1 Service Desk; L2 Quality Ops; L3 QMS Product Eng</t>
  </si>
  <si>
    <t xml:space="preserve">Deviations / Nonconformances</t>
  </si>
  <si>
    <t xml:space="preserve">Deviation handling; investigation traceability</t>
  </si>
  <si>
    <t xml:space="preserve">Deviation Intake; Investigation Workspace; Evidence Pack</t>
  </si>
  <si>
    <t xml:space="preserve">ASSURANCE-APP-BUNDLE + CASE-BUNDLE (case lifecycle, investigation object model, attachments/evidence refs)</t>
  </si>
  <si>
    <t xml:space="preserve">SoR: deviations, nonconformance cases, investigation records</t>
  </si>
  <si>
    <t xml:space="preserve">CAPA</t>
  </si>
  <si>
    <t xml:space="preserve">Deviations / Nonconformances; Workflow Designer</t>
  </si>
  <si>
    <t xml:space="preserve">Corrective actions governance; effectiveness tracking</t>
  </si>
  <si>
    <t xml:space="preserve">CAPA Workbench; Effectiveness Check Tracker; Evidence Pack</t>
  </si>
  <si>
    <t xml:space="preserve">ASSURANCE-APP-BUNDLE + ACTION-BUNDLE (CAPA plan/actions, effectiveness checks, due dates, escalations)</t>
  </si>
  <si>
    <t xml:space="preserve">SoR: CAPA records, actions, effectiveness checks</t>
  </si>
  <si>
    <t xml:space="preserve">Change Control</t>
  </si>
  <si>
    <t xml:space="preserve">Workflow Designer; Policy &amp; Control Library; Audit Trail Service</t>
  </si>
  <si>
    <t xml:space="preserve">Controlled change approvals; governance gate</t>
  </si>
  <si>
    <t xml:space="preserve">Regulated Change Control Board; Approval Trace; Evidence Pack</t>
  </si>
  <si>
    <t xml:space="preserve">ASSURANCE-APP-BUNDLE + CHANGE-BUNDLE (change object model, impact links, approvals, evidence pack export)</t>
  </si>
  <si>
    <t xml:space="preserve">SoR: regulated change requests, approvals, implementation evidence links</t>
  </si>
  <si>
    <t xml:space="preserve">Supplier Quality</t>
  </si>
  <si>
    <t xml:space="preserve">Supplier Onboarding; CAPA</t>
  </si>
  <si>
    <t xml:space="preserve">Supplier quality posture; SCAR and oversight</t>
  </si>
  <si>
    <t xml:space="preserve">Supplier Quality Console; SCAR Tracker; Evidence Pack</t>
  </si>
  <si>
    <t xml:space="preserve">ASSURANCE-APP-BUNDLE + SUPPLIER-QUALITY-BUNDLE (SCAR model, supplier linkage, scorecards refs)</t>
  </si>
  <si>
    <t xml:space="preserve">SoR: SCARs, supplier quality events, supplier quality assessments (within QMS scope)</t>
  </si>
  <si>
    <t xml:space="preserve">Complaints &amp; Investigations</t>
  </si>
  <si>
    <t xml:space="preserve">Complaint governance; investigation evidence</t>
  </si>
  <si>
    <t xml:space="preserve">Complaint Triage; Investigation Timeline; Evidence Pack</t>
  </si>
  <si>
    <t xml:space="preserve">ASSURANCE-APP-BUNDLE + COMPLAINT-BUNDLE (complaint intake, triage, investigation timeline, evidence refs)</t>
  </si>
  <si>
    <t xml:space="preserve">SoR: complaints, complaint investigations, outcomes</t>
  </si>
  <si>
    <t xml:space="preserve">GRC</t>
  </si>
  <si>
    <t xml:space="preserve">Governance, Risk &amp; Compliance</t>
  </si>
  <si>
    <t xml:space="preserve">Centralize policy, risk, audit, and remediation to provide continuous assurance and executive visibility.</t>
  </si>
  <si>
    <t xml:space="preserve">Policy Management &amp; Attestations</t>
  </si>
  <si>
    <t xml:space="preserve">Policy lifecycle; attestations; audit readiness</t>
  </si>
  <si>
    <t xml:space="preserve">Policy Library; Attestation Campaigns; Attestation Audit View</t>
  </si>
  <si>
    <t xml:space="preserve">Domain App (GRC Suite)</t>
  </si>
  <si>
    <t xml:space="preserve">GRC-BUNDLE (SSO/RBAC, Workflow v1, AuditEvent v1, Policy refs, Attestation envelope, Evidence-Link, Export Pack, OTel)</t>
  </si>
  <si>
    <t xml:space="preserve">SoR: policy lifecycle states (draft/active/retired), attestations, campaign results</t>
  </si>
  <si>
    <t xml:space="preserve">L1 Service Desk; L2 GRC Ops; L3 GRC Product Eng</t>
  </si>
  <si>
    <t xml:space="preserve">Risk Register &amp; Controls Library</t>
  </si>
  <si>
    <t xml:space="preserve">Policy Management &amp; Attestations; Policy &amp; Control Library</t>
  </si>
  <si>
    <t xml:space="preserve">Enterprise risk posture; control definitions</t>
  </si>
  <si>
    <t xml:space="preserve">Risk Register; Controls Library; Control-to-Evidence Map</t>
  </si>
  <si>
    <t xml:space="preserve">GRC-BUNDLE + RISK-BUNDLE (risk taxonomy, control mapping model, KRIs refs)</t>
  </si>
  <si>
    <t xml:space="preserve">SoR: risks, controls (enterprise control library if owned here), risk assessments</t>
  </si>
  <si>
    <t xml:space="preserve">Audit Management</t>
  </si>
  <si>
    <t xml:space="preserve">Risk Register &amp; Controls Library; Evidence Linking Service</t>
  </si>
  <si>
    <t xml:space="preserve">Audit planning/execution; evidence packs</t>
  </si>
  <si>
    <t xml:space="preserve">Audit Planner; Audit Calendar; Audit Evidence Pack</t>
  </si>
  <si>
    <t xml:space="preserve">GRC-BUNDLE + AUDIT-MGMT-BUNDLE (audit plan model, workpapers refs, evidence pack assembly contract)</t>
  </si>
  <si>
    <t xml:space="preserve">SoR: audits, audit plans, audit work items, audit evidence packs</t>
  </si>
  <si>
    <t xml:space="preserve">Findings &amp; Remediation Tracking</t>
  </si>
  <si>
    <t xml:space="preserve">Audit Management; Workflow Designer</t>
  </si>
  <si>
    <t xml:space="preserve">Closure governance; remediation accountability</t>
  </si>
  <si>
    <t xml:space="preserve">Findings Inbox; Remediation Tracker; KPI Dashboard</t>
  </si>
  <si>
    <t xml:space="preserve">GRC-BUNDLE + REMEDIATION-BUNDLE (finding model, remediation plan/actions, SLA/escalation)</t>
  </si>
  <si>
    <t xml:space="preserve">SoR: findings, remediation actions, closure evidence</t>
  </si>
  <si>
    <t xml:space="preserve">Third-Party Risk Management (TPRM)</t>
  </si>
  <si>
    <t xml:space="preserve">Risk Register &amp; Controls Library; Supplier Onboarding; Policy Mgmt &amp; Attestations</t>
  </si>
  <si>
    <t xml:space="preserve">Standard 3rd-party assessments; monitoring; reduces vendor exposure</t>
  </si>
  <si>
    <t xml:space="preserve">TPRM Register; Assessment Builder; Risk Acceptance Workflow; Monitoring Dashboard</t>
  </si>
  <si>
    <t xml:space="preserve">GRC-BUNDLE + TPRM-BUNDLE (vendor assessment model, acceptance workflow, monitoring events, evidence refs)</t>
  </si>
  <si>
    <t xml:space="preserve">SoR: third-party assessments, risk acceptances, monitoring posture (TPRM scope)</t>
  </si>
  <si>
    <t xml:space="preserve">L1 Service Desk; L2 GRC Ops/TPRM Ops; L3 GRC Product Eng</t>
  </si>
  <si>
    <t xml:space="preserve">Legal &amp; Contracts</t>
  </si>
  <si>
    <t xml:space="preserve">Legal Governance</t>
  </si>
  <si>
    <t xml:space="preserve">Govern contract lifecycle and obligations to reduce legal exposure and improve commercial discipline.</t>
  </si>
  <si>
    <t xml:space="preserve">Contract Lifecycle Management (CLM)</t>
  </si>
  <si>
    <t xml:space="preserve">Contract governance; approval trace</t>
  </si>
  <si>
    <t xml:space="preserve">Contract Workspace; Approval Trace; Evidence Pack</t>
  </si>
  <si>
    <t xml:space="preserve">Domain App (Legal Suite / CLM)</t>
  </si>
  <si>
    <t xml:space="preserve">LEGAL-BUNDLE (SSO/RBAC, Workflow v1, AuditEvent v1, Document refs, Clause refs, Evidence-Link, Export Pack, OTel)</t>
  </si>
  <si>
    <t xml:space="preserve">SoR: contracts, contract versions, approvals/sign-offs, contract metadata</t>
  </si>
  <si>
    <t xml:space="preserve">L1 Service Desk; L2 Legal Ops; L3 Legal Product Eng</t>
  </si>
  <si>
    <t xml:space="preserve">Clause Library</t>
  </si>
  <si>
    <t xml:space="preserve">CLM</t>
  </si>
  <si>
    <t xml:space="preserve">Standard clauses; reduced legal variance</t>
  </si>
  <si>
    <t xml:space="preserve">Clause Library; Standard vs Exception Diff; Clause Approval Flow</t>
  </si>
  <si>
    <t xml:space="preserve">Domain App (Legal Suite)</t>
  </si>
  <si>
    <t xml:space="preserve">LEGAL-BUNDLE + CLAUSE-BUNDLE (clause objects, approval workflow, exception diff contract)</t>
  </si>
  <si>
    <t xml:space="preserve">SoR: clauses, clause versions, approved templates</t>
  </si>
  <si>
    <t xml:space="preserve">Obligations &amp; Renewal Tracking</t>
  </si>
  <si>
    <t xml:space="preserve">CLM; Notification Service</t>
  </si>
  <si>
    <t xml:space="preserve">Renewal discipline; obligation risk reduction</t>
  </si>
  <si>
    <t xml:space="preserve">Obligations Calendar; Renewal Alerts; Evidence Pack</t>
  </si>
  <si>
    <t xml:space="preserve">LEGAL-BUNDLE + OBLIGATION-BUNDLE (obligation model, calendar feeds, notification triggers)</t>
  </si>
  <si>
    <t xml:space="preserve">SoR: obligations, renewal dates, obligation status, reminder audit trail</t>
  </si>
  <si>
    <t xml:space="preserve">Corporate Secretarial / Entity Management</t>
  </si>
  <si>
    <t xml:space="preserve">Records Management</t>
  </si>
  <si>
    <t xml:space="preserve">Entity compliance tracking</t>
  </si>
  <si>
    <t xml:space="preserve">Entity Register; Filing Tracker; Evidence Pack</t>
  </si>
  <si>
    <t xml:space="preserve">LEGAL-BUNDLE + ENTITY-BUNDLE (entity register model, filings, evidence pack export)</t>
  </si>
  <si>
    <t xml:space="preserve">SoR: legal entities, filings, corporate actions, statutory evidence packs</t>
  </si>
  <si>
    <t xml:space="preserve">IT Service Management (ITSM)</t>
  </si>
  <si>
    <t xml:space="preserve">Service Operations</t>
  </si>
  <si>
    <t xml:space="preserve">Standardize service operations and change control to stabilize delivery and reliability.</t>
  </si>
  <si>
    <t xml:space="preserve">Incident Management</t>
  </si>
  <si>
    <t xml:space="preserve">Logging &amp; Monitoring; Workflow Designer; Audit Trail Service</t>
  </si>
  <si>
    <t xml:space="preserve">Incident control; reliable triage &amp; trace</t>
  </si>
  <si>
    <t xml:space="preserve">Incident Console; Timeline View; Postmortem Pack</t>
  </si>
  <si>
    <t xml:space="preserve">Domain App (ITSM Suite)</t>
  </si>
  <si>
    <t xml:space="preserve">ITSM-BUNDLE (SSO/RBAC, Workflow v1, AuditEvent v1, OTel, Incident schema, Runbook refs, Evidence-Link optional)</t>
  </si>
  <si>
    <t xml:space="preserve">SoR: incidents, timelines, postmortems (if owned here), incident actions</t>
  </si>
  <si>
    <t xml:space="preserve">L1 Service Desk/NOC; L2 IT Ops; L3 ITSM Product Eng</t>
  </si>
  <si>
    <t xml:space="preserve">Request Fulfillment</t>
  </si>
  <si>
    <t xml:space="preserve">Service Catalog; Workflow Designer</t>
  </si>
  <si>
    <t xml:space="preserve">Standard request execution</t>
  </si>
  <si>
    <t xml:space="preserve">Service Request Portal; Fulfillment Queue; SLA View</t>
  </si>
  <si>
    <t xml:space="preserve">ITSM-BUNDLE + REQUEST-BUNDLE (request types, fulfillment workflows, SLA contracts)</t>
  </si>
  <si>
    <t xml:space="preserve">SoR: service requests, fulfillment tasks, SLA outcomes</t>
  </si>
  <si>
    <t xml:space="preserve">L1 Service Desk; L2 IT Ops; L3 ITSM Product Eng</t>
  </si>
  <si>
    <t xml:space="preserve">Problem Management</t>
  </si>
  <si>
    <t xml:space="preserve">Incident Management; Evidence Linking Service</t>
  </si>
  <si>
    <t xml:space="preserve">Root cause discipline; recurrence reduction</t>
  </si>
  <si>
    <t xml:space="preserve">Problem Workspace; RCA Tracker; Evidence Pack</t>
  </si>
  <si>
    <t xml:space="preserve">ITSM-BUNDLE + PROBLEM-BUNDLE (problem records, RCA model, known error linkage, evidence refs)</t>
  </si>
  <si>
    <t xml:space="preserve">SoR: problems, RCA artifacts, known errors (if scoped)</t>
  </si>
  <si>
    <t xml:space="preserve">Change Management (ITIL)</t>
  </si>
  <si>
    <t xml:space="preserve">Change Control; Workflow Designer; Audit Trail Service</t>
  </si>
  <si>
    <t xml:space="preserve">Controlled IT changes; reduced outages</t>
  </si>
  <si>
    <t xml:space="preserve">CAB Workbench; Change Calendar; Approval Trace</t>
  </si>
  <si>
    <t xml:space="preserve">ITSM-BUNDLE + ITIL-CHANGE-BUNDLE (CAB workflow, change calendar feeds, approval trace)</t>
  </si>
  <si>
    <t xml:space="preserve">SoR: IT changes (ITIL), CAB decisions, change schedule</t>
  </si>
  <si>
    <t xml:space="preserve">CMDB / Asset Management</t>
  </si>
  <si>
    <t xml:space="preserve">Service Catalog; Change Management (ITIL)</t>
  </si>
  <si>
    <t xml:space="preserve">Configuration integrity; impact analysis</t>
  </si>
  <si>
    <t xml:space="preserve">CMDB Explorer; CI Relationships; Change Impact View</t>
  </si>
  <si>
    <t xml:space="preserve">ITSM-BUNDLE + CMDB-BUNDLE (CI schema, relationship model, discovery/import contracts, impact API)</t>
  </si>
  <si>
    <t xml:space="preserve">SoR: CIs, CI relationships, service mappings</t>
  </si>
  <si>
    <t xml:space="preserve">Service Catalog</t>
  </si>
  <si>
    <t xml:space="preserve">Tenant/Environment Mgmt; RBAC/ABAC Authorization</t>
  </si>
  <si>
    <t xml:space="preserve">Standardized offerings; request templates</t>
  </si>
  <si>
    <t xml:space="preserve">Service Catalog; Request Templates; SLA Definitions</t>
  </si>
  <si>
    <t xml:space="preserve">ITSM-BUNDLE + CATALOG-BUNDLE (catalog item schema, request template model, SLA definitions)</t>
  </si>
  <si>
    <t xml:space="preserve">SoR: service offerings, catalog items, request templates, SLA definitions (catalog scope)</t>
  </si>
  <si>
    <t xml:space="preserve">Controls-to-Evidence Automation</t>
  </si>
  <si>
    <t xml:space="preserve">Evidence Automation</t>
  </si>
  <si>
    <t xml:space="preserve">Automate evidence collection and audit pack assembly to reduce audit effort and increase control effectiveness.</t>
  </si>
  <si>
    <t xml:space="preserve">Control ↔ Evidence Mapping</t>
  </si>
  <si>
    <t xml:space="preserve">Policy &amp; Control Library; Audit Trail; Document Mgmt</t>
  </si>
  <si>
    <t xml:space="preserve">Map controls to evidence; enables automation roadmap</t>
  </si>
  <si>
    <t xml:space="preserve">Controls Map; Evidence Requirements Editor; Coverage Dashboard</t>
  </si>
  <si>
    <t xml:space="preserve">Governance Automation Service</t>
  </si>
  <si>
    <t xml:space="preserve">EVID-AUTO-BUNDLE (control-evidence map schema, evidence requirements model, coverage KPIs, AuditEvent v1, OTel)</t>
  </si>
  <si>
    <t xml:space="preserve">SoR: control↔evidence mappings, evidence requirement definitions</t>
  </si>
  <si>
    <t xml:space="preserve">L1 Service Desk; L2 Compliance Ops; L3 Automation Eng</t>
  </si>
  <si>
    <t xml:space="preserve">Automated Evidence Collection</t>
  </si>
  <si>
    <t xml:space="preserve">Control ↔ Evidence Mapping; API Gateway; Audit Trail Service</t>
  </si>
  <si>
    <t xml:space="preserve">Low-touch compliance; reduces manual audit burden</t>
  </si>
  <si>
    <t xml:space="preserve">Evidence Collector Monitor; Connector Health; Collection Run History</t>
  </si>
  <si>
    <t xml:space="preserve">EVID-AUTO-BUNDLE + CONNECTOR-BUNDLE (connector contracts, run history, idempotent collection jobs, error taxonomy)</t>
  </si>
  <si>
    <t xml:space="preserve">Not SoR: evidence itself; SoR: collection runs, connector configs, collection outcomes</t>
  </si>
  <si>
    <t xml:space="preserve">L1 Service Desk; L2 Compliance Ops/Integration Ops; L3 Automation Eng</t>
  </si>
  <si>
    <t xml:space="preserve">Audit Pack Generator</t>
  </si>
  <si>
    <t xml:space="preserve">Automated Evidence Collection; Document Management</t>
  </si>
  <si>
    <t xml:space="preserve">Repeatable audit packs; faster inspections</t>
  </si>
  <si>
    <t xml:space="preserve">Audit Pack Builder; Export Center; Trace Links</t>
  </si>
  <si>
    <t xml:space="preserve">EVID-AUTO-BUNDLE + PACK-BUNDLE (pack manifest schema, export formats, trace links, retention hooks)</t>
  </si>
  <si>
    <t xml:space="preserve">SoR: audit pack manifests/exports (pack artifacts), traceability maps</t>
  </si>
  <si>
    <t xml:space="preserve">6) Regulated Life-Sciences Extensions</t>
  </si>
  <si>
    <t xml:space="preserve">Pharmacovigilance (PV)</t>
  </si>
  <si>
    <t xml:space="preserve">Safety Case Operations</t>
  </si>
  <si>
    <t xml:space="preserve">Ensure compliant safety case processing and surveillance with quality gates and reporting readiness.</t>
  </si>
  <si>
    <t xml:space="preserve">Case Intake &amp; Triage</t>
  </si>
  <si>
    <t xml:space="preserve">Workflow Designer; Audit Trail Service; Data Masking &amp; Row/Field Security</t>
  </si>
  <si>
    <t xml:space="preserve">PV intake baseline; controlled routing</t>
  </si>
  <si>
    <t xml:space="preserve">PV Case Inbox; Intake Forms; Triage Rules; Evidence Pack</t>
  </si>
  <si>
    <t xml:space="preserve">Domain App (Regulated Workflow)</t>
  </si>
  <si>
    <t xml:space="preserve">REG-PV-BASE (SSO+RBAC/ABAC, PHI/PII masking hooks, AuditEvent v1, Workflow/Inbox v1, Evidence-Link, OTel, Correlation-ID, Error Model)</t>
  </si>
  <si>
    <t xml:space="preserve">SoR: Safety Cases (intake), Intake artifacts, Triage state &amp; routing decisions</t>
  </si>
  <si>
    <t xml:space="preserve">L1 PV Ops Desk; L2 App Ops (PV); L3 Vendor/Product Eng</t>
  </si>
  <si>
    <t xml:space="preserve">Case Processing</t>
  </si>
  <si>
    <t xml:space="preserve">Case Intake &amp; Triage; Evidence Linking Service</t>
  </si>
  <si>
    <t xml:space="preserve">Full PV operations; regulated processing</t>
  </si>
  <si>
    <t xml:space="preserve">Case Processing Console; Workflow Trace; Evidence Pack</t>
  </si>
  <si>
    <t xml:space="preserve">REG-PV-BASE + CASE-LIFECYCLE (case lifecycle state machine, audit-grade workflow trace, evidence pack assembly contract)</t>
  </si>
  <si>
    <t xml:space="preserve">SoR: Safety Case master record, lifecycle states, assessments, outcomes</t>
  </si>
  <si>
    <t xml:space="preserve">MedDRA Coding</t>
  </si>
  <si>
    <t xml:space="preserve">Coding standardization</t>
  </si>
  <si>
    <t xml:space="preserve">MedDRA Coding Workbench; Dictionary Trace; Audit Export</t>
  </si>
  <si>
    <t xml:space="preserve">Domain App (Clinical Coding Component)</t>
  </si>
  <si>
    <t xml:space="preserve">REG-PV-BASE + CODESET (dictionary version binding, code audit trail, coding diff/export contract)</t>
  </si>
  <si>
    <t xml:space="preserve">SoR: Coded terms on Safety Case (MedDRA assignments), dictionary version references</t>
  </si>
  <si>
    <t xml:space="preserve">Reporting &amp; Submissions</t>
  </si>
  <si>
    <t xml:space="preserve">Case Processing; Records Management; e-Signature Service</t>
  </si>
  <si>
    <t xml:space="preserve">Compliance reporting readiness</t>
  </si>
  <si>
    <t xml:space="preserve">Reporting Hub; Submission Tracker; Evidence Pack</t>
  </si>
  <si>
    <t xml:space="preserve">Domain App (Regulatory Output)</t>
  </si>
  <si>
    <t xml:space="preserve">REG-PV-BASE + SUBMIT (submission package schema, signature envelope binding, records/immutability hooks, audit export)</t>
  </si>
  <si>
    <t xml:space="preserve">SoR: Submission packages, submission status, regulator acknowledgements, signed artifacts</t>
  </si>
  <si>
    <t xml:space="preserve">Signal Management</t>
  </si>
  <si>
    <t xml:space="preserve">Safety signal posture</t>
  </si>
  <si>
    <t xml:space="preserve">Signal Dashboard; Signal Review Workflow; Evidence Pack</t>
  </si>
  <si>
    <t xml:space="preserve">Domain App + Data Product</t>
  </si>
  <si>
    <t xml:space="preserve">REG-SIGNAL-BASE (data product contract IDs, metric semantic IDs, review workflow, evidence pack, OTel)</t>
  </si>
  <si>
    <t xml:space="preserve">SoR: Signals (hypotheses), signal evaluations, review decisions, linked evidence</t>
  </si>
  <si>
    <t xml:space="preserve">L1 PV Ops Desk; L2 Safety Analytics Ops; L3 Data/Product Eng</t>
  </si>
  <si>
    <t xml:space="preserve">PV Quality</t>
  </si>
  <si>
    <t xml:space="preserve">PV workflows; Audit Pack Generator</t>
  </si>
  <si>
    <t xml:space="preserve">PV inspection readiness</t>
  </si>
  <si>
    <t xml:space="preserve">PV Quality Review Queue; Audit Pack; CAPA Linkage</t>
  </si>
  <si>
    <t xml:space="preserve">Domain App (Quality Overlay)</t>
  </si>
  <si>
    <t xml:space="preserve">REG-QA-BASE (inspection checklist schema, audit pack generator interface, CAPA linkage contract, evidence graph IDs)</t>
  </si>
  <si>
    <t xml:space="preserve">SoR: PV quality reviews, inspection readiness status, findings → CAPA references</t>
  </si>
  <si>
    <t xml:space="preserve">L1 Quality Ops Desk; L2 App Ops (PV/QMS); L3 Vendor/Product Eng</t>
  </si>
  <si>
    <t xml:space="preserve">Regulatory Information Management (RIM)</t>
  </si>
  <si>
    <t xml:space="preserve">Regulatory Lifecycle</t>
  </si>
  <si>
    <t xml:space="preserve">Manage submissions and regulatory lifecycle across markets with structured requirements and labeling control.</t>
  </si>
  <si>
    <t xml:space="preserve">Dossier/Submissions Management</t>
  </si>
  <si>
    <t xml:space="preserve">Document Control; Records Management</t>
  </si>
  <si>
    <t xml:space="preserve">Regulatory dossiers governance</t>
  </si>
  <si>
    <t xml:space="preserve">Submission Workspace; Dossier Library; Evidence Pack</t>
  </si>
  <si>
    <t xml:space="preserve">Domain App (Regulatory Content)</t>
  </si>
  <si>
    <t xml:space="preserve">REG-RIM-BASE (controlled docs binding, records/retention hooks, submission package schema, audit export, OTel)</t>
  </si>
  <si>
    <t xml:space="preserve">SoR: Dossiers, submission sequences, content versions, correspondence artifacts</t>
  </si>
  <si>
    <t xml:space="preserve">L1 Regulatory Ops Desk; L2 App Ops (RIM); L3 Vendor/Product Eng</t>
  </si>
  <si>
    <t xml:space="preserve">Variations &amp; Renewals</t>
  </si>
  <si>
    <t xml:space="preserve">Variation lifecycle control</t>
  </si>
  <si>
    <t xml:space="preserve">Variation Tracker; Renewal Calendar; Evidence Pack</t>
  </si>
  <si>
    <t xml:space="preserve">Domain App (Regulatory Workflow)</t>
  </si>
  <si>
    <t xml:space="preserve">REG-RIM-BASE + VARIATION (variation object model, market timelines, approval workflow + evidence)</t>
  </si>
  <si>
    <t xml:space="preserve">SoR: Variations, renewals, timelines, decisions, evidence packs</t>
  </si>
  <si>
    <t xml:space="preserve">Labeling Lifecycle</t>
  </si>
  <si>
    <t xml:space="preserve">Document Control; Workflow Designer; e-Signature Service</t>
  </si>
  <si>
    <t xml:space="preserve">Label governance and traceability</t>
  </si>
  <si>
    <t xml:space="preserve">Labeling Workspace; Change Trace; Evidence Pack</t>
  </si>
  <si>
    <t xml:space="preserve">Domain App (Controlled Labeling)</t>
  </si>
  <si>
    <t xml:space="preserve">REG-RIM-BASE + LABEL (label object model, change trace, signature binding, controlled doc versioning)</t>
  </si>
  <si>
    <t xml:space="preserve">SoR: Labels, label change requests, approvals/signatures, published versions</t>
  </si>
  <si>
    <t xml:space="preserve">Country Requirements Matrix</t>
  </si>
  <si>
    <t xml:space="preserve">Market requirements governance</t>
  </si>
  <si>
    <t xml:space="preserve">Country Matrix; Requirement Diff; Compliance View</t>
  </si>
  <si>
    <t xml:space="preserve">Domain App (Regulatory Rules/Matrix)</t>
  </si>
  <si>
    <t xml:space="preserve">REG-RIM-BASE + REQ-MATRIX (country requirement schema, diff contract, compliance status model)</t>
  </si>
  <si>
    <t xml:space="preserve">SoR: Country requirements, requirement versions, compliance mappings to dossiers</t>
  </si>
  <si>
    <t xml:space="preserve">Clinical Operations (CTMS/eTMF)</t>
  </si>
  <si>
    <t xml:space="preserve">Clinical Oversight</t>
  </si>
  <si>
    <t xml:space="preserve">Run clinical oversight workflows with governed documentation and safety linkages for compliance.</t>
  </si>
  <si>
    <t xml:space="preserve">Study Setup &amp; Oversight</t>
  </si>
  <si>
    <t xml:space="preserve">Document Control; Workflow Designer</t>
  </si>
  <si>
    <t xml:space="preserve">Clinical portfolio governance</t>
  </si>
  <si>
    <t xml:space="preserve">Study Portfolio; Study Setup Wizard; Evidence Pack</t>
  </si>
  <si>
    <t xml:space="preserve">Domain App (Clinical Ops)</t>
  </si>
  <si>
    <t xml:space="preserve">REG-CLIN-BASE (study object model, workflow/inbox, controlled docs binding, audit export, OTel)</t>
  </si>
  <si>
    <t xml:space="preserve">SoR: Studies, protocols (references), oversight plans, approvals</t>
  </si>
  <si>
    <t xml:space="preserve">L1 Clinical Ops Desk; L2 App Ops (CTMS); L3 Vendor/Product Eng</t>
  </si>
  <si>
    <t xml:space="preserve">Site Management</t>
  </si>
  <si>
    <t xml:space="preserve">Site operations oversight</t>
  </si>
  <si>
    <t xml:space="preserve">Site Console; Site KPI Dashboard; Evidence Pack</t>
  </si>
  <si>
    <t xml:space="preserve">REG-CLIN-BASE + SITE (site object model, KPI semantic IDs optional, evidence pack linkage)</t>
  </si>
  <si>
    <t xml:space="preserve">SoR: Sites, site status, site visit/activation milestones, site KPIs (refs)</t>
  </si>
  <si>
    <t xml:space="preserve">Monitoring Workflows</t>
  </si>
  <si>
    <t xml:space="preserve">Site Management; Workflow Designer</t>
  </si>
  <si>
    <t xml:space="preserve">Monitoring execution discipline</t>
  </si>
  <si>
    <t xml:space="preserve">Monitoring Console; Findings Tracker; Evidence Pack</t>
  </si>
  <si>
    <t xml:space="preserve">Domain App (Clinical Quality Execution)</t>
  </si>
  <si>
    <t xml:space="preserve">REG-CLIN-BASE + MONITOR (monitoring plan/task schema, findings model, CAPA linkage optional, evidence links)</t>
  </si>
  <si>
    <t xml:space="preserve">SoR: Monitoring visits/tasks, findings, actions, evidence packs</t>
  </si>
  <si>
    <t xml:space="preserve">eTMF Integration</t>
  </si>
  <si>
    <t xml:space="preserve">Document Management; Records Management; API Gateway</t>
  </si>
  <si>
    <t xml:space="preserve">Document completeness posture</t>
  </si>
  <si>
    <t xml:space="preserve">eTMF Linkage View; Document Completeness Dashboard; Exception Inbox</t>
  </si>
  <si>
    <t xml:space="preserve">Integration Bridge (CTMS ↔ eTMF)</t>
  </si>
  <si>
    <t xml:space="preserve">INTEG-REG-BRIDGE (API Gateway OpenAPI, contract IDs, doc metadata model, exception model, reconciliation hooks, OTel)</t>
  </si>
  <si>
    <t xml:space="preserve">SoR: Not SoR (bridge). Primary objects impacted: eTMF document references, completeness status, linkage exceptions</t>
  </si>
  <si>
    <t xml:space="preserve">L1 Clinical Ops Desk; L2 Integration Ops; L3 Integration Eng</t>
  </si>
  <si>
    <t xml:space="preserve">SAE Linkage (Clinical ↔ PV)</t>
  </si>
  <si>
    <t xml:space="preserve">Case Intake &amp; Triage; Canonical ID &amp; Correlation Standard; Integration Monitoring &amp; Reconciliation</t>
  </si>
  <si>
    <t xml:space="preserve">Cross-domain safety linkage</t>
  </si>
  <si>
    <t xml:space="preserve">SAE Bridge Dashboard; Cross-case Link Viewer; Evidence Pack</t>
  </si>
  <si>
    <t xml:space="preserve">Integration Bridge (Clinical ↔ PV)</t>
  </si>
  <si>
    <t xml:space="preserve">INTEG-REG-BRIDGE + SAFETY-LINK (canonical IDs, cross-case linkage schema, reconciliation, evidence links, OTel)</t>
  </si>
  <si>
    <t xml:space="preserve">SoR: Not SoR (bridge). Primary objects impacted: SAE↔Safety Case links, linkage audit trail, reconciliation exceptions</t>
  </si>
  <si>
    <t xml:space="preserve">L1 Clinical/PV Ops Desk; L2 Integration Ops; L3 Integration Eng</t>
  </si>
  <si>
    <t xml:space="preserve">Serialization / Track &amp; Trace</t>
  </si>
  <si>
    <t xml:space="preserve">Compliance Traceability</t>
  </si>
  <si>
    <t xml:space="preserve">Provide compliance-grade traceability and verification flows across supply chain and regulatory interfaces.</t>
  </si>
  <si>
    <t xml:space="preserve">Serialization Repository Integration</t>
  </si>
  <si>
    <t xml:space="preserve">API Gateway; Data Contract Registry; Integration Monitoring &amp; Reconciliation</t>
  </si>
  <si>
    <t xml:space="preserve">Traceability integration baseline</t>
  </si>
  <si>
    <t xml:space="preserve">Serialization Monitor; Integration Health; Event Trace</t>
  </si>
  <si>
    <t xml:space="preserve">Integration Service (Regulatory Supply Chain)</t>
  </si>
  <si>
    <t xml:space="preserve">SERIAL-INTEG-BASE (OpenAPI, event contract (CloudEvents/AsyncAPI), data contracts, reconciliation model, OTel, correlation)</t>
  </si>
  <si>
    <t xml:space="preserve">SoR: Not SoR (integration). Primary objects impacted: serial events, pack-level status, trace exceptions</t>
  </si>
  <si>
    <t xml:space="preserve">L1 Supply Chain Ops Desk; L2 Integration Ops; L3 Integration Eng</t>
  </si>
  <si>
    <t xml:space="preserve">Aggregation / Verification</t>
  </si>
  <si>
    <t xml:space="preserve">Serialization Repository Integration; Event Bus / Message Queue</t>
  </si>
  <si>
    <t xml:space="preserve">Verification execution and exceptions</t>
  </si>
  <si>
    <t xml:space="preserve">Verification Console; Exception Inbox; Evidence Pack</t>
  </si>
  <si>
    <t xml:space="preserve">Domain App (Traceability Execution)</t>
  </si>
  <si>
    <t xml:space="preserve">SERIAL-EXEC-BASE (verification workflow, exception model, event bus envelope, evidence pack)</t>
  </si>
  <si>
    <t xml:space="preserve">SoR: Verification actions, verification exceptions, verification outcomes</t>
  </si>
  <si>
    <t xml:space="preserve">L1 Supply Chain Ops Desk; L2 App Ops (Serialization); L3 Vendor/Product Eng</t>
  </si>
  <si>
    <t xml:space="preserve">Compliance Interfaces (EU FMD / DSCSA)</t>
  </si>
  <si>
    <t xml:space="preserve">Serialization Repository Integration; EDI Hub; Records Management</t>
  </si>
  <si>
    <t xml:space="preserve">Regulatory interface readiness</t>
  </si>
  <si>
    <t xml:space="preserve">Compliance Interface Dashboard; Submission Logs; Evidence Pack</t>
  </si>
  <si>
    <t xml:space="preserve">Integration Service (Regulatory Interface)</t>
  </si>
  <si>
    <t xml:space="preserve">SERIAL-COMPLIANCE-BUNDLE (regulator message schemas, submission logs, immutable records hooks, ack/receipt model, OTel)</t>
  </si>
  <si>
    <t xml:space="preserve">SoR: Submission logs, acknowledgements, compliance evidence artifacts</t>
  </si>
  <si>
    <t xml:space="preserve">Validation &amp; GxP Evidence Overlay (optional)</t>
  </si>
  <si>
    <t xml:space="preserve">Validation Evidence</t>
  </si>
  <si>
    <t xml:space="preserve">Package validation planning and qualification evidence into audit-ready outputs to sustain GxP posture.</t>
  </si>
  <si>
    <t xml:space="preserve">Validation Plans / Protocols</t>
  </si>
  <si>
    <t xml:space="preserve">Validation governance posture</t>
  </si>
  <si>
    <t xml:space="preserve">Validation Plan Builder; Protocol Library; Approval Trace</t>
  </si>
  <si>
    <t xml:space="preserve">Governance Overlay (GxP)</t>
  </si>
  <si>
    <t xml:space="preserve">GXP-VAL-BASE (controlled doc templates, approval workflow, audit export, evidence link)</t>
  </si>
  <si>
    <t xml:space="preserve">SoR: Validation plans, protocols, approvals/signatures (where applicable)</t>
  </si>
  <si>
    <t xml:space="preserve">L1 Validation/QA Ops Desk; L2 Quality Systems Ops; L3 Product Eng</t>
  </si>
  <si>
    <t xml:space="preserve">Qualification Evidence Structures</t>
  </si>
  <si>
    <t xml:space="preserve">Evidence Linking Service; Records Management</t>
  </si>
  <si>
    <t xml:space="preserve">Qualification evidence standardization</t>
  </si>
  <si>
    <t xml:space="preserve">Qualification Evidence Library; Evidence Linkage; Audit Export</t>
  </si>
  <si>
    <t xml:space="preserve">GXP-VAL-BASE + QUAL (qualification evidence object model, evidence graph binding, records immutability)</t>
  </si>
  <si>
    <t xml:space="preserve">SoR: Qualification evidence structures, evidence links, qualification artifacts</t>
  </si>
  <si>
    <t xml:space="preserve">Audit-ready Validation Reporting</t>
  </si>
  <si>
    <t xml:space="preserve">Qualification Evidence Structures; Audit Pack Generator</t>
  </si>
  <si>
    <t xml:space="preserve">Inspection-ready reporting</t>
  </si>
  <si>
    <t xml:space="preserve">Validation Report Builder; Audit Export; Trace Links</t>
  </si>
  <si>
    <t xml:space="preserve">GXP-VAL-BASE + REPORT (report package schema, traceability map export, audit pack binding)</t>
  </si>
  <si>
    <t xml:space="preserve">SoR: Validation reports, trace maps, audit-pack outputs</t>
  </si>
  <si>
    <t xml:space="preserve">List</t>
  </si>
  <si>
    <t xml:space="preserve">Value</t>
  </si>
  <si>
    <t xml:space="preserve">Contract Bundle Code</t>
  </si>
  <si>
    <t xml:space="preserve">PLAT-BASE</t>
  </si>
  <si>
    <t xml:space="preserve">DATA-BASE</t>
  </si>
  <si>
    <t xml:space="preserve">SUITE-BASE</t>
  </si>
  <si>
    <t xml:space="preserve">DOMAIN-APP-BASE</t>
  </si>
  <si>
    <t xml:space="preserve">BRIDGE-BASE</t>
  </si>
  <si>
    <t xml:space="preserve">Default Support Model</t>
  </si>
  <si>
    <t xml:space="preserve">List Build/Buy/Partner</t>
  </si>
  <si>
    <t xml:space="preserve">Build</t>
  </si>
  <si>
    <t xml:space="preserve">Buy/Partner</t>
  </si>
  <si>
    <t xml:space="preserve">Hybrid</t>
  </si>
  <si>
    <t xml:space="preserve">List SLO Tier</t>
  </si>
  <si>
    <t xml:space="preserve">Gold</t>
  </si>
  <si>
    <t xml:space="preserve">Silver</t>
  </si>
  <si>
    <t xml:space="preserve">Bronze</t>
  </si>
  <si>
    <t xml:space="preserve">List Deployment Unit</t>
  </si>
  <si>
    <t xml:space="preserve">Control Plane</t>
  </si>
  <si>
    <t xml:space="preserve">Platform Backbone</t>
  </si>
  <si>
    <t xml:space="preserve">Data &amp; Intelligence Plane</t>
  </si>
  <si>
    <t xml:space="preserve">SSM Governance Suite</t>
  </si>
  <si>
    <t xml:space="preserve">Regulated Overlay</t>
  </si>
  <si>
    <t xml:space="preserve">Domain Applications</t>
  </si>
  <si>
    <t xml:space="preserve">Integration Bridges</t>
  </si>
  <si>
    <t xml:space="preserve">External SoR</t>
  </si>
  <si>
    <t xml:space="preserve">External Provider</t>
  </si>
  <si>
    <t xml:space="preserve">Domain App (Commercial)</t>
  </si>
  <si>
    <t xml:space="preserve">Domain App (CRM-aligned)</t>
  </si>
  <si>
    <t xml:space="preserve">SLO Tier</t>
  </si>
  <si>
    <t xml:space="preserve">Tier 1</t>
  </si>
  <si>
    <t xml:space="preserve">Tier 2</t>
  </si>
  <si>
    <t xml:space="preserve">Tier 3</t>
  </si>
  <si>
    <t xml:space="preserve">Tier 4</t>
  </si>
  <si>
    <t xml:space="preserve">NA</t>
  </si>
  <si>
    <t xml:space="preserve">Build / Buy / Partner</t>
  </si>
  <si>
    <t xml:space="preserve">Buy</t>
  </si>
  <si>
    <t xml:space="preserve">Partner</t>
  </si>
  <si>
    <t xml:space="preserve">Configure/Integrate</t>
  </si>
  <si>
    <t xml:space="preserve">AI Applicability</t>
  </si>
  <si>
    <t xml:space="preserve">Y</t>
  </si>
  <si>
    <t xml:space="preserve">N</t>
  </si>
  <si>
    <t xml:space="preserve">SoR Applicability</t>
  </si>
  <si>
    <t xml:space="preserve">UI-GOV-BUNDLE</t>
  </si>
  <si>
    <t xml:space="preserve">USER-PREF-BUNDLE</t>
  </si>
  <si>
    <t xml:space="preserve">ORG-DIR-BUNDLE</t>
  </si>
  <si>
    <t xml:space="preserve">BANK-MASTER-BUNDLE</t>
  </si>
  <si>
    <t xml:space="preserve">PRODUCT-MASTER-BUNDLE</t>
  </si>
  <si>
    <t xml:space="preserve">FIN-DIM-BUNDLE</t>
  </si>
  <si>
    <t xml:space="preserve">AGENT-REG-BUNDLE</t>
  </si>
  <si>
    <t xml:space="preserve">AGENT-RUNTIME-BUNDLE</t>
  </si>
  <si>
    <t xml:space="preserve">AGENT-TOOL-BUNDLE</t>
  </si>
  <si>
    <t xml:space="preserve">AGENT-WORKSPACE-BUNDLE</t>
  </si>
  <si>
    <t xml:space="preserve">AGENT-POLICY-BUNDLE</t>
  </si>
  <si>
    <t xml:space="preserve">HCM-SHELL-BUNDLE</t>
  </si>
  <si>
    <t xml:space="preserve">HCM-CORE-BUNDLE</t>
  </si>
  <si>
    <t xml:space="preserve">HCM-TA-BUNDLE</t>
  </si>
  <si>
    <t xml:space="preserve">HCM-LIFECYCLE-BUNDLE</t>
  </si>
  <si>
    <t xml:space="preserve">HCM-TALENT-BUNDLE</t>
  </si>
  <si>
    <t xml:space="preserve">HCM-WFP-BUNDLE</t>
  </si>
  <si>
    <t xml:space="preserve">HCM-KPI-FACADE-BUNDLE</t>
  </si>
  <si>
    <t xml:space="preserve">HCM-DOC-EVID-FACADE-BUNDLE</t>
  </si>
  <si>
    <t xml:space="preserve">HCM-GOV-BUNDLE</t>
  </si>
  <si>
    <t xml:space="preserve">HCM-INTERFACE-BUNDLE</t>
  </si>
  <si>
    <t xml:space="preserve">HCM-CASE-BUNDLE</t>
  </si>
  <si>
    <t xml:space="preserve">HCM-COMPLIANCE-BUNDLE</t>
  </si>
  <si>
    <t xml:space="preserve">HCM-EXPERIENCE-BUNDLE</t>
  </si>
  <si>
    <t xml:space="preserve">Channel App (HCM Experience)</t>
  </si>
  <si>
    <t xml:space="preserve">Domain App (HCM Compliance)</t>
  </si>
  <si>
    <t xml:space="preserve">Domain App (HCM Employee Relations)</t>
  </si>
  <si>
    <t xml:space="preserve">Domain App (HCM Foundation)</t>
  </si>
  <si>
    <t xml:space="preserve">Domain App (HCM Lifecycle)</t>
  </si>
  <si>
    <t xml:space="preserve">Domain App (HCM Planning)</t>
  </si>
  <si>
    <t xml:space="preserve">Domain App (HCM Talent Acquisition)</t>
  </si>
  <si>
    <t xml:space="preserve">Domain App (HCM Talent)</t>
  </si>
  <si>
    <t xml:space="preserve">Domain App (HCM Workspace)</t>
  </si>
  <si>
    <t xml:space="preserve">Domain Facade (HCM Analytics)</t>
  </si>
  <si>
    <t xml:space="preserve">Domain Facade (HCM Documents/Evidence)</t>
  </si>
  <si>
    <t xml:space="preserve">Domain Governance Layer (HCM)</t>
  </si>
  <si>
    <t xml:space="preserve">Domain Workspace (HCM Time &amp; Leave)</t>
  </si>
  <si>
    <t xml:space="preserve">Domain Interface (HCM to Payroll/Benefits)</t>
  </si>
  <si>
    <t xml:space="preserve">Enterprise Application Ecosystem (Sector Talent Platform)</t>
  </si>
  <si>
    <t xml:space="preserve">Talent Ecosystem Governance Layer</t>
  </si>
  <si>
    <t xml:space="preserve">Talent Ecosystem Intelligence Layer</t>
  </si>
  <si>
    <t xml:space="preserve">Implementation Phase</t>
  </si>
  <si>
    <t xml:space="preserve">Talent Ecosystem MVP</t>
  </si>
  <si>
    <t xml:space="preserve">Talent Ecosystem Sensitive Ops</t>
  </si>
  <si>
    <t xml:space="preserve">Talent Growth Network</t>
  </si>
  <si>
    <t xml:space="preserve">Workforce Intelligence</t>
  </si>
  <si>
    <t xml:space="preserve">Contract Bundle</t>
  </si>
  <si>
    <t xml:space="preserve">TALENT-CORE-BUNDLE</t>
  </si>
  <si>
    <t xml:space="preserve">TALENT-GOV-BUNDLE</t>
  </si>
  <si>
    <t xml:space="preserve">TALENT-REFERENCE-BUNDLE</t>
  </si>
  <si>
    <t xml:space="preserve">TALENT-GROWTH-BUNDLE</t>
  </si>
  <si>
    <t xml:space="preserve">TALENT-INTEL-BUNDLE</t>
  </si>
  <si>
    <t xml:space="preserve">ASSOCIATION-BUNDLE</t>
  </si>
  <si>
    <t xml:space="preserve">KNOWLEDGE-BUNDLE</t>
  </si>
  <si>
    <t xml:space="preserve">Module ID</t>
  </si>
  <si>
    <t xml:space="preserve">Deployment Unit / Product</t>
  </si>
  <si>
    <t xml:space="preserve">L1 Queue</t>
  </si>
  <si>
    <t xml:space="preserve">L2 Owning Ops</t>
  </si>
  <si>
    <t xml:space="preserve">L3 Engineering/Vendor</t>
  </si>
  <si>
    <t xml:space="preserve">SoR Primary Object(s)</t>
  </si>
  <si>
    <t xml:space="preserve">AI Enablement Tier</t>
  </si>
  <si>
    <t xml:space="preserve">AI Use Cases</t>
  </si>
  <si>
    <t xml:space="preserve">AI Dependency Gate</t>
  </si>
  <si>
    <t xml:space="preserve">AI Risk Class</t>
  </si>
  <si>
    <t xml:space="preserve">Min Integration Contract Codes</t>
  </si>
  <si>
    <t xml:space="preserve">Min Integration Contract Notes</t>
  </si>
  <si>
    <t xml:space="preserve">SoR Notes</t>
  </si>
  <si>
    <t xml:space="preserve">MOD-0001</t>
  </si>
  <si>
    <t xml:space="preserve">L1 Service Desk; L2 Platform Ops; L3 Platform Engineering</t>
  </si>
  <si>
    <t xml:space="preserve">Service Desk</t>
  </si>
  <si>
    <t xml:space="preserve">Platform Ops</t>
  </si>
  <si>
    <t xml:space="preserve">Platform Engineering</t>
  </si>
  <si>
    <t xml:space="preserve">Ownership assignments</t>
  </si>
  <si>
    <t xml:space="preserve">R1 - PPM MVP</t>
  </si>
  <si>
    <t xml:space="preserve">TBD</t>
  </si>
  <si>
    <t xml:space="preserve">MOD-0002</t>
  </si>
  <si>
    <t xml:space="preserve">Interface inventory</t>
  </si>
  <si>
    <t xml:space="preserve">MOD-0003</t>
  </si>
  <si>
    <t xml:space="preserve">Data contracts</t>
  </si>
  <si>
    <t xml:space="preserve">GOV-REG-BUNDLE;SCHEMA-BINDING</t>
  </si>
  <si>
    <t xml:space="preserve">MOD-0004</t>
  </si>
  <si>
    <t xml:space="preserve">Metric definitions</t>
  </si>
  <si>
    <t xml:space="preserve">GOV-REG-BUNDLE;SEMANTIC-BUNDLE</t>
  </si>
  <si>
    <t xml:space="preserve">MOD-0005</t>
  </si>
  <si>
    <t xml:space="preserve">Policies</t>
  </si>
  <si>
    <t xml:space="preserve">MOD-0006</t>
  </si>
  <si>
    <t xml:space="preserve">Waivers/exceptions</t>
  </si>
  <si>
    <t xml:space="preserve">GOV-REG-BUNDLE;WORKFLOW-BUNDLE</t>
  </si>
  <si>
    <t xml:space="preserve">MOD-0007</t>
  </si>
  <si>
    <t xml:space="preserve">Decision records</t>
  </si>
  <si>
    <t xml:space="preserve">GOV-REG-BUNDLE;EVIDENCE-LINK</t>
  </si>
  <si>
    <t xml:space="preserve">MOD-0008</t>
  </si>
  <si>
    <t xml:space="preserve">Capability inventory</t>
  </si>
  <si>
    <t xml:space="preserve">MOD-0009</t>
  </si>
  <si>
    <t xml:space="preserve">Tenants</t>
  </si>
  <si>
    <t xml:space="preserve">PLAT-CORE-BUNDLE</t>
  </si>
  <si>
    <t xml:space="preserve">MOD-0010</t>
  </si>
  <si>
    <t xml:space="preserve">Tenant / Environment Management; CI/CD &amp; Source Control (GitHub/GitLab/Azure DevOps) [External Provider]; Artifact/Container Registry (ECR/ACR/Nexus/Artifactory) [External Provider]</t>
  </si>
  <si>
    <t xml:space="preserve">Release artifacts</t>
  </si>
  <si>
    <t xml:space="preserve">PLAT-CORE-BUNDLE;RELEASE-BUNDLE</t>
  </si>
  <si>
    <t xml:space="preserve">MOD-0011</t>
  </si>
  <si>
    <t xml:space="preserve">Feature flags</t>
  </si>
  <si>
    <t xml:space="preserve">PLAT-CORE-BUNDLE;CONFIG-BUNDLE</t>
  </si>
  <si>
    <t xml:space="preserve">MOD-0012</t>
  </si>
  <si>
    <t xml:space="preserve">Secrets</t>
  </si>
  <si>
    <t xml:space="preserve">PLAT-CORE-BUNDLE;SECRET-BUNDLE</t>
  </si>
  <si>
    <t xml:space="preserve">MOD-0013</t>
  </si>
  <si>
    <t xml:space="preserve">Standards</t>
  </si>
  <si>
    <t xml:space="preserve">MOD-0014</t>
  </si>
  <si>
    <t xml:space="preserve">Module scope declarations</t>
  </si>
  <si>
    <t xml:space="preserve">MOD-0015</t>
  </si>
  <si>
    <t xml:space="preserve">GOV-REG-BUNDLE;CI-GUARDRAIL-BUNDLE</t>
  </si>
  <si>
    <t xml:space="preserve">Not SoR: enforcement engine</t>
  </si>
  <si>
    <t xml:space="preserve">MOD-0016</t>
  </si>
  <si>
    <t xml:space="preserve">Certification records</t>
  </si>
  <si>
    <t xml:space="preserve">GOV-REG-BUNDLE;CERT-BUNDLE</t>
  </si>
  <si>
    <t xml:space="preserve">MOD-0017</t>
  </si>
  <si>
    <t xml:space="preserve">Tenant / Environment Management; Identity Provider (Azure AD/Okta) [External Provider]</t>
  </si>
  <si>
    <t xml:space="preserve">IdP connections</t>
  </si>
  <si>
    <t xml:space="preserve">SEC-IDENTITY-BUNDLE</t>
  </si>
  <si>
    <t xml:space="preserve">MOD-0018</t>
  </si>
  <si>
    <t xml:space="preserve">Roles</t>
  </si>
  <si>
    <t xml:space="preserve">SEC-AUTHZ-BUNDLE</t>
  </si>
  <si>
    <t xml:space="preserve">MOD-0019</t>
  </si>
  <si>
    <t xml:space="preserve">Masking policies</t>
  </si>
  <si>
    <t xml:space="preserve">SEC-DATA-BUNDLE</t>
  </si>
  <si>
    <t xml:space="preserve">MOD-0020</t>
  </si>
  <si>
    <t xml:space="preserve">SoD rules</t>
  </si>
  <si>
    <t xml:space="preserve">SEC-CONTROL-BUNDLE</t>
  </si>
  <si>
    <t xml:space="preserve">MOD-0021</t>
  </si>
  <si>
    <t xml:space="preserve">Audit events</t>
  </si>
  <si>
    <t xml:space="preserve">AUDIT-BUNDLE</t>
  </si>
  <si>
    <t xml:space="preserve">MOD-0022</t>
  </si>
  <si>
    <t xml:space="preserve">Audit Trail Service; Controlled Documents (SOPs/Work Instructions); Policy &amp; Control Library; e-Sign Vendor (DocuSign/Adobe Sign) [External Provider]</t>
  </si>
  <si>
    <t xml:space="preserve">Signature envelopes</t>
  </si>
  <si>
    <t xml:space="preserve">ESIGN-BUNDLE</t>
  </si>
  <si>
    <t xml:space="preserve">MOD-0023</t>
  </si>
  <si>
    <t xml:space="preserve">Workflow definitions</t>
  </si>
  <si>
    <t xml:space="preserve">WORKFLOW-BUNDLE</t>
  </si>
  <si>
    <t xml:space="preserve">MOD-0024</t>
  </si>
  <si>
    <t xml:space="preserve">Task templates</t>
  </si>
  <si>
    <t xml:space="preserve">WORKFLOW-BUNDLE;TASK-BUNDLE</t>
  </si>
  <si>
    <t xml:space="preserve">MOD-0025</t>
  </si>
  <si>
    <t xml:space="preserve">Business rules</t>
  </si>
  <si>
    <t xml:space="preserve">RULES-BUNDLE</t>
  </si>
  <si>
    <t xml:space="preserve">MOD-0026</t>
  </si>
  <si>
    <t xml:space="preserve">Job definitions</t>
  </si>
  <si>
    <t xml:space="preserve">SCHED-BUNDLE</t>
  </si>
  <si>
    <t xml:space="preserve">MOD-0027</t>
  </si>
  <si>
    <t xml:space="preserve">Workflow Designer (Approvals/SLAs/Escalations); RBAC / ABAC Authorization; Messaging Provider (Twilio/Infobip/SendGrid) [External Provider]</t>
  </si>
  <si>
    <t xml:space="preserve">Notification templates</t>
  </si>
  <si>
    <t xml:space="preserve">NOTIFY-BUNDLE</t>
  </si>
  <si>
    <t xml:space="preserve">MOD-0028</t>
  </si>
  <si>
    <t xml:space="preserve">Documentation &amp; Evidence Management</t>
  </si>
  <si>
    <t xml:space="preserve">RBAC / ABAC Authorization; Audit Trail Service; Internal Document Repository Service</t>
  </si>
  <si>
    <t xml:space="preserve">Documents</t>
  </si>
  <si>
    <t xml:space="preserve">CONTENT-BUNDLE</t>
  </si>
  <si>
    <t xml:space="preserve">MOD-0029</t>
  </si>
  <si>
    <t xml:space="preserve">SOP/work-instruction controlled states</t>
  </si>
  <si>
    <t xml:space="preserve">CONTENT-BUNDLE;CONTROLLED-DOC-BUNDLE</t>
  </si>
  <si>
    <t xml:space="preserve">MOD-0030</t>
  </si>
  <si>
    <t xml:space="preserve">Retention policies</t>
  </si>
  <si>
    <t xml:space="preserve">RECORDS-BUNDLE</t>
  </si>
  <si>
    <t xml:space="preserve">MOD-0031</t>
  </si>
  <si>
    <t xml:space="preserve">Evidence objects</t>
  </si>
  <si>
    <t xml:space="preserve">EVIDENCE-LINK</t>
  </si>
  <si>
    <t xml:space="preserve">MOD-0032</t>
  </si>
  <si>
    <t xml:space="preserve">Interface Registry; Secrets &amp; Configuration Vault; Logging &amp; Monitoring; RBAC / ABAC Authorization; Cloud Infrastructure (AWS/Azure/GCP) [External Provider] | [OOS-FIXED] Interface Registry moved to W-2; update gate accordingly</t>
  </si>
  <si>
    <t xml:space="preserve">INTEG-RUNTIME-BUNDLE</t>
  </si>
  <si>
    <t xml:space="preserve">Not SoR: runtime gateway</t>
  </si>
  <si>
    <t xml:space="preserve">MOD-0033</t>
  </si>
  <si>
    <t xml:space="preserve">API consumers/apps</t>
  </si>
  <si>
    <t xml:space="preserve">CONSUMER-BUNDLE</t>
  </si>
  <si>
    <t xml:space="preserve">MOD-0034</t>
  </si>
  <si>
    <t xml:space="preserve">Webhook subscriptions</t>
  </si>
  <si>
    <t xml:space="preserve">WEBHOOK-BUNDLE</t>
  </si>
  <si>
    <t xml:space="preserve">MOD-0035</t>
  </si>
  <si>
    <t xml:space="preserve">Logging &amp; Monitoring; Interface Registry (event interfaces); Event Taxonomy &amp; Naming Standard (minimum); Cloud Infrastructure (AWS/Azure/GCP) [External Provider]</t>
  </si>
  <si>
    <t xml:space="preserve">Topics</t>
  </si>
  <si>
    <t xml:space="preserve">EVENT-BUS-BUNDLE</t>
  </si>
  <si>
    <t xml:space="preserve">MOD-0036</t>
  </si>
  <si>
    <t xml:space="preserve">API/Event runtime; Data Contract Registry; Integration Monitoring &amp; Reconciliation; EDI Network/VAN (OpenText/SPS Commerce) [External Provider]</t>
  </si>
  <si>
    <t xml:space="preserve">Partner profiles</t>
  </si>
  <si>
    <t xml:space="preserve">EDI-BUNDLE</t>
  </si>
  <si>
    <t xml:space="preserve">MOD-0037</t>
  </si>
  <si>
    <t xml:space="preserve">Integration exceptions</t>
  </si>
  <si>
    <t xml:space="preserve">INTEG-ASSURE-BUNDLE</t>
  </si>
  <si>
    <t xml:space="preserve">MOD-0038</t>
  </si>
  <si>
    <t xml:space="preserve">Event naming rules/taxonomy</t>
  </si>
  <si>
    <t xml:space="preserve">MOD-0039</t>
  </si>
  <si>
    <t xml:space="preserve">Compatibility policy</t>
  </si>
  <si>
    <t xml:space="preserve">GOV-REG-BUNDLE;COMPAT-BUNDLE</t>
  </si>
  <si>
    <t xml:space="preserve">MOD-0040</t>
  </si>
  <si>
    <t xml:space="preserve">Canonical ID definitions</t>
  </si>
  <si>
    <t xml:space="preserve">GOV-REG-BUNDLE;TRACE-BUNDLE</t>
  </si>
  <si>
    <t xml:space="preserve">MOD-0041</t>
  </si>
  <si>
    <t xml:space="preserve">Tenant / Environment Management; Observability/SIEM (Splunk/Datadog/New Relic) [External Provider]; Cloud Infrastructure (AWS/Azure/GCP) [External Provider]</t>
  </si>
  <si>
    <t xml:space="preserve">Telemetry retention configs</t>
  </si>
  <si>
    <t xml:space="preserve">OBS-BUNDLE</t>
  </si>
  <si>
    <t xml:space="preserve">MOD-0042</t>
  </si>
  <si>
    <t xml:space="preserve">Alert rules</t>
  </si>
  <si>
    <t xml:space="preserve">ALERT-BUNDLE</t>
  </si>
  <si>
    <t xml:space="preserve">MOD-0043</t>
  </si>
  <si>
    <t xml:space="preserve">SLO definitions</t>
  </si>
  <si>
    <t xml:space="preserve">SLO-BUNDLE</t>
  </si>
  <si>
    <t xml:space="preserve">MOD-0044</t>
  </si>
  <si>
    <t xml:space="preserve">Backup policies</t>
  </si>
  <si>
    <t xml:space="preserve">BCP-TECH-BUNDLE</t>
  </si>
  <si>
    <t xml:space="preserve">MOD-0045</t>
  </si>
  <si>
    <t xml:space="preserve">DR plans</t>
  </si>
  <si>
    <t xml:space="preserve">DR-BUNDLE</t>
  </si>
  <si>
    <t xml:space="preserve">MOD-0046</t>
  </si>
  <si>
    <t xml:space="preserve">Capacity plans</t>
  </si>
  <si>
    <t xml:space="preserve">PERF-BUNDLE</t>
  </si>
  <si>
    <t xml:space="preserve">MOD-0047</t>
  </si>
  <si>
    <t xml:space="preserve">L1 Service Desk; L2 Governance Ops; L3 Governance Engineering</t>
  </si>
  <si>
    <t xml:space="preserve">Governance Ops</t>
  </si>
  <si>
    <t xml:space="preserve">Governance Engineering</t>
  </si>
  <si>
    <t xml:space="preserve">BCM plans</t>
  </si>
  <si>
    <t xml:space="preserve">BCM-BUNDLE</t>
  </si>
  <si>
    <t xml:space="preserve">MOD-0048</t>
  </si>
  <si>
    <t xml:space="preserve">L1 Service Desk; L2 Data Ops; L3 Data/ML Engineering</t>
  </si>
  <si>
    <t xml:space="preserve">Data Ops</t>
  </si>
  <si>
    <t xml:space="preserve">Data/ML Engineering</t>
  </si>
  <si>
    <t xml:space="preserve">reference code sets</t>
  </si>
  <si>
    <t xml:space="preserve">DATA-GOV-BUNDLE</t>
  </si>
  <si>
    <t xml:space="preserve">MOD-0049</t>
  </si>
  <si>
    <t xml:space="preserve">golden entities</t>
  </si>
  <si>
    <t xml:space="preserve">DATA-GOV-BUNDLE;MDM-BUNDLE</t>
  </si>
  <si>
    <t xml:space="preserve">MOD-0050</t>
  </si>
  <si>
    <t xml:space="preserve">stewardship cases</t>
  </si>
  <si>
    <t xml:space="preserve">DATA-GOV-BUNDLE;WORKFLOW-BUNDLE</t>
  </si>
  <si>
    <t xml:space="preserve">MOD-0051</t>
  </si>
  <si>
    <t xml:space="preserve">DQ rules</t>
  </si>
  <si>
    <t xml:space="preserve">DATA-GOV-BUNDLE;DQ-BUNDLE</t>
  </si>
  <si>
    <t xml:space="preserve">MOD-0052</t>
  </si>
  <si>
    <t xml:space="preserve">metadata assets</t>
  </si>
  <si>
    <t xml:space="preserve">META-BUNDLE</t>
  </si>
  <si>
    <t xml:space="preserve">MOD-0053</t>
  </si>
  <si>
    <t xml:space="preserve">business terms</t>
  </si>
  <si>
    <t xml:space="preserve">META-BUNDLE;GLOSSARY-BUNDLE</t>
  </si>
  <si>
    <t xml:space="preserve">MOD-0054</t>
  </si>
  <si>
    <t xml:space="preserve">data products</t>
  </si>
  <si>
    <t xml:space="preserve">META-BUNDLE;DATA-PRODUCT-BUNDLE</t>
  </si>
  <si>
    <t xml:space="preserve">MOD-0055</t>
  </si>
  <si>
    <t xml:space="preserve">lineage graph edges</t>
  </si>
  <si>
    <t xml:space="preserve">LINEAGE-BUNDLE</t>
  </si>
  <si>
    <t xml:space="preserve">MOD-0056</t>
  </si>
  <si>
    <t xml:space="preserve">SEARCH-BUNDLE</t>
  </si>
  <si>
    <t xml:space="preserve">Not SoR: search index is derivative</t>
  </si>
  <si>
    <t xml:space="preserve">MOD-0057</t>
  </si>
  <si>
    <t xml:space="preserve">taxonomies</t>
  </si>
  <si>
    <t xml:space="preserve">TAXONOMY-BUNDLE</t>
  </si>
  <si>
    <t xml:space="preserve">MOD-0058</t>
  </si>
  <si>
    <t xml:space="preserve">KG entities/links</t>
  </si>
  <si>
    <t xml:space="preserve">KG-BUNDLE</t>
  </si>
  <si>
    <t xml:space="preserve">MOD-0059</t>
  </si>
  <si>
    <t xml:space="preserve">KPI definitions</t>
  </si>
  <si>
    <t xml:space="preserve">SEMANTIC-BUNDLE</t>
  </si>
  <si>
    <t xml:space="preserve">MOD-0060</t>
  </si>
  <si>
    <t xml:space="preserve">metric definitions</t>
  </si>
  <si>
    <t xml:space="preserve">SEMANTIC-BUNDLE;METRIC-CERT-BUNDLE</t>
  </si>
  <si>
    <t xml:space="preserve">MOD-0061</t>
  </si>
  <si>
    <t xml:space="preserve">BI-BUNDLE</t>
  </si>
  <si>
    <t xml:space="preserve">Not SoR: dashboards are derivative</t>
  </si>
  <si>
    <t xml:space="preserve">MOD-0062</t>
  </si>
  <si>
    <t xml:space="preserve">experiments</t>
  </si>
  <si>
    <t xml:space="preserve">EXPERIMENT-BUNDLE</t>
  </si>
  <si>
    <t xml:space="preserve">MOD-0063</t>
  </si>
  <si>
    <t xml:space="preserve">datasets</t>
  </si>
  <si>
    <t xml:space="preserve">LAKEHOUSE-BUNDLE</t>
  </si>
  <si>
    <t xml:space="preserve">MOD-0064</t>
  </si>
  <si>
    <t xml:space="preserve">pipeline definitions</t>
  </si>
  <si>
    <t xml:space="preserve">PIPELINE-BUNDLE</t>
  </si>
  <si>
    <t xml:space="preserve">MOD-0065</t>
  </si>
  <si>
    <t xml:space="preserve">stream job definitions</t>
  </si>
  <si>
    <t xml:space="preserve">STREAM-BUNDLE</t>
  </si>
  <si>
    <t xml:space="preserve">MOD-0066</t>
  </si>
  <si>
    <t xml:space="preserve">model versions</t>
  </si>
  <si>
    <t xml:space="preserve">MLOPS-BUNDLE</t>
  </si>
  <si>
    <t xml:space="preserve">MOD-0067</t>
  </si>
  <si>
    <t xml:space="preserve">evaluation runs</t>
  </si>
  <si>
    <t xml:space="preserve">MODEL-OBS-BUNDLE</t>
  </si>
  <si>
    <t xml:space="preserve">MOD-0068</t>
  </si>
  <si>
    <t xml:space="preserve">prompts</t>
  </si>
  <si>
    <t xml:space="preserve">PROMPT-GOV-BUNDLE</t>
  </si>
  <si>
    <t xml:space="preserve">MOD-0069</t>
  </si>
  <si>
    <t xml:space="preserve">review decisions</t>
  </si>
  <si>
    <t xml:space="preserve">HITL-BUNDLE</t>
  </si>
  <si>
    <t xml:space="preserve">MOD-0070</t>
  </si>
  <si>
    <t xml:space="preserve">scenarios</t>
  </si>
  <si>
    <t xml:space="preserve">SCENARIO-BUNDLE</t>
  </si>
  <si>
    <t xml:space="preserve">MOD-0071</t>
  </si>
  <si>
    <t xml:space="preserve">optimization runs</t>
  </si>
  <si>
    <t xml:space="preserve">OPT-BUNDLE</t>
  </si>
  <si>
    <t xml:space="preserve">MOD-0072</t>
  </si>
  <si>
    <t xml:space="preserve">outcomes</t>
  </si>
  <si>
    <t xml:space="preserve">DECISION-OUTCOME-BUNDLE</t>
  </si>
  <si>
    <t xml:space="preserve">MOD-0073</t>
  </si>
  <si>
    <t xml:space="preserve">COCKPIT-BUNDLE</t>
  </si>
  <si>
    <t xml:space="preserve">Not SoR: cockpit configuration is presentation</t>
  </si>
  <si>
    <t xml:space="preserve">MOD-0074</t>
  </si>
  <si>
    <t xml:space="preserve">BI-BUNDLE;OPS-SCORECARD-BUNDLE</t>
  </si>
  <si>
    <t xml:space="preserve">Not SoR: scorecards are derivative</t>
  </si>
  <si>
    <t xml:space="preserve">MOD-0075</t>
  </si>
  <si>
    <t xml:space="preserve">exceptions</t>
  </si>
  <si>
    <t xml:space="preserve">EXCEPTION-BUNDLE</t>
  </si>
  <si>
    <t xml:space="preserve">MOD-0076</t>
  </si>
  <si>
    <t xml:space="preserve">SSM workspaces</t>
  </si>
  <si>
    <t xml:space="preserve">SSM-CORE-BUNDLE</t>
  </si>
  <si>
    <t xml:space="preserve">MOD-0077</t>
  </si>
  <si>
    <t xml:space="preserve">Rich picture artifacts</t>
  </si>
  <si>
    <t xml:space="preserve">SSM-CORE-BUNDLE;GRAPH-BUNDLE</t>
  </si>
  <si>
    <t xml:space="preserve">MOD-0078</t>
  </si>
  <si>
    <t xml:space="preserve">CATWOE entries</t>
  </si>
  <si>
    <t xml:space="preserve">SSM-CORE-BUNDLE;METHOD-WORKSPACE-BUNDLE</t>
  </si>
  <si>
    <t xml:space="preserve">MOD-0079</t>
  </si>
  <si>
    <t xml:space="preserve">Conceptual models</t>
  </si>
  <si>
    <t xml:space="preserve">SSM-CORE-BUNDLE;MODEL-BUNDLE</t>
  </si>
  <si>
    <t xml:space="preserve">MOD-0080</t>
  </si>
  <si>
    <t xml:space="preserve">Gaps</t>
  </si>
  <si>
    <t xml:space="preserve">SSM-CORE-BUNDLE;GAP-BUNDLE</t>
  </si>
  <si>
    <t xml:space="preserve">MOD-0081</t>
  </si>
  <si>
    <t xml:space="preserve">Change packages</t>
  </si>
  <si>
    <t xml:space="preserve">SSM-CORE-BUNDLE;WORKFLOW-BUNDLE;CHANGE-PACK-BUNDLE</t>
  </si>
  <si>
    <t xml:space="preserve">MOD-0082</t>
  </si>
  <si>
    <t xml:space="preserve">Learning entries</t>
  </si>
  <si>
    <t xml:space="preserve">SSM-CORE-BUNDLE;LEARNING-BUNDLE</t>
  </si>
  <si>
    <t xml:space="preserve">MOD-0083</t>
  </si>
  <si>
    <t xml:space="preserve">EXPORT-BUNDLE</t>
  </si>
  <si>
    <t xml:space="preserve">Not SoR: exporter runtime</t>
  </si>
  <si>
    <t xml:space="preserve">MOD-0084</t>
  </si>
  <si>
    <t xml:space="preserve">PUBLISH-BUNDLE</t>
  </si>
  <si>
    <t xml:space="preserve">Not SoR: publication tool</t>
  </si>
  <si>
    <t xml:space="preserve">MOD-0085</t>
  </si>
  <si>
    <t xml:space="preserve">PUBLISH-BUNDLE;INTERFACE-GOV-BUNDLE</t>
  </si>
  <si>
    <t xml:space="preserve">MOD-0086</t>
  </si>
  <si>
    <t xml:space="preserve">Published evidence packs</t>
  </si>
  <si>
    <t xml:space="preserve">PUBLISH-BUNDLE;EVIDENCE-PACK-BUNDLE</t>
  </si>
  <si>
    <t xml:space="preserve">MOD-0087</t>
  </si>
  <si>
    <t xml:space="preserve">Method templates</t>
  </si>
  <si>
    <t xml:space="preserve">METHODS-BUNDLE</t>
  </si>
  <si>
    <t xml:space="preserve">MOD-0088</t>
  </si>
  <si>
    <t xml:space="preserve">Methods catalog</t>
  </si>
  <si>
    <t xml:space="preserve">METHODS-BUNDLE;LIBRARY-BUNDLE</t>
  </si>
  <si>
    <t xml:space="preserve">MOD-0089</t>
  </si>
  <si>
    <t xml:space="preserve">Hypotheses</t>
  </si>
  <si>
    <t xml:space="preserve">MOD-0090</t>
  </si>
  <si>
    <t xml:space="preserve">Lessons records</t>
  </si>
  <si>
    <t xml:space="preserve">LEARNING-BUNDLE;SEARCH-BUNDLE</t>
  </si>
  <si>
    <t xml:space="preserve">MOD-0091</t>
  </si>
  <si>
    <t xml:space="preserve">Stakeholders</t>
  </si>
  <si>
    <t xml:space="preserve">STAKEHOLDER-BUNDLE</t>
  </si>
  <si>
    <t xml:space="preserve">MOD-0092</t>
  </si>
  <si>
    <t xml:space="preserve">Concern/resistance items</t>
  </si>
  <si>
    <t xml:space="preserve">STAKEHOLDER-BUNDLE;MITIGATION-BUNDLE</t>
  </si>
  <si>
    <t xml:space="preserve">MOD-0093</t>
  </si>
  <si>
    <t xml:space="preserve">Readiness assessments</t>
  </si>
  <si>
    <t xml:space="preserve">READINESS-BUNDLE</t>
  </si>
  <si>
    <t xml:space="preserve">MOD-0094</t>
  </si>
  <si>
    <t xml:space="preserve">Values</t>
  </si>
  <si>
    <t xml:space="preserve">WOW-BUNDLE</t>
  </si>
  <si>
    <t xml:space="preserve">MOD-0095</t>
  </si>
  <si>
    <t xml:space="preserve">Narratives</t>
  </si>
  <si>
    <t xml:space="preserve">NARRATIVE-BUNDLE</t>
  </si>
  <si>
    <t xml:space="preserve">MOD-0096</t>
  </si>
  <si>
    <t xml:space="preserve">Personas</t>
  </si>
  <si>
    <t xml:space="preserve">PERSONA-BUNDLE</t>
  </si>
  <si>
    <t xml:space="preserve">MOD-0097</t>
  </si>
  <si>
    <t xml:space="preserve">Themes</t>
  </si>
  <si>
    <t xml:space="preserve">INSIGHT-BUNDLE</t>
  </si>
  <si>
    <t xml:space="preserve">MOD-0098</t>
  </si>
  <si>
    <t xml:space="preserve">LINKAGE-BUNDLE</t>
  </si>
  <si>
    <t xml:space="preserve">Not SoR: linkage UI</t>
  </si>
  <si>
    <t xml:space="preserve">MOD-0099</t>
  </si>
  <si>
    <t xml:space="preserve">BOUNDARY-BUNDLE</t>
  </si>
  <si>
    <t xml:space="preserve">Not SoR: working layer</t>
  </si>
  <si>
    <t xml:space="preserve">MOD-0100</t>
  </si>
  <si>
    <t xml:space="preserve">WORKFLOW-BUNDLE;INTERFACE-GOV-BUNDLE</t>
  </si>
  <si>
    <t xml:space="preserve">Not SoR: workflow layer</t>
  </si>
  <si>
    <t xml:space="preserve">MOD-0101</t>
  </si>
  <si>
    <t xml:space="preserve">Resolution logs</t>
  </si>
  <si>
    <t xml:space="preserve">WORKFLOW-BUNDLE;ESCALATION-BUNDLE</t>
  </si>
  <si>
    <t xml:space="preserve">MOD-0102</t>
  </si>
  <si>
    <t xml:space="preserve">Review cycles</t>
  </si>
  <si>
    <t xml:space="preserve">REVIEW-BUNDLE</t>
  </si>
  <si>
    <t xml:space="preserve">MOD-0103</t>
  </si>
  <si>
    <t xml:space="preserve">Impact assessments</t>
  </si>
  <si>
    <t xml:space="preserve">CHANGE-IMPACT-BUNDLE</t>
  </si>
  <si>
    <t xml:space="preserve">MOD-0104</t>
  </si>
  <si>
    <t xml:space="preserve">Comms plans</t>
  </si>
  <si>
    <t xml:space="preserve">COMMS-BUNDLE</t>
  </si>
  <si>
    <t xml:space="preserve">MOD-0105</t>
  </si>
  <si>
    <t xml:space="preserve">Champions network</t>
  </si>
  <si>
    <t xml:space="preserve">CHAMPION-BUNDLE</t>
  </si>
  <si>
    <t xml:space="preserve">MOD-0106</t>
  </si>
  <si>
    <t xml:space="preserve">Adoption metrics configs</t>
  </si>
  <si>
    <t xml:space="preserve">ADOPTION-MEASURE-BUNDLE</t>
  </si>
  <si>
    <t xml:space="preserve">MOD-0107</t>
  </si>
  <si>
    <t xml:space="preserve">Training plans</t>
  </si>
  <si>
    <t xml:space="preserve">TRAINING-BUNDLE</t>
  </si>
  <si>
    <t xml:space="preserve">MOD-0108</t>
  </si>
  <si>
    <t xml:space="preserve">Ethics reviews</t>
  </si>
  <si>
    <t xml:space="preserve">ETHICS-BUNDLE</t>
  </si>
  <si>
    <t xml:space="preserve">MOD-0109</t>
  </si>
  <si>
    <t xml:space="preserve">Trade-offs</t>
  </si>
  <si>
    <t xml:space="preserve">ETHICS-BUNDLE;TRADEOFF-BUNDLE</t>
  </si>
  <si>
    <t xml:space="preserve">MOD-0110</t>
  </si>
  <si>
    <t xml:space="preserve">AI-RISK-BUNDLE</t>
  </si>
  <si>
    <t xml:space="preserve">Not SoR: check runner</t>
  </si>
  <si>
    <t xml:space="preserve">MOD-0111</t>
  </si>
  <si>
    <t xml:space="preserve">IMPACT-METRIC-BUNDLE</t>
  </si>
  <si>
    <t xml:space="preserve">Not SoR: metrics runtime</t>
  </si>
  <si>
    <t xml:space="preserve">MOD-0112</t>
  </si>
  <si>
    <t xml:space="preserve">Attestations</t>
  </si>
  <si>
    <t xml:space="preserve">ATTEST-BUNDLE</t>
  </si>
  <si>
    <t xml:space="preserve">MOD-0113</t>
  </si>
  <si>
    <t xml:space="preserve">Journeys</t>
  </si>
  <si>
    <t xml:space="preserve">JOURNEY-BUNDLE</t>
  </si>
  <si>
    <t xml:space="preserve">MOD-0114</t>
  </si>
  <si>
    <t xml:space="preserve">Voice items</t>
  </si>
  <si>
    <t xml:space="preserve">VOICE-BUNDLE</t>
  </si>
  <si>
    <t xml:space="preserve">MOD-0115</t>
  </si>
  <si>
    <t xml:space="preserve">EXPERIENCE-KPI-BUNDLE</t>
  </si>
  <si>
    <t xml:space="preserve">Not SoR: KPI runtime</t>
  </si>
  <si>
    <t xml:space="preserve">MOD-0116</t>
  </si>
  <si>
    <t xml:space="preserve">TRUST-METRIC-BUNDLE</t>
  </si>
  <si>
    <t xml:space="preserve">MOD-0117</t>
  </si>
  <si>
    <t xml:space="preserve">Decision &amp; Rationale Log; Workflow Designer (Approvals/SLAs/Escalations); System-of-Record &amp; Ownership Registry; Document Management (Templates/Versioning)</t>
  </si>
  <si>
    <t xml:space="preserve">PPM Home Dashboard; My Work (Tasks &amp; Approvals); Activity Feed; Demand Intake Overview; New Demand Request (Wizard); Demand Requests Queue; Demand Request Detail; Scoring &amp; Business Case; Risk &amp; Compliance Check; Approval Status &amp; Timeline; Convert to Initiative/Project; Portfolio Overview; Portfolio Board; Prioritization Matrix; Portfolio Backlog; Scenario Compare (Prioritization); Decision Log (Linked); Governance Pack Export; Programs List; Program Detail; Program Roadmap; Program Risks &amp; Issues; Projects List; Project Detail; Milestones &amp; Plan; Dependencies Map; RAID Log; Status Update (Submit); Status Update (Approve); Documents &amp; Evidence; Roadmap Timeline; Roadmap Swimlanes; Release Train Plan; Dependency Heatmap; Capacity Overview; Team Capacity Planner; Allocation &amp; Assignments; What-if Capacity Scenario; Benefits Register; Benefit Detail &amp; KPI Linkage; Realization Tracking; Outcome Review Notes; Delivery Status Dashboard; Executive Summary Report; Schedule/Cost Variance; Resource Utilization; Benefits Realization Report; Audit &amp; Trace Export; Configuration; Templates; Roles &amp; Permissions; Integrations Status; Reference Data</t>
  </si>
  <si>
    <t xml:space="preserve">L1 Service Desk; L2 Domain App Ops; L3 Vendor / Partner</t>
  </si>
  <si>
    <t xml:space="preserve">Domain App Ops</t>
  </si>
  <si>
    <t xml:space="preserve">Vendor / Partner</t>
  </si>
  <si>
    <t xml:space="preserve">demand items</t>
  </si>
  <si>
    <t xml:space="preserve">APP-PPM-BUNDLE</t>
  </si>
  <si>
    <t xml:space="preserve">MOD-0118</t>
  </si>
  <si>
    <t xml:space="preserve">accounts</t>
  </si>
  <si>
    <t xml:space="preserve">Assist</t>
  </si>
  <si>
    <t xml:space="preserve">Summarize; Extract; Recommend; Route</t>
  </si>
  <si>
    <t xml:space="preserve">Prompt Registry; HITL; Model Registry; Eval/Drift; Logging</t>
  </si>
  <si>
    <t xml:space="preserve">Medium</t>
  </si>
  <si>
    <t xml:space="preserve">ERP-FIN-BUNDLE</t>
  </si>
  <si>
    <t xml:space="preserve">MOD-0119</t>
  </si>
  <si>
    <t xml:space="preserve">suppliers</t>
  </si>
  <si>
    <t xml:space="preserve">ERP-FIN-BUNDLE;AP-CONTROL-BUNDLE</t>
  </si>
  <si>
    <t xml:space="preserve">MOD-0120</t>
  </si>
  <si>
    <t xml:space="preserve">invoices</t>
  </si>
  <si>
    <t xml:space="preserve">ERP-FIN-BUNDLE;AR-BILLING-BUNDLE</t>
  </si>
  <si>
    <t xml:space="preserve">MOD-0121</t>
  </si>
  <si>
    <t xml:space="preserve">reconciliation runs</t>
  </si>
  <si>
    <t xml:space="preserve">ERP-RECON-BUNDLE</t>
  </si>
  <si>
    <t xml:space="preserve">MOD-0122</t>
  </si>
  <si>
    <t xml:space="preserve">close calendar</t>
  </si>
  <si>
    <t xml:space="preserve">ERP-CLOSE-BUNDLE</t>
  </si>
  <si>
    <t xml:space="preserve">MOD-0123</t>
  </si>
  <si>
    <t xml:space="preserve">intercompany transactions</t>
  </si>
  <si>
    <t xml:space="preserve">ERP-INTERCO-BUNDLE</t>
  </si>
  <si>
    <t xml:space="preserve">MOD-0124</t>
  </si>
  <si>
    <t xml:space="preserve">cash positions</t>
  </si>
  <si>
    <t xml:space="preserve">ERP-TREASURY-BUNDLE</t>
  </si>
  <si>
    <t xml:space="preserve">MOD-0125</t>
  </si>
  <si>
    <t xml:space="preserve">forecast versions</t>
  </si>
  <si>
    <t xml:space="preserve">ERP-FORECAST-BUNDLE</t>
  </si>
  <si>
    <t xml:space="preserve">MOD-0126</t>
  </si>
  <si>
    <t xml:space="preserve">Workflow Designer (Approvals/SLAs/Escalations); Audit Trail Service; Banks/SWIFT/Payments Gateway [External Provider]</t>
  </si>
  <si>
    <t xml:space="preserve">payment batches</t>
  </si>
  <si>
    <t xml:space="preserve">ERP-PAYMENT-BUNDLE</t>
  </si>
  <si>
    <t xml:space="preserve">MOD-0127</t>
  </si>
  <si>
    <t xml:space="preserve">exposures</t>
  </si>
  <si>
    <t xml:space="preserve">ERP-FX-BUNDLE</t>
  </si>
  <si>
    <t xml:space="preserve">MOD-0128</t>
  </si>
  <si>
    <t xml:space="preserve">tax determinations</t>
  </si>
  <si>
    <t xml:space="preserve">ERP-TAX-BUNDLE</t>
  </si>
  <si>
    <t xml:space="preserve">MOD-0129</t>
  </si>
  <si>
    <t xml:space="preserve">e-invoice submissions</t>
  </si>
  <si>
    <t xml:space="preserve">ERP-EINV-BUNDLE</t>
  </si>
  <si>
    <t xml:space="preserve">MOD-0130</t>
  </si>
  <si>
    <t xml:space="preserve">statutory pack versions</t>
  </si>
  <si>
    <t xml:space="preserve">ERP-STATREP-BUNDLE</t>
  </si>
  <si>
    <t xml:space="preserve">MOD-0131</t>
  </si>
  <si>
    <t xml:space="preserve">TP datasets</t>
  </si>
  <si>
    <t xml:space="preserve">TP-BUNDLE</t>
  </si>
  <si>
    <t xml:space="preserve">MOD-0132</t>
  </si>
  <si>
    <t xml:space="preserve">expense claims</t>
  </si>
  <si>
    <t xml:space="preserve">EXPENSE-BUNDLE</t>
  </si>
  <si>
    <t xml:space="preserve">MOD-0133</t>
  </si>
  <si>
    <t xml:space="preserve">card transactions</t>
  </si>
  <si>
    <t xml:space="preserve">CARD-RECON-BUNDLE</t>
  </si>
  <si>
    <t xml:space="preserve">MOD-0134</t>
  </si>
  <si>
    <t xml:space="preserve">fixed assets</t>
  </si>
  <si>
    <t xml:space="preserve">ASSET-BUNDLE</t>
  </si>
  <si>
    <t xml:space="preserve">MOD-0135</t>
  </si>
  <si>
    <t xml:space="preserve">leases</t>
  </si>
  <si>
    <t xml:space="preserve">LEASE-BUNDLE</t>
  </si>
  <si>
    <t xml:space="preserve">MOD-0136</t>
  </si>
  <si>
    <t xml:space="preserve">budgets</t>
  </si>
  <si>
    <t xml:space="preserve">EPM-PLAN-BUNDLE</t>
  </si>
  <si>
    <t xml:space="preserve">MOD-0137</t>
  </si>
  <si>
    <t xml:space="preserve">forecasts</t>
  </si>
  <si>
    <t xml:space="preserve">EPM-FORECAST-BUNDLE</t>
  </si>
  <si>
    <t xml:space="preserve">MOD-0138</t>
  </si>
  <si>
    <t xml:space="preserve">MOD-0139</t>
  </si>
  <si>
    <t xml:space="preserve">management report packs</t>
  </si>
  <si>
    <t xml:space="preserve">MGMT-REPORT-BUNDLE</t>
  </si>
  <si>
    <t xml:space="preserve">MOD-0140</t>
  </si>
  <si>
    <t xml:space="preserve">SSO / MFA; Workflow Designer (Approvals/SLAs/Escalations); Document Management (Templates/Versioning); Policy &amp; Control Library; Sanctions/KYC Screening Provider (Refinitiv/Dow Jones) [External Provider]</t>
  </si>
  <si>
    <t xml:space="preserve">MOD-0141</t>
  </si>
  <si>
    <t xml:space="preserve">API Gateway; Data Contract Registry; Workflow Designer | [OOS] Data Contract Registry is W-2; operates in degraded mode until W-2 completes</t>
  </si>
  <si>
    <t xml:space="preserve">requisitions</t>
  </si>
  <si>
    <t xml:space="preserve">PO-BUNDLE</t>
  </si>
  <si>
    <t xml:space="preserve">MOD-0142</t>
  </si>
  <si>
    <t xml:space="preserve">L1 Service Desk; L2 Domain App Ops; L3 Domain Engineering</t>
  </si>
  <si>
    <t xml:space="preserve">Domain Engineering</t>
  </si>
  <si>
    <t xml:space="preserve">goods receipts</t>
  </si>
  <si>
    <t xml:space="preserve">GRN-BUNDLE</t>
  </si>
  <si>
    <t xml:space="preserve">MOD-0143</t>
  </si>
  <si>
    <t xml:space="preserve">match outcomes</t>
  </si>
  <si>
    <t xml:space="preserve">MATCH-BUNDLE</t>
  </si>
  <si>
    <t xml:space="preserve">MOD-0144</t>
  </si>
  <si>
    <t xml:space="preserve">sourcing/procurement contracts</t>
  </si>
  <si>
    <t xml:space="preserve">CLM-CONTRACT-BUNDLE</t>
  </si>
  <si>
    <t xml:space="preserve">MOD-0145</t>
  </si>
  <si>
    <t xml:space="preserve">RFx events</t>
  </si>
  <si>
    <t xml:space="preserve">SOURCING-BUNDLE</t>
  </si>
  <si>
    <t xml:space="preserve">MOD-0146</t>
  </si>
  <si>
    <t xml:space="preserve">PAYRUN-BUNDLE</t>
  </si>
  <si>
    <t xml:space="preserve">Not SoR: orchestrates pay-run support</t>
  </si>
  <si>
    <t xml:space="preserve">MOD-0147</t>
  </si>
  <si>
    <t xml:space="preserve">supplier performance records</t>
  </si>
  <si>
    <t xml:space="preserve">SUPP-RISK-BUNDLE</t>
  </si>
  <si>
    <t xml:space="preserve">MOD-0148</t>
  </si>
  <si>
    <t xml:space="preserve">PORTAL-BUNDLE</t>
  </si>
  <si>
    <t xml:space="preserve">Not SoR: portal</t>
  </si>
  <si>
    <t xml:space="preserve">MOD-0149</t>
  </si>
  <si>
    <t xml:space="preserve">SoR &amp; Ownership Registry; Canonical ID; Data Contract Registry | [OOS] Data Contract Registry is W-2; operates in degraded mode until W-2 completes</t>
  </si>
  <si>
    <t xml:space="preserve">accounts/customers</t>
  </si>
  <si>
    <t xml:space="preserve">CRM-CORE-BUNDLE</t>
  </si>
  <si>
    <t xml:space="preserve">MOD-0150</t>
  </si>
  <si>
    <t xml:space="preserve">contacts</t>
  </si>
  <si>
    <t xml:space="preserve">CRM-CORE-BUNDLE;CONSENT-BINDING</t>
  </si>
  <si>
    <t xml:space="preserve">MOD-0151</t>
  </si>
  <si>
    <t xml:space="preserve">territories</t>
  </si>
  <si>
    <t xml:space="preserve">CRM-TERRITORY-BUNDLE</t>
  </si>
  <si>
    <t xml:space="preserve">MOD-0152</t>
  </si>
  <si>
    <t xml:space="preserve">leads</t>
  </si>
  <si>
    <t xml:space="preserve">CRM-SALES-BUNDLE</t>
  </si>
  <si>
    <t xml:space="preserve">MOD-0153</t>
  </si>
  <si>
    <t xml:space="preserve">opportunities</t>
  </si>
  <si>
    <t xml:space="preserve">CRM-SALES-BUNDLE;METRIC-BINDING</t>
  </si>
  <si>
    <t xml:space="preserve">MOD-0154</t>
  </si>
  <si>
    <t xml:space="preserve">CRM-FORECAST-BUNDLE</t>
  </si>
  <si>
    <t xml:space="preserve">MOD-0155</t>
  </si>
  <si>
    <t xml:space="preserve">visit plans</t>
  </si>
  <si>
    <t xml:space="preserve">CRM-VISIT-BUNDLE</t>
  </si>
  <si>
    <t xml:space="preserve">MOD-0156</t>
  </si>
  <si>
    <t xml:space="preserve">price lists</t>
  </si>
  <si>
    <t xml:space="preserve">CPQ-PRICE-BUNDLE</t>
  </si>
  <si>
    <t xml:space="preserve">MOD-0157</t>
  </si>
  <si>
    <t xml:space="preserve">quotes</t>
  </si>
  <si>
    <t xml:space="preserve">CPQ-QUOTE-BUNDLE</t>
  </si>
  <si>
    <t xml:space="preserve">MOD-0158</t>
  </si>
  <si>
    <t xml:space="preserve">CPQ-CLM-BRIDGE</t>
  </si>
  <si>
    <t xml:space="preserve">Not SoR: orchestrates handoff</t>
  </si>
  <si>
    <t xml:space="preserve">MOD-0159</t>
  </si>
  <si>
    <t xml:space="preserve">product configurations</t>
  </si>
  <si>
    <t xml:space="preserve">CPQ-CONFIG-BUNDLE</t>
  </si>
  <si>
    <t xml:space="preserve">MOD-0160</t>
  </si>
  <si>
    <t xml:space="preserve">cases</t>
  </si>
  <si>
    <t xml:space="preserve">SERVICE-BUNDLE</t>
  </si>
  <si>
    <t xml:space="preserve">MOD-0161</t>
  </si>
  <si>
    <t xml:space="preserve">SLA policies</t>
  </si>
  <si>
    <t xml:space="preserve">SERVICE-SLA-BUNDLE</t>
  </si>
  <si>
    <t xml:space="preserve">MOD-0162</t>
  </si>
  <si>
    <t xml:space="preserve">knowledge articles</t>
  </si>
  <si>
    <t xml:space="preserve">KB-BUNDLE</t>
  </si>
  <si>
    <t xml:space="preserve">MOD-0163</t>
  </si>
  <si>
    <t xml:space="preserve">CSAT responses</t>
  </si>
  <si>
    <t xml:space="preserve">CSAT-BUNDLE</t>
  </si>
  <si>
    <t xml:space="preserve">MOD-0164</t>
  </si>
  <si>
    <t xml:space="preserve">consents</t>
  </si>
  <si>
    <t xml:space="preserve">CONSENT-BUNDLE</t>
  </si>
  <si>
    <t xml:space="preserve">MOD-0165</t>
  </si>
  <si>
    <t xml:space="preserve">campaigns</t>
  </si>
  <si>
    <t xml:space="preserve">CAMPAIGN-BUNDLE</t>
  </si>
  <si>
    <t xml:space="preserve">MOD-0166</t>
  </si>
  <si>
    <t xml:space="preserve">journey definitions</t>
  </si>
  <si>
    <t xml:space="preserve">MOD-0167</t>
  </si>
  <si>
    <t xml:space="preserve">segments</t>
  </si>
  <si>
    <t xml:space="preserve">CDP-BUNDLE</t>
  </si>
  <si>
    <t xml:space="preserve">MOD-0168</t>
  </si>
  <si>
    <t xml:space="preserve">orders</t>
  </si>
  <si>
    <t xml:space="preserve">BRIDGE-BUNDLE</t>
  </si>
  <si>
    <t xml:space="preserve">MOD-0169</t>
  </si>
  <si>
    <t xml:space="preserve">billing runs</t>
  </si>
  <si>
    <t xml:space="preserve">BILLING-BUNDLE</t>
  </si>
  <si>
    <t xml:space="preserve">MOD-0170</t>
  </si>
  <si>
    <t xml:space="preserve">RMAs</t>
  </si>
  <si>
    <t xml:space="preserve">RMA-BUNDLE</t>
  </si>
  <si>
    <t xml:space="preserve">MOD-0171</t>
  </si>
  <si>
    <t xml:space="preserve">disputes</t>
  </si>
  <si>
    <t xml:space="preserve">DISPUTE-BUNDLE</t>
  </si>
  <si>
    <t xml:space="preserve">MOD-0172</t>
  </si>
  <si>
    <t xml:space="preserve">allocation decisions</t>
  </si>
  <si>
    <t xml:space="preserve">ATP-BUNDLE</t>
  </si>
  <si>
    <t xml:space="preserve">MOD-0173</t>
  </si>
  <si>
    <t xml:space="preserve">inventory balances</t>
  </si>
  <si>
    <t xml:space="preserve">INVENTORY-BUNDLE</t>
  </si>
  <si>
    <t xml:space="preserve">MOD-0174</t>
  </si>
  <si>
    <t xml:space="preserve">lots/serials</t>
  </si>
  <si>
    <t xml:space="preserve">TRACE-BUNDLE</t>
  </si>
  <si>
    <t xml:space="preserve">MOD-0175</t>
  </si>
  <si>
    <t xml:space="preserve">quarantine holds</t>
  </si>
  <si>
    <t xml:space="preserve">QUARANTINE-BUNDLE</t>
  </si>
  <si>
    <t xml:space="preserve">MOD-0176</t>
  </si>
  <si>
    <t xml:space="preserve">expiry policies</t>
  </si>
  <si>
    <t xml:space="preserve">FEFO-BUNDLE</t>
  </si>
  <si>
    <t xml:space="preserve">MOD-0177</t>
  </si>
  <si>
    <t xml:space="preserve">recall cases</t>
  </si>
  <si>
    <t xml:space="preserve">RECALL-BUNDLE</t>
  </si>
  <si>
    <t xml:space="preserve">MOD-0178</t>
  </si>
  <si>
    <t xml:space="preserve">warehouse tasks</t>
  </si>
  <si>
    <t xml:space="preserve">WMS-BUNDLE</t>
  </si>
  <si>
    <t xml:space="preserve">MOD-0179</t>
  </si>
  <si>
    <t xml:space="preserve">Not SoR: integration bridge</t>
  </si>
  <si>
    <t xml:space="preserve">MOD-0180</t>
  </si>
  <si>
    <t xml:space="preserve">waves</t>
  </si>
  <si>
    <t xml:space="preserve">WMS-WAVE-BUNDLE</t>
  </si>
  <si>
    <t xml:space="preserve">MOD-0181</t>
  </si>
  <si>
    <t xml:space="preserve">count events</t>
  </si>
  <si>
    <t xml:space="preserve">WMS-COUNT-BUNDLE</t>
  </si>
  <si>
    <t xml:space="preserve">MOD-0182</t>
  </si>
  <si>
    <t xml:space="preserve">scan events</t>
  </si>
  <si>
    <t xml:space="preserve">SCAN-BUNDLE</t>
  </si>
  <si>
    <t xml:space="preserve">MOD-0183</t>
  </si>
  <si>
    <t xml:space="preserve">shipments</t>
  </si>
  <si>
    <t xml:space="preserve">TMS-BUNDLE</t>
  </si>
  <si>
    <t xml:space="preserve">MOD-0184</t>
  </si>
  <si>
    <t xml:space="preserve">carriers</t>
  </si>
  <si>
    <t xml:space="preserve">CARRIER-BUNDLE</t>
  </si>
  <si>
    <t xml:space="preserve">MOD-0185</t>
  </si>
  <si>
    <t xml:space="preserve">route plans</t>
  </si>
  <si>
    <t xml:space="preserve">ROUTE-BUNDLE</t>
  </si>
  <si>
    <t xml:space="preserve">MOD-0186</t>
  </si>
  <si>
    <t xml:space="preserve">reverse shipments</t>
  </si>
  <si>
    <t xml:space="preserve">REVERSE-BUNDLE</t>
  </si>
  <si>
    <t xml:space="preserve">MOD-0187</t>
  </si>
  <si>
    <t xml:space="preserve">logistics claims</t>
  </si>
  <si>
    <t xml:space="preserve">CLAIMS-BUNDLE</t>
  </si>
  <si>
    <t xml:space="preserve">MOD-0188</t>
  </si>
  <si>
    <t xml:space="preserve">demand plans</t>
  </si>
  <si>
    <t xml:space="preserve">PLAN-DEMAND-BUNDLE</t>
  </si>
  <si>
    <t xml:space="preserve">MOD-0189</t>
  </si>
  <si>
    <t xml:space="preserve">MRP runs</t>
  </si>
  <si>
    <t xml:space="preserve">PLAN-MRP-BUNDLE</t>
  </si>
  <si>
    <t xml:space="preserve">MOD-0190</t>
  </si>
  <si>
    <t xml:space="preserve">S&amp;OP cycles</t>
  </si>
  <si>
    <t xml:space="preserve">PLAN-SOP-BUNDLE</t>
  </si>
  <si>
    <t xml:space="preserve">MOD-0191</t>
  </si>
  <si>
    <t xml:space="preserve">safety stock policies</t>
  </si>
  <si>
    <t xml:space="preserve">PLAN-SSO-BUNDLE</t>
  </si>
  <si>
    <t xml:space="preserve">MOD-0192</t>
  </si>
  <si>
    <t xml:space="preserve">capacity models</t>
  </si>
  <si>
    <t xml:space="preserve">PLAN-CAP-BUNDLE</t>
  </si>
  <si>
    <t xml:space="preserve">MOD-0193</t>
  </si>
  <si>
    <t xml:space="preserve">BOMs</t>
  </si>
  <si>
    <t xml:space="preserve">Low</t>
  </si>
  <si>
    <t xml:space="preserve">MFG-STRUCT-BUNDLE</t>
  </si>
  <si>
    <t xml:space="preserve">MOD-0194</t>
  </si>
  <si>
    <t xml:space="preserve">work orders</t>
  </si>
  <si>
    <t xml:space="preserve">MES-WO-BUNDLE</t>
  </si>
  <si>
    <t xml:space="preserve">MOD-0195</t>
  </si>
  <si>
    <t xml:space="preserve">electronic batch records</t>
  </si>
  <si>
    <t xml:space="preserve">EBR-BUNDLE</t>
  </si>
  <si>
    <t xml:space="preserve">MOD-0196</t>
  </si>
  <si>
    <t xml:space="preserve">downtime events</t>
  </si>
  <si>
    <t xml:space="preserve">OEE-BUNDLE</t>
  </si>
  <si>
    <t xml:space="preserve">MOD-0197</t>
  </si>
  <si>
    <t xml:space="preserve">co-mfg partner records</t>
  </si>
  <si>
    <t xml:space="preserve">COMFG-BUNDLE</t>
  </si>
  <si>
    <t xml:space="preserve">MOD-0198</t>
  </si>
  <si>
    <t xml:space="preserve">PM plans</t>
  </si>
  <si>
    <t xml:space="preserve">EAM-BUNDLE</t>
  </si>
  <si>
    <t xml:space="preserve">MOD-0199</t>
  </si>
  <si>
    <t xml:space="preserve">maintenance work orders</t>
  </si>
  <si>
    <t xml:space="preserve">EAM-WO-BUNDLE</t>
  </si>
  <si>
    <t xml:space="preserve">MOD-0200</t>
  </si>
  <si>
    <t xml:space="preserve">calibration schedules</t>
  </si>
  <si>
    <t xml:space="preserve">CAL-BUNDLE</t>
  </si>
  <si>
    <t xml:space="preserve">MOD-0201</t>
  </si>
  <si>
    <t xml:space="preserve">spares catalog</t>
  </si>
  <si>
    <t xml:space="preserve">SPARES-BUNDLE</t>
  </si>
  <si>
    <t xml:space="preserve">MOD-0202</t>
  </si>
  <si>
    <t xml:space="preserve">samples</t>
  </si>
  <si>
    <t xml:space="preserve">LIMS-BUNDLE</t>
  </si>
  <si>
    <t xml:space="preserve">MOD-0203</t>
  </si>
  <si>
    <t xml:space="preserve">test results</t>
  </si>
  <si>
    <t xml:space="preserve">COA-BUNDLE</t>
  </si>
  <si>
    <t xml:space="preserve">MOD-0204</t>
  </si>
  <si>
    <t xml:space="preserve">stability studies</t>
  </si>
  <si>
    <t xml:space="preserve">STABILITY-BUNDLE</t>
  </si>
  <si>
    <t xml:space="preserve">MOD-0205</t>
  </si>
  <si>
    <t xml:space="preserve">trend analyses</t>
  </si>
  <si>
    <t xml:space="preserve">QUALITY-TREND-BUNDLE</t>
  </si>
  <si>
    <t xml:space="preserve">MOD-0206</t>
  </si>
  <si>
    <t xml:space="preserve">controlled quality documents</t>
  </si>
  <si>
    <t xml:space="preserve">Governed-AI</t>
  </si>
  <si>
    <t xml:space="preserve">High</t>
  </si>
  <si>
    <t xml:space="preserve">ASSURANCE-APP-BUNDLE</t>
  </si>
  <si>
    <t xml:space="preserve">MOD-0207</t>
  </si>
  <si>
    <t xml:space="preserve">deviations</t>
  </si>
  <si>
    <t xml:space="preserve">ASSURANCE-APP-BUNDLE;CASE-BUNDLE</t>
  </si>
  <si>
    <t xml:space="preserve">MOD-0208</t>
  </si>
  <si>
    <t xml:space="preserve">CAPA records</t>
  </si>
  <si>
    <t xml:space="preserve">ASSURANCE-APP-BUNDLE;ACTION-BUNDLE</t>
  </si>
  <si>
    <t xml:space="preserve">MOD-0209</t>
  </si>
  <si>
    <t xml:space="preserve">regulated change requests</t>
  </si>
  <si>
    <t xml:space="preserve">ASSURANCE-APP-BUNDLE;CHANGE-BUNDLE</t>
  </si>
  <si>
    <t xml:space="preserve">MOD-0210</t>
  </si>
  <si>
    <t xml:space="preserve">SCARs</t>
  </si>
  <si>
    <t xml:space="preserve">ASSURANCE-APP-BUNDLE;SUPPLIER-QUALITY-BUNDLE</t>
  </si>
  <si>
    <t xml:space="preserve">MOD-0211</t>
  </si>
  <si>
    <t xml:space="preserve">complaints</t>
  </si>
  <si>
    <t xml:space="preserve">ASSURANCE-APP-BUNDLE;COMPLAINT-BUNDLE</t>
  </si>
  <si>
    <t xml:space="preserve">MOD-0212</t>
  </si>
  <si>
    <t xml:space="preserve">policy lifecycle states</t>
  </si>
  <si>
    <t xml:space="preserve">GRC-BUNDLE</t>
  </si>
  <si>
    <t xml:space="preserve">MOD-0213</t>
  </si>
  <si>
    <t xml:space="preserve">risks</t>
  </si>
  <si>
    <t xml:space="preserve">GRC-BUNDLE;RISK-BUNDLE</t>
  </si>
  <si>
    <t xml:space="preserve">MOD-0214</t>
  </si>
  <si>
    <t xml:space="preserve">audits</t>
  </si>
  <si>
    <t xml:space="preserve">GRC-BUNDLE;AUDIT-MGMT-BUNDLE</t>
  </si>
  <si>
    <t xml:space="preserve">MOD-0215</t>
  </si>
  <si>
    <t xml:space="preserve">findings</t>
  </si>
  <si>
    <t xml:space="preserve">GRC-BUNDLE;REMEDIATION-BUNDLE</t>
  </si>
  <si>
    <t xml:space="preserve">MOD-0216</t>
  </si>
  <si>
    <t xml:space="preserve">third-party assessments</t>
  </si>
  <si>
    <t xml:space="preserve">GRC-BUNDLE;TPRM-BUNDLE</t>
  </si>
  <si>
    <t xml:space="preserve">MOD-0217</t>
  </si>
  <si>
    <t xml:space="preserve">contracts</t>
  </si>
  <si>
    <t xml:space="preserve">LEGAL-BUNDLE</t>
  </si>
  <si>
    <t xml:space="preserve">MOD-0218</t>
  </si>
  <si>
    <t xml:space="preserve">clauses</t>
  </si>
  <si>
    <t xml:space="preserve">LEGAL-BUNDLE;CLAUSE-BUNDLE</t>
  </si>
  <si>
    <t xml:space="preserve">MOD-0219</t>
  </si>
  <si>
    <t xml:space="preserve">obligations</t>
  </si>
  <si>
    <t xml:space="preserve">LEGAL-BUNDLE;OBLIGATION-BUNDLE</t>
  </si>
  <si>
    <t xml:space="preserve">MOD-0220</t>
  </si>
  <si>
    <t xml:space="preserve">legal entities</t>
  </si>
  <si>
    <t xml:space="preserve">LEGAL-BUNDLE;ENTITY-BUNDLE</t>
  </si>
  <si>
    <t xml:space="preserve">MOD-0221</t>
  </si>
  <si>
    <t xml:space="preserve">incidents</t>
  </si>
  <si>
    <t xml:space="preserve">ITSM-BUNDLE</t>
  </si>
  <si>
    <t xml:space="preserve">MOD-0222</t>
  </si>
  <si>
    <t xml:space="preserve">service requests</t>
  </si>
  <si>
    <t xml:space="preserve">ITSM-BUNDLE;REQUEST-BUNDLE</t>
  </si>
  <si>
    <t xml:space="preserve">MOD-0223</t>
  </si>
  <si>
    <t xml:space="preserve">problems</t>
  </si>
  <si>
    <t xml:space="preserve">ITSM-BUNDLE;PROBLEM-BUNDLE</t>
  </si>
  <si>
    <t xml:space="preserve">MOD-0224</t>
  </si>
  <si>
    <t xml:space="preserve">IT changes</t>
  </si>
  <si>
    <t xml:space="preserve">ITSM-BUNDLE;ITIL-CHANGE-BUNDLE</t>
  </si>
  <si>
    <t xml:space="preserve">MOD-0225</t>
  </si>
  <si>
    <t xml:space="preserve">CIs</t>
  </si>
  <si>
    <t xml:space="preserve">ITSM-BUNDLE;CMDB-BUNDLE</t>
  </si>
  <si>
    <t xml:space="preserve">MOD-0226</t>
  </si>
  <si>
    <t xml:space="preserve">service offerings</t>
  </si>
  <si>
    <t xml:space="preserve">ITSM-BUNDLE;CATALOG-BUNDLE</t>
  </si>
  <si>
    <t xml:space="preserve">MOD-0227</t>
  </si>
  <si>
    <t xml:space="preserve">L1 Service Desk; L2 Governance Ops; L3 Vendor / Partner</t>
  </si>
  <si>
    <t xml:space="preserve">control↔evidence mappings</t>
  </si>
  <si>
    <t xml:space="preserve">EVID-AUTO-BUNDLE</t>
  </si>
  <si>
    <t xml:space="preserve">MOD-0228</t>
  </si>
  <si>
    <t xml:space="preserve">EVID-AUTO-BUNDLE;CONNECTOR-BUNDLE</t>
  </si>
  <si>
    <t xml:space="preserve">Not SoR: evidence itself</t>
  </si>
  <si>
    <t xml:space="preserve">MOD-0229</t>
  </si>
  <si>
    <t xml:space="preserve">audit pack manifests/exports</t>
  </si>
  <si>
    <t xml:space="preserve">EVID-AUTO-BUNDLE;PACK-BUNDLE</t>
  </si>
  <si>
    <t xml:space="preserve">MOD-0230</t>
  </si>
  <si>
    <t xml:space="preserve">Safety Cases</t>
  </si>
  <si>
    <t xml:space="preserve">REG-PV-BASE</t>
  </si>
  <si>
    <t xml:space="preserve">MOD-0231</t>
  </si>
  <si>
    <t xml:space="preserve">Safety Case master record</t>
  </si>
  <si>
    <t xml:space="preserve">REG-PV-BASE;CASE-LIFECYCLE</t>
  </si>
  <si>
    <t xml:space="preserve">MOD-0232</t>
  </si>
  <si>
    <t xml:space="preserve">Coded terms on Safety Case</t>
  </si>
  <si>
    <t xml:space="preserve">MOD-0233</t>
  </si>
  <si>
    <t xml:space="preserve">Case Processing; Records Management (Retention/Legal Hold); e-Signature Service; Regulatory Gateways (FDA/EMA/PMDA) [External Provider]</t>
  </si>
  <si>
    <t xml:space="preserve">Submission packages</t>
  </si>
  <si>
    <t xml:space="preserve">MOD-0234</t>
  </si>
  <si>
    <t xml:space="preserve">Signals</t>
  </si>
  <si>
    <t xml:space="preserve">REG-SIGNAL-BASE</t>
  </si>
  <si>
    <t xml:space="preserve">MOD-0235</t>
  </si>
  <si>
    <t xml:space="preserve">PV quality reviews</t>
  </si>
  <si>
    <t xml:space="preserve">REG-QA-BASE</t>
  </si>
  <si>
    <t xml:space="preserve">MOD-0236</t>
  </si>
  <si>
    <t xml:space="preserve">Dossiers</t>
  </si>
  <si>
    <t xml:space="preserve">REG-RIM-BASE</t>
  </si>
  <si>
    <t xml:space="preserve">MOD-0237</t>
  </si>
  <si>
    <t xml:space="preserve">Variations</t>
  </si>
  <si>
    <t xml:space="preserve">MOD-0238</t>
  </si>
  <si>
    <t xml:space="preserve">Labels</t>
  </si>
  <si>
    <t xml:space="preserve">MOD-0239</t>
  </si>
  <si>
    <t xml:space="preserve">Country requirements</t>
  </si>
  <si>
    <t xml:space="preserve">REG-RIM-BASE;REQ-MATRIX</t>
  </si>
  <si>
    <t xml:space="preserve">MOD-0240</t>
  </si>
  <si>
    <t xml:space="preserve">Studies</t>
  </si>
  <si>
    <t xml:space="preserve">REG-CLIN-BASE</t>
  </si>
  <si>
    <t xml:space="preserve">MOD-0241</t>
  </si>
  <si>
    <t xml:space="preserve">Sites</t>
  </si>
  <si>
    <t xml:space="preserve">MOD-0242</t>
  </si>
  <si>
    <t xml:space="preserve">Monitoring visits/tasks</t>
  </si>
  <si>
    <t xml:space="preserve">MOD-0243</t>
  </si>
  <si>
    <t xml:space="preserve">INTEG-REG-BRIDGE</t>
  </si>
  <si>
    <t xml:space="preserve">Not SoR</t>
  </si>
  <si>
    <t xml:space="preserve">MOD-0244</t>
  </si>
  <si>
    <t xml:space="preserve">INTEG-REG-BRIDGE;SAFETY-LINK</t>
  </si>
  <si>
    <t xml:space="preserve">MOD-0245</t>
  </si>
  <si>
    <t xml:space="preserve">SERIAL-INTEG-BASE</t>
  </si>
  <si>
    <t xml:space="preserve">MOD-0246</t>
  </si>
  <si>
    <t xml:space="preserve">Verification actions</t>
  </si>
  <si>
    <t xml:space="preserve">SERIAL-EXEC-BASE</t>
  </si>
  <si>
    <t xml:space="preserve">MOD-0247</t>
  </si>
  <si>
    <t xml:space="preserve">Serialization Repository Integration; EDI Hub (B2B Orders/Invoices/ASNs); Records Management (Retention/Legal Hold); Serialization Networks (EU Hub/DSCSA) [External Provider]</t>
  </si>
  <si>
    <t xml:space="preserve">Submission logs</t>
  </si>
  <si>
    <t xml:space="preserve">SERIAL-COMPLIANCE-BUNDLE</t>
  </si>
  <si>
    <t xml:space="preserve">MOD-0248</t>
  </si>
  <si>
    <t xml:space="preserve">L1 Service Desk; L2 Regulated Ops; L3 Vendor / Partner</t>
  </si>
  <si>
    <t xml:space="preserve">Regulated Ops</t>
  </si>
  <si>
    <t xml:space="preserve">Validation plans</t>
  </si>
  <si>
    <t xml:space="preserve">GXP-VAL-BASE</t>
  </si>
  <si>
    <t xml:space="preserve">MOD-0249</t>
  </si>
  <si>
    <t xml:space="preserve">Qualification evidence structures</t>
  </si>
  <si>
    <t xml:space="preserve">MOD-0250</t>
  </si>
  <si>
    <t xml:space="preserve">Validation reports</t>
  </si>
  <si>
    <t xml:space="preserve">MOD-0251</t>
  </si>
  <si>
    <t xml:space="preserve">Human Capital Management Foundation</t>
  </si>
  <si>
    <t xml:space="preserve">Core HR Master</t>
  </si>
  <si>
    <t xml:space="preserve">Own internal employee legal profile, employment status, job, and employment record foundation for HCM and TEP.</t>
  </si>
  <si>
    <t xml:space="preserve">Core HR / Employee Master</t>
  </si>
  <si>
    <t xml:space="preserve">RBAC / ABAC Authorization; Audit Trail Service; Workflow Designer; Records Management / Retention / Legal Hold; Reference Data / Lookups; Taxonomy / Semantic Tagging</t>
  </si>
  <si>
    <t xml:space="preserve">Internal employee master and employment record foundation for HCM and TEP.</t>
  </si>
  <si>
    <t xml:space="preserve">Employee Master; Employee Profile; Employment Record; Job/Employment Timeline</t>
  </si>
  <si>
    <t xml:space="preserve">Internal owner: Employee; Employment Record; Job Assignment</t>
  </si>
  <si>
    <t xml:space="preserve">L1 Service Desk; L2 People Ops; L3 HCM Product Engineering</t>
  </si>
  <si>
    <t xml:space="preserve">DOMAIN-APP-BASE + HCM-CORE-BUNDLE</t>
  </si>
  <si>
    <t xml:space="preserve">HCM Foundation App</t>
  </si>
  <si>
    <t xml:space="preserve">People Ops / IAM Ops</t>
  </si>
  <si>
    <t xml:space="preserve">HCM Product Engineering</t>
  </si>
  <si>
    <t xml:space="preserve">Employee; Employment Record; Job Assignment</t>
  </si>
  <si>
    <t xml:space="preserve">HR Foundation MVP</t>
  </si>
  <si>
    <t xml:space="preserve">EXT-BASE</t>
  </si>
  <si>
    <t xml:space="preserve">Internal HCM master with native HCM ownership.</t>
  </si>
  <si>
    <t xml:space="preserve">MOD-0252</t>
  </si>
  <si>
    <t xml:space="preserve">7) External Systems &amp; Providers</t>
  </si>
  <si>
    <t xml:space="preserve">External Systems Register</t>
  </si>
  <si>
    <t xml:space="preserve">Represent external enterprise systems and providers for governed integration, dependency gating, and risk management.</t>
  </si>
  <si>
    <t xml:space="preserve">ERP Core (SAP/Oracle/Dynamics) [External SoR]</t>
  </si>
  <si>
    <t xml:space="preserve">External External SoR supporting governed integration: Finance; Inventory; Product (if ERP); Supplier; Customer</t>
  </si>
  <si>
    <t xml:space="preserve">External System Profile; Integration/Contract Profile</t>
  </si>
  <si>
    <t xml:space="preserve">EXT-BASE (SSO/RBAC context; Audit hooks; Contract IDs; OTel; Correlation-ID)</t>
  </si>
  <si>
    <t xml:space="preserve">Finance; Inventory; Product (if ERP); Supplier; Customer</t>
  </si>
  <si>
    <t xml:space="preserve">L1 Service Desk; L2 ERP Ops; L3 Vendor/Partner</t>
  </si>
  <si>
    <t xml:space="preserve">EXT-SOR</t>
  </si>
  <si>
    <t xml:space="preserve">External System</t>
  </si>
  <si>
    <t xml:space="preserve">ERP Ops</t>
  </si>
  <si>
    <t xml:space="preserve">Vendor/Partner</t>
  </si>
  <si>
    <t xml:space="preserve">MOD-0253</t>
  </si>
  <si>
    <t xml:space="preserve">PLM (Teamcenter/Windchill/3DEXPERIENCE) [External SoR]</t>
  </si>
  <si>
    <t xml:space="preserve">External External SoR supporting governed integration: Product Specs; BOM; Revisions</t>
  </si>
  <si>
    <t xml:space="preserve">Product Specs; BOM; Revisions</t>
  </si>
  <si>
    <t xml:space="preserve">L1 Service Desk; L2 PLM Ops; L3 Vendor/Partner</t>
  </si>
  <si>
    <t xml:space="preserve">PLM Ops</t>
  </si>
  <si>
    <t xml:space="preserve">MOD-0254</t>
  </si>
  <si>
    <t xml:space="preserve">CRM (Salesforce/Dynamics) [External SoR]</t>
  </si>
  <si>
    <t xml:space="preserve">External External SoR supporting governed integration: Customer/Account; Contact; Opportunities</t>
  </si>
  <si>
    <t xml:space="preserve">Customer/Account; Contact; Opportunities</t>
  </si>
  <si>
    <t xml:space="preserve">L1 Service Desk; L2 CRM Ops; L3 Vendor/Partner</t>
  </si>
  <si>
    <t xml:space="preserve">CRM Ops</t>
  </si>
  <si>
    <t xml:space="preserve">MOD-0255</t>
  </si>
  <si>
    <t xml:space="preserve">Procurement Suite (Ariba/Coupa) [External SoR]</t>
  </si>
  <si>
    <t xml:space="preserve">External External SoR supporting governed integration: Supplier; PO; Invoice (P2P)</t>
  </si>
  <si>
    <t xml:space="preserve">Supplier; PO; Invoice (P2P)</t>
  </si>
  <si>
    <t xml:space="preserve">L1 Service Desk; L2 Procurement Ops; L3 Vendor/Partner</t>
  </si>
  <si>
    <t xml:space="preserve">Procurement Ops</t>
  </si>
  <si>
    <t xml:space="preserve">MOD-0256</t>
  </si>
  <si>
    <t xml:space="preserve">ITSM Tool (ServiceNow/JSM) [External SoR]</t>
  </si>
  <si>
    <t xml:space="preserve">External External SoR supporting governed integration: Incidents; Changes; CMDB</t>
  </si>
  <si>
    <t xml:space="preserve">Incidents; Changes; CMDB</t>
  </si>
  <si>
    <t xml:space="preserve">L1 Service Desk; L2 Service Desk; L3 Vendor/Partner</t>
  </si>
  <si>
    <t xml:space="preserve">MOD-0257</t>
  </si>
  <si>
    <t xml:space="preserve">eTMF System (Veeva Vault eTMF/Medidata) [External SoR]</t>
  </si>
  <si>
    <t xml:space="preserve">External External SoR supporting governed integration: Trial Master File Documents; Completeness</t>
  </si>
  <si>
    <t xml:space="preserve">Trial Master File Documents; Completeness</t>
  </si>
  <si>
    <t xml:space="preserve">L1 Service Desk; L2 Clinical Systems Ops; L3 Vendor/Partner</t>
  </si>
  <si>
    <t xml:space="preserve">Clinical Systems Ops</t>
  </si>
  <si>
    <t xml:space="preserve">MOD-0258</t>
  </si>
  <si>
    <t xml:space="preserve">PV System (Argus/ArisG) [External SoR]</t>
  </si>
  <si>
    <t xml:space="preserve">External External SoR supporting governed integration: Safety Cases; Assessments</t>
  </si>
  <si>
    <t xml:space="preserve">Safety Cases; Assessments</t>
  </si>
  <si>
    <t xml:space="preserve">L1 Service Desk; L2 PV Ops / Safety Systems; L3 Vendor/Partner</t>
  </si>
  <si>
    <t xml:space="preserve">PV Ops / Safety Systems</t>
  </si>
  <si>
    <t xml:space="preserve">MOD-0259</t>
  </si>
  <si>
    <t xml:space="preserve">RIM System (Veeva Vault RIM) [External SoR]</t>
  </si>
  <si>
    <t xml:space="preserve">External External SoR supporting governed integration: Dossiers; Submissions; Labeling</t>
  </si>
  <si>
    <t xml:space="preserve">Dossiers; Submissions; Labeling</t>
  </si>
  <si>
    <t xml:space="preserve">L1 Service Desk; L2 Reg Systems Ops; L3 Vendor/Partner</t>
  </si>
  <si>
    <t xml:space="preserve">Reg Systems Ops</t>
  </si>
  <si>
    <t xml:space="preserve">MOD-0260</t>
  </si>
  <si>
    <t xml:space="preserve">Serialization Repository (TraceLink/Arvato) [External SoR]</t>
  </si>
  <si>
    <t xml:space="preserve">External External SoR supporting governed integration: Serial Numbers; Aggregation; Verification</t>
  </si>
  <si>
    <t xml:space="preserve">Serial Numbers; Aggregation; Verification</t>
  </si>
  <si>
    <t xml:space="preserve">L1 Service Desk; L2 Serialization Ops; L3 Vendor/Partner</t>
  </si>
  <si>
    <t xml:space="preserve">Serialization Ops</t>
  </si>
  <si>
    <t xml:space="preserve">MOD-0261</t>
  </si>
  <si>
    <t xml:space="preserve">Identity Provider (Azure AD/Okta) [External Provider]</t>
  </si>
  <si>
    <t xml:space="preserve">External External Provider supporting governed integration: Authentication; Claims</t>
  </si>
  <si>
    <t xml:space="preserve">Authentication; Claims</t>
  </si>
  <si>
    <t xml:space="preserve">L1 Service Desk; L2 IAM Ops; L3 Vendor/Partner</t>
  </si>
  <si>
    <t xml:space="preserve">EXT-PROVIDER</t>
  </si>
  <si>
    <t xml:space="preserve">IAM Ops</t>
  </si>
  <si>
    <t xml:space="preserve">MOD-0262</t>
  </si>
  <si>
    <t xml:space="preserve">Documentation &amp; Evidence Services</t>
  </si>
  <si>
    <t xml:space="preserve">Internal Document Repository</t>
  </si>
  <si>
    <t xml:space="preserve">Provide internal document repository service for controlled document binaries and evidence packages without external storage dependency.</t>
  </si>
  <si>
    <t xml:space="preserve">Internal Document Repository Service</t>
  </si>
  <si>
    <t xml:space="preserve">RBAC / ABAC Authorization; Audit Trail Service; Records Management / Retention / Legal Hold; Evidence Linking Service</t>
  </si>
  <si>
    <t xml:space="preserve">Internal document storage for evidence, controlled document, and reference packages.</t>
  </si>
  <si>
    <t xml:space="preserve">Repository Admin; Evidence Package Storage; Document Binary Store; Repository Health</t>
  </si>
  <si>
    <t xml:space="preserve">Platform Service</t>
  </si>
  <si>
    <t xml:space="preserve">DOC-REPO-BUNDLE</t>
  </si>
  <si>
    <t xml:space="preserve">Document binaries; evidence packages; repository objects</t>
  </si>
  <si>
    <t xml:space="preserve">DOCS-BASE + DOC-REPO-BUNDLE</t>
  </si>
  <si>
    <t xml:space="preserve">Platform Document Service</t>
  </si>
  <si>
    <t xml:space="preserve">Collaboration Ops</t>
  </si>
  <si>
    <t xml:space="preserve">Internal document repository service with native platform ownership.</t>
  </si>
  <si>
    <t xml:space="preserve">MOD-0263</t>
  </si>
  <si>
    <t xml:space="preserve">Messaging Provider (Twilio/Infobip/SendGrid) [External Provider]</t>
  </si>
  <si>
    <t xml:space="preserve">External External Provider supporting governed integration: Notifications</t>
  </si>
  <si>
    <t xml:space="preserve">Notifications</t>
  </si>
  <si>
    <t xml:space="preserve">L1 Service Desk; L2 Platform Ops; L3 Vendor/Partner</t>
  </si>
  <si>
    <t xml:space="preserve">MOD-0264</t>
  </si>
  <si>
    <t xml:space="preserve">e-Sign Vendor (DocuSign/Adobe Sign) [External Provider]</t>
  </si>
  <si>
    <t xml:space="preserve">External External Provider supporting governed integration: Signature envelopes</t>
  </si>
  <si>
    <t xml:space="preserve">MOD-0265</t>
  </si>
  <si>
    <t xml:space="preserve">Observability/SIEM (Splunk/Datadog/New Relic) [External Provider]</t>
  </si>
  <si>
    <t xml:space="preserve">External External Provider supporting governed integration: Telemetry</t>
  </si>
  <si>
    <t xml:space="preserve">Telemetry</t>
  </si>
  <si>
    <t xml:space="preserve">L1 Service Desk; L2 SRE/SecOps; L3 Vendor/Partner</t>
  </si>
  <si>
    <t xml:space="preserve">SRE/SecOps</t>
  </si>
  <si>
    <t xml:space="preserve">MOD-0266</t>
  </si>
  <si>
    <t xml:space="preserve">Cloud Infrastructure (AWS/Azure/GCP) [External Provider]</t>
  </si>
  <si>
    <t xml:space="preserve">External External Provider supporting governed integration: Compute/Storage/KMS/Network</t>
  </si>
  <si>
    <t xml:space="preserve">Compute/Storage/KMS/Network</t>
  </si>
  <si>
    <t xml:space="preserve">L1 Service Desk; L2 CloudOps; L3 Vendor/Partner</t>
  </si>
  <si>
    <t xml:space="preserve">CloudOps</t>
  </si>
  <si>
    <t xml:space="preserve">MOD-0267</t>
  </si>
  <si>
    <t xml:space="preserve">CI/CD &amp; Source Control (GitHub/GitLab/Azure DevOps) [External Provider]</t>
  </si>
  <si>
    <t xml:space="preserve">External External Provider supporting governed integration: Repos; Pipelines; Build logs</t>
  </si>
  <si>
    <t xml:space="preserve">Repos; Pipelines; Build logs</t>
  </si>
  <si>
    <t xml:space="preserve">L1 Service Desk; L2 DevOps; L3 Vendor/Partner</t>
  </si>
  <si>
    <t xml:space="preserve">DevOps</t>
  </si>
  <si>
    <t xml:space="preserve">MOD-0268</t>
  </si>
  <si>
    <t xml:space="preserve">Artifact/Container Registry (ECR/ACR/Nexus/Artifactory) [External Provider]</t>
  </si>
  <si>
    <t xml:space="preserve">External External Provider supporting governed integration: Artifacts; Images</t>
  </si>
  <si>
    <t xml:space="preserve">Artifacts; Images</t>
  </si>
  <si>
    <t xml:space="preserve">MOD-0269</t>
  </si>
  <si>
    <t xml:space="preserve">Banks/SWIFT/Payments Gateway [External Provider]</t>
  </si>
  <si>
    <t xml:space="preserve">External External Provider supporting governed integration: Payments; Statements</t>
  </si>
  <si>
    <t xml:space="preserve">Payments; Statements</t>
  </si>
  <si>
    <t xml:space="preserve">L1 Service Desk; L2 Treasury Ops; L3 Vendor/Partner</t>
  </si>
  <si>
    <t xml:space="preserve">Treasury Ops</t>
  </si>
  <si>
    <t xml:space="preserve">MOD-0270</t>
  </si>
  <si>
    <t xml:space="preserve">Sanctions/KYC Screening Provider (Refinitiv/Dow Jones) [External Provider]</t>
  </si>
  <si>
    <t xml:space="preserve">External External Provider supporting governed integration: Screening results</t>
  </si>
  <si>
    <t xml:space="preserve">Screening results</t>
  </si>
  <si>
    <t xml:space="preserve">L1 Service Desk; L2 Compliance Ops; L3 Vendor/Partner</t>
  </si>
  <si>
    <t xml:space="preserve">Compliance Ops</t>
  </si>
  <si>
    <t xml:space="preserve">MOD-0271</t>
  </si>
  <si>
    <t xml:space="preserve">Tax Engine (Vertex/Avalara) [External Provider]</t>
  </si>
  <si>
    <t xml:space="preserve">External External Provider supporting governed integration: Tax determination</t>
  </si>
  <si>
    <t xml:space="preserve">Tax determination</t>
  </si>
  <si>
    <t xml:space="preserve">L1 Service Desk; L2 Tax Ops; L3 Vendor/Partner</t>
  </si>
  <si>
    <t xml:space="preserve">Tax Ops</t>
  </si>
  <si>
    <t xml:space="preserve">MOD-0272</t>
  </si>
  <si>
    <t xml:space="preserve">Regulatory Gateways (FDA/EMA/PMDA) [External Provider]</t>
  </si>
  <si>
    <t xml:space="preserve">External External Provider supporting governed integration: Submission receipts</t>
  </si>
  <si>
    <t xml:space="preserve">Submission receipts</t>
  </si>
  <si>
    <t xml:space="preserve">L1 Service Desk; L2 Reg Ops; L3 Vendor/Partner</t>
  </si>
  <si>
    <t xml:space="preserve">Reg Ops</t>
  </si>
  <si>
    <t xml:space="preserve">MOD-0273</t>
  </si>
  <si>
    <t xml:space="preserve">Serialization Networks (EU Hub/DSCSA) [External Provider]</t>
  </si>
  <si>
    <t xml:space="preserve">External External Provider supporting governed integration: Verification; network acks</t>
  </si>
  <si>
    <t xml:space="preserve">Verification; network acks</t>
  </si>
  <si>
    <t xml:space="preserve">MOD-0274</t>
  </si>
  <si>
    <t xml:space="preserve">EDI Network/VAN (OpenText/SPS Commerce) [External Provider]</t>
  </si>
  <si>
    <t xml:space="preserve">External External Provider supporting governed integration: Partner EDI transport</t>
  </si>
  <si>
    <t xml:space="preserve">Partner EDI transport</t>
  </si>
  <si>
    <t xml:space="preserve">L1 Service Desk; L2 Integration Ops; L3 Vendor/Partner</t>
  </si>
  <si>
    <t xml:space="preserve">Integration Ops</t>
  </si>
  <si>
    <t xml:space="preserve">MOD-0275</t>
  </si>
  <si>
    <t xml:space="preserve">Fraud/AML Screening Provider [External Provider]</t>
  </si>
  <si>
    <t xml:space="preserve">External External Provider supporting governed integration: Screening outputs</t>
  </si>
  <si>
    <t xml:space="preserve">Screening outputs</t>
  </si>
  <si>
    <t xml:space="preserve">L1 Service Desk; L2 Risk Ops; L3 Vendor/Partner</t>
  </si>
  <si>
    <t xml:space="preserve">Risk Ops</t>
  </si>
  <si>
    <t xml:space="preserve">MOD-0276</t>
  </si>
  <si>
    <t xml:space="preserve">Business Registry / Enrichment (D&amp;B/Experian) [External Provider]</t>
  </si>
  <si>
    <t xml:space="preserve">External External Provider supporting governed integration: Company enrichment</t>
  </si>
  <si>
    <t xml:space="preserve">Company enrichment</t>
  </si>
  <si>
    <t xml:space="preserve">L1 Service Desk; L2 Data Ops; L3 Vendor/Partner</t>
  </si>
  <si>
    <t xml:space="preserve">MOD-0277</t>
  </si>
  <si>
    <t xml:space="preserve">FX Rates Provider (Reuters/ECB) [External Provider]</t>
  </si>
  <si>
    <t xml:space="preserve">External External Provider supporting governed integration: FX rates</t>
  </si>
  <si>
    <t xml:space="preserve">FX rates</t>
  </si>
  <si>
    <t xml:space="preserve">MOD-0278</t>
  </si>
  <si>
    <t xml:space="preserve">BI/Visualization Tool (Power BI/Tableau/Looker) [External Provider]</t>
  </si>
  <si>
    <t xml:space="preserve">External External Provider supporting governed integration: Reports/Dashboards</t>
  </si>
  <si>
    <t xml:space="preserve">Reports/Dashboards</t>
  </si>
  <si>
    <t xml:space="preserve">L1 Service Desk; L2 BI Ops; L3 Vendor/Partner</t>
  </si>
  <si>
    <t xml:space="preserve">BI Ops</t>
  </si>
  <si>
    <t xml:space="preserve">MOD-0279</t>
  </si>
  <si>
    <t xml:space="preserve">Payroll, Time &amp; Compensation</t>
  </si>
  <si>
    <t xml:space="preserve">Own internal payroll calculation, payroll runs, payslips, and payroll result records.</t>
  </si>
  <si>
    <t xml:space="preserve">Native Payroll Engine</t>
  </si>
  <si>
    <t xml:space="preserve">Core HR / Employee Master; Organization, Person &amp; Position Directory; RBAC / ABAC Authorization; Audit Trail Service; Records Management / Retention / Legal Hold</t>
  </si>
  <si>
    <t xml:space="preserve">Native payroll calculation and payroll run management.</t>
  </si>
  <si>
    <t xml:space="preserve">Payroll Run Workspace; Payslip Record; Earnings/Deductions Setup; Payroll Exception Queue</t>
  </si>
  <si>
    <t xml:space="preserve">Domain App (HCM Payroll)</t>
  </si>
  <si>
    <t xml:space="preserve">PAYROLL-CORE-BUNDLE</t>
  </si>
  <si>
    <t xml:space="preserve">Internal owner: Payroll; Pay Run; Payslip; Earnings/Deductions</t>
  </si>
  <si>
    <t xml:space="preserve">L1 Service Desk; L2 Payroll Ops; L3 HCM Product Engineering</t>
  </si>
  <si>
    <t xml:space="preserve">DOMAIN-APP-BASE + PAYROLL-CORE-BUNDLE</t>
  </si>
  <si>
    <t xml:space="preserve">HCM Payroll App</t>
  </si>
  <si>
    <t xml:space="preserve">ITSM - Service Desk</t>
  </si>
  <si>
    <t xml:space="preserve">Payroll; Pay Run; Payslip; Earnings/Deductions</t>
  </si>
  <si>
    <t xml:space="preserve">HR Completion</t>
  </si>
  <si>
    <t xml:space="preserve">Native payroll engine with internal payroll ownership.</t>
  </si>
  <si>
    <t xml:space="preserve">MOD-0280</t>
  </si>
  <si>
    <t xml:space="preserve">Own internal time entry, attendance, schedules, absence, and leave-balance management.</t>
  </si>
  <si>
    <t xml:space="preserve">Time, Attendance &amp; Leave Management</t>
  </si>
  <si>
    <t xml:space="preserve">Core HR / Employee Master; Organization, Person &amp; Position Directory; RBAC / ABAC Authorization; Audit Trail Service; Workflow Designer</t>
  </si>
  <si>
    <t xml:space="preserve">Native time, attendance, leave, absence, and schedule management.</t>
  </si>
  <si>
    <t xml:space="preserve">Time Entry; Attendance Calendar; Leave Request; Absence Record; Schedule / Roster</t>
  </si>
  <si>
    <t xml:space="preserve">Domain App (HCM Time &amp; Leave)</t>
  </si>
  <si>
    <t xml:space="preserve">TIME-LEAVE-BUNDLE</t>
  </si>
  <si>
    <t xml:space="preserve">Internal owner: Time Entry; Attendance; Schedule; Leave Balance</t>
  </si>
  <si>
    <t xml:space="preserve">DOMAIN-APP-BASE + TIME-LEAVE-BUNDLE</t>
  </si>
  <si>
    <t xml:space="preserve">HCM Time &amp; Leave App</t>
  </si>
  <si>
    <t xml:space="preserve">Time Entry; Attendance; Schedule; Leave Balance</t>
  </si>
  <si>
    <t xml:space="preserve">Native time, attendance, and leave management with internal ownership.</t>
  </si>
  <si>
    <t xml:space="preserve">MOD-0281</t>
  </si>
  <si>
    <t xml:space="preserve">Govern internal payroll controls, approvals, exceptions, reconciliation, and audit outputs.</t>
  </si>
  <si>
    <t xml:space="preserve">Payroll Governance &amp; Payroll Controls</t>
  </si>
  <si>
    <t xml:space="preserve">Native Payroll Engine; Workflow Designer (Approvals/SLAs/Escalations); Audit Trail Service; Records Management / Retention / Legal Hold</t>
  </si>
  <si>
    <t xml:space="preserve">Payroll controls, approvals, exception routing, and audit-ready payroll governance.</t>
  </si>
  <si>
    <t xml:space="preserve">Payroll Control Center; Payroll Run Approval; Exception Inbox; Audit Export</t>
  </si>
  <si>
    <t xml:space="preserve">Domain Control Service (HCM Payroll)</t>
  </si>
  <si>
    <t xml:space="preserve">PAYROLL-GOV-BUNDLE</t>
  </si>
  <si>
    <t xml:space="preserve">Internal owner: payroll governance records; payroll approval records; payroll exception records</t>
  </si>
  <si>
    <t xml:space="preserve">DOMAIN-APP-BASE + PAYROLL-GOV-BUNDLE</t>
  </si>
  <si>
    <t xml:space="preserve">HCM Payroll Governance Service</t>
  </si>
  <si>
    <t xml:space="preserve">ITSM - Integration Incidents</t>
  </si>
  <si>
    <t xml:space="preserve">Payroll controls; payroll approval records; payroll exceptions</t>
  </si>
  <si>
    <t xml:space="preserve">Native payroll governance and controls over internal payroll engine.</t>
  </si>
  <si>
    <t xml:space="preserve">MOD-0282</t>
  </si>
  <si>
    <t xml:space="preserve">Business Development &amp; Partnerships</t>
  </si>
  <si>
    <t xml:space="preserve">Govern partner lifecycle, relationship governance, and partner pipeline with auditable decisions and standardized handoffs into commercial execution.</t>
  </si>
  <si>
    <t xml:space="preserve">Partner &amp; Alliance Management</t>
  </si>
  <si>
    <t xml:space="preserve">Customer 360 / Account Hierarchy; Workflow Designer (Approvals/SLAs/Escalations); Document Management (Templates/Versioning); Audit Trail Service; Canonical ID &amp; Correlation Standard</t>
  </si>
  <si>
    <t xml:space="preserve">Single partner view with governed onboarding, agreements, and performance signals; reduces spreadsheet-based partner management and inconsistent approvals.</t>
  </si>
  <si>
    <t xml:space="preserve">Partner Directory; Partner Detail; Partner Onboarding Intake; Partner Agreement Workspace; Partner Governance Inbox; Partner Performance Scorecard</t>
  </si>
  <si>
    <t xml:space="preserve">Partner Master Contract; Partner Agreement Contract; Partner Opportunity/Referral Contract; Canonical ID &amp; Correlation Standard</t>
  </si>
  <si>
    <t xml:space="preserve">CRM (External SoR) + Partner Module overlay</t>
  </si>
  <si>
    <t xml:space="preserve">L1 ITSM - Commercial Support; L2 Commercial App Ops; L3 CRM/BD Engineering</t>
  </si>
  <si>
    <t xml:space="preserve">API/Event via CRM + Platform Gateway</t>
  </si>
  <si>
    <t xml:space="preserve">Commercial/BD App</t>
  </si>
  <si>
    <t xml:space="preserve">ITSM - Commercial Support</t>
  </si>
  <si>
    <t xml:space="preserve">Commercial App Ops</t>
  </si>
  <si>
    <t xml:space="preserve">CRM/BD Engineering</t>
  </si>
  <si>
    <t xml:space="preserve">Partner (CRM-aligned); Alliance; Referral</t>
  </si>
  <si>
    <t xml:space="preserve">Domain Rollout</t>
  </si>
  <si>
    <t xml:space="preserve">MOD-0283</t>
  </si>
  <si>
    <t xml:space="preserve">Run structured pursuits with bid/no-bid governance, proposal workspaces, review cycles, and evidence-grade submission traceability.</t>
  </si>
  <si>
    <t xml:space="preserve">Pursuit &amp; Proposal Management (RFP/RFI)</t>
  </si>
  <si>
    <t xml:space="preserve">Partner &amp; Alliance Management; Opportunity &amp; Pipeline Management; Document Management (Templates/Versioning); Controlled Documents (SOPs/Work Instructions); Workflow Designer (Approvals/SLAs/Escalations); Audit Trail Service</t>
  </si>
  <si>
    <t xml:space="preserve">Repeatable proposal execution with controlled content, approvals, and lessons learned capture; reduces ad-hoc email/threading and version confusion.</t>
  </si>
  <si>
    <t xml:space="preserve">Pursuit Intake; Bid/No-Bid Decision; Proposal Workspace; Content Library; Review &amp; Approval Timeline; Submission Tracker; Lessons Learned Capture</t>
  </si>
  <si>
    <t xml:space="preserve">Pursuit Object Contract; Proposal Document Contract; Approval &amp; Audit Contract; Evidence Linking Contract</t>
  </si>
  <si>
    <t xml:space="preserve">CRM (Opportunity) + Document Management (controlled proposal artifacts)</t>
  </si>
  <si>
    <t xml:space="preserve">L1 ITSM - Commercial Support; L2 Commercial App Ops; L3 CRM/Proposal Engineering</t>
  </si>
  <si>
    <t xml:space="preserve">API/Event + Document Links</t>
  </si>
  <si>
    <t xml:space="preserve">Commercial/Proposal App</t>
  </si>
  <si>
    <t xml:space="preserve">CRM/Proposal Engineering</t>
  </si>
  <si>
    <t xml:space="preserve">Pursuit; Proposal; Submission</t>
  </si>
  <si>
    <t xml:space="preserve">MOD-0284</t>
  </si>
  <si>
    <t xml:space="preserve">Standardize deal desk intake, pricing/terms exception governance, and approval evidence packs to protect margin and accelerate cycle time.</t>
  </si>
  <si>
    <t xml:space="preserve">Deal Desk &amp; Commercial Approvals</t>
  </si>
  <si>
    <t xml:space="preserve">Price Lists &amp; Discount Guardrails; Quote Generation; Policy &amp; Control Library; Workflow Designer (Approvals/SLAs/Escalations); Audit Trail Service; Document Management (Templates/Versioning)</t>
  </si>
  <si>
    <t xml:space="preserve">Controlled commercial exceptions with auditable approvals; reduces margin leakage and improves approval turnaround.</t>
  </si>
  <si>
    <t xml:space="preserve">Deal Desk Intake; Discount/Terms Exception Request; Approval Inbox; Deal Comparison; Approval Evidence Pack; Decision Log Linkage</t>
  </si>
  <si>
    <t xml:space="preserve">Quote/Deal Exception Contract; Approval &amp; Audit Contract; Evidence Pack Contract</t>
  </si>
  <si>
    <t xml:space="preserve">CRM/CPQ (Deal/Quote) + Governance Overlay</t>
  </si>
  <si>
    <t xml:space="preserve">L1 ITSM - Commercial Support; L2 Commercial App Ops; L3 CRM/CPQ Engineering</t>
  </si>
  <si>
    <t xml:space="preserve">API/Event (CPQ/CRM) + Evidence Links</t>
  </si>
  <si>
    <t xml:space="preserve">Commercial/Deal Desk App</t>
  </si>
  <si>
    <t xml:space="preserve">CRM/CPQ Engineering</t>
  </si>
  <si>
    <t xml:space="preserve">Deal Exception; Approval Case</t>
  </si>
  <si>
    <t xml:space="preserve">MOD-0285</t>
  </si>
  <si>
    <t xml:space="preserve">Navigation, Menu &amp; Platform Shell</t>
  </si>
  <si>
    <t xml:space="preserve">Govern governed platform navigation, route placement, and access-aware shell rendering to prevent hardcoded or duplicated menu structures.</t>
  </si>
  <si>
    <t xml:space="preserve">System Navigation Management</t>
  </si>
  <si>
    <t xml:space="preserve">Platform Standards Registry; Module Boundary Registry; SSO / MFA; RBAC / ABAC Authorization; Audit Trail Service; Feature Flags &amp; Configuration Profiles (optional)</t>
  </si>
  <si>
    <t xml:space="preserve">Single governed navigation source for sidebar, top-nav, app launcher, route placement, menu visibility, published navigation versions, and runtime menu rendering.</t>
  </si>
  <si>
    <t xml:space="preserve">Navigation Admin Console; Menu Tree Builder; Route Binding Console; Navigation Version Review; Runtime Menu Preview</t>
  </si>
  <si>
    <t xml:space="preserve">PLAT-SHELL-BUNDLE + GOV-REG-BUNDLE + RBAC-VISIBILITY-BUNDLE (runtime menu API, route binding API, navigation publish events, AuditEvent v1, Correlation-ID, OTel, Error Model)</t>
  </si>
  <si>
    <t xml:space="preserve">SoR: Menu trees, menu items, menu groups, route bindings, navigation versions, visibility rules, badge rules</t>
  </si>
  <si>
    <t xml:space="preserve">PLAT-BASE + CP-BASE + NAV-RUNTIME</t>
  </si>
  <si>
    <t xml:space="preserve">Menu trees; menu items; menu groups; route bindings; navigation versions; visibility rules; badge rules</t>
  </si>
  <si>
    <t xml:space="preserve">PLAT-SHELL-BUNDLE; GOV-REG-BUNDLE; RBAC-VISIBILITY-BUNDLE; NAV-RUNTIME</t>
  </si>
  <si>
    <t xml:space="preserve">MOD-0286</t>
  </si>
  <si>
    <t xml:space="preserve">UI Design System &amp; Page Pattern Governance</t>
  </si>
  <si>
    <t xml:space="preserve">Govern reusable UI standards, page archetypes, wizard patterns, component usage, and accessibility-ready UX consistency across modules.</t>
  </si>
  <si>
    <t xml:space="preserve">Platform Standards Registry; Module Boundary Registry; RBAC / ABAC Authorization; Audit Trail Service; Document Management (Templates/Versioning)</t>
  </si>
  <si>
    <t xml:space="preserve">Single governed source for page patterns, wizard standards, component conventions, and UI consistency rules; reduces module-by-module UI drift and rework.</t>
  </si>
  <si>
    <t xml:space="preserve">Design System Console; Page Pattern Registry; Wizard Pattern Governance; Component Standard Detail; UI Compliance Checklist</t>
  </si>
  <si>
    <t xml:space="preserve">UI-GOV-BUNDLE (page pattern schema, component standard schema, wizard metadata schema, accessibility checklist, AuditEvent v1, Correlation-ID, OTel)</t>
  </si>
  <si>
    <t xml:space="preserve">SoR: Page patterns, wizard templates, component standards, UI governance rules, accessibility checklist definitions</t>
  </si>
  <si>
    <t xml:space="preserve">PLAT-BASE + CP-BASE + UI-GOV-BUNDLE</t>
  </si>
  <si>
    <t xml:space="preserve">Page patterns; wizard templates; component standards; UI governance rules; accessibility checklist definitions</t>
  </si>
  <si>
    <t xml:space="preserve">UI-GOV-BUNDLE; PLAT-BASE; CP-BASE</t>
  </si>
  <si>
    <t xml:space="preserve">MOD-0287</t>
  </si>
  <si>
    <t xml:space="preserve">User Workspace &amp; Personalization</t>
  </si>
  <si>
    <t xml:space="preserve">Own user-level workspace preferences and personalization controls while keeping access enforcement in RBAC and navigation rendering in System Navigation Management.</t>
  </si>
  <si>
    <t xml:space="preserve">User Preferences &amp; Workspace Personalization</t>
  </si>
  <si>
    <t xml:space="preserve">SSO / MFA; RBAC / ABAC Authorization; Feature Flags &amp; Configuration Profiles; Audit Trail Service; System Navigation Management</t>
  </si>
  <si>
    <t xml:space="preserve">Consistent user experience for pinned menus, favorites, recent pages, default landing page, density, theme, language preference, and workspace behavior.</t>
  </si>
  <si>
    <t xml:space="preserve">Preferences Center; Favorites &amp; Pinned Menu Manager; Recent Workspace; Default Landing Page Setup; User Workspace Preview</t>
  </si>
  <si>
    <t xml:space="preserve">USER-PREF-BUNDLE (user preference schema, workspace personalization API, preference changed events, AuditEvent v1, Correlation-ID, OTel)</t>
  </si>
  <si>
    <t xml:space="preserve">SoR: User preferences, pinned items, favorites, recent pages, default landing page settings, workspace personalization settings</t>
  </si>
  <si>
    <t xml:space="preserve">PLAT-BASE + USER-PREF-BUNDLE</t>
  </si>
  <si>
    <t xml:space="preserve">User preferences; pinned items; favorites; recent pages; default landing page settings; workspace personalization settings</t>
  </si>
  <si>
    <t xml:space="preserve">USER-PREF-BUNDLE; PLAT-BASE</t>
  </si>
  <si>
    <t xml:space="preserve">MOD-0288</t>
  </si>
  <si>
    <t xml:space="preserve">Organization, Person &amp; Position Directory</t>
  </si>
  <si>
    <t xml:space="preserve">Provide the platform-level directory and binding layer for person, position, organization unit, delegation, and ownership context consumed by workflows and approvals.</t>
  </si>
  <si>
    <t xml:space="preserve">SSO / MFA; RBAC / ABAC Authorization; Data Contract Registry; API Gateway; Integration Monitoring &amp; Reconciliation; Audit Trail Service; Core HR / Employee Master</t>
  </si>
  <si>
    <t xml:space="preserve">Governed internal directory for workflow routing, ownership assignment, delegation, and approval context without duplicating HRIS transactional ownership.</t>
  </si>
  <si>
    <t xml:space="preserve">Organization Directory; Person Directory; Position Directory; Delegation &amp; Assignment Matrix; Org Binding Sync Monitor</t>
  </si>
  <si>
    <t xml:space="preserve">ORG-DIR-BUNDLE (person reference contract, position assignment contract, org unit contract, delegation event, AuditEvent v1, Correlation-ID, OTel)</t>
  </si>
  <si>
    <t xml:space="preserve">SoR: Platform person directory records, position assignments, organization unit mappings, delegation bindings, ownership routing references</t>
  </si>
  <si>
    <t xml:space="preserve">L1 Service Desk; L2 Platform Ops / IAM Ops; L3 Platform Engineering</t>
  </si>
  <si>
    <t xml:space="preserve">PLAT-BASE + ORG-DIR-BUNDLE</t>
  </si>
  <si>
    <t xml:space="preserve">Build/Integrate</t>
  </si>
  <si>
    <t xml:space="preserve">Platform Ops / IAM Ops</t>
  </si>
  <si>
    <t xml:space="preserve">Platform person directory records; position assignments; organization unit mappings; delegation bindings; ownership routing references</t>
  </si>
  <si>
    <t xml:space="preserve">ORG-DIR-BUNDLE; PLAT-BASE</t>
  </si>
  <si>
    <t xml:space="preserve">HRIS remains upstream employee/job SoR; this module owns platform routing/binding records.</t>
  </si>
  <si>
    <t xml:space="preserve">MOD-0289</t>
  </si>
  <si>
    <t xml:space="preserve">Own bank master data and bank account registries for legal entities and suppliers while payment execution remains with treasury/payment gateway capabilities.</t>
  </si>
  <si>
    <t xml:space="preserve">Bank Master &amp; Bank Account Registry</t>
  </si>
  <si>
    <t xml:space="preserve">Data Contract Registry; RBAC / ABAC Authorization; Audit Trail Service; Workflow Designer (Approvals/SLAs/Escalations); Payments &amp; Approvals; Corporate Secretarial / Entity Management; Supplier Onboarding (KYC/Sanctions/Docs); Banks/SWIFT/Payments Gateway [External Provider]</t>
  </si>
  <si>
    <t xml:space="preserve">Single governed registry for bank master data, legal entity accounts, supplier accounts, validation status, payment account bindings, and account-change approvals.</t>
  </si>
  <si>
    <t xml:space="preserve">Bank Master; Bank Detail; Legal Entity Bank Account Registry; Supplier Bank Account Registry; Account Validation Review; Account Change Approval</t>
  </si>
  <si>
    <t xml:space="preserve">Domain App (Finance/Treasury Master Data)</t>
  </si>
  <si>
    <t xml:space="preserve">BANK-MASTER-BUNDLE (bank master schema, bank account schema, validation status event, account change approval contract, AuditEvent v1, Evidence Link, Correlation-ID, OTel)</t>
  </si>
  <si>
    <t xml:space="preserve">SoR: Bank master records, bank account records, legal entity bank account bindings, supplier bank account bindings, account validation statuses</t>
  </si>
  <si>
    <t xml:space="preserve">L1 Service Desk; L2 Treasury Ops; L3 Finance Engineering</t>
  </si>
  <si>
    <t xml:space="preserve">DOMAIN-APP-BASE + BANK-MASTER-BUNDLE</t>
  </si>
  <si>
    <t xml:space="preserve">Finance/Treasury App</t>
  </si>
  <si>
    <t xml:space="preserve">Finance Engineering</t>
  </si>
  <si>
    <t xml:space="preserve">Bank master records; bank account records; legal entity bank account bindings; supplier bank account bindings; account validation statuses</t>
  </si>
  <si>
    <t xml:space="preserve">Finance Foundation</t>
  </si>
  <si>
    <t xml:space="preserve">BANK-MASTER-BUNDLE; DOMAIN-APP-BASE</t>
  </si>
  <si>
    <t xml:space="preserve">MOD-0269 remains external payment/bank connectivity provider; this module owns internal bank/account registry.</t>
  </si>
  <si>
    <t xml:space="preserve">MOD-0290</t>
  </si>
  <si>
    <t xml:space="preserve">Master Data / Product Foundation</t>
  </si>
  <si>
    <t xml:space="preserve">Product, Item &amp; SKU Master Data</t>
  </si>
  <si>
    <t xml:space="preserve">Own product, item, SKU, UoM, identifier, and item lifecycle master data used by commercial, procurement, inventory, manufacturing, and quality modules.</t>
  </si>
  <si>
    <t xml:space="preserve">Product / Item / SKU Master</t>
  </si>
  <si>
    <t xml:space="preserve">Data Contract Registry; Canonical ID &amp; Correlation Standard; Audit Trail Service; ERP Core (SAP/Oracle/Dynamics) [External SoR]; PLM (Teamcenter/Windchill/3DEXPERIENCE) [External SoR]</t>
  </si>
  <si>
    <t xml:space="preserve">Single governed platform product/item/SKU registry with canonical identifiers, UoM mapping, lifecycle state, and downstream distribution contracts.</t>
  </si>
  <si>
    <t xml:space="preserve">Product Master List; Product/Item Detail; SKU Management; UoM &amp; Identifier Mapping; Product Lifecycle Review</t>
  </si>
  <si>
    <t xml:space="preserve">Domain App (Master Data)</t>
  </si>
  <si>
    <t xml:space="preserve">PRODUCT-MASTER-BUNDLE (product master schema, item master schema, SKU schema, UoM mapping, lifecycle event, AuditEvent v1, Correlation-ID, OTel)</t>
  </si>
  <si>
    <t xml:space="preserve">SoR: Product master records, item master records, SKUs, UoM mappings, product identifiers, item lifecycle states</t>
  </si>
  <si>
    <t xml:space="preserve">L1 Service Desk; L2 Master Data Ops; L3 Product Data Engineering</t>
  </si>
  <si>
    <t xml:space="preserve">DOMAIN-APP-BASE + PRODUCT-MASTER-BUNDLE</t>
  </si>
  <si>
    <t xml:space="preserve">Master Data App</t>
  </si>
  <si>
    <t xml:space="preserve">Master Data Ops</t>
  </si>
  <si>
    <t xml:space="preserve">Product Data Engineering</t>
  </si>
  <si>
    <t xml:space="preserve">Product master records; item master records; SKUs; UoM mappings; product identifiers; item lifecycle states</t>
  </si>
  <si>
    <t xml:space="preserve">Master Data Foundation</t>
  </si>
  <si>
    <t xml:space="preserve">Classify; Extract; Deduplicate; Recommend</t>
  </si>
  <si>
    <t xml:space="preserve">PRODUCT-MASTER-BUNDLE; DOMAIN-APP-BASE</t>
  </si>
  <si>
    <t xml:space="preserve">External ERP/PLM can remain source feeds; MOD-0290 owns platform canonical product/item/SKU registry.</t>
  </si>
  <si>
    <t xml:space="preserve">MOD-0291</t>
  </si>
  <si>
    <t xml:space="preserve">Own financial dimensions and cost object registries used by GL, allocations, reporting, budgeting, projects, and profitability analysis.</t>
  </si>
  <si>
    <t xml:space="preserve">Financial Dimensions &amp; Cost Object Registry</t>
  </si>
  <si>
    <t xml:space="preserve">Data Contract Registry; Reference Data Management; RBAC / ABAC Authorization; Audit Trail Service; Workflow Designer (Approvals/SLAs/Escalations); General Ledger (GL); Corporate Secretarial / Entity Management</t>
  </si>
  <si>
    <t xml:space="preserve">Governed cost center, profit center, project/accounting dimension, allocation object, and dimension-set registry to prevent finance master-data fragmentation.</t>
  </si>
  <si>
    <t xml:space="preserve">Financial Dimension Registry; Cost Center Registry; Profit Center Registry; Cost Object Detail; Dimension Set Governance</t>
  </si>
  <si>
    <t xml:space="preserve">Domain App (Finance Master Data)</t>
  </si>
  <si>
    <t xml:space="preserve">FIN-DIM-BUNDLE (financial dimension schema, cost object schema, dimension set schema, approval event, AuditEvent v1, Correlation-ID, OTel)</t>
  </si>
  <si>
    <t xml:space="preserve">SoR: Financial dimensions, cost centers, profit centers, cost objects, dimension sets, allocation reference objects</t>
  </si>
  <si>
    <t xml:space="preserve">L1 Service Desk; L2 Finance Ops; L3 Finance Engineering</t>
  </si>
  <si>
    <t xml:space="preserve">DOMAIN-APP-BASE + FIN-DIM-BUNDLE</t>
  </si>
  <si>
    <t xml:space="preserve">Finance Master Data App</t>
  </si>
  <si>
    <t xml:space="preserve">Finance Ops</t>
  </si>
  <si>
    <t xml:space="preserve">Financial dimensions; cost centers; profit centers; cost objects; dimension sets; allocation reference objects</t>
  </si>
  <si>
    <t xml:space="preserve">FIN-DIM-BUNDLE; DOMAIN-APP-BASE</t>
  </si>
  <si>
    <t xml:space="preserve">GL remains transactional ledger; MOD-0291 owns dimension/cost-object reference master data.</t>
  </si>
  <si>
    <t xml:space="preserve">MOD-0292</t>
  </si>
  <si>
    <t xml:space="preserve">Agent Operations &amp; Governance</t>
  </si>
  <si>
    <t xml:space="preserve">Govern operational agents as first-class platform actors with explicit lifecycle, ownership, risk classification, versioning, and deployment state.</t>
  </si>
  <si>
    <t xml:space="preserve">Agent Registry &amp; Lifecycle Management</t>
  </si>
  <si>
    <t xml:space="preserve">Platform Standards Registry; Module Boundary Registry; RBAC / ABAC Authorization; Audit Trail Service; Model Registry &amp; Versioning; Prompt Registry &amp; Approval Workflow</t>
  </si>
  <si>
    <t xml:space="preserve">Single governed source of truth for agent definitions, versions, owner assignments, risk tier, operating mode, and lifecycle status.</t>
  </si>
  <si>
    <t xml:space="preserve">Agent Registry Console; Agent Definition Detail; Agent Version Timeline; Owner/Risk Classification Manager; Deployment State Manager</t>
  </si>
  <si>
    <t xml:space="preserve">AGENT-REG-BUNDLE (agent definition schema, version schema, owner assignment, risk classification, lifecycle events, deployment state, AuditEvent v1, Correlation-ID, OTel)</t>
  </si>
  <si>
    <t xml:space="preserve">SoR: Agent definitions, agent versions, agent owner assignments, lifecycle statuses, risk classifications, operating modes, deployment states</t>
  </si>
  <si>
    <t xml:space="preserve">L1 Service Desk; L2 Platform Ops / AI Governance Ops; L3 Platform Engineering / AI Platform Engineering</t>
  </si>
  <si>
    <t xml:space="preserve">PLAT-BASE + AI-RISK-BUNDLE + AGENT-REG-BUNDLE</t>
  </si>
  <si>
    <t xml:space="preserve">Platform Ops / AI Governance Ops</t>
  </si>
  <si>
    <t xml:space="preserve">Platform Engineering / AI Platform Engineering</t>
  </si>
  <si>
    <t xml:space="preserve">Agent definitions; agent versions; agent owner assignments; lifecycle statuses; risk classifications; operating modes; deployment states</t>
  </si>
  <si>
    <t xml:space="preserve">Agent Foundation</t>
  </si>
  <si>
    <t xml:space="preserve">Register; Version; Classify; Govern; Certify</t>
  </si>
  <si>
    <t xml:space="preserve">AGENT-REG-BUNDLE; AI-RISK-BUNDLE; PLAT-BASE</t>
  </si>
  <si>
    <t xml:space="preserve">Renumbered from proposed MOD-0290 to avoid collision with existing Product / Item / SKU Master.</t>
  </si>
  <si>
    <t xml:space="preserve">MOD-0293</t>
  </si>
  <si>
    <t xml:space="preserve">Execute governed agent runs and maintain a complete operational ledger of run state, steps, checkpoints, traces, failures, and human approvals.</t>
  </si>
  <si>
    <t xml:space="preserve">Agent Orchestration Runtime &amp; Execution Ledger</t>
  </si>
  <si>
    <t xml:space="preserve">Agent Registry &amp; Lifecycle Management; Agent Policy, Guardrails &amp; Decision Control; Workflow Designer (Approvals/SLAs/Escalations); Audit Trail Service; Evaluation &amp; Drift Monitoring; Human-in-the-Loop Verification</t>
  </si>
  <si>
    <t xml:space="preserve">Traceable and controllable agent execution with explicit run states, checkpoint handling, failure visibility, and audit-ready operational evidence.</t>
  </si>
  <si>
    <t xml:space="preserve">Agent Run Queue; Agent Run Detail; Execution Trace Viewer; Approval Checkpoint Monitor; Failure &amp; Retry Console</t>
  </si>
  <si>
    <t xml:space="preserve">AGENT-RUNTIME-BUNDLE (agent run schema, run-step schema, runtime state transition event, approval checkpoint event, execution trace event, failure/retry event, AuditEvent v1, Correlation-ID, OTel)</t>
  </si>
  <si>
    <t xml:space="preserve">SoR: Agent runs, run steps, runtime states, execution traces, approval checkpoint references, failure/retry records</t>
  </si>
  <si>
    <t xml:space="preserve">PLAT-BASE + AGENT-REG-BUNDLE + AGENT-POLICY-BUNDLE + AGENT-RUNTIME-BUNDLE</t>
  </si>
  <si>
    <t xml:space="preserve">Agent runs; agent run steps; runtime states; execution traces; approval checkpoint references; failure/retry records</t>
  </si>
  <si>
    <t xml:space="preserve">Agent Runtime Foundation</t>
  </si>
  <si>
    <t xml:space="preserve">Execute; Trace; Pause; Resume; Escalate</t>
  </si>
  <si>
    <t xml:space="preserve">AGENT-RUNTIME-BUNDLE; AGENT-REG-BUNDLE; AGENT-POLICY-BUNDLE; PLAT-BASE</t>
  </si>
  <si>
    <t xml:space="preserve">Renumbered from proposed MOD-0291 to avoid collision with existing Financial Dimensions &amp; Cost Object Registry.</t>
  </si>
  <si>
    <t xml:space="preserve">MOD-0294</t>
  </si>
  <si>
    <t xml:space="preserve">Provide controlled tool/API execution for agents through approved adapters, contracts, access scopes, health checks, and invocation controls.</t>
  </si>
  <si>
    <t xml:space="preserve">Agent Tool Gateway &amp; Adapter Management</t>
  </si>
  <si>
    <t xml:space="preserve">Agent Registry &amp; Lifecycle Management; Agent Policy, Guardrails &amp; Decision Control; API Gateway; API Consumer &amp; Credential Management; Secrets &amp; Configuration Vault; Audit Trail Service; Canonical ID &amp; Correlation Standard</t>
  </si>
  <si>
    <t xml:space="preserve">Controlled agent tool invocation layer that prevents direct uncontrolled access to domain systems and records every tool execution path.</t>
  </si>
  <si>
    <t xml:space="preserve">Tool Catalog; Tool Adapter Detail; Tool Access Scope Manager; Tool Invocation Monitor; Tool Health Dashboard</t>
  </si>
  <si>
    <t xml:space="preserve">AGENT-TOOL-BUNDLE (tool definition schema, adapter contract, tool invocation request/response, tool access scope schema, tool health event, secrets hook, AuditEvent v1, Correlation-ID, OTel)</t>
  </si>
  <si>
    <t xml:space="preserve">SoR: Agent tool definitions, tool adapters, tool access scopes, tool invocation records, tool health statuses, adapter versions</t>
  </si>
  <si>
    <t xml:space="preserve">L1 Service Desk; L2 Platform Ops / Integration Ops / AI Governance Ops; L3 Platform Engineering / Integration Engineering / AI Platform Engineering</t>
  </si>
  <si>
    <t xml:space="preserve">PLAT-BASE + AGENT-REG-BUNDLE + AGENT-POLICY-BUNDLE + AGENT-TOOL-BUNDLE</t>
  </si>
  <si>
    <t xml:space="preserve">Platform Ops / Integration Ops / AI Governance Ops</t>
  </si>
  <si>
    <t xml:space="preserve">Platform Engineering / Integration Engineering / AI Platform Engineering</t>
  </si>
  <si>
    <t xml:space="preserve">Agent tool definitions; tool adapters; tool access scopes; tool invocation records; tool health statuses; adapter versions</t>
  </si>
  <si>
    <t xml:space="preserve">Invoke; Validate; Route; Observe; Block</t>
  </si>
  <si>
    <t xml:space="preserve">AGENT-TOOL-BUNDLE; AGENT-REG-BUNDLE; AGENT-POLICY-BUNDLE; PLAT-BASE</t>
  </si>
  <si>
    <t xml:space="preserve">Tool gateway owns tool/catalog/invocation control only; domain modules remain SoR for business objects.</t>
  </si>
  <si>
    <t xml:space="preserve">MOD-0295</t>
  </si>
  <si>
    <t xml:space="preserve">Provide business-facing workspace for agent inbox, recommendations, pending human approvals, run review, exceptions, and performance dashboards.</t>
  </si>
  <si>
    <t xml:space="preserve">Operational Agent Workspace</t>
  </si>
  <si>
    <t xml:space="preserve">Agent Registry &amp; Lifecycle Management; Agent Orchestration Runtime &amp; Execution Ledger; Agent Policy, Guardrails &amp; Decision Control; System Navigation Management; UI Design System &amp; Page Pattern Governance; User Preferences &amp; Workspace Personalization; RBAC / ABAC Authorization</t>
  </si>
  <si>
    <t xml:space="preserve">Unified operational UI for reviewing, approving, rejecting, escalating, and monitoring governed agent outputs and execution history.</t>
  </si>
  <si>
    <t xml:space="preserve">Agent Inbox; Agent Recommendations; Pending Human Approvals; Agent Exceptions; Agent Performance Dashboard</t>
  </si>
  <si>
    <t xml:space="preserve">AGENT-WORKSPACE-BUNDLE (agent inbox item schema, recommendation view contract, approval handoff contract, exception view contract, dashboard query API, AuditEvent v1, Correlation-ID, OTel)</t>
  </si>
  <si>
    <t xml:space="preserve">SoR: Agent workspace items, recommendation views, workspace saved filters, dashboard configurations, review queue presentation records</t>
  </si>
  <si>
    <t xml:space="preserve">L1 Service Desk; L2 Platform Ops / AI Governance Ops; L3 Platform Engineering / UX Platform Engineering / AI Platform Engineering</t>
  </si>
  <si>
    <t xml:space="preserve">PLAT-BASE + NAV-RUNTIME + UI-GOV-BUNDLE + USER-PREF-BUNDLE + AGENT-WORKSPACE-BUNDLE</t>
  </si>
  <si>
    <t xml:space="preserve">Platform Engineering / UX Platform Engineering / AI Platform Engineering</t>
  </si>
  <si>
    <t xml:space="preserve">Agent workspace items; recommendation views; workspace saved filters; dashboard configurations; review queue presentation records</t>
  </si>
  <si>
    <t xml:space="preserve">Agent Experience Layer</t>
  </si>
  <si>
    <t xml:space="preserve">Review; Approve; Reject; Explain; Monitor</t>
  </si>
  <si>
    <t xml:space="preserve">AGENT-WORKSPACE-BUNDLE; NAV-RUNTIME; UI-GOV-BUNDLE; USER-PREF-BUNDLE; PLAT-BASE</t>
  </si>
  <si>
    <t xml:space="preserve">Workspace owns UI/workspace artifacts only; execution truth remains in MOD-0293 and policy truth remains in MOD-0296.</t>
  </si>
  <si>
    <t xml:space="preserve">MOD-0296</t>
  </si>
  <si>
    <t xml:space="preserve">Evaluate whether agent actions are allowed, blocked, or require human approval using explicit guardrail rules, thresholds, and policy decisions.</t>
  </si>
  <si>
    <t xml:space="preserve">Agent Policy, Guardrails &amp; Decision Control</t>
  </si>
  <si>
    <t xml:space="preserve">Agent Registry &amp; Lifecycle Management; RBAC / ABAC Authorization; Workflow Designer (Approvals/SLAs/Escalations); Audit Trail Service; Business Rules Engine; Prompt Registry &amp; Approval Workflow; Human-in-the-Loop Verification</t>
  </si>
  <si>
    <t xml:space="preserve">Central decision-control layer for agent action governance, approval thresholds, blocked actions, policy violations, and human-in-loop requirements.</t>
  </si>
  <si>
    <t xml:space="preserve">Agent Policy Console; Guardrail Rule Builder; Approval Threshold Matrix; Blocked Action Registry; Policy Decision Review</t>
  </si>
  <si>
    <t xml:space="preserve">AGENT-POLICY-BUNDLE (agent policy schema, guardrail rule schema, approval threshold rule, blocked action rule, policy decision event, policy violation event, AuditEvent v1, Correlation-ID, OTel)</t>
  </si>
  <si>
    <t xml:space="preserve">SoR: Agent policies, guardrail rules, approval threshold rules, blocked action rules, policy decisions, policy violations</t>
  </si>
  <si>
    <t xml:space="preserve">L1 Service Desk; L2 Platform Ops / Risk &amp; Compliance Ops / AI Governance Ops; L3 Platform Engineering / AI Platform Engineering</t>
  </si>
  <si>
    <t xml:space="preserve">PLAT-BASE + WORKFLOW-BUNDLE + AI-RISK-BUNDLE + AGENT-REG-BUNDLE + AGENT-POLICY-BUNDLE</t>
  </si>
  <si>
    <t xml:space="preserve">Platform Ops / Risk &amp; Compliance Ops / AI Governance Ops</t>
  </si>
  <si>
    <t xml:space="preserve">Agent policies; guardrail rules; approval threshold rules; blocked action rules; policy decisions; policy violations</t>
  </si>
  <si>
    <t xml:space="preserve">Allow; Deny; Escalate; Require Approval; Record Violation</t>
  </si>
  <si>
    <t xml:space="preserve">AGENT-POLICY-BUNDLE; AGENT-REG-BUNDLE; AI-RISK-BUNDLE; WORKFLOW-BUNDLE; PLAT-BASE</t>
  </si>
  <si>
    <t xml:space="preserve">Mandatory guardrail module; reuses MOD-0018 authorization and MOD-0023 workflow rather than duplicating them.</t>
  </si>
  <si>
    <t xml:space="preserve">MOD-0297</t>
  </si>
  <si>
    <t xml:space="preserve">Foundation / Platform</t>
  </si>
  <si>
    <t xml:space="preserve">Establish the governed HCM workspace, employee profile projections, and HR assignment context over the internal Core HR master and shared directory.</t>
  </si>
  <si>
    <t xml:space="preserve">HR Capability Block Shell</t>
  </si>
  <si>
    <t xml:space="preserve">System Navigation Management; UI Design System &amp; Page Pattern Governance; RBAC / ABAC Authorization</t>
  </si>
  <si>
    <t xml:space="preserve">Provides the entry point, navigation, and workspace shell for native HCM capabilities.</t>
  </si>
  <si>
    <t xml:space="preserve">HR Home; HR Module Navigation; HR Work Queue</t>
  </si>
  <si>
    <t xml:space="preserve">DOMAIN-APP-BASE + HCM-SHELL-BUNDLE</t>
  </si>
  <si>
    <t xml:space="preserve">SoR: HR workspace configuration; HR navigation state; HR saved views</t>
  </si>
  <si>
    <t xml:space="preserve">People Ops</t>
  </si>
  <si>
    <t xml:space="preserve">HR workspace configuration; HR navigation state; HR saved views</t>
  </si>
  <si>
    <t xml:space="preserve">HCM-SHELL-BUNDLE; DOMAIN-APP-BASE</t>
  </si>
  <si>
    <t xml:space="preserve">Owns HR workspace shell artifacts only; does not own HR master data.</t>
  </si>
  <si>
    <t xml:space="preserve">MOD-0298</t>
  </si>
  <si>
    <t xml:space="preserve">Establish the governed employee profile workspace and HR assignment context over the internal Core HR master and shared directory.</t>
  </si>
  <si>
    <t xml:space="preserve">Employee Profile Workspace</t>
  </si>
  <si>
    <t xml:space="preserve">Core HR / Employee Master; Organization, Person &amp; Position Directory; RBAC / ABAC Authorization; Audit Trail Service</t>
  </si>
  <si>
    <t xml:space="preserve">Gives HR users a governed profile workspace over internal employee master records.</t>
  </si>
  <si>
    <t xml:space="preserve">Employee Profile Search; Employee Profile Detail; Employment Timeline</t>
  </si>
  <si>
    <t xml:space="preserve">HCM-CORE-BUNDLE (employee profile workspace schema, employment timeline schema, profile enrichment event, AuditEvent v1, Correlation-ID, OTel)</t>
  </si>
  <si>
    <t xml:space="preserve">Employee profile workspace; employment timeline; HR profile enrichments</t>
  </si>
  <si>
    <t xml:space="preserve">HR employee profile projections; employment record snapshots; HR profile enrichments</t>
  </si>
  <si>
    <t xml:space="preserve">HCM-CORE-BUNDLE; DOMAIN-APP-BASE; ORG-DIR-BUNDLE</t>
  </si>
  <si>
    <t xml:space="preserve">Workspace over MOD-0251 internal employee master; does not create a competing master.</t>
  </si>
  <si>
    <t xml:space="preserve">MOD-0299</t>
  </si>
  <si>
    <t xml:space="preserve">Position &amp; Organization Assignment</t>
  </si>
  <si>
    <t xml:space="preserve">Organization, Person &amp; Position Directory; Core HR / Employee Master; Audit Trail Service</t>
  </si>
  <si>
    <t xml:space="preserve">Provides HR-specific assignment context while reusing the shared organization/person/position directory.</t>
  </si>
  <si>
    <t xml:space="preserve">Assignment Console; Position Assignment Detail; Manager Hierarchy View</t>
  </si>
  <si>
    <t xml:space="preserve">HCM-CORE-BUNDLE (assignment context schema, position binding contract, manager hierarchy view contract, AuditEvent v1, Correlation-ID, OTel)</t>
  </si>
  <si>
    <t xml:space="preserve">SoR: HR assignment context; assignment validations; manager/position binding references</t>
  </si>
  <si>
    <t xml:space="preserve">HR assignment context; assignment validations; manager/position binding references</t>
  </si>
  <si>
    <t xml:space="preserve">HCM-CORE-BUNDLE; ORG-DIR-BUNDLE</t>
  </si>
  <si>
    <t xml:space="preserve">References MOD-0288 org/person/position directory; does not own org/position structure.</t>
  </si>
  <si>
    <t xml:space="preserve">MOD-0300</t>
  </si>
  <si>
    <t xml:space="preserve">Talent Acquisition</t>
  </si>
  <si>
    <t xml:space="preserve">Govern hiring intake, candidate pipeline, offer, and onboarding workflows with auditable handoffs.</t>
  </si>
  <si>
    <t xml:space="preserve">Recruitment / Applicant Intake</t>
  </si>
  <si>
    <t xml:space="preserve">Employee Profile Workspace; Workflow Designer (Approvals/SLAs/Escalations); Documentation &amp; Evidence Management</t>
  </si>
  <si>
    <t xml:space="preserve">Captures recruiting demand and applicant intake in a governed HR workflow.</t>
  </si>
  <si>
    <t xml:space="preserve">Recruitment Requisition Intake; Applicant Intake Form; Applicant Intake Queue</t>
  </si>
  <si>
    <t xml:space="preserve">HCM-TA-BUNDLE (requisition schema, applicant intake schema, source channel contract, intake event, AuditEvent v1, Correlation-ID, OTel)</t>
  </si>
  <si>
    <t xml:space="preserve">SoR: Recruitment requisitions; applicant intake records; source channel records</t>
  </si>
  <si>
    <t xml:space="preserve">DOMAIN-APP-BASE + HCM-TA-BUNDLE</t>
  </si>
  <si>
    <t xml:space="preserve">Recruitment requisitions; applicant intake records; source channel records</t>
  </si>
  <si>
    <t xml:space="preserve">Classify applicants; suggest requisition completeness; summarize intake evidence</t>
  </si>
  <si>
    <t xml:space="preserve">Prompt Registry; HITL; Audit</t>
  </si>
  <si>
    <t xml:space="preserve">HCM-TA-BUNDLE; WORKFLOW-BUNDLE; DOC-EVID</t>
  </si>
  <si>
    <t xml:space="preserve">Native HR intake workflow; may later integrate to external ATS without transferring ownership unless configured.</t>
  </si>
  <si>
    <t xml:space="preserve">MOD-0301</t>
  </si>
  <si>
    <t xml:space="preserve">Candidate Pipeline &amp; Interview Management</t>
  </si>
  <si>
    <t xml:space="preserve">Recruitment / Applicant Intake; Workflow Designer (Approvals/SLAs/Escalations); Audit Trail Service</t>
  </si>
  <si>
    <t xml:space="preserve">Governs candidate movement, interview evidence, and hiring decision traceability.</t>
  </si>
  <si>
    <t xml:space="preserve">Candidate Pipeline Board; Interview Schedule; Interview Feedback Detail</t>
  </si>
  <si>
    <t xml:space="preserve">HCM-TA-BUNDLE (pipeline stage schema, interview feedback schema, hiring decision event, AuditEvent v1, Correlation-ID, OTel)</t>
  </si>
  <si>
    <t xml:space="preserve">SoR: Candidate pipeline stages; interview feedback records; interview decision logs</t>
  </si>
  <si>
    <t xml:space="preserve">Candidate pipeline stages; interview feedback records; interview decision logs</t>
  </si>
  <si>
    <t xml:space="preserve">Summarize interview feedback; detect missing evaluation inputs</t>
  </si>
  <si>
    <t xml:space="preserve">Prompt Registry; HITL; Bias monitoring</t>
  </si>
  <si>
    <t xml:space="preserve">HCM-TA-BUNDLE; WORKFLOW-BUNDLE</t>
  </si>
  <si>
    <t xml:space="preserve">Native HR recruiting pipeline; separate from future industry-wide Talent Ecosystem candidate identity.</t>
  </si>
  <si>
    <t xml:space="preserve">MOD-0302</t>
  </si>
  <si>
    <t xml:space="preserve">Offer Management</t>
  </si>
  <si>
    <t xml:space="preserve">Candidate Pipeline &amp; Interview Management; Documentation &amp; Evidence Management; Workflow Designer (Approvals/SLAs/Escalations)</t>
  </si>
  <si>
    <t xml:space="preserve">Controls offer creation, approval, documentation, and acceptance evidence.</t>
  </si>
  <si>
    <t xml:space="preserve">Offer Request; Offer Approval Inbox; Offer Detail</t>
  </si>
  <si>
    <t xml:space="preserve">HCM-TA-BUNDLE (offer schema, offer approval event, offer acceptance event, document package link, AuditEvent v1, Correlation-ID, OTel)</t>
  </si>
  <si>
    <t xml:space="preserve">SoR: Offer records; offer approvals; accepted offer events</t>
  </si>
  <si>
    <t xml:space="preserve">Offer records; offer approvals; accepted offer events</t>
  </si>
  <si>
    <t xml:space="preserve">HCM-TA-BUNDLE; DOC-EVID; WORKFLOW-BUNDLE</t>
  </si>
  <si>
    <t xml:space="preserve">Owns HR offer workflow records; compensation/payroll SoRs remain external or governed interfaces.</t>
  </si>
  <si>
    <t xml:space="preserve">MOD-0303</t>
  </si>
  <si>
    <t xml:space="preserve">Employee Onboarding</t>
  </si>
  <si>
    <t xml:space="preserve">Employee Profile Workspace; Position &amp; Organization Assignment; Workflow Designer (Approvals/SLAs/Escalations); Documentation &amp; Evidence Management</t>
  </si>
  <si>
    <t xml:space="preserve">Enables controlled onboarding even before recruitment/offer automation is built.</t>
  </si>
  <si>
    <t xml:space="preserve">Manual Hire Entry; Onboarding Checklist; Onboarding Case Detail</t>
  </si>
  <si>
    <t xml:space="preserve">HCM-LIFECYCLE-BUNDLE (onboarding case schema, checklist task schema, manual hire entry contract, completion event, AuditEvent v1, Correlation-ID, OTel)</t>
  </si>
  <si>
    <t xml:space="preserve">SoR: Onboarding cases; onboarding checklist items; onboarding completion events</t>
  </si>
  <si>
    <t xml:space="preserve">DOMAIN-APP-BASE + HCM-LIFECYCLE-BUNDLE</t>
  </si>
  <si>
    <t xml:space="preserve">Onboarding cases; onboarding checklist items; onboarding completion events</t>
  </si>
  <si>
    <t xml:space="preserve">Summarize onboarding checklist status; detect missing documents</t>
  </si>
  <si>
    <t xml:space="preserve">Prompt Registry; HITL</t>
  </si>
  <si>
    <t xml:space="preserve">HCM-LIFECYCLE-BUNDLE; WORKFLOW-BUNDLE; DOC-EVID</t>
  </si>
  <si>
    <t xml:space="preserve">P1 includes manual hire entry because Offer Management is P2; does not become employee legal master.</t>
  </si>
  <si>
    <t xml:space="preserve">MOD-0304</t>
  </si>
  <si>
    <t xml:space="preserve">Employment Lifecycle</t>
  </si>
  <si>
    <t xml:space="preserve">Control employment changes and offboarding as auditable lifecycle workflows without duplicating Core HR master ownership.</t>
  </si>
  <si>
    <t xml:space="preserve">Employment Change / Transfer / Promotion</t>
  </si>
  <si>
    <t xml:space="preserve">Employee Profile Workspace; Position &amp; Organization Assignment; Workflow Designer (Approvals/SLAs/Escalations)</t>
  </si>
  <si>
    <t xml:space="preserve">Controls employment changes and approval evidence before governed Core HR update.</t>
  </si>
  <si>
    <t xml:space="preserve">Employment Change Request; Transfer / Promotion Approval; Change History</t>
  </si>
  <si>
    <t xml:space="preserve">HCM-LIFECYCLE-BUNDLE (employment change schema, transfer request schema, promotion approval event, AuditEvent v1, Correlation-ID, OTel)</t>
  </si>
  <si>
    <t xml:space="preserve">SoR: Employment change cases; transfer requests; promotion approval records</t>
  </si>
  <si>
    <t xml:space="preserve">Employment change cases; transfer requests; promotion approval records</t>
  </si>
  <si>
    <t xml:space="preserve">HCM-LIFECYCLE-BUNDLE; WORKFLOW-BUNDLE</t>
  </si>
  <si>
    <t xml:space="preserve">Owns workflow records only; Core HR / Employee Master owns finalized legal employment changes.</t>
  </si>
  <si>
    <t xml:space="preserve">MOD-0305</t>
  </si>
  <si>
    <t xml:space="preserve">Offboarding &amp; Exit Management</t>
  </si>
  <si>
    <t xml:space="preserve">Employee Profile Workspace; Position &amp; Organization Assignment; Workflow Designer (Approvals/SLAs/Escalations); Evidence Linking Service (object ↔ evidence)</t>
  </si>
  <si>
    <t xml:space="preserve">Creates auditable internal exit records required before cross-company reference sharing.</t>
  </si>
  <si>
    <t xml:space="preserve">Offboarding Case; Exit Checklist; Exit Interview; Exit Summary</t>
  </si>
  <si>
    <t xml:space="preserve">HCM-LIFECYCLE-BUNDLE (offboarding case schema, exit checklist schema, exit interview schema, exit summary event, Evidence Link, AuditEvent v1, Correlation-ID, OTel)</t>
  </si>
  <si>
    <t xml:space="preserve">SoR: Offboarding cases; exit checklists; exit interviews; internal exit summaries</t>
  </si>
  <si>
    <t xml:space="preserve">Offboarding cases; exit checklists; exit interviews; internal exit summaries</t>
  </si>
  <si>
    <t xml:space="preserve">Summarize exit feedback; classify controlled exit categories</t>
  </si>
  <si>
    <t xml:space="preserve">Prompt Registry; HITL; Sensitive-data audit</t>
  </si>
  <si>
    <t xml:space="preserve">HCM-LIFECYCLE-BUNDLE; WORKFLOW-BUNDLE; EVIDENCE-LINK</t>
  </si>
  <si>
    <t xml:space="preserve">Owns internal offboarding workflow and exit records; downstream Talent Ecosystem reference records remain separate future product objects.</t>
  </si>
  <si>
    <t xml:space="preserve">MOD-0306</t>
  </si>
  <si>
    <t xml:space="preserve">Talent &amp; Development</t>
  </si>
  <si>
    <t xml:space="preserve">Manage performance, skills, development, learning, succession, and high-potential records as governed HR talent data.</t>
  </si>
  <si>
    <t xml:space="preserve">Performance Review Management</t>
  </si>
  <si>
    <t xml:space="preserve">Employee Profile Workspace; Position &amp; Organization Assignment; Workflow Designer (Approvals/SLAs/Escalations); KPI Catalog</t>
  </si>
  <si>
    <t xml:space="preserve">Provides governed performance records that can feed development and future talent ecosystem signals.</t>
  </si>
  <si>
    <t xml:space="preserve">Performance Cycle Setup; Performance Review Form; Review Calibration</t>
  </si>
  <si>
    <t xml:space="preserve">HCM-TALENT-BUNDLE (performance cycle schema, review form schema, rating contract, calibration event, AuditEvent v1, Correlation-ID, OTel)</t>
  </si>
  <si>
    <t xml:space="preserve">SoR: Performance cycles; review records; review ratings; calibration decisions</t>
  </si>
  <si>
    <t xml:space="preserve">DOMAIN-APP-BASE + HCM-TALENT-BUNDLE</t>
  </si>
  <si>
    <t xml:space="preserve">Performance cycles; review records; review ratings; calibration decisions</t>
  </si>
  <si>
    <t xml:space="preserve">Summarize review comments; identify missing review evidence</t>
  </si>
  <si>
    <t xml:space="preserve">HCM-TALENT-BUNDLE; WORKFLOW-BUNDLE; KPI-FACADE</t>
  </si>
  <si>
    <t xml:space="preserve">Native HR SoR for performance review records; consumes KPI/metric definitions from shared services.</t>
  </si>
  <si>
    <t xml:space="preserve">MOD-0307</t>
  </si>
  <si>
    <t xml:space="preserve">Competency &amp; Skills Assessment</t>
  </si>
  <si>
    <t xml:space="preserve">Employee Profile Workspace; Position &amp; Organization Assignment; Semantic Tagging &amp; Taxonomy Management; Reference Data Management</t>
  </si>
  <si>
    <t xml:space="preserve">Builds governed skills data foundation for workforce planning and future skill passports.</t>
  </si>
  <si>
    <t xml:space="preserve">Competency Framework Mapping; Skills Assessment Form; Skills Matrix</t>
  </si>
  <si>
    <t xml:space="preserve">HCM-TALENT-BUNDLE (competency schema, skill rating schema, role-skill mapping, assessment evidence link, AuditEvent v1, Correlation-ID, OTel)</t>
  </si>
  <si>
    <t xml:space="preserve">SoR: Competency assessments; skill ratings; role-skill mappings; assessment evidence links</t>
  </si>
  <si>
    <t xml:space="preserve">Competency assessments; skill ratings; role-skill mappings; assessment evidence links</t>
  </si>
  <si>
    <t xml:space="preserve">Suggest skill tags; normalize competency evidence</t>
  </si>
  <si>
    <t xml:space="preserve">Prompt Registry; HITL; Taxonomy controls</t>
  </si>
  <si>
    <t xml:space="preserve">HCM-TALENT-BUNDLE; TAXONOMY-BUNDLE; REF-DATA-BUNDLE</t>
  </si>
  <si>
    <t xml:space="preserve">Native HR SoR for internal competency/skill assessments; consumes taxonomy and reference data.</t>
  </si>
  <si>
    <t xml:space="preserve">MOD-0308</t>
  </si>
  <si>
    <t xml:space="preserve">Development Plan Management</t>
  </si>
  <si>
    <t xml:space="preserve">Performance Review Management; Competency &amp; Skills Assessment; Workflow Designer (Approvals/SLAs/Escalations)</t>
  </si>
  <si>
    <t xml:space="preserve">Links performance and skills findings to actionable development plans.</t>
  </si>
  <si>
    <t xml:space="preserve">Development Plan Detail; Development Action Tracker; Manager Development Review</t>
  </si>
  <si>
    <t xml:space="preserve">HCM-TALENT-BUNDLE (development plan schema, action item schema, progress event, manager review event, AuditEvent v1, Correlation-ID, OTel)</t>
  </si>
  <si>
    <t xml:space="preserve">SoR: Development plans; development actions; development progress records</t>
  </si>
  <si>
    <t xml:space="preserve">Development plans; development actions; development progress records</t>
  </si>
  <si>
    <t xml:space="preserve">Recommend development actions; summarize progress</t>
  </si>
  <si>
    <t xml:space="preserve">HCM-TALENT-BUNDLE; WORKFLOW-BUNDLE</t>
  </si>
  <si>
    <t xml:space="preserve">Native HR SoR for employee development plans and improvement actions.</t>
  </si>
  <si>
    <t xml:space="preserve">MOD-0309</t>
  </si>
  <si>
    <t xml:space="preserve">Learning / Training Records</t>
  </si>
  <si>
    <t xml:space="preserve">Development Plan Management; Documentation &amp; Evidence Management; Records Management (Retention/Legal Hold)</t>
  </si>
  <si>
    <t xml:space="preserve">Tracks learning and mandatory training evidence for development and compliance.</t>
  </si>
  <si>
    <t xml:space="preserve">Training Record Detail; Mandatory Training Tracker; Learning Evidence Register</t>
  </si>
  <si>
    <t xml:space="preserve">HCM-TALENT-BUNDLE (training record schema, learning completion event, mandatory training expiry event, evidence link, AuditEvent v1, Correlation-ID, OTel)</t>
  </si>
  <si>
    <t xml:space="preserve">SoR: Training records; learning completions; mandatory training evidence; training expiry records</t>
  </si>
  <si>
    <t xml:space="preserve">Training records; learning completions; mandatory training evidence; training expiry records</t>
  </si>
  <si>
    <t xml:space="preserve">Recommend training from skill gaps; summarize completion risk</t>
  </si>
  <si>
    <t xml:space="preserve">HCM-TALENT-BUNDLE; DOC-EVID; RECORDS-BUNDLE</t>
  </si>
  <si>
    <t xml:space="preserve">Native HR training record layer. MOD-0107 remains adoption/change training, not full HR learning record SoR.</t>
  </si>
  <si>
    <t xml:space="preserve">MOD-0310</t>
  </si>
  <si>
    <t xml:space="preserve">Workforce Planning</t>
  </si>
  <si>
    <t xml:space="preserve">Plan workforce demand, capacity, headcount, and position budgets using governed HR inputs and analytics.</t>
  </si>
  <si>
    <t xml:space="preserve">Employee Profile Workspace; Position &amp; Organization Assignment; KPI Catalog; Scorecards / Dashboards</t>
  </si>
  <si>
    <t xml:space="preserve">Enables governed workforce demand/capacity planning before Talent Ecosystem intelligence.</t>
  </si>
  <si>
    <t xml:space="preserve">Workforce Plan Workspace; Demand / Capacity Scenario; Workforce Plan Approval</t>
  </si>
  <si>
    <t xml:space="preserve">HCM-WFP-BUNDLE (workforce plan schema, demand scenario schema, capacity assumption schema, approval event, AuditEvent v1, Correlation-ID, OTel)</t>
  </si>
  <si>
    <t xml:space="preserve">SoR: Workforce plans; workforce demand scenarios; workforce capacity assumptions; plan approval versions</t>
  </si>
  <si>
    <t xml:space="preserve">DOMAIN-APP-BASE + HCM-WFP-BUNDLE</t>
  </si>
  <si>
    <t xml:space="preserve">Workforce plans; workforce demand scenarios; workforce capacity assumptions; plan approval versions</t>
  </si>
  <si>
    <t xml:space="preserve">Scenario summaries; gap explanations; forecast commentary</t>
  </si>
  <si>
    <t xml:space="preserve">Prompt Registry; HITL; Analytics validation</t>
  </si>
  <si>
    <t xml:space="preserve">HCM-WFP-BUNDLE; KPI-FACADE; DOMAIN-APP-BASE</t>
  </si>
  <si>
    <t xml:space="preserve">Native HR workforce planning owner; consumes employee/position projections and analytics foundations.</t>
  </si>
  <si>
    <t xml:space="preserve">MOD-0311</t>
  </si>
  <si>
    <t xml:space="preserve">Headcount &amp; Position Budget Planning</t>
  </si>
  <si>
    <t xml:space="preserve">Position &amp; Organization Assignment; Workforce Planning</t>
  </si>
  <si>
    <t xml:space="preserve">Connects positions, headcount, and hiring plan governance.</t>
  </si>
  <si>
    <t xml:space="preserve">Headcount Plan; Position Budget Plan; Hiring Plan Register</t>
  </si>
  <si>
    <t xml:space="preserve">HCM-WFP-BUNDLE (headcount plan schema, position budget plan schema, hiring plan line schema, approved snapshot event, AuditEvent v1, Correlation-ID, OTel)</t>
  </si>
  <si>
    <t xml:space="preserve">SoR: Headcount plans; position budget plans; hiring plan lines; approved workforce plan snapshots</t>
  </si>
  <si>
    <t xml:space="preserve">Headcount plans; position budget plans; hiring plan lines; approved workforce plan snapshots</t>
  </si>
  <si>
    <t xml:space="preserve">Explain variances; suggest plan completeness checks</t>
  </si>
  <si>
    <t xml:space="preserve">Prompt Registry; HITL; Finance boundary checks</t>
  </si>
  <si>
    <t xml:space="preserve">HCM-WFP-BUNDLE; DOMAIN-APP-BASE</t>
  </si>
  <si>
    <t xml:space="preserve">Owns HR planning records; does not replace finance budgeting or payroll calculations.</t>
  </si>
  <si>
    <t xml:space="preserve">MOD-0312</t>
  </si>
  <si>
    <t xml:space="preserve">Cross-Cutting HR Services</t>
  </si>
  <si>
    <t xml:space="preserve">Provide HR-specific facades over shared KPI, document, evidence, access, audit, and governance services.</t>
  </si>
  <si>
    <t xml:space="preserve">HR KPI &amp; Analytics Facade</t>
  </si>
  <si>
    <t xml:space="preserve">Metric &amp; Semantic Registry; KPI Catalog; Metric Definitions &amp; Ownership; Scorecards / Dashboards; Data Warehouse / Lakehouse; ETL/ELT Pipelines</t>
  </si>
  <si>
    <t xml:space="preserve">Provides HR-specific metric consumption without creating a duplicate KPI engine.</t>
  </si>
  <si>
    <t xml:space="preserve">HR KPI Catalog View; HR Dashboard Shell; HR Metric Ownership Matrix</t>
  </si>
  <si>
    <t xml:space="preserve">HCM-KPI-FACADE-BUNDLE (HR KPI mapping schema, dashboard query contract, metric ownership reference, analytics view contract, AuditEvent v1, Correlation-ID, OTel)</t>
  </si>
  <si>
    <t xml:space="preserve">SoR: HR dashboard configurations; HR metric mappings; HR analytics saved views</t>
  </si>
  <si>
    <t xml:space="preserve">DOMAIN-APP-BASE + HCM-KPI-FACADE-BUNDLE</t>
  </si>
  <si>
    <t xml:space="preserve">HR dashboard configurations; HR metric mappings; HR analytics saved views</t>
  </si>
  <si>
    <t xml:space="preserve">Generate dashboard commentary; detect KPI data gaps</t>
  </si>
  <si>
    <t xml:space="preserve">Prompt Registry; Metric certification</t>
  </si>
  <si>
    <t xml:space="preserve">HCM-KPI-FACADE-BUNDLE; SEMANTIC-BUNDLE; DATA-BASE</t>
  </si>
  <si>
    <t xml:space="preserve">Facade only. Metric definitions, KPI catalog, warehouse, and pipelines remain shared service SoRs.</t>
  </si>
  <si>
    <t xml:space="preserve">MOD-0313</t>
  </si>
  <si>
    <t xml:space="preserve">HR Documentation &amp; Evidence Workspace</t>
  </si>
  <si>
    <t xml:space="preserve">Documentation &amp; Evidence Management; Controlled Documents — SOPs / Work Instructions; Records Management (Retention/Legal Hold); Evidence Linking Service (object ↔ evidence); Internal Document Repository Service</t>
  </si>
  <si>
    <t xml:space="preserve">Creates an HR-focused document/evidence workspace on top of shared document services.</t>
  </si>
  <si>
    <t xml:space="preserve">HR Document Workspace; HR Evidence Register; HR Retention View</t>
  </si>
  <si>
    <t xml:space="preserve">HCM-DOC-EVID-FACADE-BUNDLE (HR evidence package schema, HR document link contract, retention view contract, legal hold reference, AuditEvent v1, Correlation-ID, OTel)</t>
  </si>
  <si>
    <t xml:space="preserve">SoR: HR document workspace views; HR evidence packages; HR document-to-object links</t>
  </si>
  <si>
    <t xml:space="preserve">DOMAIN-APP-BASE + HCM-DOC-EVID-FACADE-BUNDLE</t>
  </si>
  <si>
    <t xml:space="preserve">HR document workspace views; HR evidence packages; HR document-to-object links</t>
  </si>
  <si>
    <t xml:space="preserve">Classify HR document types; detect missing evidence</t>
  </si>
  <si>
    <t xml:space="preserve">Prompt Registry; Sensitive-data audit</t>
  </si>
  <si>
    <t xml:space="preserve">HCM-DOC-EVID-FACADE-BUNDLE; DOC-EVID; RECORDS-BUNDLE</t>
  </si>
  <si>
    <t xml:space="preserve">Workspace/facade only. Does not duplicate document repository, evidence linking, or retention SoRs.</t>
  </si>
  <si>
    <t xml:space="preserve">MOD-0314</t>
  </si>
  <si>
    <t xml:space="preserve">HR Governance &amp; Sensitive Access Controls</t>
  </si>
  <si>
    <t xml:space="preserve">RBAC / ABAC Authorization; Data Masking &amp; Row/Field Security; Audit Trail Service; Workflow Designer (Approvals/SLAs/Escalations); Records Management (Retention/Legal Hold)</t>
  </si>
  <si>
    <t xml:space="preserve">Provides HR-specific guardrails for sensitive employee data and case records.</t>
  </si>
  <si>
    <t xml:space="preserve">HR Access Policy Matrix; Sensitive HR Data Access Review; HR Governance Exceptions</t>
  </si>
  <si>
    <t xml:space="preserve">HCM-GOV-BUNDLE (HR access policy schema, sensitive-data classification, access review event, governance exception schema, AuditEvent v1, Correlation-ID, OTel)</t>
  </si>
  <si>
    <t xml:space="preserve">SoR: HR access policies; HR sensitive-data classifications; HR governance exceptions; access review records</t>
  </si>
  <si>
    <t xml:space="preserve">DOMAIN-APP-BASE + HCM-GOV-BUNDLE</t>
  </si>
  <si>
    <t xml:space="preserve">HR access policies; HR sensitive-data classifications; HR governance exceptions; access review records</t>
  </si>
  <si>
    <t xml:space="preserve">HCM-GOV-BUNDLE; PLAT-BASE; RECORDS-BUNDLE</t>
  </si>
  <si>
    <t xml:space="preserve">HR-specific policy layer over shared RBAC, masking, audit, workflow, and retention services.</t>
  </si>
  <si>
    <t xml:space="preserve">MOD-0315</t>
  </si>
  <si>
    <t xml:space="preserve">Provide HR and manager workspace over internal time, attendance, and leave records.</t>
  </si>
  <si>
    <t xml:space="preserve">Time, Attendance &amp; Leave Workspace</t>
  </si>
  <si>
    <t xml:space="preserve">Time, Attendance &amp; Leave Management; Employee Profile Workspace; HR Governance &amp; Sensitive Access Controls</t>
  </si>
  <si>
    <t xml:space="preserve">Governed workspace for leave, absence, and attendance operations.</t>
  </si>
  <si>
    <t xml:space="preserve">Leave Balance View; Absence Record View; Timesheet / Roster Workspace</t>
  </si>
  <si>
    <t xml:space="preserve">TIME-LEAVE-WORKSPACE-BUNDLE</t>
  </si>
  <si>
    <t xml:space="preserve">Internal owner: HR leave workspace records; attendance views; exception routing records</t>
  </si>
  <si>
    <t xml:space="preserve">DOMAIN-APP-BASE + TIME-LEAVE-WORKSPACE-BUNDLE</t>
  </si>
  <si>
    <t xml:space="preserve">HR leave request views; attendance interface snapshots; exception routing records</t>
  </si>
  <si>
    <t xml:space="preserve">Summarize absence trends; flag missing T&amp;A feed data</t>
  </si>
  <si>
    <t xml:space="preserve">HCM-INTERFACE-BUNDLE; EXT-SOR-BRIDGE</t>
  </si>
  <si>
    <t xml:space="preserve">TIME-LEAVE-WORKSPACE-BUNDLE (leave workspace contract, absence record view, timesheet snapshot contract, leave exception event, AuditEvent v1, Correlation-ID, OTel)</t>
  </si>
  <si>
    <t xml:space="preserve">Workspace over MOD-0280 internal time, attendance, and leave records.</t>
  </si>
  <si>
    <t xml:space="preserve">MOD-0316</t>
  </si>
  <si>
    <t xml:space="preserve">Own compensation packages, benefits assignments, allowances, and compensation reference data for HR use.</t>
  </si>
  <si>
    <t xml:space="preserve">Compensation &amp; Benefits Management</t>
  </si>
  <si>
    <t xml:space="preserve">Native Payroll Engine; Payroll Governance &amp; Payroll Controls; Core HR / Employee Master; HR Governance &amp; Sensitive Access Controls</t>
  </si>
  <si>
    <t xml:space="preserve">Manages compensation packages, benefits assignments, and compensation reference context integrated with internal payroll.</t>
  </si>
  <si>
    <t xml:space="preserve">Compensation Package; Benefits Assignment; Allowance Setup; Payroll Status Reference</t>
  </si>
  <si>
    <t xml:space="preserve">Domain App (HCM Compensation)</t>
  </si>
  <si>
    <t xml:space="preserve">COMP-BENEFITS-BUNDLE</t>
  </si>
  <si>
    <t xml:space="preserve">Internal owner: compensation packages; benefits assignments; compensation reference data</t>
  </si>
  <si>
    <t xml:space="preserve">DOMAIN-APP-BASE + COMP-BENEFITS-BUNDLE</t>
  </si>
  <si>
    <t xml:space="preserve">HR compensation views; benefits reference views; payroll consumption snapshots</t>
  </si>
  <si>
    <t xml:space="preserve">HCM-INTERFACE-BUNDLE; PAYROLL-INT-BUNDLE; EXT-SOR-BRIDGE</t>
  </si>
  <si>
    <t xml:space="preserve">COMP-BENEFITS-BUNDLE (compensation package contract, benefit assignment reference, payroll status reference, payroll exception view, AuditEvent v1, Correlation-ID, OTel)</t>
  </si>
  <si>
    <t xml:space="preserve">Native compensation and benefits management using internal payroll controls.</t>
  </si>
  <si>
    <t xml:space="preserve">MOD-0317</t>
  </si>
  <si>
    <t xml:space="preserve">Employee Relations &amp; Compliance</t>
  </si>
  <si>
    <t xml:space="preserve">Govern sensitive HR cases, compliance records, statutory reports, and regulated HR evidence.</t>
  </si>
  <si>
    <t xml:space="preserve">Employee Relations &amp; HR Case Management</t>
  </si>
  <si>
    <t xml:space="preserve">HR Governance &amp; Sensitive Access Controls; Documentation &amp; Evidence Management; Evidence Linking Service (object ↔ evidence); Workflow Designer (Approvals/SLAs/Escalations)</t>
  </si>
  <si>
    <t xml:space="preserve">Adds controlled handling of sensitive HR cases and disciplinary/investigation workflows.</t>
  </si>
  <si>
    <t xml:space="preserve">HR Case Intake; Employee Relations Case Detail; Investigation / Disciplinary Record</t>
  </si>
  <si>
    <t xml:space="preserve">HCM-CASE-BUNDLE (HR case schema, grievance schema, disciplinary action schema, investigation record schema, evidence link, AuditEvent v1, Correlation-ID, OTel)</t>
  </si>
  <si>
    <t xml:space="preserve">SoR: Employee relations cases; grievance cases; disciplinary actions; investigation records; warning records</t>
  </si>
  <si>
    <t xml:space="preserve">DOMAIN-APP-BASE + HCM-CASE-BUNDLE</t>
  </si>
  <si>
    <t xml:space="preserve">Employee relations cases; grievance cases; disciplinary actions; investigation records; warning records</t>
  </si>
  <si>
    <t xml:space="preserve">HR Sensitive Ops</t>
  </si>
  <si>
    <t xml:space="preserve">Summarize case chronology; classify controlled case categories</t>
  </si>
  <si>
    <t xml:space="preserve">Prompt Registry; HITL; Legal review; Sensitive-data audit</t>
  </si>
  <si>
    <t xml:space="preserve">HCM-CASE-BUNDLE; HCM-GOV-BUNDLE; DOC-EVID</t>
  </si>
  <si>
    <t xml:space="preserve">Native HR SoR for sensitive employee relations cases with restricted access and evidence linkage.</t>
  </si>
  <si>
    <t xml:space="preserve">MOD-0318</t>
  </si>
  <si>
    <t xml:space="preserve">HR Compliance &amp; Statutory Reporting</t>
  </si>
  <si>
    <t xml:space="preserve">HR KPI &amp; Analytics Facade; HR Documentation &amp; Evidence Workspace; HR Governance &amp; Sensitive Access Controls</t>
  </si>
  <si>
    <t xml:space="preserve">Provides HR compliance and statutory output capability using governed HR data.</t>
  </si>
  <si>
    <t xml:space="preserve">HR Compliance Dashboard; Statutory Report Package; Permit / Contract Expiry Tracker</t>
  </si>
  <si>
    <t xml:space="preserve">HCM-COMPLIANCE-BUNDLE (statutory report package schema, expiry record schema, submission evidence link, compliance dashboard query, AuditEvent v1, Correlation-ID, OTel)</t>
  </si>
  <si>
    <t xml:space="preserve">SoR: HR compliance report packages; statutory submission evidence; permit/visa/contract expiry records</t>
  </si>
  <si>
    <t xml:space="preserve">DOMAIN-APP-BASE + HCM-COMPLIANCE-BUNDLE</t>
  </si>
  <si>
    <t xml:space="preserve">HR compliance report packages; statutory submission evidence; permit/visa/contract expiry records</t>
  </si>
  <si>
    <t xml:space="preserve">Draft compliance report commentary; highlight expiry risks</t>
  </si>
  <si>
    <t xml:space="preserve">Prompt Registry; HITL; Legal review</t>
  </si>
  <si>
    <t xml:space="preserve">HCM-COMPLIANCE-BUNDLE; HCM-KPI-FACADE-BUNDLE; HCM-DOC-EVID-FACADE-BUNDLE</t>
  </si>
  <si>
    <t xml:space="preserve">Owns report packages and expiry tracking; source data remains in HR/projection/interface modules.</t>
  </si>
  <si>
    <t xml:space="preserve">MOD-0319</t>
  </si>
  <si>
    <t xml:space="preserve">Experience Layer</t>
  </si>
  <si>
    <t xml:space="preserve">Expose HR services through employee and manager self-service channels without owning core HR records.</t>
  </si>
  <si>
    <t xml:space="preserve">Employee / Manager Self-Service Channel</t>
  </si>
  <si>
    <t xml:space="preserve">HR Capability Block Shell; Employee Profile Workspace; Workflow Designer (Approvals/SLAs/Escalations); RBAC / ABAC Authorization</t>
  </si>
  <si>
    <t xml:space="preserve">Provides employee and manager access across HR capabilities through a controlled channel.</t>
  </si>
  <si>
    <t xml:space="preserve">Employee Self-Service Home; Manager Team View; HR Request Center; Approval Inbox</t>
  </si>
  <si>
    <t xml:space="preserve">HCM-EXPERIENCE-BUNDLE (self-service request schema, manager team view contract, approval inbox contract, preference reference, AuditEvent v1, Correlation-ID, OTel)</t>
  </si>
  <si>
    <t xml:space="preserve">SoR: Self-service request drafts; channel preferences; employee/manager saved views</t>
  </si>
  <si>
    <t xml:space="preserve">DOMAIN-APP-BASE + HCM-EXPERIENCE-BUNDLE</t>
  </si>
  <si>
    <t xml:space="preserve">Self-service request drafts; channel preferences; employee/manager saved views</t>
  </si>
  <si>
    <t xml:space="preserve">Guide request routing; summarize open HR tasks</t>
  </si>
  <si>
    <t xml:space="preserve">HCM-EXPERIENCE-BUNDLE; WORKFLOW-BUNDLE; PLAT-BASE</t>
  </si>
  <si>
    <t xml:space="preserve">Channel only. Does not own core HR data; routes requests to owning HR modules.</t>
  </si>
  <si>
    <t xml:space="preserve">MOD-0320</t>
  </si>
  <si>
    <t xml:space="preserve">Succession &amp; High-Potential Tracking</t>
  </si>
  <si>
    <t xml:space="preserve">Performance Review Management; Competency &amp; Skills Assessment; Workforce Planning; HR Governance &amp; Sensitive Access Controls</t>
  </si>
  <si>
    <t xml:space="preserve">Connects performance, skills, and workforce plans into succession and leadership-readiness tracking.</t>
  </si>
  <si>
    <t xml:space="preserve">Succession Pool; High-Potential Register; Critical Role Readiness Matrix</t>
  </si>
  <si>
    <t xml:space="preserve">HCM-TALENT-BUNDLE (succession pool schema, HiPo record schema, successor nomination event, readiness matrix query, AuditEvent v1, Correlation-ID, OTel)</t>
  </si>
  <si>
    <t xml:space="preserve">SoR: Succession pools; high-potential records; successor nominations; readiness assessments</t>
  </si>
  <si>
    <t xml:space="preserve">Succession pools; high-potential records; successor nominations; readiness assessments</t>
  </si>
  <si>
    <t xml:space="preserve">Summarize readiness evidence; identify missing successor data</t>
  </si>
  <si>
    <t xml:space="preserve">HCM-TALENT-BUNDLE; HCM-WFP-BUNDLE; HCM-GOV-BUNDLE</t>
  </si>
  <si>
    <t xml:space="preserve">Native HR SoR for internal succession planning. Future Talent Ecosystem industry succession pool remains separate.</t>
  </si>
  <si>
    <t xml:space="preserve">MOD-0321</t>
  </si>
  <si>
    <t xml:space="preserve">Industry Talent Ecosystem Platform</t>
  </si>
  <si>
    <t xml:space="preserve">Foundation &amp; Governance</t>
  </si>
  <si>
    <t xml:space="preserve">Sector-wide talent identity, member access, consent/visibility, and governance review board.</t>
  </si>
  <si>
    <t xml:space="preserve">Talent Ecosystem Platform Shell</t>
  </si>
  <si>
    <t xml:space="preserve">UI shell; RBAC; HCM Foundation</t>
  </si>
  <si>
    <t xml:space="preserve">Deliver talent ecosystem platform shell capability for sector-wide Talent Ecosystem operations.</t>
  </si>
  <si>
    <t xml:space="preserve">Talent Ecosystem Platform Shell List; Talent Ecosystem Platform Shell Detail; Talent Ecosystem Platform Shell Workflow/Report</t>
  </si>
  <si>
    <t xml:space="preserve">TALENT-CORE-BUNDLE (RBAC/ABAC, AuditEvent v1, Evidence/Workflow where applicable, Correlation-ID, OTel)</t>
  </si>
  <si>
    <t xml:space="preserve">SoR: Talent Ecosystem Platform Shell Record</t>
  </si>
  <si>
    <t xml:space="preserve">L1 Service Desk; L2 Association/Talent Ops; L3 Talent Ecosystem Product Engineering</t>
  </si>
  <si>
    <t xml:space="preserve">Talent Ecosystem Platform</t>
  </si>
  <si>
    <t xml:space="preserve">Association/Talent Ops</t>
  </si>
  <si>
    <t xml:space="preserve">Talent Ecosystem Product Engineering</t>
  </si>
  <si>
    <t xml:space="preserve">Talent Ecosystem Platform Shell Record</t>
  </si>
  <si>
    <t xml:space="preserve">Rule-based / Governance Assist</t>
  </si>
  <si>
    <t xml:space="preserve">governed matching, reference signals, review support</t>
  </si>
  <si>
    <t xml:space="preserve">HCM Foundation; RBAC; Audit; Evidence; Workflow; Data Contracts</t>
  </si>
  <si>
    <t xml:space="preserve">TALENT-*</t>
  </si>
  <si>
    <t xml:space="preserve">Consumes HCM outputs and shared platform services; does not replace internal HCM, payroll, or time-attendance owning modules.</t>
  </si>
  <si>
    <t xml:space="preserve">Talent Ecosystem SoR for sector-wide objects only.</t>
  </si>
  <si>
    <t xml:space="preserve">MOD-0322</t>
  </si>
  <si>
    <t xml:space="preserve">Industry Candidate Identity &amp; Talent Profile</t>
  </si>
  <si>
    <t xml:space="preserve">MOD-0298; MOD-0288; Identity/RBAC</t>
  </si>
  <si>
    <t xml:space="preserve">Deliver industry candidate identity &amp; talent profile capability for sector-wide Talent Ecosystem operations.</t>
  </si>
  <si>
    <t xml:space="preserve">Industry Candidate Identity &amp; Talent Profile List; Industry Candidate Identity &amp; Talent Profile Detail; Industry Candidate Identity &amp; Talent Profile Workflow/Report</t>
  </si>
  <si>
    <t xml:space="preserve">SoR: Industry Candidate Identity / Talent Profile Record</t>
  </si>
  <si>
    <t xml:space="preserve">Industry Candidate Identity / Talent Profile Record</t>
  </si>
  <si>
    <t xml:space="preserve">MOD-0323</t>
  </si>
  <si>
    <t xml:space="preserve">Association Membership &amp; Member Company Registry</t>
  </si>
  <si>
    <t xml:space="preserve">MOD-0324; RBAC</t>
  </si>
  <si>
    <t xml:space="preserve">Deliver association membership &amp; member company registry capability for sector-wide Talent Ecosystem operations.</t>
  </si>
  <si>
    <t xml:space="preserve">Association Membership &amp; Member Company Registry List; Association Membership &amp; Member Company Registry Detail; Association Membership &amp; Member Company Registry Workflow/Report</t>
  </si>
  <si>
    <t xml:space="preserve">SoR: Association Membership / Member Company Registry Record</t>
  </si>
  <si>
    <t xml:space="preserve">Association Membership / Member Company Registry Record</t>
  </si>
  <si>
    <t xml:space="preserve">MOD-0324</t>
  </si>
  <si>
    <t xml:space="preserve">Verified HR Participant &amp; Company Access</t>
  </si>
  <si>
    <t xml:space="preserve">MOD-0018; MOD-0021; MOD-0288</t>
  </si>
  <si>
    <t xml:space="preserve">Deliver verified hr participant &amp; company access capability for sector-wide Talent Ecosystem operations.</t>
  </si>
  <si>
    <t xml:space="preserve">Verified HR Participant &amp; Company Access List; Verified HR Participant &amp; Company Access Detail; Verified HR Participant &amp; Company Access Workflow/Report</t>
  </si>
  <si>
    <t xml:space="preserve">SoR: Verified HR Participant / Company Access Record</t>
  </si>
  <si>
    <t xml:space="preserve">Verified HR Participant / Company Access Record</t>
  </si>
  <si>
    <t xml:space="preserve">MOD-0325</t>
  </si>
  <si>
    <t xml:space="preserve">Consent, Visibility &amp; Access Policy</t>
  </si>
  <si>
    <t xml:space="preserve">RBAC; Audit; Notification</t>
  </si>
  <si>
    <t xml:space="preserve">Deliver consent, visibility &amp; access policy capability for sector-wide Talent Ecosystem operations.</t>
  </si>
  <si>
    <t xml:space="preserve">Consent, Visibility &amp; Access Policy List; Consent, Visibility &amp; Access Policy Detail; Consent, Visibility &amp; Access Policy Workflow/Report</t>
  </si>
  <si>
    <t xml:space="preserve">SoR: Consent, Visibility / Access Policy Record</t>
  </si>
  <si>
    <t xml:space="preserve">Consent, Visibility / Access Policy Record</t>
  </si>
  <si>
    <t xml:space="preserve">MOD-0326</t>
  </si>
  <si>
    <t xml:space="preserve">Talent Ecosystem Governance &amp; Review Board</t>
  </si>
  <si>
    <t xml:space="preserve">Workflow; Audit; Evidence</t>
  </si>
  <si>
    <t xml:space="preserve">Deliver talent ecosystem governance &amp; review board capability for sector-wide Talent Ecosystem operations.</t>
  </si>
  <si>
    <t xml:space="preserve">Talent Ecosystem Governance &amp; Review Board List; Talent Ecosystem Governance &amp; Review Board Detail; Talent Ecosystem Governance &amp; Review Board Workflow/Report</t>
  </si>
  <si>
    <t xml:space="preserve">SoR: Talent Ecosystem Governance / Review Board Record</t>
  </si>
  <si>
    <t xml:space="preserve">Talent Ecosystem Governance / Review Board Record</t>
  </si>
  <si>
    <t xml:space="preserve">MOD-0327</t>
  </si>
  <si>
    <t xml:space="preserve">Industry Reference Network</t>
  </si>
  <si>
    <t xml:space="preserve">HR-to-HR reference exchange, exit records, recommendations, disputes, risk/reputation signals.</t>
  </si>
  <si>
    <t xml:space="preserve">Industry Exit Reference Record Registry</t>
  </si>
  <si>
    <t xml:space="preserve">MOD-0305; MOD-0313; MOD-0314</t>
  </si>
  <si>
    <t xml:space="preserve">Deliver industry exit reference record registry capability for sector-wide Talent Ecosystem operations.</t>
  </si>
  <si>
    <t xml:space="preserve">Industry Exit Reference Record Registry List; Industry Exit Reference Record Registry Detail; Industry Exit Reference Record Registry Workflow/Report</t>
  </si>
  <si>
    <t xml:space="preserve">TALENT-REFERENCE-BUNDLE (RBAC/ABAC, AuditEvent v1, Evidence/Workflow where applicable, Correlation-ID, OTel)</t>
  </si>
  <si>
    <t xml:space="preserve">SoR: Industry Exit Reference Record Registry Record</t>
  </si>
  <si>
    <t xml:space="preserve">Industry Exit Reference Record Registry Record</t>
  </si>
  <si>
    <t xml:space="preserve">MOD-0328</t>
  </si>
  <si>
    <t xml:space="preserve">Reference Exchange Marketplace</t>
  </si>
  <si>
    <t xml:space="preserve">MOD-0327; Workflow; Notification</t>
  </si>
  <si>
    <t xml:space="preserve">Deliver reference exchange marketplace capability for sector-wide Talent Ecosystem operations.</t>
  </si>
  <si>
    <t xml:space="preserve">Reference Exchange Marketplace List; Reference Exchange Marketplace Detail; Reference Exchange Marketplace Workflow/Report</t>
  </si>
  <si>
    <t xml:space="preserve">SoR: Reference Exchange Marketplace Record</t>
  </si>
  <si>
    <t xml:space="preserve">Reference Exchange Marketplace Record</t>
  </si>
  <si>
    <t xml:space="preserve">MOD-0329</t>
  </si>
  <si>
    <t xml:space="preserve">Rehire Recommendation Network</t>
  </si>
  <si>
    <t xml:space="preserve">MOD-0327; MOD-0330</t>
  </si>
  <si>
    <t xml:space="preserve">Deliver rehire recommendation network capability for sector-wide Talent Ecosystem operations.</t>
  </si>
  <si>
    <t xml:space="preserve">Rehire Recommendation Network List; Rehire Recommendation Network Detail; Rehire Recommendation Network Workflow/Report</t>
  </si>
  <si>
    <t xml:space="preserve">SoR: Rehire Recommendation Network Record</t>
  </si>
  <si>
    <t xml:space="preserve">Rehire Recommendation Network Record</t>
  </si>
  <si>
    <t xml:space="preserve">MOD-0330</t>
  </si>
  <si>
    <t xml:space="preserve">Trust Level &amp; Multi-Signature Engine</t>
  </si>
  <si>
    <t xml:space="preserve">Evidence; Workflow; Audit</t>
  </si>
  <si>
    <t xml:space="preserve">Deliver trust level &amp; multi-signature engine capability for sector-wide Talent Ecosystem operations.</t>
  </si>
  <si>
    <t xml:space="preserve">Trust Level &amp; Multi-Signature Engine List; Trust Level &amp; Multi-Signature Engine Detail; Trust Level &amp; Multi-Signature Engine Workflow/Report</t>
  </si>
  <si>
    <t xml:space="preserve">SoR: Trust Level / Multi-Signature Engine Record</t>
  </si>
  <si>
    <t xml:space="preserve">Trust Level / Multi-Signature Engine Record</t>
  </si>
  <si>
    <t xml:space="preserve">MOD-0331</t>
  </si>
  <si>
    <t xml:space="preserve">Candidate Response &amp; Dispute Management</t>
  </si>
  <si>
    <t xml:space="preserve">MOD-0322; MOD-0327; MOD-0326</t>
  </si>
  <si>
    <t xml:space="preserve">Deliver candidate response &amp; dispute management capability for sector-wide Talent Ecosystem operations.</t>
  </si>
  <si>
    <t xml:space="preserve">Candidate Response &amp; Dispute Management List; Candidate Response &amp; Dispute Management Detail; Candidate Response &amp; Dispute Management Workflow/Report</t>
  </si>
  <si>
    <t xml:space="preserve">SoR: Candidate Response / Dispute Management Record</t>
  </si>
  <si>
    <t xml:space="preserve">Candidate Response / Dispute Management Record</t>
  </si>
  <si>
    <t xml:space="preserve">MOD-0332</t>
  </si>
  <si>
    <t xml:space="preserve">Hiring Risk Indicators</t>
  </si>
  <si>
    <t xml:space="preserve">MOD-0327; MOD-0331; MOD-0334</t>
  </si>
  <si>
    <t xml:space="preserve">Deliver hiring risk indicators capability for sector-wide Talent Ecosystem operations.</t>
  </si>
  <si>
    <t xml:space="preserve">Hiring Risk Indicators List; Hiring Risk Indicators Detail; Hiring Risk Indicators Workflow/Report</t>
  </si>
  <si>
    <t xml:space="preserve">SoR: Hiring Risk Indicators Record</t>
  </si>
  <si>
    <t xml:space="preserve">Hiring Risk Indicators Record</t>
  </si>
  <si>
    <t xml:space="preserve">MOD-0333</t>
  </si>
  <si>
    <t xml:space="preserve">Early Warning Signals</t>
  </si>
  <si>
    <t xml:space="preserve">MOD-0332; Analytics</t>
  </si>
  <si>
    <t xml:space="preserve">Deliver early warning signals capability for sector-wide Talent Ecosystem operations.</t>
  </si>
  <si>
    <t xml:space="preserve">Early Warning Signals List; Early Warning Signals Detail; Early Warning Signals Workflow/Report</t>
  </si>
  <si>
    <t xml:space="preserve">SoR: Early Warning Signals Record</t>
  </si>
  <si>
    <t xml:space="preserve">Early Warning Signals Record</t>
  </si>
  <si>
    <t xml:space="preserve">MOD-0334</t>
  </si>
  <si>
    <t xml:space="preserve">Restricted Integrity Registry</t>
  </si>
  <si>
    <t xml:space="preserve">MOD-0326; Evidence; Audit</t>
  </si>
  <si>
    <t xml:space="preserve">Deliver restricted integrity registry capability for sector-wide Talent Ecosystem operations.</t>
  </si>
  <si>
    <t xml:space="preserve">Restricted Integrity Registry List; Restricted Integrity Registry Detail; Restricted Integrity Registry Workflow/Report</t>
  </si>
  <si>
    <t xml:space="preserve">SoR: Restricted Integrity Registry Record</t>
  </si>
  <si>
    <t xml:space="preserve">Restricted Integrity Registry Record</t>
  </si>
  <si>
    <t xml:space="preserve">MOD-0335</t>
  </si>
  <si>
    <t xml:space="preserve">Professional Reputation Ledger</t>
  </si>
  <si>
    <t xml:space="preserve">MOD-0306; MOD-0307; MOD-0327</t>
  </si>
  <si>
    <t xml:space="preserve">Deliver professional reputation ledger capability for sector-wide Talent Ecosystem operations.</t>
  </si>
  <si>
    <t xml:space="preserve">Professional Reputation Ledger List; Professional Reputation Ledger Detail; Professional Reputation Ledger Workflow/Report</t>
  </si>
  <si>
    <t xml:space="preserve">SoR: Professional Reputation Ledger Record</t>
  </si>
  <si>
    <t xml:space="preserve">Professional Reputation Ledger Record</t>
  </si>
  <si>
    <t xml:space="preserve">MOD-0336</t>
  </si>
  <si>
    <t xml:space="preserve">Talent Data Foundation</t>
  </si>
  <si>
    <t xml:space="preserve">MOD-0306; MOD-0307; MOD-0322</t>
  </si>
  <si>
    <t xml:space="preserve">Deliver talent data foundation capability for sector-wide Talent Ecosystem operations.</t>
  </si>
  <si>
    <t xml:space="preserve">Talent Data Foundation List; Talent Data Foundation Detail; Talent Data Foundation Workflow/Report</t>
  </si>
  <si>
    <t xml:space="preserve">SoR: Talent Data Foundation Record</t>
  </si>
  <si>
    <t xml:space="preserve">Talent Data Foundation Record</t>
  </si>
  <si>
    <t xml:space="preserve">MOD-0337</t>
  </si>
  <si>
    <t xml:space="preserve">Industry Talent Growth Network</t>
  </si>
  <si>
    <t xml:space="preserve">Talent pools, skill/career passports, development, certification, succession, and mentoring.</t>
  </si>
  <si>
    <t xml:space="preserve">Industry Talent Pool</t>
  </si>
  <si>
    <t xml:space="preserve">MOD-0322; MOD-0335; MOD-0336</t>
  </si>
  <si>
    <t xml:space="preserve">Deliver industry talent pool capability for sector-wide Talent Ecosystem operations.</t>
  </si>
  <si>
    <t xml:space="preserve">Industry Talent Pool List; Industry Talent Pool Detail; Industry Talent Pool Workflow/Report</t>
  </si>
  <si>
    <t xml:space="preserve">TALENT-GROWTH-BUNDLE (RBAC/ABAC, AuditEvent v1, Evidence/Workflow where applicable, Correlation-ID, OTel)</t>
  </si>
  <si>
    <t xml:space="preserve">SoR: Industry Talent Pool Record</t>
  </si>
  <si>
    <t xml:space="preserve">Industry Talent Pool Record</t>
  </si>
  <si>
    <t xml:space="preserve">MOD-0338</t>
  </si>
  <si>
    <t xml:space="preserve">Industry Skill Passport</t>
  </si>
  <si>
    <t xml:space="preserve">MOD-0307; MOD-0336</t>
  </si>
  <si>
    <t xml:space="preserve">Deliver industry skill passport capability for sector-wide Talent Ecosystem operations.</t>
  </si>
  <si>
    <t xml:space="preserve">Industry Skill Passport List; Industry Skill Passport Detail; Industry Skill Passport Workflow/Report</t>
  </si>
  <si>
    <t xml:space="preserve">SoR: Industry Skill Passport Record</t>
  </si>
  <si>
    <t xml:space="preserve">Industry Skill Passport Record</t>
  </si>
  <si>
    <t xml:space="preserve">MOD-0339</t>
  </si>
  <si>
    <t xml:space="preserve">Candidate Career Passport</t>
  </si>
  <si>
    <t xml:space="preserve">MOD-0322; MOD-0338; MOD-0342</t>
  </si>
  <si>
    <t xml:space="preserve">Deliver candidate career passport capability for sector-wide Talent Ecosystem operations.</t>
  </si>
  <si>
    <t xml:space="preserve">Candidate Career Passport List; Candidate Career Passport Detail; Candidate Career Passport Workflow/Report</t>
  </si>
  <si>
    <t xml:space="preserve">SoR: Candidate Career Passport Record</t>
  </si>
  <si>
    <t xml:space="preserve">Candidate Career Passport Record</t>
  </si>
  <si>
    <t xml:space="preserve">MOD-0340</t>
  </si>
  <si>
    <t xml:space="preserve">Talent Development Network</t>
  </si>
  <si>
    <t xml:space="preserve">MOD-0308; MOD-0309; MOD-0338</t>
  </si>
  <si>
    <t xml:space="preserve">Deliver talent development network capability for sector-wide Talent Ecosystem operations.</t>
  </si>
  <si>
    <t xml:space="preserve">Talent Development Network List; Talent Development Network Detail; Talent Development Network Workflow/Report</t>
  </si>
  <si>
    <t xml:space="preserve">SoR: Talent Development Network Record</t>
  </si>
  <si>
    <t xml:space="preserve">Talent Development Network Record</t>
  </si>
  <si>
    <t xml:space="preserve">MOD-0341</t>
  </si>
  <si>
    <t xml:space="preserve">Industry Succession Pool</t>
  </si>
  <si>
    <t xml:space="preserve">MOD-0320; MOD-0337</t>
  </si>
  <si>
    <t xml:space="preserve">Deliver industry succession pool capability for sector-wide Talent Ecosystem operations.</t>
  </si>
  <si>
    <t xml:space="preserve">Industry Succession Pool List; Industry Succession Pool Detail; Industry Succession Pool Workflow/Report</t>
  </si>
  <si>
    <t xml:space="preserve">SoR: Industry Succession Pool Record</t>
  </si>
  <si>
    <t xml:space="preserve">Industry Succession Pool Record</t>
  </si>
  <si>
    <t xml:space="preserve">MOD-0342</t>
  </si>
  <si>
    <t xml:space="preserve">Verified Certification Registry</t>
  </si>
  <si>
    <t xml:space="preserve">Docs/Evidence; External issuers</t>
  </si>
  <si>
    <t xml:space="preserve">Deliver verified certification registry capability for sector-wide Talent Ecosystem operations.</t>
  </si>
  <si>
    <t xml:space="preserve">Verified Certification Registry List; Verified Certification Registry Detail; Verified Certification Registry Workflow/Report</t>
  </si>
  <si>
    <t xml:space="preserve">SoR: Verified Certification Registry Record</t>
  </si>
  <si>
    <t xml:space="preserve">Verified Certification Registry Record</t>
  </si>
  <si>
    <t xml:space="preserve">MOD-0343</t>
  </si>
  <si>
    <t xml:space="preserve">Mentorship &amp; Recommendation Network</t>
  </si>
  <si>
    <t xml:space="preserve">MOD-0335; MOD-0340</t>
  </si>
  <si>
    <t xml:space="preserve">Deliver mentorship &amp; recommendation network capability for sector-wide Talent Ecosystem operations.</t>
  </si>
  <si>
    <t xml:space="preserve">Mentorship &amp; Recommendation Network List; Mentorship &amp; Recommendation Network Detail; Mentorship &amp; Recommendation Network Workflow/Report</t>
  </si>
  <si>
    <t xml:space="preserve">SoR: Mentorship / Recommendation Network Record</t>
  </si>
  <si>
    <t xml:space="preserve">Mentorship / Recommendation Network Record</t>
  </si>
  <si>
    <t xml:space="preserve">MOD-0344</t>
  </si>
  <si>
    <t xml:space="preserve">Industry Workforce Intelligence</t>
  </si>
  <si>
    <t xml:space="preserve">Salary benchmarks, sector analytics, trends, forecasting, skills gaps, and mobility intelligence.</t>
  </si>
  <si>
    <t xml:space="preserve">Shared Salary Benchmarking</t>
  </si>
  <si>
    <t xml:space="preserve">W-5</t>
  </si>
  <si>
    <t xml:space="preserve">MOD-0316; Analytics; Anonymization</t>
  </si>
  <si>
    <t xml:space="preserve">Deliver shared salary benchmarking capability for sector-wide Talent Ecosystem operations.</t>
  </si>
  <si>
    <t xml:space="preserve">Shared Salary Benchmarking List; Shared Salary Benchmarking Detail; Shared Salary Benchmarking Workflow/Report</t>
  </si>
  <si>
    <t xml:space="preserve">TALENT-INTEL-BUNDLE (RBAC/ABAC, AuditEvent v1, Evidence/Workflow where applicable, Correlation-ID, OTel)</t>
  </si>
  <si>
    <t xml:space="preserve">SoR: Shared Salary Benchmarking Record</t>
  </si>
  <si>
    <t xml:space="preserve">Shared Salary Benchmarking Record</t>
  </si>
  <si>
    <t xml:space="preserve">Analytics/Assistive</t>
  </si>
  <si>
    <t xml:space="preserve">analytics, forecasting, trend/signal detection</t>
  </si>
  <si>
    <t xml:space="preserve">MOD-0345</t>
  </si>
  <si>
    <t xml:space="preserve">Workforce Analytics</t>
  </si>
  <si>
    <t xml:space="preserve">MOD-0312; Data Warehouse</t>
  </si>
  <si>
    <t xml:space="preserve">Deliver workforce analytics capability for sector-wide Talent Ecosystem operations.</t>
  </si>
  <si>
    <t xml:space="preserve">Workforce Analytics List; Workforce Analytics Detail; Workforce Analytics Workflow/Report</t>
  </si>
  <si>
    <t xml:space="preserve">SoR: Workforce Analytics Record</t>
  </si>
  <si>
    <t xml:space="preserve">Workforce Analytics Record</t>
  </si>
  <si>
    <t xml:space="preserve">MOD-0346</t>
  </si>
  <si>
    <t xml:space="preserve">Sector Talent Trends</t>
  </si>
  <si>
    <t xml:space="preserve">Analytics; Taxonomy</t>
  </si>
  <si>
    <t xml:space="preserve">Deliver sector talent trends capability for sector-wide Talent Ecosystem operations.</t>
  </si>
  <si>
    <t xml:space="preserve">Sector Talent Trends List; Sector Talent Trends Detail; Sector Talent Trends Workflow/Report</t>
  </si>
  <si>
    <t xml:space="preserve">SoR: Sector Talent Trends Record</t>
  </si>
  <si>
    <t xml:space="preserve">Sector Talent Trends Record</t>
  </si>
  <si>
    <t xml:space="preserve">MOD-0347</t>
  </si>
  <si>
    <t xml:space="preserve">Talent Supply &amp; Demand Forecasting</t>
  </si>
  <si>
    <t xml:space="preserve">MOD-0310; MOD-0345</t>
  </si>
  <si>
    <t xml:space="preserve">Deliver talent supply &amp; demand forecasting capability for sector-wide Talent Ecosystem operations.</t>
  </si>
  <si>
    <t xml:space="preserve">Talent Supply &amp; Demand Forecasting List; Talent Supply &amp; Demand Forecasting Detail; Talent Supply &amp; Demand Forecasting Workflow/Report</t>
  </si>
  <si>
    <t xml:space="preserve">SoR: Talent Supply / Demand Forecasting Record</t>
  </si>
  <si>
    <t xml:space="preserve">Talent Supply / Demand Forecasting Record</t>
  </si>
  <si>
    <t xml:space="preserve">MOD-0348</t>
  </si>
  <si>
    <t xml:space="preserve">Skills Gap Heatmap</t>
  </si>
  <si>
    <t xml:space="preserve">MOD-0338; MOD-0345</t>
  </si>
  <si>
    <t xml:space="preserve">Deliver skills gap heatmap capability for sector-wide Talent Ecosystem operations.</t>
  </si>
  <si>
    <t xml:space="preserve">Skills Gap Heatmap List; Skills Gap Heatmap Detail; Skills Gap Heatmap Workflow/Report</t>
  </si>
  <si>
    <t xml:space="preserve">SoR: Skills Gap Heatmap Record</t>
  </si>
  <si>
    <t xml:space="preserve">Skills Gap Heatmap Record</t>
  </si>
  <si>
    <t xml:space="preserve">MOD-0349</t>
  </si>
  <si>
    <t xml:space="preserve">Sector Mobility Intelligence</t>
  </si>
  <si>
    <t xml:space="preserve">MOD-0322; MOD-0337; Analytics</t>
  </si>
  <si>
    <t xml:space="preserve">Deliver sector mobility intelligence capability for sector-wide Talent Ecosystem operations.</t>
  </si>
  <si>
    <t xml:space="preserve">Sector Mobility Intelligence List; Sector Mobility Intelligence Detail; Sector Mobility Intelligence Workflow/Report</t>
  </si>
  <si>
    <t xml:space="preserve">SoR: Sector Mobility Intelligence Record</t>
  </si>
  <si>
    <t xml:space="preserve">Sector Mobility Intelligence Record</t>
  </si>
  <si>
    <t xml:space="preserve">MOD-0350</t>
  </si>
  <si>
    <t xml:space="preserve">Association Enablement</t>
  </si>
  <si>
    <t xml:space="preserve">Association operations, member services, knowledge assets, and community collaboration.</t>
  </si>
  <si>
    <t xml:space="preserve">Association Operations</t>
  </si>
  <si>
    <t xml:space="preserve">MOD-0323; MOD-0326</t>
  </si>
  <si>
    <t xml:space="preserve">Deliver association operations capability for sector-wide Talent Ecosystem operations.</t>
  </si>
  <si>
    <t xml:space="preserve">Association Operations List; Association Operations Detail; Association Operations Workflow/Report</t>
  </si>
  <si>
    <t xml:space="preserve">ASSOCIATION-BUNDLE (RBAC/ABAC, AuditEvent v1, Evidence/Workflow where applicable, Correlation-ID, OTel)</t>
  </si>
  <si>
    <t xml:space="preserve">SoR: Association Operations Record</t>
  </si>
  <si>
    <t xml:space="preserve">Association Operations Record</t>
  </si>
  <si>
    <t xml:space="preserve">MOD-0351</t>
  </si>
  <si>
    <t xml:space="preserve">Industry Knowledge Network</t>
  </si>
  <si>
    <t xml:space="preserve">Competency; Role; Learning content</t>
  </si>
  <si>
    <t xml:space="preserve">Deliver industry knowledge network capability for sector-wide Talent Ecosystem operations.</t>
  </si>
  <si>
    <t xml:space="preserve">Industry Knowledge Network List; Industry Knowledge Network Detail; Industry Knowledge Network Workflow/Report</t>
  </si>
  <si>
    <t xml:space="preserve">SoR: Industry Knowledge Network Record</t>
  </si>
  <si>
    <t xml:space="preserve">Industry Knowledge Network Record</t>
  </si>
  <si>
    <t xml:space="preserve">Interface Registry; Secrets &amp; Configuration Vault; Logging &amp; Monitoring; RBAC / ABAC Authorization; Cloud Infrastructure (AWS/Azure/GCP) [External Provider]</t>
  </si>
  <si>
    <t xml:space="preserve">Depends On Module ID</t>
  </si>
  <si>
    <t xml:space="preserve">Depends On Module Name</t>
  </si>
  <si>
    <t xml:space="preserve">Release Governance &amp; Promotion</t>
  </si>
  <si>
    <t xml:space="preserve">Data Dictionary / Glossary (later acceptable)</t>
  </si>
  <si>
    <t xml:space="preserve">Document Management</t>
  </si>
  <si>
    <t xml:space="preserve">SSO/MFA</t>
  </si>
  <si>
    <t xml:space="preserve">RBAC/ABAC</t>
  </si>
  <si>
    <t xml:space="preserve">Interface Registry (event interfaces)</t>
  </si>
  <si>
    <t xml:space="preserve">Event Taxonomy &amp; Naming Standard (minimum)</t>
  </si>
  <si>
    <t xml:space="preserve">API/Event runtime</t>
  </si>
  <si>
    <t xml:space="preserve">Event Bus</t>
  </si>
  <si>
    <t xml:space="preserve">Core data stores</t>
  </si>
  <si>
    <t xml:space="preserve">Observability maturity</t>
  </si>
  <si>
    <t xml:space="preserve">baseline load data</t>
  </si>
  <si>
    <t xml:space="preserve">Backup &amp; Restore baseline</t>
  </si>
  <si>
    <t xml:space="preserve">SoR &amp; Ownership Registry</t>
  </si>
  <si>
    <t xml:space="preserve">MDM</t>
  </si>
  <si>
    <t xml:space="preserve">Data Dictionary/Glossary</t>
  </si>
  <si>
    <t xml:space="preserve">Semantic Tagging</t>
  </si>
  <si>
    <t xml:space="preserve">Data Warehouse/Lakehouse</t>
  </si>
  <si>
    <t xml:space="preserve">Scorecards/Dashboards</t>
  </si>
  <si>
    <t xml:space="preserve">Secrets Vault</t>
  </si>
  <si>
    <t xml:space="preserve">Lakehouse</t>
  </si>
  <si>
    <t xml:space="preserve">Scheduler/Job Orchestration</t>
  </si>
  <si>
    <t xml:space="preserve">Model Registry</t>
  </si>
  <si>
    <t xml:space="preserve">Prompt Registry</t>
  </si>
  <si>
    <t xml:space="preserve">Cockpit Builder</t>
  </si>
  <si>
    <t xml:space="preserve">Alerting &amp; Runbooks</t>
  </si>
  <si>
    <t xml:space="preserve">Integration Monitoring</t>
  </si>
  <si>
    <t xml:space="preserve">Evidence Linking Service</t>
  </si>
  <si>
    <t xml:space="preserve">Billing integration surface</t>
  </si>
  <si>
    <t xml:space="preserve">Audit Trail</t>
  </si>
  <si>
    <t xml:space="preserve">Evidence Linking</t>
  </si>
  <si>
    <t xml:space="preserve">Canonical ID &amp; Correlation</t>
  </si>
  <si>
    <t xml:space="preserve">Treasury integrations</t>
  </si>
  <si>
    <t xml:space="preserve">AP</t>
  </si>
  <si>
    <t xml:space="preserve">Document Mgmt</t>
  </si>
  <si>
    <t xml:space="preserve">Supplier Onboarding</t>
  </si>
  <si>
    <t xml:space="preserve">Risk Register &amp; Controls</t>
  </si>
  <si>
    <t xml:space="preserve">Canonical ID</t>
  </si>
  <si>
    <t xml:space="preserve">Customer 360</t>
  </si>
  <si>
    <t xml:space="preserve">Consent &amp; Preference Mgmt</t>
  </si>
  <si>
    <t xml:space="preserve">Notification Service</t>
  </si>
  <si>
    <t xml:space="preserve">AR</t>
  </si>
  <si>
    <t xml:space="preserve">Lot/Batch/Serial</t>
  </si>
  <si>
    <t xml:space="preserve">Device integration</t>
  </si>
  <si>
    <t xml:space="preserve">supply constraints data</t>
  </si>
  <si>
    <t xml:space="preserve">manufacturing telemetry</t>
  </si>
  <si>
    <t xml:space="preserve">Policy Mgmt &amp; Attestations</t>
  </si>
  <si>
    <t xml:space="preserve">Tenant/Environment Mgmt</t>
  </si>
  <si>
    <t xml:space="preserve">PV workflows</t>
  </si>
  <si>
    <t xml:space="preserve">Controlled Documents — SOPs / Work Instructions</t>
  </si>
  <si>
    <t xml:space="preserve">UI shell</t>
  </si>
  <si>
    <t xml:space="preserve">RBAC</t>
  </si>
  <si>
    <t xml:space="preserve">HCM Foundation</t>
  </si>
  <si>
    <t xml:space="preserve">Identity/RBAC</t>
  </si>
  <si>
    <t xml:space="preserve">Audit</t>
  </si>
  <si>
    <t xml:space="preserve">Notification</t>
  </si>
  <si>
    <t xml:space="preserve">Workflow</t>
  </si>
  <si>
    <t xml:space="preserve">Evidence</t>
  </si>
  <si>
    <t xml:space="preserve">Analytics</t>
  </si>
  <si>
    <t xml:space="preserve">Docs/Evidence</t>
  </si>
  <si>
    <t xml:space="preserve">External issuers</t>
  </si>
  <si>
    <t xml:space="preserve">Anonymization</t>
  </si>
  <si>
    <t xml:space="preserve">Data Warehouse</t>
  </si>
  <si>
    <t xml:space="preserve">Taxonomy</t>
  </si>
  <si>
    <t xml:space="preserve">Competency</t>
  </si>
  <si>
    <t xml:space="preserve">Role</t>
  </si>
  <si>
    <t xml:space="preserve">Learning content</t>
  </si>
  <si>
    <t xml:space="preserve">Missing Dependency Count</t>
  </si>
  <si>
    <t xml:space="preserve">Missing Dependencies</t>
  </si>
  <si>
    <t xml:space="preserve">Out-of-Sequence Dependency Count</t>
  </si>
  <si>
    <t xml:space="preserve">Out-of-Sequence Dependencies</t>
  </si>
  <si>
    <t xml:space="preserve">SoR Collision Flag</t>
  </si>
  <si>
    <t xml:space="preserve">SoR Collision With</t>
  </si>
  <si>
    <t xml:space="preserve">Missing OM Fields Count</t>
  </si>
  <si>
    <t xml:space="preserve">Missing OM Fields</t>
  </si>
  <si>
    <t xml:space="preserve">SSO/MFA; RBAC/ABAC</t>
  </si>
  <si>
    <t xml:space="preserve">Interface Registry (event interfaces); Event Taxonomy &amp; Naming Standard (minimum)</t>
  </si>
  <si>
    <t xml:space="preserve">Lakehouse; Scheduler/Job Orchestration</t>
  </si>
  <si>
    <t xml:space="preserve">Alerting &amp; Runbooks; Integration Monitoring</t>
  </si>
  <si>
    <t xml:space="preserve">Audit Trail; Evidence Linking</t>
  </si>
  <si>
    <t xml:space="preserve">CLM; Document Mgmt</t>
  </si>
  <si>
    <t xml:space="preserve">Risk Register &amp; Controls; Supplier Onboarding</t>
  </si>
  <si>
    <t xml:space="preserve">SoR &amp; Ownership Registry; Canonical ID</t>
  </si>
  <si>
    <t xml:space="preserve">Notification Service; Audit Trail</t>
  </si>
  <si>
    <t xml:space="preserve">SSO/MFA; Audit Trail</t>
  </si>
  <si>
    <t xml:space="preserve">DWH/Lakehouse; Consent &amp; Preference Mgmt</t>
  </si>
  <si>
    <t xml:space="preserve">Supplier Onboarding; Policy Mgmt &amp; Attestations</t>
  </si>
  <si>
    <t xml:space="preserve">Audit Trail; Document Mgmt</t>
  </si>
  <si>
    <t xml:space="preserve">Document Management; Records Management</t>
  </si>
  <si>
    <t xml:space="preserve">SAE Linkage (Clinical ↔ PV), Serialization Repository Integration</t>
  </si>
  <si>
    <t xml:space="preserve">eTMF Integration, Serialization Repository Integration</t>
  </si>
  <si>
    <t xml:space="preserve">eTMF Integration, SAE Linkage (Clinical ↔ PV)</t>
  </si>
  <si>
    <t xml:space="preserve">0</t>
  </si>
  <si>
    <t xml:space="preserve">6419</t>
  </si>
  <si>
    <t xml:space="preserve">Release Gate (Go/No-Go)</t>
  </si>
  <si>
    <t xml:space="preserve">Scope</t>
  </si>
  <si>
    <t xml:space="preserve">Gate Metric</t>
  </si>
  <si>
    <t xml:space="preserve">R1 Value</t>
  </si>
  <si>
    <t xml:space="preserve">Pass Criteria</t>
  </si>
  <si>
    <t xml:space="preserve">Status</t>
  </si>
  <si>
    <t xml:space="preserve">Modules in Scope</t>
  </si>
  <si>
    <t xml:space="preserve">&gt;=1</t>
  </si>
  <si>
    <t xml:space="preserve">Missing Dependencies (count)</t>
  </si>
  <si>
    <t xml:space="preserve">Out-of-Sequence Dependencies (count)</t>
  </si>
  <si>
    <t xml:space="preserve">SoR Collisions (modules)</t>
  </si>
  <si>
    <t xml:space="preserve">Missing OM Fields (modules)</t>
  </si>
  <si>
    <t xml:space="preserve">Overall R1 Release Decision</t>
  </si>
  <si>
    <t xml:space="preserve">How to use: filter Release Scope for the target release, then filter Blocker? = YES.</t>
  </si>
  <si>
    <t xml:space="preserve">Proceed: finalize spec pack + sequencing</t>
  </si>
  <si>
    <t xml:space="preserve">Proceed: finalize module spec + interface contracts</t>
  </si>
  <si>
    <t xml:space="preserve">Plan: stage after foundation backlog</t>
  </si>
  <si>
    <t xml:space="preserve">Create agent module specification pack and validate boundaries before development.</t>
  </si>
  <si>
    <t xml:space="preserve">Create HCM module specification pack for Foundation / Platform and validate SoR boundaries before development.</t>
  </si>
  <si>
    <t xml:space="preserve">Create HCM module specification pack for Talent Acquisition and validate SoR boundaries before development.</t>
  </si>
  <si>
    <t xml:space="preserve">Create HCM module specification pack for Employment Lifecycle and validate SoR boundaries before development.</t>
  </si>
  <si>
    <t xml:space="preserve">Create HCM module specification pack for Talent &amp; Development and validate SoR boundaries before development.</t>
  </si>
  <si>
    <t xml:space="preserve">Create HCM module specification pack for Workforce Planning and validate SoR boundaries before development.</t>
  </si>
  <si>
    <t xml:space="preserve">Create HCM module specification pack for Cross-Cutting HR Services and validate SoR boundaries before development.</t>
  </si>
  <si>
    <t xml:space="preserve">Create HCM module specification pack for Payroll, Time &amp; Compensation and validate SoR boundaries before development.</t>
  </si>
  <si>
    <t xml:space="preserve">Create HCM module specification pack for Employee Relations &amp; Compliance and validate SoR boundaries before development.</t>
  </si>
  <si>
    <t xml:space="preserve">Create HCM module specification pack for Experience Layer and validate SoR boundaries before development.</t>
  </si>
  <si>
    <t xml:space="preserve">Create Talent Ecosystem module spec pack for Foundation &amp; Governance; validate HCM/Talent SoR boundaries.</t>
  </si>
  <si>
    <t xml:space="preserve">Create Talent Ecosystem module spec pack for Industry Reference Network; validate HCM/Talent SoR boundaries.</t>
  </si>
  <si>
    <t xml:space="preserve">Create Talent Ecosystem module spec pack for Industry Talent Growth Network; validate HCM/Talent SoR boundaries.</t>
  </si>
  <si>
    <t xml:space="preserve">Create Talent Ecosystem module spec pack for Industry Workforce Intelligence; validate HCM/Talent SoR boundaries.</t>
  </si>
  <si>
    <t xml:space="preserve">Create Talent Ecosystem module spec pack for Association Enablement; validate HCM/Talent SoR boundaries.</t>
  </si>
  <si>
    <t xml:space="preserve">Owning Module IDs</t>
  </si>
  <si>
    <t xml:space="preserve">Owning Module Names</t>
  </si>
  <si>
    <t xml:space="preserve">Collision Count</t>
  </si>
  <si>
    <t xml:space="preserve">Resolution Note</t>
  </si>
  <si>
    <t xml:space="preserve">MOD-0243; MOD-0244; MOD-0245</t>
  </si>
  <si>
    <t xml:space="preserve">eTMF Integration; SAE Linkage (Clinical ↔ PV); Serialization Repository Integration</t>
  </si>
  <si>
    <t xml:space="preserve">MOD-0111; MOD-0116</t>
  </si>
  <si>
    <t xml:space="preserve">Social/Health Impact Metrics; Trust &amp; Transparency Metrics</t>
  </si>
  <si>
    <t xml:space="preserve">MOD-0084; MOD-0085</t>
  </si>
  <si>
    <t xml:space="preserve">SoR Assignment Publication; Interface Decision Publication</t>
  </si>
  <si>
    <t xml:space="preserve">MOD-0137; MOD-0154</t>
  </si>
  <si>
    <t xml:space="preserve">Rolling Forecast; Forecasting &amp; Quotas</t>
  </si>
  <si>
    <t xml:space="preserve">Assign SoR to Rolling Forecast (MOD-0137); Forecasting &amp; Quotas (MOD-0154) references it as consumer</t>
  </si>
  <si>
    <t xml:space="preserve">MOD-0070; MOD-0138</t>
  </si>
  <si>
    <t xml:space="preserve">Scenario Modeling (what-if); Scenario Planning</t>
  </si>
  <si>
    <t xml:space="preserve">Assign SoR to Scenario Planning (MOD-0138); Scenario Modeling (MOD-0070) is a tool, not SoR</t>
  </si>
  <si>
    <t xml:space="preserve">MOD-0119; MOD-0140</t>
  </si>
  <si>
    <t xml:space="preserve">Accounts Payable (AP); Supplier Onboarding (KYC/Sanctions/Docs)</t>
  </si>
  <si>
    <t xml:space="preserve">Split: Supplier Onboarding (MOD-0140) owns supplier identity/KYC; AP (MOD-0119) owns financial relationship only</t>
  </si>
  <si>
    <t xml:space="preserve">Menu trees</t>
  </si>
  <si>
    <t xml:space="preserve">Added as dedicated Platform &amp; Shared Services SoR; MOD-0014 remains input dependency for module metadata.</t>
  </si>
  <si>
    <t xml:space="preserve">Menu items</t>
  </si>
  <si>
    <t xml:space="preserve">Navigation structure owned by System Navigation Management; RBAC only provides access decisions.</t>
  </si>
  <si>
    <t xml:space="preserve">Menu groups</t>
  </si>
  <si>
    <t xml:space="preserve">Menu grouping and hierarchy are navigation objects, not module-boundary objects.</t>
  </si>
  <si>
    <t xml:space="preserve">Route bindings</t>
  </si>
  <si>
    <t xml:space="preserve">Route placement in shell owned by navigation; owning modules keep page/runtime logic.</t>
  </si>
  <si>
    <t xml:space="preserve">Navigation versions</t>
  </si>
  <si>
    <t xml:space="preserve">Published navigation configuration is immutable/versioned.</t>
  </si>
  <si>
    <t xml:space="preserve">Visibility rules</t>
  </si>
  <si>
    <t xml:space="preserve">Navigation consumes MOD-0018 permissions and optional MOD-0011 flags.</t>
  </si>
  <si>
    <t xml:space="preserve">Menu badge rules</t>
  </si>
  <si>
    <t xml:space="preserve">Badge rendering rules remain shell/navigation metadata.</t>
  </si>
  <si>
    <t xml:space="preserve">Page patterns; wizard templates; component standards</t>
  </si>
  <si>
    <t xml:space="preserve">New owner added to close UI/page-pattern governance gap.</t>
  </si>
  <si>
    <t xml:space="preserve">User preferences; pinned items; favorites; recent pages</t>
  </si>
  <si>
    <t xml:space="preserve">New owner added to close workspace personalization gap.</t>
  </si>
  <si>
    <t xml:space="preserve">Platform person directory records; position assignments; organization unit mappings</t>
  </si>
  <si>
    <t xml:space="preserve">HRIS remains upstream employee/job SoR; platform directory owns routing/binding references.</t>
  </si>
  <si>
    <t xml:space="preserve">Bank master records; bank account records; legal entity/supplier bank account bindings</t>
  </si>
  <si>
    <t xml:space="preserve">MOD-0269 remains external banking/payment rails provider.</t>
  </si>
  <si>
    <t xml:space="preserve">Product master records; item master records; SKUs; UoM mappings</t>
  </si>
  <si>
    <t xml:space="preserve">External ERP/PLM can feed canonical records; platform module owns governed product/item/SKU registry.</t>
  </si>
  <si>
    <t xml:space="preserve">Financial dimensions; cost centers; profit centers; cost objects; dimension sets</t>
  </si>
  <si>
    <t xml:space="preserve">GL remains transactional ledger; this module owns dimension and cost-object reference master data.</t>
  </si>
  <si>
    <t xml:space="preserve">Agent definitions; agent versions; owner assignments; lifecycle statuses; risk classifications</t>
  </si>
  <si>
    <t xml:space="preserve">New platform SoR for governed operational agent identity and lifecycle.</t>
  </si>
  <si>
    <t xml:space="preserve">Agent runs; run steps; runtime states; execution traces; approval checkpoint references; failure/retry records</t>
  </si>
  <si>
    <t xml:space="preserve">Runtime ledger is the operational execution SoR; audit service remains immutable audit SoR.</t>
  </si>
  <si>
    <t xml:space="preserve">Agent tool definitions; tool adapters; tool access scopes; tool invocation records; tool health statuses</t>
  </si>
  <si>
    <t xml:space="preserve">Tool gateway controls agent access to APIs/tools; domain modules remain business-object SoRs.</t>
  </si>
  <si>
    <t xml:space="preserve">Agent workspace items; recommendation views; saved filters; dashboard configurations; review queue presentation records</t>
  </si>
  <si>
    <t xml:space="preserve">Workspace owns UI/workspace artifacts only; execution and policy truth remain in runtime/policy modules.</t>
  </si>
  <si>
    <t xml:space="preserve">Central guardrail and decision-control SoR; reuses RBAC/workflow instead of duplicating them.</t>
  </si>
  <si>
    <t xml:space="preserve">Native compensation and benefits management; uses MOD-0279 and MOD-0281 internal payroll controls.</t>
  </si>
  <si>
    <t xml:space="preserve">Talent Ecosystem SoR; consumes HCM/shared services and does not replace internal HR/payroll/T&amp;A SoRs.</t>
  </si>
  <si>
    <t xml:space="preserve">Total</t>
  </si>
  <si>
    <t xml:space="preserve">Domain</t>
  </si>
  <si>
    <t xml:space="preserve">System Capability &amp; Implementation Blueprint</t>
  </si>
  <si>
    <t xml:space="preserve">Current Working File</t>
  </si>
  <si>
    <t xml:space="preserve">Release Gate</t>
  </si>
  <si>
    <t xml:space="preserve">Use Release_Gate for GO/NO-GO. Use R1_Backlog for execution queue.</t>
  </si>
  <si>
    <t xml:space="preserve">Primary Data</t>
  </si>
  <si>
    <t xml:space="preserve">Edit Blueprint_Data only; derived sheets are regenerated.</t>
  </si>
  <si>
    <t xml:space="preserve">PPM MVP</t>
  </si>
  <si>
    <t xml:space="preserve">R1 - PPM MVP scope includes Doc Management as prerequisite and external IdP + Docs Repository providers.</t>
  </si>
  <si>
    <t xml:space="preserve">Predecessor</t>
  </si>
  <si>
    <t xml:space="preserve">Release Notes</t>
  </si>
  <si>
    <t xml:space="preserve">Canonical master. Use this file as the single source of truth; update VERSION_LOG per release and keep data normalized in Blueprint_Data.</t>
  </si>
  <si>
    <t xml:space="preserve">Version</t>
  </si>
  <si>
    <t xml:space="preserve">Release Date</t>
  </si>
  <si>
    <t xml:space="preserve">Source File</t>
  </si>
  <si>
    <t xml:space="preserve">SHA256</t>
  </si>
  <si>
    <t xml:space="preserve">Summary</t>
  </si>
  <si>
    <t xml:space="preserve">v3.1-master</t>
  </si>
  <si>
    <t xml:space="preserve">2026-01-18 13:22 UTC</t>
  </si>
  <si>
    <t xml:space="preserve">master_EXTSORS_plus_pages_v3_1_PRO.xlsx</t>
  </si>
  <si>
    <t xml:space="preserve">9371d011a65a2cc6ec8a59a375da80da1ca925ad661665a866d7ef5a81bf1432</t>
  </si>
  <si>
    <t xml:space="preserve">v3.0-master</t>
  </si>
  <si>
    <t xml:space="preserve">Added External SoR/Providers into Blueprint_Data (planning+deps); rebuilt Dependencies/Checks/R1_Backlog; expanded PPM frontend page map to task-level; removed placeholder dependency tokens from gating.</t>
  </si>
  <si>
    <t xml:space="preserve">2026-01-18 14:20 UTC</t>
  </si>
  <si>
    <t xml:space="preserve">v3.2</t>
  </si>
  <si>
    <t xml:space="preserve">Added Business Development modules (Partner, Pursuit/Proposal, Deal Desk) and Payroll external systems + payroll integration module; updated external systems register, object catalog, module pages; appended dependencies + checks.</t>
  </si>
  <si>
    <t xml:space="preserve">2026-01-19</t>
  </si>
  <si>
    <t xml:space="preserve">v3.9-improved</t>
  </si>
  <si>
    <t xml:space="preserve">Automated hygiene + governance improvements: release scope defaults, page cascade, contract code extraction/dictionary, SoR placeholder removal, AI applicability, dependencies normalized, standards extended</t>
  </si>
  <si>
    <t xml:space="preserve">v-auto</t>
  </si>
  <si>
    <t xml:space="preserve">2026-04-24</t>
  </si>
  <si>
    <t xml:space="preserve">Gap analysis fixes</t>
  </si>
  <si>
    <t xml:space="preserve">Wave promotions: AI governance hubs (MOD-0066-0069) W-4→W-2; Metric &amp; Semantic Registry (MOD-0004) W-4→W-2; e-Signature (W-4→W-2); Records Management (W-4→W-3); SSM Hub/Stakeholder Registry/Change Impact (W-4→W-3). OOS flags added to MOD-0032/0141/0149. 82 RC implementation phases assigned from TBD. SoR collision resolution notes added for forecasts/scenarios/suppliers.</t>
  </si>
  <si>
    <t xml:space="preserve">2026-04-26</t>
  </si>
  <si>
    <t xml:space="preserve">Added MOD-0285 System Navigation Management as separate Platform &amp; Shared Services module; updated blueprint data, view, checks, backlog, candidates, dependencies, SoR map, and module pages.</t>
  </si>
  <si>
    <t xml:space="preserve">ChatGPT</t>
  </si>
  <si>
    <t xml:space="preserve">Added MOD-0286 through MOD-0291 from module gap analysis; updated blueprint data, view, checks, backlog, candidates, dependencies, normalized dependencies, SoR map, module pages, object catalog, contract dictionary, standards, and added a module gap update summary.</t>
  </si>
  <si>
    <t xml:space="preserve">MOD-0285 navigation update</t>
  </si>
  <si>
    <t xml:space="preserve">Added MOD-0292 through MOD-0296 Agent Operations &amp; Governance modules; shifted requested MOD-0290-MOD-0294 IDs because MOD-0290/MOD-0291 were already allocated; updated blueprint data, view, checks, backlog, candidates, dependencies, normalized dependencies, SoR map, module pages, object catalog, contract dictionary, standards, and added agent update summary.</t>
  </si>
  <si>
    <t xml:space="preserve">MOD-0286-0291 gap update</t>
  </si>
  <si>
    <t xml:space="preserve">2026-06-15</t>
  </si>
  <si>
    <t xml:space="preserve">Added MOD-0297 through MOD-0320 Human Capital Management Foundation as a clustered capability block; updated blueprint rows, dependencies, SoR map, page map, object catalog, contract dictionary, standards, and summary sheet while keeping existing modules unchanged.</t>
  </si>
  <si>
    <t xml:space="preserve">MOD-0292-0296 agent update</t>
  </si>
  <si>
    <t xml:space="preserve">Added MOD-0321 through MOD-0351 Industry Talent Ecosystem Platform as a clustered capability block; updated blueprint data/view, checks, backlog, candidates, dependencies, normalized dependencies, SoR map, module pages, object catalog, contract dictionary, standards, and added Talent Ecosystem update summary. Existing modules kept unchanged.</t>
  </si>
  <si>
    <t xml:space="preserve">MOD-0297-0320 HCM foundation update</t>
  </si>
  <si>
    <t xml:space="preserve">v6-gap-register</t>
  </si>
  <si>
    <t xml:space="preserve">System Capability &amp; Implementation Blueprint - master 6.xlsx</t>
  </si>
  <si>
    <t xml:space="preserve">master 6</t>
  </si>
  <si>
    <t xml:space="preserve">Added Gap_Register_Summary and Prioritized_Gap_Register sheets; no existing module rows changed.</t>
  </si>
  <si>
    <t xml:space="preserve">v6.1</t>
  </si>
  <si>
    <t xml:space="preserve">2026-06-16</t>
  </si>
  <si>
    <t xml:space="preserve">Internal-only HCM renaming</t>
  </si>
  <si>
    <t xml:space="preserve">Updated HCM/TEP development module names for internal-only architecture; reclassified HRIS/payroll/T&amp;A/document repository references as native/internal modules.</t>
  </si>
  <si>
    <t xml:space="preserve">No existing module codes changed.</t>
  </si>
  <si>
    <t xml:space="preserve">Object</t>
  </si>
  <si>
    <t xml:space="preserve">Object Category</t>
  </si>
  <si>
    <t xml:space="preserve">SoR Module (System)</t>
  </si>
  <si>
    <t xml:space="preserve">SoR Module ID</t>
  </si>
  <si>
    <t xml:space="preserve">Golden/Harmonization (if any)</t>
  </si>
  <si>
    <t xml:space="preserve">Canonical ID / Key</t>
  </si>
  <si>
    <t xml:space="preserve">Key Data Contract(s)</t>
  </si>
  <si>
    <t xml:space="preserve">Privacy / Reg Class</t>
  </si>
  <si>
    <t xml:space="preserve">Stewardship Owner (Business)</t>
  </si>
  <si>
    <t xml:space="preserve">Notes</t>
  </si>
  <si>
    <t xml:space="preserve">SoR Domain (Landscape)</t>
  </si>
  <si>
    <t xml:space="preserve">Platform Anchor Module(s)</t>
  </si>
  <si>
    <t xml:space="preserve">Platform Anchor Domain(s)</t>
  </si>
  <si>
    <t xml:space="preserve">Integration Facade Module(s)</t>
  </si>
  <si>
    <t xml:space="preserve">Integration Facade Domain(s)</t>
  </si>
  <si>
    <t xml:space="preserve">Product</t>
  </si>
  <si>
    <t xml:space="preserve">Master Data</t>
  </si>
  <si>
    <t xml:space="preserve">External: ERP/PLM Product Master (TBD)</t>
  </si>
  <si>
    <t xml:space="preserve">EXT-PLM</t>
  </si>
  <si>
    <t xml:space="preserve">Master Data Management (MDM) (Golden)</t>
  </si>
  <si>
    <t xml:space="preserve">ProductID (Canonical)</t>
  </si>
  <si>
    <t xml:space="preserve">Commercial/Non-PII</t>
  </si>
  <si>
    <t xml:space="preserve">Product Owner</t>
  </si>
  <si>
    <t xml:space="preserve">SoR declared in SoR &amp; Ownership Registry</t>
  </si>
  <si>
    <t xml:space="preserve">External SoR (ERP/PLM; D4)</t>
  </si>
  <si>
    <t xml:space="preserve">MOD-0001 System-of-Record &amp; Ownership Registry (D0); MOD-0002 Interface Registry (D0); MOD-0003 Data Contract Registry (D0); MOD-0040 Canonical ID &amp; Correlation Standard (D1)</t>
  </si>
  <si>
    <t xml:space="preserve">D0, D1</t>
  </si>
  <si>
    <t xml:space="preserve">MOD-0032 API Gateway (D1); MOD-0035 Event Bus / Message Queue (D1); MOD-0037 Integration Monitoring &amp; Reconciliation (D1)</t>
  </si>
  <si>
    <t xml:space="preserve">D1</t>
  </si>
  <si>
    <t xml:space="preserve">Customer (Account)</t>
  </si>
  <si>
    <t xml:space="preserve">Commercial</t>
  </si>
  <si>
    <t xml:space="preserve">MDM (optional)</t>
  </si>
  <si>
    <t xml:space="preserve">CustomerID (Canonical)</t>
  </si>
  <si>
    <t xml:space="preserve">PII (Possible)</t>
  </si>
  <si>
    <t xml:space="preserve">Commercial Ops</t>
  </si>
  <si>
    <t xml:space="preserve">App Ops (CRM)</t>
  </si>
  <si>
    <t xml:space="preserve">Integrates via API/Event runtime</t>
  </si>
  <si>
    <t xml:space="preserve">D4</t>
  </si>
  <si>
    <t xml:space="preserve">Supplier</t>
  </si>
  <si>
    <t xml:space="preserve">Procurement</t>
  </si>
  <si>
    <t xml:space="preserve">SupplierID (Canonical)</t>
  </si>
  <si>
    <t xml:space="preserve">App Ops (Procurement)</t>
  </si>
  <si>
    <t xml:space="preserve">KYC artifacts governed via Document Mgmt/Records</t>
  </si>
  <si>
    <t xml:space="preserve">MOD-0001 System-of-Record &amp; Ownership Registry (D0); MOD-0002 Interface Registry (D0); MOD-0003 Data Contract Registry (D0); MOD-0028 Document Management (Templates/Versioning) (D1); MOD-0030 Records Management (Retention/Legal Hold) (D1)</t>
  </si>
  <si>
    <t xml:space="preserve">Company / Legal Entity</t>
  </si>
  <si>
    <t xml:space="preserve">Finance/Legal</t>
  </si>
  <si>
    <t xml:space="preserve">LegalEntityID (Canonical)</t>
  </si>
  <si>
    <t xml:space="preserve">Financial/Legal</t>
  </si>
  <si>
    <t xml:space="preserve">Legal Ops</t>
  </si>
  <si>
    <t xml:space="preserve">Legal Systems Ops</t>
  </si>
  <si>
    <t xml:space="preserve">ERP may remain financial SoR for postings</t>
  </si>
  <si>
    <t xml:space="preserve">D5</t>
  </si>
  <si>
    <t xml:space="preserve">MOD-0001 System-of-Record &amp; Ownership Registry (D0); MOD-0002 Interface Registry (D0); MOD-0003 Data Contract Registry (D0); MOD-0030 Records Management (Retention/Legal Hold) (D1)</t>
  </si>
  <si>
    <t xml:space="preserve">MOD-0032 API Gateway (D1); MOD-0037 Integration Monitoring &amp; Reconciliation (D1)</t>
  </si>
  <si>
    <t xml:space="preserve">Employee</t>
  </si>
  <si>
    <t xml:space="preserve">Workforce</t>
  </si>
  <si>
    <t xml:space="preserve">Identity via SSO/MFA; RBAC/ABAC attributes</t>
  </si>
  <si>
    <t xml:space="preserve">EmployeeID</t>
  </si>
  <si>
    <t xml:space="preserve">PII</t>
  </si>
  <si>
    <t xml:space="preserve">Identity/SecOps</t>
  </si>
  <si>
    <t xml:space="preserve">Employee master modeled as internal HCM capability; access and identity governed by platform services.</t>
  </si>
  <si>
    <t xml:space="preserve">MOD-0017 SSO / MFA (D1); MOD-0018 RBAC / ABAC Authorization (D1); MOD-0021 Audit Trail Service (D1); MOD-0040 Canonical ID &amp; Correlation Standard (D1)</t>
  </si>
  <si>
    <t xml:space="preserve">PPM</t>
  </si>
  <si>
    <t xml:space="preserve">PortfolioID</t>
  </si>
  <si>
    <t xml:space="preserve">Non-PII</t>
  </si>
  <si>
    <t xml:space="preserve">PMO</t>
  </si>
  <si>
    <t xml:space="preserve">App Ops (PPM)</t>
  </si>
  <si>
    <t xml:space="preserve">Decision links via Decision &amp; Rationale Log</t>
  </si>
  <si>
    <t xml:space="preserve">MOD-0007 Decision &amp; Rationale Log (D0); MOD-0023 Workflow Designer (Approvals/SLAs/Escalations) (D1); MOD-0021 Audit Trail Service (D1); MOD-0028 Document Management (Templates/Versioning) (D1); MOD-0001 System-of-Record &amp; Ownership Registry (D0)</t>
  </si>
  <si>
    <t xml:space="preserve">Program</t>
  </si>
  <si>
    <t xml:space="preserve">ProgramID</t>
  </si>
  <si>
    <t xml:space="preserve">Project</t>
  </si>
  <si>
    <t xml:space="preserve">ProjectID</t>
  </si>
  <si>
    <t xml:space="preserve">Approvals via Workflow Designer</t>
  </si>
  <si>
    <t xml:space="preserve">Decision Record</t>
  </si>
  <si>
    <t xml:space="preserve">Governance</t>
  </si>
  <si>
    <t xml:space="preserve">DecisionID</t>
  </si>
  <si>
    <t xml:space="preserve">Enterprise Governance</t>
  </si>
  <si>
    <t xml:space="preserve">Traceability for portfolio prioritization</t>
  </si>
  <si>
    <t xml:space="preserve">D0</t>
  </si>
  <si>
    <t xml:space="preserve">MOD-0021 Audit Trail Service (D1); MOD-0031 Evidence Linking Service (object ↔ evidence) (D1); MOD-0030 Records Management (Retention/Legal Hold) (D1)</t>
  </si>
  <si>
    <t xml:space="preserve">Document</t>
  </si>
  <si>
    <t xml:space="preserve">Content/Records</t>
  </si>
  <si>
    <t xml:space="preserve">Records Mgmt (Retention/Legal Hold)</t>
  </si>
  <si>
    <t xml:space="preserve">DocumentID</t>
  </si>
  <si>
    <t xml:space="preserve">Varies</t>
  </si>
  <si>
    <t xml:space="preserve">Content Ops</t>
  </si>
  <si>
    <t xml:space="preserve">Controlled templates for PPM packs</t>
  </si>
  <si>
    <t xml:space="preserve">MOD-0023 Workflow Designer (Approvals/SLAs/Escalations) (D1); MOD-0021 Audit Trail Service (D1); MOD-0030 Records Management (Retention/Legal Hold) (D1); MOD-0031 Evidence Linking Service (object ↔ evidence) (D1)</t>
  </si>
  <si>
    <t xml:space="preserve">Policy</t>
  </si>
  <si>
    <t xml:space="preserve">GRC/Governance</t>
  </si>
  <si>
    <t xml:space="preserve">PolicyID</t>
  </si>
  <si>
    <t xml:space="preserve">GRC Ops</t>
  </si>
  <si>
    <t xml:space="preserve">MOD-0028 Document Management (Templates/Versioning) (D1); MOD-0023 Workflow Designer (Approvals/SLAs/Escalations) (D1); MOD-0021 Audit Trail Service (D1); MOD-0022 e-Signature Service (D1); MOD-0030 Records Management (Retention/Legal Hold) (D1)</t>
  </si>
  <si>
    <t xml:space="preserve">Control</t>
  </si>
  <si>
    <t xml:space="preserve">Control↔Evidence Mapping</t>
  </si>
  <si>
    <t xml:space="preserve">ControlID</t>
  </si>
  <si>
    <t xml:space="preserve">MOD-0005 Policy &amp; Control Library (D0); MOD-0213 Risk Register &amp; Controls Library (D5); MOD-0227 Control ↔ Evidence Mapping (D5); MOD-0031 Evidence Linking Service (object ↔ evidence) (D1)</t>
  </si>
  <si>
    <t xml:space="preserve">D0, D1, D5</t>
  </si>
  <si>
    <t xml:space="preserve">Policy Waiver</t>
  </si>
  <si>
    <t xml:space="preserve">WaiverID</t>
  </si>
  <si>
    <t xml:space="preserve">Expiry + compensating controls</t>
  </si>
  <si>
    <t xml:space="preserve">MOD-0006 Policy Exception / Waiver Register (D0); MOD-0005 Policy &amp; Control Library (D0); MOD-0023 Workflow Designer (Approvals/SLAs/Escalations) (D1); MOD-0021 Audit Trail Service (D1)</t>
  </si>
  <si>
    <t xml:space="preserve">Evidence Artifact</t>
  </si>
  <si>
    <t xml:space="preserve">Assurance</t>
  </si>
  <si>
    <t xml:space="preserve">Records Mgmt</t>
  </si>
  <si>
    <t xml:space="preserve">EvidenceID</t>
  </si>
  <si>
    <t xml:space="preserve">GRC/Quality</t>
  </si>
  <si>
    <t xml:space="preserve">Assurance Ops</t>
  </si>
  <si>
    <t xml:space="preserve">Used for audit packs and investigation</t>
  </si>
  <si>
    <t xml:space="preserve">MOD-0031 Evidence Linking Service (object ↔ evidence) (D1); MOD-0030 Records Management (Retention/Legal Hold) (D1); MOD-0021 Audit Trail Service (D1)</t>
  </si>
  <si>
    <t xml:space="preserve">Incident</t>
  </si>
  <si>
    <t xml:space="preserve">ITSM</t>
  </si>
  <si>
    <t xml:space="preserve">Problem Management (later)</t>
  </si>
  <si>
    <t xml:space="preserve">IncidentID</t>
  </si>
  <si>
    <t xml:space="preserve">IT Ops</t>
  </si>
  <si>
    <t xml:space="preserve">ITSM Ops</t>
  </si>
  <si>
    <t xml:space="preserve">Operational incidents feed into governance evidence</t>
  </si>
  <si>
    <t xml:space="preserve">MOD-0221 Incident Management (D5); MOD-0041 Logging &amp; Monitoring (D1); MOD-0023 Workflow Designer (Approvals/SLAs/Escalations) (D1); MOD-0021 Audit Trail Service (D1); MOD-0031 Evidence Linking Service (object ↔ evidence) (D1)</t>
  </si>
  <si>
    <t xml:space="preserve">D1, D5</t>
  </si>
  <si>
    <t xml:space="preserve">Workforce Master</t>
  </si>
  <si>
    <t xml:space="preserve">Core HR master; optional MDM harmonization</t>
  </si>
  <si>
    <t xml:space="preserve">EmployeeID; PersonID; EmploymentRecordID</t>
  </si>
  <si>
    <t xml:space="preserve">Native workforce master owned by internal HCM; CRUD is internal and governed.</t>
  </si>
  <si>
    <t xml:space="preserve">SSO / MFA; RBAC / ABAC Authorization; Audit Trail Service</t>
  </si>
  <si>
    <t xml:space="preserve">ERP/PLM Product Master [External SoR]</t>
  </si>
  <si>
    <t xml:space="preserve">External SoR System</t>
  </si>
  <si>
    <t xml:space="preserve">EXT-PROD</t>
  </si>
  <si>
    <t xml:space="preserve">MDM (optional) – product golden record when multiple sources</t>
  </si>
  <si>
    <t xml:space="preserve">ERP/PLM Ops</t>
  </si>
  <si>
    <t xml:space="preserve">External product SoR; platform governs contracts + IDs; distributed via API/Event.</t>
  </si>
  <si>
    <t xml:space="preserve">External SoR (Not modelled)</t>
  </si>
  <si>
    <t xml:space="preserve">System-of-Record &amp; Ownership Registry; Interface Registry; Data Contract Registry; Canonical ID &amp; Correlation Standard</t>
  </si>
  <si>
    <t xml:space="preserve">0) Enterprise Control Points; 1) Platform &amp; Shared Services</t>
  </si>
  <si>
    <t xml:space="preserve">Product Master Integration Service (TBD)</t>
  </si>
  <si>
    <t xml:space="preserve">ERP Financial Suite (GL/AP/AR) [External SoR]</t>
  </si>
  <si>
    <t xml:space="preserve">External: ERP Financials (SAP/Oracle/etc.) (TBD)</t>
  </si>
  <si>
    <t xml:space="preserve">EXT-ERPFIN</t>
  </si>
  <si>
    <t xml:space="preserve">Lakehouse + certified semantics; MDM optional for reference sets</t>
  </si>
  <si>
    <t xml:space="preserve">LegalEntityID; GLAccountID; VendorID/CustomerID (as governed)</t>
  </si>
  <si>
    <t xml:space="preserve">Data Contract Registry; Interface Registry</t>
  </si>
  <si>
    <t xml:space="preserve">Finance</t>
  </si>
  <si>
    <t xml:space="preserve">If ERP is COTS, treat Domain-4 ERP modules as integration surfaces; avoid rebuilding transactional core.</t>
  </si>
  <si>
    <t xml:space="preserve">System-of-Record &amp; Ownership Registry; Data Contract Registry; Integration Monitoring &amp; Reconciliation</t>
  </si>
  <si>
    <t xml:space="preserve">ERP Integration Cockpit (TBD)</t>
  </si>
  <si>
    <t xml:space="preserve">CRM Suite (Accounts/Contacts) [External SoR – if COTS]</t>
  </si>
  <si>
    <t xml:space="preserve">External: CRM (Salesforce/Dynamics/etc.) (TBD)</t>
  </si>
  <si>
    <t xml:space="preserve">EXT-CRM</t>
  </si>
  <si>
    <t xml:space="preserve">MDM optional; otherwise CRM SoR + downstream consumption</t>
  </si>
  <si>
    <t xml:space="preserve">CustomerID/AccountID (Canonical)</t>
  </si>
  <si>
    <t xml:space="preserve">If Customer 360 is an integration façade, CRM is SoR; platform enforces contracts + consent controls.</t>
  </si>
  <si>
    <t xml:space="preserve">System-of-Record &amp; Ownership Registry; Data Contract Registry; Consent &amp; Preference Management (if used)</t>
  </si>
  <si>
    <t xml:space="preserve">0) Enterprise Control Points; 1) Platform &amp; Shared Services; 4) Enterprise Application Ecosystem</t>
  </si>
  <si>
    <t xml:space="preserve">Customer 360 / Account Hierarchy (integration view)</t>
  </si>
  <si>
    <t xml:space="preserve">Procurement Suite (Supplier/PO) [External SoR – if COTS]</t>
  </si>
  <si>
    <t xml:space="preserve">External: Procurement (Ariba/Coupa/etc.) (TBD)</t>
  </si>
  <si>
    <t xml:space="preserve">EXT-PROC</t>
  </si>
  <si>
    <t xml:space="preserve">MDM optional; stewardship via onboarding workflows</t>
  </si>
  <si>
    <t xml:space="preserve">SupplierID (Canonical); POID</t>
  </si>
  <si>
    <t xml:space="preserve">If Supplier Onboarding is an integration façade, procurement COTS is SoR; platform governs evidence/records.</t>
  </si>
  <si>
    <t xml:space="preserve">System-of-Record &amp; Ownership Registry; Document Management; Audit Trail Service</t>
  </si>
  <si>
    <t xml:space="preserve">Supplier Onboarding (KYC/Sanctions/Docs) (integration view)</t>
  </si>
  <si>
    <t xml:space="preserve">ITSM Tool (Incidents/Changes/CMDB) [External SoR – if COTS]</t>
  </si>
  <si>
    <t xml:space="preserve">External: ITSM (ServiceNow/Jira SM/etc.) (TBD)</t>
  </si>
  <si>
    <t xml:space="preserve">EXT-ITSM</t>
  </si>
  <si>
    <t xml:space="preserve">IncidentID; ChangeID; CIID</t>
  </si>
  <si>
    <t xml:space="preserve">If Incident Management is integrated, ITSM tool is SoR; platform consumes events for evidence + governance linkage.</t>
  </si>
  <si>
    <t xml:space="preserve">Audit Trail Service; Evidence Linking Service; Canonical ID &amp; Correlation Standard</t>
  </si>
  <si>
    <t xml:space="preserve">Incident Management (integration view)</t>
  </si>
  <si>
    <t xml:space="preserve">Core HR master / identity attribute sync</t>
  </si>
  <si>
    <t xml:space="preserve">EmployeeID + PersonID + UserID</t>
  </si>
  <si>
    <t xml:space="preserve">Employee Reference Contract; Org Structure Contract</t>
  </si>
  <si>
    <t xml:space="preserve">HR</t>
  </si>
  <si>
    <t xml:space="preserve">Internal owner for employee profile and employment record; IAM holds access attributes.</t>
  </si>
  <si>
    <t xml:space="preserve">External System: Identity Provider (IdP)</t>
  </si>
  <si>
    <t xml:space="preserve">External Provider Service</t>
  </si>
  <si>
    <t xml:space="preserve">IdP (Azure AD / Okta)</t>
  </si>
  <si>
    <t xml:space="preserve">EXT-IDP</t>
  </si>
  <si>
    <t xml:space="preserve">N/A</t>
  </si>
  <si>
    <t xml:space="preserve">UserID / SubjectID</t>
  </si>
  <si>
    <t xml:space="preserve">AuthN/AuthZ Claims Contract</t>
  </si>
  <si>
    <t xml:space="preserve">IT / Security</t>
  </si>
  <si>
    <t xml:space="preserve">Upstream authentication/identity provider integrated via SSO/MFA configuration.</t>
  </si>
  <si>
    <t xml:space="preserve">External (Non-Platform)</t>
  </si>
  <si>
    <t xml:space="preserve">SSO Config Page; IdP Connection Manager</t>
  </si>
  <si>
    <t xml:space="preserve">External System: ERP Core (Finance + Supply)</t>
  </si>
  <si>
    <t xml:space="preserve">ERP (SAP S/4HANA / Oracle ERP / Dynamics)</t>
  </si>
  <si>
    <t xml:space="preserve">EXT-ERP</t>
  </si>
  <si>
    <t xml:space="preserve">MDM (as needed); Data Warehouse</t>
  </si>
  <si>
    <t xml:space="preserve">Material/ProductID; VendorID; CustomerID; LegalEntityID</t>
  </si>
  <si>
    <t xml:space="preserve">Finance Posting Contract; Product Master Contract; Supplier/Customer Reference Contracts</t>
  </si>
  <si>
    <t xml:space="preserve">Financial</t>
  </si>
  <si>
    <t xml:space="preserve">Finance / Supply Chain</t>
  </si>
  <si>
    <t xml:space="preserve">Enterprise transactional SoR for financials and core operational masters; integrated through governed contracts.</t>
  </si>
  <si>
    <t xml:space="preserve">System-of-Record &amp; Ownership Registry; Interface Registry; Data Contract Registry; Audit Trail Service</t>
  </si>
  <si>
    <t xml:space="preserve">API Gateway; Event Bus / Message Queue; Integration Monitoring &amp; Reconciliation; Canonical ID &amp; Correlation Standard</t>
  </si>
  <si>
    <t xml:space="preserve">External System: PLM (Product Master / Specs)</t>
  </si>
  <si>
    <t xml:space="preserve">PLM (Teamcenter / Windchill / 3DEXPERIENCE)</t>
  </si>
  <si>
    <t xml:space="preserve">MDM (optional); Data Warehouse</t>
  </si>
  <si>
    <t xml:space="preserve">ProductID / ItemID</t>
  </si>
  <si>
    <t xml:space="preserve">Product Spec Contract; BOM/Revision Contract</t>
  </si>
  <si>
    <t xml:space="preserve">IP / Confidential</t>
  </si>
  <si>
    <t xml:space="preserve">R&amp;D / Product</t>
  </si>
  <si>
    <t xml:space="preserve">Authoritative product definitions/specs; downstream consumers via contracts; avoid duplicating in platform.</t>
  </si>
  <si>
    <t xml:space="preserve">System-of-Record &amp; Ownership Registry; Data Contract Registry; Schema Compatibility &amp; Deprecation Policy</t>
  </si>
  <si>
    <t xml:space="preserve">API Gateway; Event Bus / Message Queue; Canonical ID &amp; Correlation Standard</t>
  </si>
  <si>
    <t xml:space="preserve">External System: CRM Platform (Customer/Contact)</t>
  </si>
  <si>
    <t xml:space="preserve">CRM (Salesforce / Dynamics)</t>
  </si>
  <si>
    <t xml:space="preserve">AccountID; ContactID</t>
  </si>
  <si>
    <t xml:space="preserve">Customer 360 Contract; Contact Contract</t>
  </si>
  <si>
    <t xml:space="preserve">If CRM is COTS SoR, treat Domain 4 modules as integration surfaces/bridges rather than duplicative masters.</t>
  </si>
  <si>
    <t xml:space="preserve">System-of-Record &amp; Ownership Registry; Data Contract Registry; Consent &amp; Preference Management</t>
  </si>
  <si>
    <t xml:space="preserve">0) Enterprise Control Points; 4) Enterprise Application Ecosystem</t>
  </si>
  <si>
    <t xml:space="preserve">API Gateway; Webhook Service; Event Bus / Message Queue; Integration Monitoring &amp; Reconciliation</t>
  </si>
  <si>
    <t xml:space="preserve">External System: Procurement Platform (Supplier/P2P)</t>
  </si>
  <si>
    <t xml:space="preserve">Procurement (Ariba / Coupa)</t>
  </si>
  <si>
    <t xml:space="preserve">SupplierID; POID</t>
  </si>
  <si>
    <t xml:space="preserve">Supplier Contract; P2P Contract Bundle</t>
  </si>
  <si>
    <t xml:space="preserve">Commercial/PII</t>
  </si>
  <si>
    <t xml:space="preserve">External SoR for supplier + procurement lifecycle if purchased; platform standardizes contracts and evidence.</t>
  </si>
  <si>
    <t xml:space="preserve">System-of-Record &amp; Ownership Registry; Data Contract Registry; Audit Trail Service</t>
  </si>
  <si>
    <t xml:space="preserve">API Gateway; EDI Hub (optional); Integration Monitoring &amp; Reconciliation</t>
  </si>
  <si>
    <t xml:space="preserve">External System: ITSM Platform</t>
  </si>
  <si>
    <t xml:space="preserve">ITSM (ServiceNow / Jira Service Management)</t>
  </si>
  <si>
    <t xml:space="preserve">Incident Contract; Change Contract; CMDB/CI Contract</t>
  </si>
  <si>
    <t xml:space="preserve">Operational</t>
  </si>
  <si>
    <t xml:space="preserve">IT</t>
  </si>
  <si>
    <t xml:space="preserve">Service Desk / ITSM Ops</t>
  </si>
  <si>
    <t xml:space="preserve">If ITSM is external, keep incidents/changes as external SoR and integrate evidence/telemetry via platform.</t>
  </si>
  <si>
    <t xml:space="preserve">Audit Trail Service; Evidence Linking Service; Logging &amp; Monitoring</t>
  </si>
  <si>
    <t xml:space="preserve">1) Platform &amp; Shared Services; 5) Assurance, Risk, and Controls</t>
  </si>
  <si>
    <t xml:space="preserve">API Gateway; Webhook Service; Integration Monitoring &amp; Reconciliation</t>
  </si>
  <si>
    <t xml:space="preserve">External Provider: e-Signature Vendor</t>
  </si>
  <si>
    <t xml:space="preserve">DocuSign / Adobe Sign</t>
  </si>
  <si>
    <t xml:space="preserve">EXT-ESIGN</t>
  </si>
  <si>
    <t xml:space="preserve">SignatureRequestID</t>
  </si>
  <si>
    <t xml:space="preserve">Signature Request/Status Contract</t>
  </si>
  <si>
    <t xml:space="preserve">Legal</t>
  </si>
  <si>
    <t xml:space="preserve">Legal / Compliance</t>
  </si>
  <si>
    <t xml:space="preserve">Provider used by e-Signature Service; retain audit evidence and signed artifacts via Records/Evidence services.</t>
  </si>
  <si>
    <t xml:space="preserve">External (Provider)</t>
  </si>
  <si>
    <t xml:space="preserve">e-Signature Service; Audit Trail Service; Records Management (Retention/Legal Hold)</t>
  </si>
  <si>
    <t xml:space="preserve">API Gateway; Secrets &amp; Configuration Vault</t>
  </si>
  <si>
    <t xml:space="preserve">External Provider: Messaging/SMS/WhatsApp</t>
  </si>
  <si>
    <t xml:space="preserve">Twilio / Infobip / SendGrid</t>
  </si>
  <si>
    <t xml:space="preserve">EXT-NOTIFY</t>
  </si>
  <si>
    <t xml:space="preserve">MessageID</t>
  </si>
  <si>
    <t xml:space="preserve">Notification Dispatch/Receipt Contract</t>
  </si>
  <si>
    <t xml:space="preserve">Platform</t>
  </si>
  <si>
    <t xml:space="preserve">Notification Service routes through external provider; ensure consent + audit + delivery analytics.</t>
  </si>
  <si>
    <t xml:space="preserve">Notification Service (Email/SMS/WhatsApp); Consent &amp; Preference Management; Audit Trail Service</t>
  </si>
  <si>
    <t xml:space="preserve">1) Platform &amp; Shared Services; 4) Enterprise Application Ecosystem</t>
  </si>
  <si>
    <t xml:space="preserve">Secrets &amp; Configuration Vault; API Gateway; Logging &amp; Monitoring</t>
  </si>
  <si>
    <t xml:space="preserve">External Provider: Payment Rails / Banking</t>
  </si>
  <si>
    <t xml:space="preserve">Banks / SWIFT / Payment Gateway</t>
  </si>
  <si>
    <t xml:space="preserve">EXT-BANK</t>
  </si>
  <si>
    <t xml:space="preserve">PaymentID; BankStatementID</t>
  </si>
  <si>
    <t xml:space="preserve">Payment Instruction Contract; Bank Statement Contract</t>
  </si>
  <si>
    <t xml:space="preserve">Treasury</t>
  </si>
  <si>
    <t xml:space="preserve">External banking rails required for payments and reconciliation. Govern contracts, correlation IDs, and evidence packs.</t>
  </si>
  <si>
    <t xml:space="preserve">Payments &amp; Approvals; Integration Monitoring &amp; Reconciliation; Audit Trail Service</t>
  </si>
  <si>
    <t xml:space="preserve">4) Enterprise Application Ecosystem; 1) Platform &amp; Shared Services</t>
  </si>
  <si>
    <t xml:space="preserve">API Gateway; EDI Hub (optional); Event Bus / Message Queue</t>
  </si>
  <si>
    <t xml:space="preserve">External Provider: Sanctions/KYC Screening</t>
  </si>
  <si>
    <t xml:space="preserve">Refinitiv World-Check / Dow Jones / LexisNexis</t>
  </si>
  <si>
    <t xml:space="preserve">EXT-KYC</t>
  </si>
  <si>
    <t xml:space="preserve">ScreeningCheckID</t>
  </si>
  <si>
    <t xml:space="preserve">Screening Request/Result Contract</t>
  </si>
  <si>
    <t xml:space="preserve">Compliance</t>
  </si>
  <si>
    <t xml:space="preserve">Dependency for supplier onboarding and third-party risk workflows; results must be evidentially retained.</t>
  </si>
  <si>
    <t xml:space="preserve">Supplier Onboarding (KYC/Sanctions/Docs); Third-Party Risk Management (TPRM); Evidence Linking Service</t>
  </si>
  <si>
    <t xml:space="preserve">4) Enterprise Application Ecosystem; 5) Assurance, Risk, and Controls; 1) Platform &amp; Shared Services</t>
  </si>
  <si>
    <t xml:space="preserve">API Gateway; Secrets &amp; Configuration Vault; Audit Trail Service</t>
  </si>
  <si>
    <t xml:space="preserve">External Provider: Tax Determination Engine</t>
  </si>
  <si>
    <t xml:space="preserve">Vertex / Avalara</t>
  </si>
  <si>
    <t xml:space="preserve">EXT-TAX</t>
  </si>
  <si>
    <t xml:space="preserve">TaxCalcID</t>
  </si>
  <si>
    <t xml:space="preserve">Tax Determination Request/Result Contract</t>
  </si>
  <si>
    <t xml:space="preserve">Tax</t>
  </si>
  <si>
    <t xml:space="preserve">External calculation service feeding ERP tax postings and statutory reporting; ensure audit traceability.</t>
  </si>
  <si>
    <t xml:space="preserve">VAT/GST &amp; Withholding; Evidence Linking Service; Audit Trail Service</t>
  </si>
  <si>
    <t xml:space="preserve">External Provider: Observability/SIEM</t>
  </si>
  <si>
    <t xml:space="preserve">Splunk / Datadog / Elastic / SIEM</t>
  </si>
  <si>
    <t xml:space="preserve">EXT-OBS</t>
  </si>
  <si>
    <t xml:space="preserve">TraceID / LogEventID</t>
  </si>
  <si>
    <t xml:space="preserve">Telemetry/Log Export Contract</t>
  </si>
  <si>
    <t xml:space="preserve">IT / SRE</t>
  </si>
  <si>
    <t xml:space="preserve">SRE / SecOps</t>
  </si>
  <si>
    <t xml:space="preserve">If observability stack is external, Logging &amp; Monitoring acts as platform service integrating the provider.</t>
  </si>
  <si>
    <t xml:space="preserve">Logging &amp; Monitoring; Alerting &amp; Incident Runbooks; SLO/SLA Monitoring</t>
  </si>
  <si>
    <t xml:space="preserve">Document Storage/Metadata Contract</t>
  </si>
  <si>
    <t xml:space="preserve">Confidential</t>
  </si>
  <si>
    <t xml:space="preserve">Enterprise Services</t>
  </si>
  <si>
    <t xml:space="preserve">Internal repository stores document binaries; document management governs templates/versioning and records retention.</t>
  </si>
  <si>
    <t xml:space="preserve">Document Management (Templates/Versioning); Records Management (Retention/Legal Hold)</t>
  </si>
  <si>
    <t xml:space="preserve">External Provider: Regulatory Gateways (PV/RIM Submissions)</t>
  </si>
  <si>
    <t xml:space="preserve">EMA EudraVigilance / FDA ESG / National Portals</t>
  </si>
  <si>
    <t xml:space="preserve">EXT-REG</t>
  </si>
  <si>
    <t xml:space="preserve">SubmissionID</t>
  </si>
  <si>
    <t xml:space="preserve">Submission Payload/Receipt Contract</t>
  </si>
  <si>
    <t xml:space="preserve">Regulated</t>
  </si>
  <si>
    <t xml:space="preserve">Regulatory / PV</t>
  </si>
  <si>
    <t xml:space="preserve">External endpoints for submissions; ensure non-repudiation (e-sign) and record retention for receipts.</t>
  </si>
  <si>
    <t xml:space="preserve">Reporting &amp; Submissions; Dossier/Submissions Management; Records Management (Retention/Legal Hold); e-Signature Service</t>
  </si>
  <si>
    <t xml:space="preserve">6) Regulated Life-Sciences Extensions; 1) Platform &amp; Shared Services</t>
  </si>
  <si>
    <t xml:space="preserve">External Provider: Serialization Network / Verification</t>
  </si>
  <si>
    <t xml:space="preserve">EU Hub/EMVO; DSCSA Service Providers</t>
  </si>
  <si>
    <t xml:space="preserve">EXT-SER</t>
  </si>
  <si>
    <t xml:space="preserve">SerialNumber; VerificationRequestID</t>
  </si>
  <si>
    <t xml:space="preserve">Serialization Event Contract; Verification Response Contract</t>
  </si>
  <si>
    <t xml:space="preserve">Supply Chain / Compliance</t>
  </si>
  <si>
    <t xml:space="preserve">External network integration for compliance interfaces; preserve evidence packs and reconciliation.</t>
  </si>
  <si>
    <t xml:space="preserve">Compliance Interfaces (EU FMD / DSCSA); Integration Monitoring &amp; Reconciliation; Evidence Linking Service</t>
  </si>
  <si>
    <t xml:space="preserve">API Gateway; Event Bus / Message Queue</t>
  </si>
  <si>
    <t xml:space="preserve">External Provider: Cloud Infrastructure (AWS/Azure/GCP)</t>
  </si>
  <si>
    <t xml:space="preserve">Cloud Provider</t>
  </si>
  <si>
    <t xml:space="preserve">EXT-CLOUD</t>
  </si>
  <si>
    <t xml:space="preserve">Infra APIs; IAM; KMS</t>
  </si>
  <si>
    <t xml:space="preserve">Mixed</t>
  </si>
  <si>
    <t xml:space="preserve">Underlying runtime for all platform modules</t>
  </si>
  <si>
    <t xml:space="preserve">Tenant/Environment Mgmt; Standards Registry; Audit Trail</t>
  </si>
  <si>
    <t xml:space="preserve">Domain 1</t>
  </si>
  <si>
    <t xml:space="preserve">API Gateway; Event Bus</t>
  </si>
  <si>
    <t xml:space="preserve">External Provider: CI/CD &amp; Source Control (GitHub/GitLab/Azure DevOps)</t>
  </si>
  <si>
    <t xml:space="preserve">CI/CD Platform</t>
  </si>
  <si>
    <t xml:space="preserve">EXT-CICD</t>
  </si>
  <si>
    <t xml:space="preserve">Repo/Build IDs</t>
  </si>
  <si>
    <t xml:space="preserve">Webhook; Audit export</t>
  </si>
  <si>
    <t xml:space="preserve">Internal</t>
  </si>
  <si>
    <t xml:space="preserve">Engineering</t>
  </si>
  <si>
    <t xml:space="preserve">Build/release tooling dependency</t>
  </si>
  <si>
    <t xml:space="preserve">Release Governance; Audit Trail</t>
  </si>
  <si>
    <t xml:space="preserve">External Provider: Artifact/Container Registry (Artifactory/ECR/ACR)</t>
  </si>
  <si>
    <t xml:space="preserve">Artifact Registry</t>
  </si>
  <si>
    <t xml:space="preserve">EXT-REGISTRY</t>
  </si>
  <si>
    <t xml:space="preserve">Artifact IDs</t>
  </si>
  <si>
    <t xml:space="preserve">Registry APIs; Audit logs</t>
  </si>
  <si>
    <t xml:space="preserve">Artifact supply-chain control point</t>
  </si>
  <si>
    <t xml:space="preserve">External Provider: Bank Connectivity / Payments Rails (SWIFT/EBICS/Open Banking)</t>
  </si>
  <si>
    <t xml:space="preserve">Bank Rails</t>
  </si>
  <si>
    <t xml:space="preserve">EXT-BANK-RAILS</t>
  </si>
  <si>
    <t xml:space="preserve">Payment IDs</t>
  </si>
  <si>
    <t xml:space="preserve">Payment APIs; Statement feeds</t>
  </si>
  <si>
    <t xml:space="preserve">TreasuryOps</t>
  </si>
  <si>
    <t xml:space="preserve">Required for cash positioning, statements, payment execution</t>
  </si>
  <si>
    <t xml:space="preserve">Data Contract Registry; Audit Trail; Canonical ID Std</t>
  </si>
  <si>
    <t xml:space="preserve">Domain 0; Domain 1</t>
  </si>
  <si>
    <t xml:space="preserve">External Provider: EDI Network/VAN (AS2/VAN)</t>
  </si>
  <si>
    <t xml:space="preserve">EDI VAN</t>
  </si>
  <si>
    <t xml:space="preserve">EXT-EDI-VAN</t>
  </si>
  <si>
    <t xml:space="preserve">Partner IDs</t>
  </si>
  <si>
    <t xml:space="preserve">EDI envelopes; Partner profiles</t>
  </si>
  <si>
    <t xml:space="preserve">Supply Chain</t>
  </si>
  <si>
    <t xml:space="preserve">Partner connectivity layer for B2B transactions</t>
  </si>
  <si>
    <t xml:space="preserve">Interface Registry; Data Contract Registry</t>
  </si>
  <si>
    <t xml:space="preserve">Domain 0</t>
  </si>
  <si>
    <t xml:space="preserve">EDI Hub</t>
  </si>
  <si>
    <t xml:space="preserve">External Provider: Fraud/AML Screening (Payments)</t>
  </si>
  <si>
    <t xml:space="preserve">Fraud/AML Provider</t>
  </si>
  <si>
    <t xml:space="preserve">EXT-AML</t>
  </si>
  <si>
    <t xml:space="preserve">Screening Case IDs</t>
  </si>
  <si>
    <t xml:space="preserve">Screening API; Evidence output</t>
  </si>
  <si>
    <t xml:space="preserve">Treasury/Compliance</t>
  </si>
  <si>
    <t xml:space="preserve">RiskOps</t>
  </si>
  <si>
    <t xml:space="preserve">Used for payment approvals and compliance</t>
  </si>
  <si>
    <t xml:space="preserve">Policy &amp; Control Library; Audit Trail</t>
  </si>
  <si>
    <t xml:space="preserve">Payroll Record / Payslip</t>
  </si>
  <si>
    <t xml:space="preserve">ExternalVendorKey + Canonical Employee ID</t>
  </si>
  <si>
    <t xml:space="preserve">Payroll Result Contract; Pay Cycle Event Contract</t>
  </si>
  <si>
    <t xml:space="preserve">PII/HR Confidential</t>
  </si>
  <si>
    <t xml:space="preserve">HR / Payroll Owner</t>
  </si>
  <si>
    <t xml:space="preserve">Native payroll datasets are owned internally; evidence and retention are governed through shared platform services.</t>
  </si>
  <si>
    <t xml:space="preserve">Records Management; Evidence Linking Service</t>
  </si>
  <si>
    <t xml:space="preserve">Time, Attendance &amp; Leave Record</t>
  </si>
  <si>
    <t xml:space="preserve">Business Object</t>
  </si>
  <si>
    <t xml:space="preserve">Time Entry Contract; Attendance Event Contract</t>
  </si>
  <si>
    <t xml:space="preserve">Native internal time, attendance, schedule, and leave records.</t>
  </si>
  <si>
    <t xml:space="preserve">PayslipID + Canonical Employee ID + Pay Period</t>
  </si>
  <si>
    <t xml:space="preserve">Payroll Result Contract</t>
  </si>
  <si>
    <t xml:space="preserve">Native internal payroll records and payslips.</t>
  </si>
  <si>
    <t xml:space="preserve">Platform UI Pattern</t>
  </si>
  <si>
    <t xml:space="preserve">Platform Configuration</t>
  </si>
  <si>
    <t xml:space="preserve">UIPatternID</t>
  </si>
  <si>
    <t xml:space="preserve">Owns page/wizard/component governance; consumed by all module UIs.</t>
  </si>
  <si>
    <t xml:space="preserve">Platform Standards Registry; Module Boundary Registry; System Navigation Management</t>
  </si>
  <si>
    <t xml:space="preserve">API Gateway; Audit Trail Service</t>
  </si>
  <si>
    <t xml:space="preserve">User Workspace Preference</t>
  </si>
  <si>
    <t xml:space="preserve">SSO / MFA and RBAC context</t>
  </si>
  <si>
    <t xml:space="preserve">UserPreferenceID + UserID</t>
  </si>
  <si>
    <t xml:space="preserve">PII (Low)</t>
  </si>
  <si>
    <t xml:space="preserve">Owns favorites, pinned items, recent pages, default landing page, and UX preferences.</t>
  </si>
  <si>
    <t xml:space="preserve">SSO / MFA; RBAC / ABAC Authorization; System Navigation Management</t>
  </si>
  <si>
    <t xml:space="preserve">Platform Person/Position Directory Binding</t>
  </si>
  <si>
    <t xml:space="preserve">Reference Master</t>
  </si>
  <si>
    <t xml:space="preserve">PersonID + PositionID + OrgUnitID</t>
  </si>
  <si>
    <t xml:space="preserve">People Ops / IAM</t>
  </si>
  <si>
    <t xml:space="preserve">Core HR / Employee Master owns legal employee record; this module owns platform routing/binding references.</t>
  </si>
  <si>
    <t xml:space="preserve">SSO / MFA; RBAC / ABAC Authorization; Workflow Designer</t>
  </si>
  <si>
    <t xml:space="preserve">Bank Account Registry</t>
  </si>
  <si>
    <t xml:space="preserve">Finance Master Data</t>
  </si>
  <si>
    <t xml:space="preserve">ERP/Treasury integration as needed</t>
  </si>
  <si>
    <t xml:space="preserve">BankAccountID</t>
  </si>
  <si>
    <t xml:space="preserve">Financial/Confidential</t>
  </si>
  <si>
    <t xml:space="preserve">Owns bank/account registry and account-binding approvals; payment rails remain external provider.</t>
  </si>
  <si>
    <t xml:space="preserve">Payments &amp; Approvals; Supplier Onboarding; Legal Entity Management</t>
  </si>
  <si>
    <t xml:space="preserve">Banks/SWIFT/Payments Gateway; API Gateway; Audit Trail Service</t>
  </si>
  <si>
    <t xml:space="preserve">Product / Item / SKU</t>
  </si>
  <si>
    <t xml:space="preserve">ERP/PLM feeds</t>
  </si>
  <si>
    <t xml:space="preserve">ProductID + ItemID + SKUID</t>
  </si>
  <si>
    <t xml:space="preserve">Owns governed platform product/item/SKU registry and canonical identifiers.</t>
  </si>
  <si>
    <t xml:space="preserve">Data Contract Registry; Canonical ID &amp; Correlation Standard</t>
  </si>
  <si>
    <t xml:space="preserve">ERP Core; PLM; API Gateway; Event Bus / Message Queue</t>
  </si>
  <si>
    <t xml:space="preserve">Financial Dimension / Cost Object</t>
  </si>
  <si>
    <t xml:space="preserve">General Ledger alignment</t>
  </si>
  <si>
    <t xml:space="preserve">DimensionID + CostObjectID</t>
  </si>
  <si>
    <t xml:space="preserve">Owns cost centers, profit centers, cost objects, dimension sets, and allocation reference objects.</t>
  </si>
  <si>
    <t xml:space="preserve">General Ledger; Reference Data Management; Corporate Secretarial / Entity Management</t>
  </si>
  <si>
    <t xml:space="preserve">API Gateway; Event Bus / Message Queue; Audit Trail Service</t>
  </si>
  <si>
    <t xml:space="preserve">Agent Definition / Version</t>
  </si>
  <si>
    <t xml:space="preserve">Prompt Registry + Model Registry alignment</t>
  </si>
  <si>
    <t xml:space="preserve">AgentID + AgentVersionID</t>
  </si>
  <si>
    <t xml:space="preserve">Sensitive Configuration</t>
  </si>
  <si>
    <t xml:space="preserve">Platform / AI Governance</t>
  </si>
  <si>
    <t xml:space="preserve">Owns governed agent identity, version, risk tier, owner, lifecycle, and deployment state.</t>
  </si>
  <si>
    <t xml:space="preserve">RBAC / ABAC Authorization; Audit Trail Service; Prompt Registry &amp; Approval Workflow; Model Registry &amp; Versioning</t>
  </si>
  <si>
    <t xml:space="preserve">1) Platform &amp; Shared Services; 2) Data, Knowledge &amp; Intelligence</t>
  </si>
  <si>
    <t xml:space="preserve">Agent Run / Execution Trace</t>
  </si>
  <si>
    <t xml:space="preserve">Operational Ledger</t>
  </si>
  <si>
    <t xml:space="preserve">Audit Trail + Observability alignment</t>
  </si>
  <si>
    <t xml:space="preserve">AgentRunID + TraceID</t>
  </si>
  <si>
    <t xml:space="preserve">Confidential/System Logs</t>
  </si>
  <si>
    <t xml:space="preserve">Owns agent run lifecycle, execution steps, checkpoints, runtime state, failure/retry records, and trace references.</t>
  </si>
  <si>
    <t xml:space="preserve">Workflow Designer; Audit Trail Service; Human-in-the-Loop Verification; Evaluation &amp; Drift Monitoring</t>
  </si>
  <si>
    <t xml:space="preserve">API Gateway; Alerting &amp; Incident Runbooks; Event Bus / Message Queue</t>
  </si>
  <si>
    <t xml:space="preserve">Agent Tool Adapter / Invocation</t>
  </si>
  <si>
    <t xml:space="preserve">Integration Control</t>
  </si>
  <si>
    <t xml:space="preserve">API Gateway + Secrets Vault alignment</t>
  </si>
  <si>
    <t xml:space="preserve">ToolID + InvocationID</t>
  </si>
  <si>
    <t xml:space="preserve">Sensitive Integration</t>
  </si>
  <si>
    <t xml:space="preserve">Platform Integration Owner / AI Governance</t>
  </si>
  <si>
    <t xml:space="preserve">Owns controlled tool catalog, adapters, access scopes, invocation records, and tool health statuses for agent tool use.</t>
  </si>
  <si>
    <t xml:space="preserve">API Gateway; API Consumer &amp; Credential Management; Secrets &amp; Configuration Vault; Agent Policy, Guardrails &amp; Decision Control</t>
  </si>
  <si>
    <t xml:space="preserve">API Gateway; Integration Monitoring &amp; Reconciliation; Event Bus / Message Queue</t>
  </si>
  <si>
    <t xml:space="preserve">Agent Workspace Item / Recommendation</t>
  </si>
  <si>
    <t xml:space="preserve">Operational UI Work Item</t>
  </si>
  <si>
    <t xml:space="preserve">Runtime Ledger + Workflow alignment</t>
  </si>
  <si>
    <t xml:space="preserve">AgentInboxItemID + RecommendationID</t>
  </si>
  <si>
    <t xml:space="preserve">Business Confidential / may reference PII</t>
  </si>
  <si>
    <t xml:space="preserve">Process Owner / AI Governance</t>
  </si>
  <si>
    <t xml:space="preserve">Owns agent inbox, recommendation presentation, saved filters, review queue views, and dashboard configurations.</t>
  </si>
  <si>
    <t xml:space="preserve">System Navigation Management; UI Design System &amp; Page Pattern Governance; User Preferences &amp; Workspace Personalization</t>
  </si>
  <si>
    <t xml:space="preserve">API Gateway; Workflow Designer; Audit Trail Service</t>
  </si>
  <si>
    <t xml:space="preserve">Agent Policy / Guardrail Decision</t>
  </si>
  <si>
    <t xml:space="preserve">Governance Control</t>
  </si>
  <si>
    <t xml:space="preserve">RBAC/ABAC + Workflow + Business Rules alignment</t>
  </si>
  <si>
    <t xml:space="preserve">AgentPolicyID + PolicyDecisionID</t>
  </si>
  <si>
    <t xml:space="preserve">Sensitive Control</t>
  </si>
  <si>
    <t xml:space="preserve">AI Governance / Risk &amp; Compliance</t>
  </si>
  <si>
    <t xml:space="preserve">Owns agent-specific guardrail rules, approval thresholds, blocked actions, policy decisions, and policy violations.</t>
  </si>
  <si>
    <t xml:space="preserve">RBAC / ABAC Authorization; Workflow Designer; Business Rules Engine; Prompt Registry &amp; Approval Workflow</t>
  </si>
  <si>
    <t xml:space="preserve">API Gateway; Audit Trail Service; Event Bus / Message Queue</t>
  </si>
  <si>
    <t xml:space="preserve">Core HR / Employee Master owns employee legal master</t>
  </si>
  <si>
    <t xml:space="preserve">EmployeeID / PersonID</t>
  </si>
  <si>
    <t xml:space="preserve">Workspace over internal employee master.</t>
  </si>
  <si>
    <t xml:space="preserve">MOD-0018 RBAC / ABAC Authorization; MOD-0021 Audit Trail Service; MOD-0288 Organization, Person &amp; Position Directory</t>
  </si>
  <si>
    <t xml:space="preserve">MOD-0032 API Gateway; MOD-0035 Event Bus / Message Queue</t>
  </si>
  <si>
    <t xml:space="preserve">HR Assignment Context</t>
  </si>
  <si>
    <t xml:space="preserve">Shared org/person/position directory</t>
  </si>
  <si>
    <t xml:space="preserve">AssignmentID / PositionID / OrgUnitID</t>
  </si>
  <si>
    <t xml:space="preserve">References MOD-0288; does not own org or position structure.</t>
  </si>
  <si>
    <t xml:space="preserve">MOD-0288 Organization, Person &amp; Position Directory; MOD-0018 RBAC / ABAC Authorization</t>
  </si>
  <si>
    <t xml:space="preserve">MOD-0032 API Gateway; MOD-0037 Integration Monitoring &amp; Reconciliation</t>
  </si>
  <si>
    <t xml:space="preserve">Recruitment Requisition</t>
  </si>
  <si>
    <t xml:space="preserve">RequisitionID</t>
  </si>
  <si>
    <t xml:space="preserve">PII (candidate)</t>
  </si>
  <si>
    <t xml:space="preserve">Native HR requisition/intake object.</t>
  </si>
  <si>
    <t xml:space="preserve">MOD-0023 Workflow Designer; MOD-0028 Documentation &amp; Evidence Management</t>
  </si>
  <si>
    <t xml:space="preserve">MOD-0032 API Gateway</t>
  </si>
  <si>
    <t xml:space="preserve">Applicant Intake Record</t>
  </si>
  <si>
    <t xml:space="preserve">ApplicantID</t>
  </si>
  <si>
    <t xml:space="preserve">Candidate record for internal recruitment only; separate from future industry talent identity.</t>
  </si>
  <si>
    <t xml:space="preserve">MOD-0023 Workflow Designer; MOD-0021 Audit Trail Service</t>
  </si>
  <si>
    <t xml:space="preserve">Interview Feedback Record</t>
  </si>
  <si>
    <t xml:space="preserve">InterviewFeedbackID</t>
  </si>
  <si>
    <t xml:space="preserve">PII / Sensitive HR</t>
  </si>
  <si>
    <t xml:space="preserve">Feedback and decision traceability.</t>
  </si>
  <si>
    <t xml:space="preserve">MOD-0021 Audit Trail Service; MOD-0023 Workflow Designer</t>
  </si>
  <si>
    <t xml:space="preserve">Offer Record</t>
  </si>
  <si>
    <t xml:space="preserve">Docs/evidence for offer package</t>
  </si>
  <si>
    <t xml:space="preserve">OfferID</t>
  </si>
  <si>
    <t xml:space="preserve">PII / Compensation Sensitive</t>
  </si>
  <si>
    <t xml:space="preserve">Payroll/compensation systems remain separate.</t>
  </si>
  <si>
    <t xml:space="preserve">MOD-0028 Documentation &amp; Evidence Management; MOD-0023 Workflow Designer</t>
  </si>
  <si>
    <t xml:space="preserve">Onboarding Case</t>
  </si>
  <si>
    <t xml:space="preserve">Workforce Lifecycle</t>
  </si>
  <si>
    <t xml:space="preserve">OnboardingCaseID</t>
  </si>
  <si>
    <t xml:space="preserve">P1 supports manual hire entry.</t>
  </si>
  <si>
    <t xml:space="preserve">Offboarding Case</t>
  </si>
  <si>
    <t xml:space="preserve">OffboardingCaseID</t>
  </si>
  <si>
    <t xml:space="preserve">Internal offboarding/exit object; future industry reference object remains separate.</t>
  </si>
  <si>
    <t xml:space="preserve">MOD-0031 Evidence Linking Service; MOD-0030 Records Management</t>
  </si>
  <si>
    <t xml:space="preserve">Performance Review Record</t>
  </si>
  <si>
    <t xml:space="preserve">KPI definitions shared services</t>
  </si>
  <si>
    <t xml:space="preserve">ReviewID</t>
  </si>
  <si>
    <t xml:space="preserve">Native HR performance review SoR.</t>
  </si>
  <si>
    <t xml:space="preserve">MOD-0059 KPI Catalog; MOD-0023 Workflow Designer</t>
  </si>
  <si>
    <t xml:space="preserve">D1,D2</t>
  </si>
  <si>
    <t xml:space="preserve">Skill Assessment Record</t>
  </si>
  <si>
    <t xml:space="preserve">Taxonomy / reference data</t>
  </si>
  <si>
    <t xml:space="preserve">SkillAssessmentID</t>
  </si>
  <si>
    <t xml:space="preserve">Internal HR skill assessment; future external skill passport remains separate.</t>
  </si>
  <si>
    <t xml:space="preserve">MOD-0057 Semantic Tagging &amp; Taxonomy Management; MOD-0048 Reference Data Management</t>
  </si>
  <si>
    <t xml:space="preserve">D2</t>
  </si>
  <si>
    <t xml:space="preserve">Development Plan</t>
  </si>
  <si>
    <t xml:space="preserve">Performance and skills inputs</t>
  </si>
  <si>
    <t xml:space="preserve">DevelopmentPlanID</t>
  </si>
  <si>
    <t xml:space="preserve">Employee development plan object.</t>
  </si>
  <si>
    <t xml:space="preserve">MOD-0306 Performance Review Management; MOD-0307 Competency &amp; Skills Assessment</t>
  </si>
  <si>
    <t xml:space="preserve">Training Record</t>
  </si>
  <si>
    <t xml:space="preserve">Docs/evidence</t>
  </si>
  <si>
    <t xml:space="preserve">TrainingRecordID</t>
  </si>
  <si>
    <t xml:space="preserve">HR learning/training record; MOD-0107 remains adoption/change training.</t>
  </si>
  <si>
    <t xml:space="preserve">MOD-0028 Documentation &amp; Evidence Management; MOD-0030 Records Management</t>
  </si>
  <si>
    <t xml:space="preserve">Workforce Plan</t>
  </si>
  <si>
    <t xml:space="preserve">HR profile and position projections</t>
  </si>
  <si>
    <t xml:space="preserve">WorkforcePlanID</t>
  </si>
  <si>
    <t xml:space="preserve">PII Aggregated / Workforce Sensitive</t>
  </si>
  <si>
    <t xml:space="preserve">Native HR planning object.</t>
  </si>
  <si>
    <t xml:space="preserve">MOD-0061 Scorecards / Dashboards; MOD-0063 Data Warehouse / Lakehouse</t>
  </si>
  <si>
    <t xml:space="preserve">Headcount Plan</t>
  </si>
  <si>
    <t xml:space="preserve">Workforce plan inputs</t>
  </si>
  <si>
    <t xml:space="preserve">HeadcountPlanID</t>
  </si>
  <si>
    <t xml:space="preserve">Workforce Sensitive</t>
  </si>
  <si>
    <t xml:space="preserve">Does not replace finance budgeting.</t>
  </si>
  <si>
    <t xml:space="preserve">MOD-0310 Workforce Planning</t>
  </si>
  <si>
    <t xml:space="preserve">HR Case</t>
  </si>
  <si>
    <t xml:space="preserve">Employee Relations</t>
  </si>
  <si>
    <t xml:space="preserve">Evidence and restricted access</t>
  </si>
  <si>
    <t xml:space="preserve">HRCaseID</t>
  </si>
  <si>
    <t xml:space="preserve">Sensitive HR / Legal</t>
  </si>
  <si>
    <t xml:space="preserve">Restricted employee relations, grievance, disciplinary, and investigation cases.</t>
  </si>
  <si>
    <t xml:space="preserve">MOD-0314 HR Governance &amp; Sensitive Access Controls; MOD-0031 Evidence Linking Service</t>
  </si>
  <si>
    <t xml:space="preserve">D1,D4</t>
  </si>
  <si>
    <t xml:space="preserve">HR Compliance Report Package</t>
  </si>
  <si>
    <t xml:space="preserve">HR analytics and evidence</t>
  </si>
  <si>
    <t xml:space="preserve">HRCompliancePackageID</t>
  </si>
  <si>
    <t xml:space="preserve">Owns reporting package, not source HR records.</t>
  </si>
  <si>
    <t xml:space="preserve">MOD-0312 HR KPI &amp; Analytics Facade; MOD-0313 HR Documentation &amp; Evidence Workspace</t>
  </si>
  <si>
    <t xml:space="preserve">Self-Service Request</t>
  </si>
  <si>
    <t xml:space="preserve">Employee Experience</t>
  </si>
  <si>
    <t xml:space="preserve">Routing to owning HR modules</t>
  </si>
  <si>
    <t xml:space="preserve">SelfServiceRequestID</t>
  </si>
  <si>
    <t xml:space="preserve">Channel request only; underlying data owned by relevant module.</t>
  </si>
  <si>
    <t xml:space="preserve">MOD-0023 Workflow Designer; MOD-0018 RBAC / ABAC Authorization</t>
  </si>
  <si>
    <t xml:space="preserve">Succession Pool / HiPo Record</t>
  </si>
  <si>
    <t xml:space="preserve">Performance, skills, and workforce plan inputs</t>
  </si>
  <si>
    <t xml:space="preserve">SuccessionPoolID / HiPoRecordID</t>
  </si>
  <si>
    <t xml:space="preserve">Sensitive HR</t>
  </si>
  <si>
    <t xml:space="preserve">Internal succession planning object; future industry succession pool remains separate.</t>
  </si>
  <si>
    <t xml:space="preserve">MOD-0306 Performance Review Management; MOD-0307 Competency &amp; Skills Assessment; MOD-0310 Workforce Planning</t>
  </si>
  <si>
    <t xml:space="preserve">HCM Foundation / Talent Ecosystem harmonization</t>
  </si>
  <si>
    <t xml:space="preserve">TalentEcosystemPlatformShellRecordID</t>
  </si>
  <si>
    <t xml:space="preserve">Boundary: Product shell / workspace.</t>
  </si>
  <si>
    <t xml:space="preserve">MOD-0001; MOD-0002; MOD-0003; MOD-0040</t>
  </si>
  <si>
    <t xml:space="preserve">MOD-0032; MOD-0035; MOD-0037</t>
  </si>
  <si>
    <t xml:space="preserve">IndustryCandidateIdentity/TalentProfileRecordID</t>
  </si>
  <si>
    <t xml:space="preserve">Boundary: Sector-wide candidate identity owner.</t>
  </si>
  <si>
    <t xml:space="preserve">AssociationMembership/MemberCompanyRegistryRecordID</t>
  </si>
  <si>
    <t xml:space="preserve">Boundary: Association membership owner.</t>
  </si>
  <si>
    <t xml:space="preserve">VerifiedHRParticipant/CompanyAccessRecordID</t>
  </si>
  <si>
    <t xml:space="preserve">Boundary: Talent-network access governance.</t>
  </si>
  <si>
    <t xml:space="preserve">Consent,Visibility/AccessPolicyRecordID</t>
  </si>
  <si>
    <t xml:space="preserve">Boundary: Talent access policy owner.</t>
  </si>
  <si>
    <t xml:space="preserve">TalentEcosystemGovernance/ReviewBoardRecordID</t>
  </si>
  <si>
    <t xml:space="preserve">Boundary: Review board workflow owner.</t>
  </si>
  <si>
    <t xml:space="preserve">IndustryExitReferenceRecordRegistryRecordID</t>
  </si>
  <si>
    <t xml:space="preserve">Boundary: Industry reference record owner.</t>
  </si>
  <si>
    <t xml:space="preserve">ReferenceExchangeMarketplaceRecordID</t>
  </si>
  <si>
    <t xml:space="preserve">Boundary: HR-to-HR reference workflow owner.</t>
  </si>
  <si>
    <t xml:space="preserve">RehireRecommendationNetworkRecordID</t>
  </si>
  <si>
    <t xml:space="preserve">Boundary: Rehire recommendation owner.</t>
  </si>
  <si>
    <t xml:space="preserve">TrustLevel/Multi-SignatureEngineRecordID</t>
  </si>
  <si>
    <t xml:space="preserve">Boundary: Trust validation owner.</t>
  </si>
  <si>
    <t xml:space="preserve">CandidateResponse/DisputeManagementRecordID</t>
  </si>
  <si>
    <t xml:space="preserve">Boundary: Candidate response/dispute owner.</t>
  </si>
  <si>
    <t xml:space="preserve">HiringRiskIndicatorsRecordID</t>
  </si>
  <si>
    <t xml:space="preserve">Boundary: Rule-based signal owner.</t>
  </si>
  <si>
    <t xml:space="preserve">EarlyWarningSignalsRecordID</t>
  </si>
  <si>
    <t xml:space="preserve">Boundary: Pattern signal owner.</t>
  </si>
  <si>
    <t xml:space="preserve">RestrictedIntegrityRegistryRecordID</t>
  </si>
  <si>
    <t xml:space="preserve">Boundary: Restricted serious-case owner.</t>
  </si>
  <si>
    <t xml:space="preserve">ProfessionalReputationLedgerRecordID</t>
  </si>
  <si>
    <t xml:space="preserve">Boundary: Positive reputation signal owner.</t>
  </si>
  <si>
    <t xml:space="preserve">TalentDataFoundationRecordID</t>
  </si>
  <si>
    <t xml:space="preserve">Boundary: Sector talent foundation owner.</t>
  </si>
  <si>
    <t xml:space="preserve">IndustryTalentPoolRecordID</t>
  </si>
  <si>
    <t xml:space="preserve">Boundary: Available/trusted talent pool owner.</t>
  </si>
  <si>
    <t xml:space="preserve">IndustrySkillPassportRecordID</t>
  </si>
  <si>
    <t xml:space="preserve">Boundary: Sector skill passport owner.</t>
  </si>
  <si>
    <t xml:space="preserve">CandidateCareerPassportRecordID</t>
  </si>
  <si>
    <t xml:space="preserve">Boundary: Candidate career passport owner.</t>
  </si>
  <si>
    <t xml:space="preserve">TalentDevelopmentNetworkRecordID</t>
  </si>
  <si>
    <t xml:space="preserve">Boundary: Development pathway owner.</t>
  </si>
  <si>
    <t xml:space="preserve">IndustrySuccessionPoolRecordID</t>
  </si>
  <si>
    <t xml:space="preserve">Boundary: Sector succession pool owner.</t>
  </si>
  <si>
    <t xml:space="preserve">VerifiedCertificationRegistryRecordID</t>
  </si>
  <si>
    <t xml:space="preserve">Boundary: Certification verification owner.</t>
  </si>
  <si>
    <t xml:space="preserve">Mentorship/RecommendationNetworkRecordID</t>
  </si>
  <si>
    <t xml:space="preserve">Boundary: Mentoring/recommendation workflow owner.</t>
  </si>
  <si>
    <t xml:space="preserve">SharedSalaryBenchmarkingRecordID</t>
  </si>
  <si>
    <t xml:space="preserve">Aggregated / Analytics</t>
  </si>
  <si>
    <t xml:space="preserve">Boundary: Aggregated salary benchmark owner.</t>
  </si>
  <si>
    <t xml:space="preserve">WorkforceAnalyticsRecordID</t>
  </si>
  <si>
    <t xml:space="preserve">Boundary: Sector analytics owner.</t>
  </si>
  <si>
    <t xml:space="preserve">SectorTalentTrendsRecordID</t>
  </si>
  <si>
    <t xml:space="preserve">Boundary: Sector trend intelligence owner.</t>
  </si>
  <si>
    <t xml:space="preserve">TalentSupply/DemandForecastingRecordID</t>
  </si>
  <si>
    <t xml:space="preserve">Boundary: Forecasting owner.</t>
  </si>
  <si>
    <t xml:space="preserve">SkillsGapHeatmapRecordID</t>
  </si>
  <si>
    <t xml:space="preserve">Boundary: Skill gap intelligence owner.</t>
  </si>
  <si>
    <t xml:space="preserve">SectorMobilityIntelligenceRecordID</t>
  </si>
  <si>
    <t xml:space="preserve">Boundary: Talent mobility intelligence owner.</t>
  </si>
  <si>
    <t xml:space="preserve">AssociationOperationsRecordID</t>
  </si>
  <si>
    <t xml:space="preserve">Boundary: Association operating workflow owner.</t>
  </si>
  <si>
    <t xml:space="preserve">IndustryKnowledgeNetworkRecordID</t>
  </si>
  <si>
    <t xml:space="preserve">Boundary: Knowledge library/community owner.</t>
  </si>
  <si>
    <t xml:space="preserve">Page Group</t>
  </si>
  <si>
    <t xml:space="preserve">Page Name</t>
  </si>
  <si>
    <t xml:space="preserve">Primary Tasks</t>
  </si>
  <si>
    <t xml:space="preserve">Key Objects</t>
  </si>
  <si>
    <t xml:space="preserve">Page Source</t>
  </si>
  <si>
    <t xml:space="preserve">General</t>
  </si>
  <si>
    <t xml:space="preserve">Registry Hub</t>
  </si>
  <si>
    <t xml:space="preserve">Soft Pages</t>
  </si>
  <si>
    <t xml:space="preserve">SoR Ownership Console</t>
  </si>
  <si>
    <t xml:space="preserve">Ownership Change Workflow</t>
  </si>
  <si>
    <t xml:space="preserve">Interface Registry Console</t>
  </si>
  <si>
    <t xml:space="preserve">Version &amp; Deprecation Manager</t>
  </si>
  <si>
    <t xml:space="preserve">Data Contract Console</t>
  </si>
  <si>
    <t xml:space="preserve">Schema Diff Viewer</t>
  </si>
  <si>
    <t xml:space="preserve">Contract Version Timeline</t>
  </si>
  <si>
    <t xml:space="preserve">Metric &amp; KPI Studio</t>
  </si>
  <si>
    <t xml:space="preserve">Certified Metrics Dashboard</t>
  </si>
  <si>
    <t xml:space="preserve">Calculation Contract Editor</t>
  </si>
  <si>
    <t xml:space="preserve">Policy Library</t>
  </si>
  <si>
    <t xml:space="preserve">Control Library</t>
  </si>
  <si>
    <t xml:space="preserve">Evidence Requirement Mapper</t>
  </si>
  <si>
    <t xml:space="preserve">Waiver Request Form</t>
  </si>
  <si>
    <t xml:space="preserve">Waiver Approval Inbox</t>
  </si>
  <si>
    <t xml:space="preserve">Waiver Registry</t>
  </si>
  <si>
    <t xml:space="preserve">Expiry Alerts</t>
  </si>
  <si>
    <t xml:space="preserve">Decision Log Workspace</t>
  </si>
  <si>
    <t xml:space="preserve">Decision Record Editor</t>
  </si>
  <si>
    <t xml:space="preserve">Decision-to-Evidence Linker</t>
  </si>
  <si>
    <t xml:space="preserve">Capability Catalog</t>
  </si>
  <si>
    <t xml:space="preserve">Owner Matrix</t>
  </si>
  <si>
    <t xml:space="preserve">Capability-to-Module Map</t>
  </si>
  <si>
    <t xml:space="preserve">KPI Link Panel</t>
  </si>
  <si>
    <t xml:space="preserve">Environment Manager</t>
  </si>
  <si>
    <t xml:space="preserve">Tenant Console</t>
  </si>
  <si>
    <t xml:space="preserve">Release Pipeline Board</t>
  </si>
  <si>
    <t xml:space="preserve">Promotion Gate Review</t>
  </si>
  <si>
    <t xml:space="preserve">Release Evidence Pack</t>
  </si>
  <si>
    <t xml:space="preserve">Feature Flag Console</t>
  </si>
  <si>
    <t xml:space="preserve">Config Profile Manager</t>
  </si>
  <si>
    <t xml:space="preserve">Rollout Timeline</t>
  </si>
  <si>
    <t xml:space="preserve">Secrets Vault UI</t>
  </si>
  <si>
    <t xml:space="preserve">Access Policy Hook</t>
  </si>
  <si>
    <t xml:space="preserve">Rotation Scheduler</t>
  </si>
  <si>
    <t xml:space="preserve">Standards Library</t>
  </si>
  <si>
    <t xml:space="preserve">Pattern Catalog</t>
  </si>
  <si>
    <t xml:space="preserve">Standards Change Workflow</t>
  </si>
  <si>
    <t xml:space="preserve">Boundary Registry</t>
  </si>
  <si>
    <t xml:space="preserve">Scope Declaration Editor</t>
  </si>
  <si>
    <t xml:space="preserve">Boundary Review Workflow</t>
  </si>
  <si>
    <t xml:space="preserve">Reuse Compliance Dashboard</t>
  </si>
  <si>
    <t xml:space="preserve">Waiver Request Link</t>
  </si>
  <si>
    <t xml:space="preserve">Exception Approval</t>
  </si>
  <si>
    <t xml:space="preserve">Service Certification Workbench</t>
  </si>
  <si>
    <t xml:space="preserve">Certification Status Board</t>
  </si>
  <si>
    <t xml:space="preserve">SSO Config Page</t>
  </si>
  <si>
    <t xml:space="preserve">MFA Policy Console</t>
  </si>
  <si>
    <t xml:space="preserve">IdP Connection Manager</t>
  </si>
  <si>
    <t xml:space="preserve">Role &amp; Permission Builder</t>
  </si>
  <si>
    <t xml:space="preserve">Policy Console</t>
  </si>
  <si>
    <t xml:space="preserve">Access Review Dashboard</t>
  </si>
  <si>
    <t xml:space="preserve">Data Access Matrix</t>
  </si>
  <si>
    <t xml:space="preserve">Masking Rules Studio</t>
  </si>
  <si>
    <t xml:space="preserve">Policy Test Harness</t>
  </si>
  <si>
    <t xml:space="preserve">SoD Rules Manager</t>
  </si>
  <si>
    <t xml:space="preserve">Violation Alerts</t>
  </si>
  <si>
    <t xml:space="preserve">SoD Exception Workflow</t>
  </si>
  <si>
    <t xml:space="preserve">Audit Trail Explorer</t>
  </si>
  <si>
    <t xml:space="preserve">Critical Actions Feed</t>
  </si>
  <si>
    <t xml:space="preserve">Export &amp; Retention Controls</t>
  </si>
  <si>
    <t xml:space="preserve">Signature Requests</t>
  </si>
  <si>
    <t xml:space="preserve">Signature Verification Viewer</t>
  </si>
  <si>
    <t xml:space="preserve">Signature Audit Export</t>
  </si>
  <si>
    <t xml:space="preserve">SLA Console</t>
  </si>
  <si>
    <t xml:space="preserve">Escalation Rules</t>
  </si>
  <si>
    <t xml:space="preserve">Workflow Run History</t>
  </si>
  <si>
    <t xml:space="preserve">Task Builder</t>
  </si>
  <si>
    <t xml:space="preserve">Checklist Templates</t>
  </si>
  <si>
    <t xml:space="preserve">Assignment Inbox</t>
  </si>
  <si>
    <t xml:space="preserve">Rules Studio</t>
  </si>
  <si>
    <t xml:space="preserve">Rule Version Diff</t>
  </si>
  <si>
    <t xml:space="preserve">Rule Test Runner</t>
  </si>
  <si>
    <t xml:space="preserve">Job Scheduler Console</t>
  </si>
  <si>
    <t xml:space="preserve">Run History</t>
  </si>
  <si>
    <t xml:space="preserve">Retry &amp; Backoff Policies</t>
  </si>
  <si>
    <t xml:space="preserve">Notification Templates</t>
  </si>
  <si>
    <t xml:space="preserve">Channel Routing</t>
  </si>
  <si>
    <t xml:space="preserve">Delivery Analytics</t>
  </si>
  <si>
    <t xml:space="preserve">Document Library</t>
  </si>
  <si>
    <t xml:space="preserve">Template Manager</t>
  </si>
  <si>
    <t xml:space="preserve">Version Compare</t>
  </si>
  <si>
    <t xml:space="preserve">Controlled Doc Editor</t>
  </si>
  <si>
    <t xml:space="preserve">Approval Timeline</t>
  </si>
  <si>
    <t xml:space="preserve">Training Linkage Panel</t>
  </si>
  <si>
    <t xml:space="preserve">Records Register</t>
  </si>
  <si>
    <t xml:space="preserve">Retention Policies</t>
  </si>
  <si>
    <t xml:space="preserve">Legal Holds</t>
  </si>
  <si>
    <t xml:space="preserve">Evidence Linker</t>
  </si>
  <si>
    <t xml:space="preserve">Evidence Viewer</t>
  </si>
  <si>
    <t xml:space="preserve">Evidence Search &amp; Filters</t>
  </si>
  <si>
    <t xml:space="preserve">API Gateway Console</t>
  </si>
  <si>
    <t xml:space="preserve">Route Manager</t>
  </si>
  <si>
    <t xml:space="preserve">Throttle Policies</t>
  </si>
  <si>
    <t xml:space="preserve">Developer Portal</t>
  </si>
  <si>
    <t xml:space="preserve">App Registration</t>
  </si>
  <si>
    <t xml:space="preserve">Credential Issuance</t>
  </si>
  <si>
    <t xml:space="preserve">Quota Plans</t>
  </si>
  <si>
    <t xml:space="preserve">Subscription Manager</t>
  </si>
  <si>
    <t xml:space="preserve">Webhook Manager</t>
  </si>
  <si>
    <t xml:space="preserve">Delivery Logs</t>
  </si>
  <si>
    <t xml:space="preserve">Retry Policies</t>
  </si>
  <si>
    <t xml:space="preserve">Topic Browser</t>
  </si>
  <si>
    <t xml:space="preserve">Event Replay Viewer</t>
  </si>
  <si>
    <t xml:space="preserve">EDI Console</t>
  </si>
  <si>
    <t xml:space="preserve">Partner Profiles</t>
  </si>
  <si>
    <t xml:space="preserve">Message Trace</t>
  </si>
  <si>
    <t xml:space="preserve">Integration Health Dashboard</t>
  </si>
  <si>
    <t xml:space="preserve">Reconciliation Workbench</t>
  </si>
  <si>
    <t xml:space="preserve">Exception Inbox</t>
  </si>
  <si>
    <t xml:space="preserve">Event Naming Validator</t>
  </si>
  <si>
    <t xml:space="preserve">Event Catalog View</t>
  </si>
  <si>
    <t xml:space="preserve">Version/Deprecation Manager</t>
  </si>
  <si>
    <t xml:space="preserve">Compatibility Reports</t>
  </si>
  <si>
    <t xml:space="preserve">Deprecation Calendar</t>
  </si>
  <si>
    <t xml:space="preserve">Canonical ID Directory</t>
  </si>
  <si>
    <t xml:space="preserve">Correlation Inspector</t>
  </si>
  <si>
    <t xml:space="preserve">Trace Stitching View</t>
  </si>
  <si>
    <t xml:space="preserve">Observability Dashboard</t>
  </si>
  <si>
    <t xml:space="preserve">Log Explorer</t>
  </si>
  <si>
    <t xml:space="preserve">Trace Viewer</t>
  </si>
  <si>
    <t xml:space="preserve">Alert Console</t>
  </si>
  <si>
    <t xml:space="preserve">Runbook Library</t>
  </si>
  <si>
    <t xml:space="preserve">On-call Escalation Map</t>
  </si>
  <si>
    <t xml:space="preserve">SLO/SLA Console</t>
  </si>
  <si>
    <t xml:space="preserve">Error Budget Board</t>
  </si>
  <si>
    <t xml:space="preserve">SLO Change Workflow</t>
  </si>
  <si>
    <t xml:space="preserve">Backup Center</t>
  </si>
  <si>
    <t xml:space="preserve">Restore Wizard</t>
  </si>
  <si>
    <t xml:space="preserve">Backup Validation Reports</t>
  </si>
  <si>
    <t xml:space="preserve">DR Readiness Dashboard</t>
  </si>
  <si>
    <t xml:space="preserve">Failover Drill Planner</t>
  </si>
  <si>
    <t xml:space="preserve">DR Evidence Pack</t>
  </si>
  <si>
    <t xml:space="preserve">Capacity Planner</t>
  </si>
  <si>
    <t xml:space="preserve">Performance Insights</t>
  </si>
  <si>
    <t xml:space="preserve">Load Test Evidence</t>
  </si>
  <si>
    <t xml:space="preserve">BCP Library</t>
  </si>
  <si>
    <t xml:space="preserve">Exercise Planner</t>
  </si>
  <si>
    <t xml:space="preserve">Action Register</t>
  </si>
  <si>
    <t xml:space="preserve">BCM Evidence Pack</t>
  </si>
  <si>
    <t xml:space="preserve">Reference Data Manager</t>
  </si>
  <si>
    <t xml:space="preserve">Approval Flow</t>
  </si>
  <si>
    <t xml:space="preserve">Change Log</t>
  </si>
  <si>
    <t xml:space="preserve">MDM Hub</t>
  </si>
  <si>
    <t xml:space="preserve">Golden Record Viewer</t>
  </si>
  <si>
    <t xml:space="preserve">Match/Merge Workbench</t>
  </si>
  <si>
    <t xml:space="preserve">Stewardship Inbox</t>
  </si>
  <si>
    <t xml:space="preserve">Assignment Rules</t>
  </si>
  <si>
    <t xml:space="preserve">SLA Escalations</t>
  </si>
  <si>
    <t xml:space="preserve">DQ Rules Studio</t>
  </si>
  <si>
    <t xml:space="preserve">DQ Monitoring</t>
  </si>
  <si>
    <t xml:space="preserve">Exception Queue</t>
  </si>
  <si>
    <t xml:space="preserve">Data Catalog</t>
  </si>
  <si>
    <t xml:space="preserve">Asset Profiles</t>
  </si>
  <si>
    <t xml:space="preserve">Owner &amp; SLA Panel</t>
  </si>
  <si>
    <t xml:space="preserve">Glossary Workspace</t>
  </si>
  <si>
    <t xml:space="preserve">Term Approval</t>
  </si>
  <si>
    <t xml:space="preserve">Synonym Manager</t>
  </si>
  <si>
    <t xml:space="preserve">Data Product Catalog</t>
  </si>
  <si>
    <t xml:space="preserve">SLA Panel</t>
  </si>
  <si>
    <t xml:space="preserve">Consumer List</t>
  </si>
  <si>
    <t xml:space="preserve">Contract Link View</t>
  </si>
  <si>
    <t xml:space="preserve">Lineage Viewer</t>
  </si>
  <si>
    <t xml:space="preserve">Impact Analyzer</t>
  </si>
  <si>
    <t xml:space="preserve">Change Impact Reports</t>
  </si>
  <si>
    <t xml:space="preserve">Search UI</t>
  </si>
  <si>
    <t xml:space="preserve">Saved Queries</t>
  </si>
  <si>
    <t xml:space="preserve">Result Governance Filters</t>
  </si>
  <si>
    <t xml:space="preserve">Taxonomy Manager</t>
  </si>
  <si>
    <t xml:space="preserve">Tagging Rules</t>
  </si>
  <si>
    <t xml:space="preserve">Tag Governance Workflow</t>
  </si>
  <si>
    <t xml:space="preserve">KG Explorer</t>
  </si>
  <si>
    <t xml:space="preserve">Entity Resolution Workbench</t>
  </si>
  <si>
    <t xml:space="preserve">Link Audits</t>
  </si>
  <si>
    <t xml:space="preserve">KPI Catalog UI</t>
  </si>
  <si>
    <t xml:space="preserve">KPI Owner Console</t>
  </si>
  <si>
    <t xml:space="preserve">KPI Change Workflow</t>
  </si>
  <si>
    <t xml:space="preserve">Metric Definition Studio</t>
  </si>
  <si>
    <t xml:space="preserve">Ownership Panel</t>
  </si>
  <si>
    <t xml:space="preserve">Certification Workflow</t>
  </si>
  <si>
    <t xml:space="preserve">Scorecard Builder</t>
  </si>
  <si>
    <t xml:space="preserve">Dashboard Gallery</t>
  </si>
  <si>
    <t xml:space="preserve">Access Controls</t>
  </si>
  <si>
    <t xml:space="preserve">Experiment Tracker</t>
  </si>
  <si>
    <t xml:space="preserve">Baseline Comparator</t>
  </si>
  <si>
    <t xml:space="preserve">Outcome Review</t>
  </si>
  <si>
    <t xml:space="preserve">Lakehouse Workspace</t>
  </si>
  <si>
    <t xml:space="preserve">Dataset Catalog</t>
  </si>
  <si>
    <t xml:space="preserve">Access Policy Panel</t>
  </si>
  <si>
    <t xml:space="preserve">Pipeline Orchestrator</t>
  </si>
  <si>
    <t xml:space="preserve">Data Quality Hooks</t>
  </si>
  <si>
    <t xml:space="preserve">Streaming Monitor</t>
  </si>
  <si>
    <t xml:space="preserve">Topic Analytics</t>
  </si>
  <si>
    <t xml:space="preserve">Late/Event Handling</t>
  </si>
  <si>
    <t xml:space="preserve">Model Registry UI</t>
  </si>
  <si>
    <t xml:space="preserve">Approval Workflow</t>
  </si>
  <si>
    <t xml:space="preserve">Drift Monitor</t>
  </si>
  <si>
    <t xml:space="preserve">Evaluation Reports</t>
  </si>
  <si>
    <t xml:space="preserve">Alert Policies</t>
  </si>
  <si>
    <t xml:space="preserve">Prompt Console</t>
  </si>
  <si>
    <t xml:space="preserve">Approval Inbox</t>
  </si>
  <si>
    <t xml:space="preserve">Version Timeline</t>
  </si>
  <si>
    <t xml:space="preserve">Human Review Queue</t>
  </si>
  <si>
    <t xml:space="preserve">Feedback Console</t>
  </si>
  <si>
    <t xml:space="preserve">Audit Export</t>
  </si>
  <si>
    <t xml:space="preserve">Scenario Lab</t>
  </si>
  <si>
    <t xml:space="preserve">Scenario Library</t>
  </si>
  <si>
    <t xml:space="preserve">Assumption Manager</t>
  </si>
  <si>
    <t xml:space="preserve">Optimization Runs Console</t>
  </si>
  <si>
    <t xml:space="preserve">Run Comparator</t>
  </si>
  <si>
    <t xml:space="preserve">Constraint Editor</t>
  </si>
  <si>
    <t xml:space="preserve">Decision Log Explorer</t>
  </si>
  <si>
    <t xml:space="preserve">Outcome Tracker</t>
  </si>
  <si>
    <t xml:space="preserve">Benefits Realization View</t>
  </si>
  <si>
    <t xml:space="preserve">Control Tower Builder</t>
  </si>
  <si>
    <t xml:space="preserve">Widget Catalog</t>
  </si>
  <si>
    <t xml:space="preserve">Data Source Manager</t>
  </si>
  <si>
    <t xml:space="preserve">Scorecard Templates</t>
  </si>
  <si>
    <t xml:space="preserve">Owner Views</t>
  </si>
  <si>
    <t xml:space="preserve">Action Handoff to Workflow</t>
  </si>
  <si>
    <t xml:space="preserve">Root Cause Capture</t>
  </si>
  <si>
    <t xml:space="preserve">SSM Hub Home</t>
  </si>
  <si>
    <t xml:space="preserve">Workspace Selector</t>
  </si>
  <si>
    <t xml:space="preserve">Evidence Link Panel</t>
  </si>
  <si>
    <t xml:space="preserve">Rich Picture Canvas</t>
  </si>
  <si>
    <t xml:space="preserve">Graph Builder</t>
  </si>
  <si>
    <t xml:space="preserve">CATWOE Workspace</t>
  </si>
  <si>
    <t xml:space="preserve">Root Definition Editor</t>
  </si>
  <si>
    <t xml:space="preserve">Review Workflow</t>
  </si>
  <si>
    <t xml:space="preserve">Concept Model Builder</t>
  </si>
  <si>
    <t xml:space="preserve">Export Draft</t>
  </si>
  <si>
    <t xml:space="preserve">Comparison Matrix</t>
  </si>
  <si>
    <t xml:space="preserve">Gap Register Board</t>
  </si>
  <si>
    <t xml:space="preserve">Ownership Assignment</t>
  </si>
  <si>
    <t xml:space="preserve">Change Package Board</t>
  </si>
  <si>
    <t xml:space="preserve">Dependency View</t>
  </si>
  <si>
    <t xml:space="preserve">Learning Log</t>
  </si>
  <si>
    <t xml:space="preserve">Model Version Diff</t>
  </si>
  <si>
    <t xml:space="preserve">Insights Summary</t>
  </si>
  <si>
    <t xml:space="preserve">Export Wizard</t>
  </si>
  <si>
    <t xml:space="preserve">Spec Bundle Viewer</t>
  </si>
  <si>
    <t xml:space="preserve">Traceability Map</t>
  </si>
  <si>
    <t xml:space="preserve">SoR Assignment Wizard</t>
  </si>
  <si>
    <t xml:space="preserve">Publish Status</t>
  </si>
  <si>
    <t xml:space="preserve">Interface Decision Pack Builder</t>
  </si>
  <si>
    <t xml:space="preserve">Evidence Pack Publisher</t>
  </si>
  <si>
    <t xml:space="preserve">Evidence Links</t>
  </si>
  <si>
    <t xml:space="preserve">Export Center</t>
  </si>
  <si>
    <t xml:space="preserve">Methods Hub</t>
  </si>
  <si>
    <t xml:space="preserve">Template Gallery</t>
  </si>
  <si>
    <t xml:space="preserve">Intake Wizard</t>
  </si>
  <si>
    <t xml:space="preserve">Method Library</t>
  </si>
  <si>
    <t xml:space="preserve">Method Detail Page</t>
  </si>
  <si>
    <t xml:space="preserve">Version History</t>
  </si>
  <si>
    <t xml:space="preserve">Hypothesis Registry</t>
  </si>
  <si>
    <t xml:space="preserve">Approval Gate</t>
  </si>
  <si>
    <t xml:space="preserve">Lessons Library</t>
  </si>
  <si>
    <t xml:space="preserve">Submission Form</t>
  </si>
  <si>
    <t xml:space="preserve">Tagging &amp; Search</t>
  </si>
  <si>
    <t xml:space="preserve">Stakeholder Registry</t>
  </si>
  <si>
    <t xml:space="preserve">Salience Panel</t>
  </si>
  <si>
    <t xml:space="preserve">Influence Map</t>
  </si>
  <si>
    <t xml:space="preserve">Resistance Map</t>
  </si>
  <si>
    <t xml:space="preserve">Concern Tracker</t>
  </si>
  <si>
    <t xml:space="preserve">Mitigation Planner</t>
  </si>
  <si>
    <t xml:space="preserve">Readiness Dashboard</t>
  </si>
  <si>
    <t xml:space="preserve">Survey Runner</t>
  </si>
  <si>
    <t xml:space="preserve">Values Catalog</t>
  </si>
  <si>
    <t xml:space="preserve">WoW Templates</t>
  </si>
  <si>
    <t xml:space="preserve">Adoption Playbooks</t>
  </si>
  <si>
    <t xml:space="preserve">Narrative Workspace</t>
  </si>
  <si>
    <t xml:space="preserve">Capture Form</t>
  </si>
  <si>
    <t xml:space="preserve">Consent Controls</t>
  </si>
  <si>
    <t xml:space="preserve">Persona Detail</t>
  </si>
  <si>
    <t xml:space="preserve">Link to Journeys</t>
  </si>
  <si>
    <t xml:space="preserve">Theme Board</t>
  </si>
  <si>
    <t xml:space="preserve">Insight Extractor</t>
  </si>
  <si>
    <t xml:space="preserve">Linkage Graph</t>
  </si>
  <si>
    <t xml:space="preserve">Link Manager</t>
  </si>
  <si>
    <t xml:space="preserve">Root Cause Narrative</t>
  </si>
  <si>
    <t xml:space="preserve">Scope Editor</t>
  </si>
  <si>
    <t xml:space="preserve">Review Evidence Pack</t>
  </si>
  <si>
    <t xml:space="preserve">Negotiation Inbox</t>
  </si>
  <si>
    <t xml:space="preserve">Change Proposal</t>
  </si>
  <si>
    <t xml:space="preserve">Escalation Console</t>
  </si>
  <si>
    <t xml:space="preserve">Resolution Log</t>
  </si>
  <si>
    <t xml:space="preserve">Decision Links</t>
  </si>
  <si>
    <t xml:space="preserve">Review Scheduler</t>
  </si>
  <si>
    <t xml:space="preserve">Review Reports</t>
  </si>
  <si>
    <t xml:space="preserve">Impact Wizard</t>
  </si>
  <si>
    <t xml:space="preserve">Impact Register</t>
  </si>
  <si>
    <t xml:space="preserve">Comms Plan Builder</t>
  </si>
  <si>
    <t xml:space="preserve">Calendar View</t>
  </si>
  <si>
    <t xml:space="preserve">Stakeholder Segments</t>
  </si>
  <si>
    <t xml:space="preserve">Champions Directory</t>
  </si>
  <si>
    <t xml:space="preserve">Engagement Tracker</t>
  </si>
  <si>
    <t xml:space="preserve">Training Links</t>
  </si>
  <si>
    <t xml:space="preserve">Adoption Dashboard</t>
  </si>
  <si>
    <t xml:space="preserve">Sentiment View</t>
  </si>
  <si>
    <t xml:space="preserve">Action Handoff</t>
  </si>
  <si>
    <t xml:space="preserve">Training Planner</t>
  </si>
  <si>
    <t xml:space="preserve">Curriculum Map</t>
  </si>
  <si>
    <t xml:space="preserve">Completion Evidence</t>
  </si>
  <si>
    <t xml:space="preserve">Ethics Review Workbench</t>
  </si>
  <si>
    <t xml:space="preserve">Decision Log</t>
  </si>
  <si>
    <t xml:space="preserve">Trade-off Register</t>
  </si>
  <si>
    <t xml:space="preserve">Value Map</t>
  </si>
  <si>
    <t xml:space="preserve">AI Ethics Checklist</t>
  </si>
  <si>
    <t xml:space="preserve">Evaluation Panel</t>
  </si>
  <si>
    <t xml:space="preserve">Impact Metrics Dashboard</t>
  </si>
  <si>
    <t xml:space="preserve">Trend View</t>
  </si>
  <si>
    <t xml:space="preserve">Attestation Center</t>
  </si>
  <si>
    <t xml:space="preserve">Evidence Pack</t>
  </si>
  <si>
    <t xml:space="preserve">Journey Mapper</t>
  </si>
  <si>
    <t xml:space="preserve">Journey Library</t>
  </si>
  <si>
    <t xml:space="preserve">Persona Links</t>
  </si>
  <si>
    <t xml:space="preserve">Voice Intake Portal</t>
  </si>
  <si>
    <t xml:space="preserve">Routing Rules</t>
  </si>
  <si>
    <t xml:space="preserve">Experience KPI Dashboard</t>
  </si>
  <si>
    <t xml:space="preserve">KPI Definitions</t>
  </si>
  <si>
    <t xml:space="preserve">Trust Panel</t>
  </si>
  <si>
    <t xml:space="preserve">Transparency Reports</t>
  </si>
  <si>
    <t xml:space="preserve">Evidence Export</t>
  </si>
  <si>
    <t xml:space="preserve">Home</t>
  </si>
  <si>
    <t xml:space="preserve">PPM Home Dashboard</t>
  </si>
  <si>
    <t xml:space="preserve">Portfolio KPIs, pipeline snapshot, alerts</t>
  </si>
  <si>
    <t xml:space="preserve">Portfolio; Program; Project</t>
  </si>
  <si>
    <t xml:space="preserve">My Work (Tasks &amp; Approvals)</t>
  </si>
  <si>
    <t xml:space="preserve">Personal task queue, approvals, SLA timers</t>
  </si>
  <si>
    <t xml:space="preserve">Task; Approval</t>
  </si>
  <si>
    <t xml:space="preserve">Activity Feed</t>
  </si>
  <si>
    <t xml:space="preserve">Recent changes, decisions, status updates</t>
  </si>
  <si>
    <t xml:space="preserve">Activity</t>
  </si>
  <si>
    <t xml:space="preserve">Demand Intake</t>
  </si>
  <si>
    <t xml:space="preserve">Demand Intake Overview</t>
  </si>
  <si>
    <t xml:space="preserve">Intake volume, cycle time, stage distribution</t>
  </si>
  <si>
    <t xml:space="preserve">Demand Request</t>
  </si>
  <si>
    <t xml:space="preserve">New Demand Request (Wizard)</t>
  </si>
  <si>
    <t xml:space="preserve">Create demand request with attachments</t>
  </si>
  <si>
    <t xml:space="preserve">Demand Request; Document</t>
  </si>
  <si>
    <t xml:space="preserve">Demand Requests Queue</t>
  </si>
  <si>
    <t xml:space="preserve">Filter/sort intake queue, triage</t>
  </si>
  <si>
    <t xml:space="preserve">Demand Request Detail</t>
  </si>
  <si>
    <t xml:space="preserve">Overview, stakeholders, history</t>
  </si>
  <si>
    <t xml:space="preserve">Scoring &amp; Business Case</t>
  </si>
  <si>
    <t xml:space="preserve">Value score, cost, risk, assumptions</t>
  </si>
  <si>
    <t xml:space="preserve">Demand Request; KPI</t>
  </si>
  <si>
    <t xml:space="preserve">Risk &amp; Compliance Check</t>
  </si>
  <si>
    <t xml:space="preserve">Policy checks, waivers, SoD gates</t>
  </si>
  <si>
    <t xml:space="preserve">Policy; Waiver</t>
  </si>
  <si>
    <t xml:space="preserve">Approval Status &amp; Timeline</t>
  </si>
  <si>
    <t xml:space="preserve">Workflow timeline, approvers, SLA</t>
  </si>
  <si>
    <t xml:space="preserve">Approval</t>
  </si>
  <si>
    <t xml:space="preserve">Convert to Initiative/Project</t>
  </si>
  <si>
    <t xml:space="preserve">Create portfolio item/project from demand</t>
  </si>
  <si>
    <t xml:space="preserve">Project; Program</t>
  </si>
  <si>
    <t xml:space="preserve">Portfolio Overview</t>
  </si>
  <si>
    <t xml:space="preserve">Portfolio KPIs, spend, benefits, throughput</t>
  </si>
  <si>
    <t xml:space="preserve">Portfolio Board</t>
  </si>
  <si>
    <t xml:space="preserve">Stage board for initiatives/projects</t>
  </si>
  <si>
    <t xml:space="preserve">Portfolio Item</t>
  </si>
  <si>
    <t xml:space="preserve">Prioritization Matrix</t>
  </si>
  <si>
    <t xml:space="preserve">Value vs effort, risk heatmap</t>
  </si>
  <si>
    <t xml:space="preserve">Portfolio Backlog</t>
  </si>
  <si>
    <t xml:space="preserve">Backlog grooming, batch operations</t>
  </si>
  <si>
    <t xml:space="preserve">Scenario Compare (Prioritization)</t>
  </si>
  <si>
    <t xml:space="preserve">Compare prioritized scenarios</t>
  </si>
  <si>
    <t xml:space="preserve">Scenario</t>
  </si>
  <si>
    <t xml:space="preserve">Decision Log (Linked)</t>
  </si>
  <si>
    <t xml:space="preserve">View linked decisions and rationale</t>
  </si>
  <si>
    <t xml:space="preserve">Governance Pack Export</t>
  </si>
  <si>
    <t xml:space="preserve">Export portfolio pack + evidence</t>
  </si>
  <si>
    <t xml:space="preserve">Programs</t>
  </si>
  <si>
    <t xml:space="preserve">Programs List</t>
  </si>
  <si>
    <t xml:space="preserve">Program inventory, filters</t>
  </si>
  <si>
    <t xml:space="preserve">Program Detail</t>
  </si>
  <si>
    <t xml:space="preserve">Summary, scope, owners, KPIs</t>
  </si>
  <si>
    <t xml:space="preserve">Program Roadmap</t>
  </si>
  <si>
    <t xml:space="preserve">Program-level timeline</t>
  </si>
  <si>
    <t xml:space="preserve">Program; Project</t>
  </si>
  <si>
    <t xml:space="preserve">Program Risks &amp; Issues</t>
  </si>
  <si>
    <t xml:space="preserve">Risks/issues register</t>
  </si>
  <si>
    <t xml:space="preserve">Risk; Issue</t>
  </si>
  <si>
    <t xml:space="preserve">Projects</t>
  </si>
  <si>
    <t xml:space="preserve">Projects List</t>
  </si>
  <si>
    <t xml:space="preserve">Project inventory, filters</t>
  </si>
  <si>
    <t xml:space="preserve">Project Detail</t>
  </si>
  <si>
    <t xml:space="preserve">Summary, scope, team, KPIs</t>
  </si>
  <si>
    <t xml:space="preserve">Milestones &amp; Plan</t>
  </si>
  <si>
    <t xml:space="preserve">Milestones, timeline, baselines</t>
  </si>
  <si>
    <t xml:space="preserve">Milestone</t>
  </si>
  <si>
    <t xml:space="preserve">Dependencies Map</t>
  </si>
  <si>
    <t xml:space="preserve">Upstream/downstream dependencies</t>
  </si>
  <si>
    <t xml:space="preserve">Dependency</t>
  </si>
  <si>
    <t xml:space="preserve">RAID Log</t>
  </si>
  <si>
    <t xml:space="preserve">Risks, assumptions, issues, decisions</t>
  </si>
  <si>
    <t xml:space="preserve">Risk; Issue; Decision</t>
  </si>
  <si>
    <t xml:space="preserve">Status Update (Submit)</t>
  </si>
  <si>
    <t xml:space="preserve">Submit weekly status update</t>
  </si>
  <si>
    <t xml:space="preserve">Status Update</t>
  </si>
  <si>
    <t xml:space="preserve">Status Update (Approve)</t>
  </si>
  <si>
    <t xml:space="preserve">Approve status updates (governed)</t>
  </si>
  <si>
    <t xml:space="preserve">Documents &amp; Evidence</t>
  </si>
  <si>
    <t xml:space="preserve">Attach documents; link evidence</t>
  </si>
  <si>
    <t xml:space="preserve">Document; Evidence</t>
  </si>
  <si>
    <t xml:space="preserve">Roadmaps</t>
  </si>
  <si>
    <t xml:space="preserve">Roadmap Timeline</t>
  </si>
  <si>
    <t xml:space="preserve">Time-phased roadmap by portfolio</t>
  </si>
  <si>
    <t xml:space="preserve">Roadmap</t>
  </si>
  <si>
    <t xml:space="preserve">Roadmap Swimlanes</t>
  </si>
  <si>
    <t xml:space="preserve">Roadmap by capability/team</t>
  </si>
  <si>
    <t xml:space="preserve">Roadmap; Capability</t>
  </si>
  <si>
    <t xml:space="preserve">Release Train Plan</t>
  </si>
  <si>
    <t xml:space="preserve">Plan releases/milestones</t>
  </si>
  <si>
    <t xml:space="preserve">Release</t>
  </si>
  <si>
    <t xml:space="preserve">Dependency Heatmap</t>
  </si>
  <si>
    <t xml:space="preserve">Cross-team dependency risk</t>
  </si>
  <si>
    <t xml:space="preserve">Capacity</t>
  </si>
  <si>
    <t xml:space="preserve">Capacity Overview</t>
  </si>
  <si>
    <t xml:space="preserve">Demand vs capacity summary</t>
  </si>
  <si>
    <t xml:space="preserve">Team Capacity Planner</t>
  </si>
  <si>
    <t xml:space="preserve">Set team capacity by period</t>
  </si>
  <si>
    <t xml:space="preserve">Team; Capacity</t>
  </si>
  <si>
    <t xml:space="preserve">Allocation &amp; Assignments</t>
  </si>
  <si>
    <t xml:space="preserve">Allocate work to teams</t>
  </si>
  <si>
    <t xml:space="preserve">Allocation</t>
  </si>
  <si>
    <t xml:space="preserve">What-if Capacity Scenario</t>
  </si>
  <si>
    <t xml:space="preserve">Compare capacity scenarios</t>
  </si>
  <si>
    <t xml:space="preserve">Benefits</t>
  </si>
  <si>
    <t xml:space="preserve">Benefits Register</t>
  </si>
  <si>
    <t xml:space="preserve">Benefits inventory, owners, status</t>
  </si>
  <si>
    <t xml:space="preserve">Benefit</t>
  </si>
  <si>
    <t xml:space="preserve">Benefit Detail &amp; KPI Linkage</t>
  </si>
  <si>
    <t xml:space="preserve">Map benefit to certified KPIs</t>
  </si>
  <si>
    <t xml:space="preserve">Benefit; KPI</t>
  </si>
  <si>
    <t xml:space="preserve">Realization Tracking</t>
  </si>
  <si>
    <t xml:space="preserve">Track realized vs planned</t>
  </si>
  <si>
    <t xml:space="preserve">Outcome Review Notes</t>
  </si>
  <si>
    <t xml:space="preserve">Close-out notes and learnings</t>
  </si>
  <si>
    <t xml:space="preserve">Reporting</t>
  </si>
  <si>
    <t xml:space="preserve">Delivery Status Dashboard</t>
  </si>
  <si>
    <t xml:space="preserve">Portfolio health, RAG status</t>
  </si>
  <si>
    <t xml:space="preserve">Executive Summary Report</t>
  </si>
  <si>
    <t xml:space="preserve">Roll-up report pack</t>
  </si>
  <si>
    <t xml:space="preserve">Schedule/Cost Variance</t>
  </si>
  <si>
    <t xml:space="preserve">Variance metrics and trends</t>
  </si>
  <si>
    <t xml:space="preserve">Resource Utilization</t>
  </si>
  <si>
    <t xml:space="preserve">Capacity utilization report</t>
  </si>
  <si>
    <t xml:space="preserve">Benefits Realization Report</t>
  </si>
  <si>
    <t xml:space="preserve">Benefits achieved vs plan</t>
  </si>
  <si>
    <t xml:space="preserve">Audit &amp; Trace Export</t>
  </si>
  <si>
    <t xml:space="preserve">Export audit trail + evidence links</t>
  </si>
  <si>
    <t xml:space="preserve">Admin</t>
  </si>
  <si>
    <t xml:space="preserve">Configuration</t>
  </si>
  <si>
    <t xml:space="preserve">Stages, fields, scoring models</t>
  </si>
  <si>
    <t xml:space="preserve">Config</t>
  </si>
  <si>
    <t xml:space="preserve">Templates</t>
  </si>
  <si>
    <t xml:space="preserve">Intake templates, report templates</t>
  </si>
  <si>
    <t xml:space="preserve">Template</t>
  </si>
  <si>
    <t xml:space="preserve">Roles &amp; Permissions</t>
  </si>
  <si>
    <t xml:space="preserve">Role mapping + access reviews</t>
  </si>
  <si>
    <t xml:space="preserve">Integrations Status</t>
  </si>
  <si>
    <t xml:space="preserve">Connector health + reconciliation</t>
  </si>
  <si>
    <t xml:space="preserve">Integration</t>
  </si>
  <si>
    <t xml:space="preserve">Reference Data</t>
  </si>
  <si>
    <t xml:space="preserve">Categories, tags, taxonomies</t>
  </si>
  <si>
    <t xml:space="preserve">ERP Integration Cockpit</t>
  </si>
  <si>
    <t xml:space="preserve">GL Data Contract View</t>
  </si>
  <si>
    <t xml:space="preserve">Journal Trace Viewer</t>
  </si>
  <si>
    <t xml:space="preserve">GL Evidence Pack</t>
  </si>
  <si>
    <t xml:space="preserve">AP Data Contract View</t>
  </si>
  <si>
    <t xml:space="preserve">Invoice Flow Trace</t>
  </si>
  <si>
    <t xml:space="preserve">AP Evidence Pack</t>
  </si>
  <si>
    <t xml:space="preserve">AR Data Contract View</t>
  </si>
  <si>
    <t xml:space="preserve">Billing Trace Viewer</t>
  </si>
  <si>
    <t xml:space="preserve">AR Evidence Pack</t>
  </si>
  <si>
    <t xml:space="preserve">Reconciliation Trace View</t>
  </si>
  <si>
    <t xml:space="preserve">Close Control Center</t>
  </si>
  <si>
    <t xml:space="preserve">Close Checklist</t>
  </si>
  <si>
    <t xml:space="preserve">Close Evidence Pack</t>
  </si>
  <si>
    <t xml:space="preserve">Close KPI Dashboard</t>
  </si>
  <si>
    <t xml:space="preserve">Intercompany Monitor</t>
  </si>
  <si>
    <t xml:space="preserve">Settlement Trace View</t>
  </si>
  <si>
    <t xml:space="preserve">Treasury Cockpit</t>
  </si>
  <si>
    <t xml:space="preserve">Cash Position Contract View</t>
  </si>
  <si>
    <t xml:space="preserve">Forecast Workspace</t>
  </si>
  <si>
    <t xml:space="preserve">Scenario Comparison</t>
  </si>
  <si>
    <t xml:space="preserve">Forecast Evidence Pack</t>
  </si>
  <si>
    <t xml:space="preserve">Payment Approval Inbox</t>
  </si>
  <si>
    <t xml:space="preserve">Payment Trace Viewer</t>
  </si>
  <si>
    <t xml:space="preserve">Attestation/Evidence Pack</t>
  </si>
  <si>
    <t xml:space="preserve">FX Exposure Dashboard</t>
  </si>
  <si>
    <t xml:space="preserve">Hedging Trace View</t>
  </si>
  <si>
    <t xml:space="preserve">Tax Console</t>
  </si>
  <si>
    <t xml:space="preserve">Tax Contract View</t>
  </si>
  <si>
    <t xml:space="preserve">eInvoice Monitor</t>
  </si>
  <si>
    <t xml:space="preserve">Archive Verification</t>
  </si>
  <si>
    <t xml:space="preserve">Compliance Evidence Pack</t>
  </si>
  <si>
    <t xml:space="preserve">Stat Pack Builder</t>
  </si>
  <si>
    <t xml:space="preserve">Submission Tracker</t>
  </si>
  <si>
    <t xml:space="preserve">TP Workspace</t>
  </si>
  <si>
    <t xml:space="preserve">Dataset Trace</t>
  </si>
  <si>
    <t xml:space="preserve">Expense Portal</t>
  </si>
  <si>
    <t xml:space="preserve">Expense Trace View</t>
  </si>
  <si>
    <t xml:space="preserve">Card Reconciliation Workbench</t>
  </si>
  <si>
    <t xml:space="preserve">Asset Register View</t>
  </si>
  <si>
    <t xml:space="preserve">Depreciation Trace</t>
  </si>
  <si>
    <t xml:space="preserve">Lease Register</t>
  </si>
  <si>
    <t xml:space="preserve">Compliance Trace</t>
  </si>
  <si>
    <t xml:space="preserve">Budget Workspace</t>
  </si>
  <si>
    <t xml:space="preserve">Budget Approval Flow</t>
  </si>
  <si>
    <t xml:space="preserve">Driver Library</t>
  </si>
  <si>
    <t xml:space="preserve">Comparator</t>
  </si>
  <si>
    <t xml:space="preserve">Mgmt Report Gallery</t>
  </si>
  <si>
    <t xml:space="preserve">Certified Metric Linkage</t>
  </si>
  <si>
    <t xml:space="preserve">Supplier Integration View</t>
  </si>
  <si>
    <t xml:space="preserve">KYC Status Dashboard</t>
  </si>
  <si>
    <t xml:space="preserve">Onboarding Evidence Pack</t>
  </si>
  <si>
    <t xml:space="preserve">P2P Execution Monitor</t>
  </si>
  <si>
    <t xml:space="preserve">PO Trace View</t>
  </si>
  <si>
    <t xml:space="preserve">Receiving Trace View</t>
  </si>
  <si>
    <t xml:space="preserve">Mismatch Exceptions</t>
  </si>
  <si>
    <t xml:space="preserve">Matching Console</t>
  </si>
  <si>
    <t xml:space="preserve">Audit Evidence Pack</t>
  </si>
  <si>
    <t xml:space="preserve">Contract Workspace (integration)</t>
  </si>
  <si>
    <t xml:space="preserve">Clause Alignment View</t>
  </si>
  <si>
    <t xml:space="preserve">Contract Evidence Pack</t>
  </si>
  <si>
    <t xml:space="preserve">Sourcing Monitor</t>
  </si>
  <si>
    <t xml:space="preserve">Bid Trace View</t>
  </si>
  <si>
    <t xml:space="preserve">Award Evidence Pack</t>
  </si>
  <si>
    <t xml:space="preserve">Payment Run Monitor</t>
  </si>
  <si>
    <t xml:space="preserve">Approval Trace</t>
  </si>
  <si>
    <t xml:space="preserve">Supplier Risk Dashboard</t>
  </si>
  <si>
    <t xml:space="preserve">Scorecard View</t>
  </si>
  <si>
    <t xml:space="preserve">Remediation Handoff</t>
  </si>
  <si>
    <t xml:space="preserve">Supplier Portal Integration Health</t>
  </si>
  <si>
    <t xml:space="preserve">Supplier Activity Feed</t>
  </si>
  <si>
    <t xml:space="preserve">Customer 360 Integration View</t>
  </si>
  <si>
    <t xml:space="preserve">Hierarchy Trace</t>
  </si>
  <si>
    <t xml:space="preserve">Contact Sync Monitor</t>
  </si>
  <si>
    <t xml:space="preserve">Consent Trace View</t>
  </si>
  <si>
    <t xml:space="preserve">Territory Model Viewer</t>
  </si>
  <si>
    <t xml:space="preserve">Change Approval Trace</t>
  </si>
  <si>
    <t xml:space="preserve">Lead Flow Monitor</t>
  </si>
  <si>
    <t xml:space="preserve">Routing Rules Trace</t>
  </si>
  <si>
    <t xml:space="preserve">Pipeline Cockpit</t>
  </si>
  <si>
    <t xml:space="preserve">Stage Trace View</t>
  </si>
  <si>
    <t xml:space="preserve">Forecast Dashboard</t>
  </si>
  <si>
    <t xml:space="preserve">Quota Change Trace</t>
  </si>
  <si>
    <t xml:space="preserve">Visit Plan Monitor</t>
  </si>
  <si>
    <t xml:space="preserve">Pricing Guardrail Console</t>
  </si>
  <si>
    <t xml:space="preserve">Quote Builder</t>
  </si>
  <si>
    <t xml:space="preserve">Quote Approval Trace</t>
  </si>
  <si>
    <t xml:space="preserve">Handoff Monitor</t>
  </si>
  <si>
    <t xml:space="preserve">Contract Linkage View</t>
  </si>
  <si>
    <t xml:space="preserve">CPQ Config Trace</t>
  </si>
  <si>
    <t xml:space="preserve">Rules Alignment View</t>
  </si>
  <si>
    <t xml:space="preserve">Exception Handling</t>
  </si>
  <si>
    <t xml:space="preserve">Service Desk Integration View</t>
  </si>
  <si>
    <t xml:space="preserve">Case Trace Viewer</t>
  </si>
  <si>
    <t xml:space="preserve">Case Evidence Pack</t>
  </si>
  <si>
    <t xml:space="preserve">SLA Exceptions</t>
  </si>
  <si>
    <t xml:space="preserve">Escalation Trace</t>
  </si>
  <si>
    <t xml:space="preserve">KB Sync Monitor</t>
  </si>
  <si>
    <t xml:space="preserve">Article Trace View</t>
  </si>
  <si>
    <t xml:space="preserve">Feedback Loop</t>
  </si>
  <si>
    <t xml:space="preserve">CSAT Dashboard</t>
  </si>
  <si>
    <t xml:space="preserve">Feedback Handoff to Workflow</t>
  </si>
  <si>
    <t xml:space="preserve">Consent Center (integration)</t>
  </si>
  <si>
    <t xml:space="preserve">Consent Audit Trail</t>
  </si>
  <si>
    <t xml:space="preserve">Campaign Monitor</t>
  </si>
  <si>
    <t xml:space="preserve">KPI Linkage View</t>
  </si>
  <si>
    <t xml:space="preserve">Journey Orchestration Monitor</t>
  </si>
  <si>
    <t xml:space="preserve">Trigger Trace</t>
  </si>
  <si>
    <t xml:space="preserve">Governance Gate</t>
  </si>
  <si>
    <t xml:space="preserve">Segment Builder</t>
  </si>
  <si>
    <t xml:space="preserve">Contract View</t>
  </si>
  <si>
    <t xml:space="preserve">Order Intake Monitor</t>
  </si>
  <si>
    <t xml:space="preserve">Order Trace Viewer</t>
  </si>
  <si>
    <t xml:space="preserve">Discrepancy Exceptions</t>
  </si>
  <si>
    <t xml:space="preserve">Returns Monitor</t>
  </si>
  <si>
    <t xml:space="preserve">RMA Trace Viewer</t>
  </si>
  <si>
    <t xml:space="preserve">Dispute Inbox</t>
  </si>
  <si>
    <t xml:space="preserve">Resolution Trace</t>
  </si>
  <si>
    <t xml:space="preserve">Allocation Dashboard</t>
  </si>
  <si>
    <t xml:space="preserve">Decision Trace</t>
  </si>
  <si>
    <t xml:space="preserve">Inventory Cockpit</t>
  </si>
  <si>
    <t xml:space="preserve">Ledger Trace</t>
  </si>
  <si>
    <t xml:space="preserve">Traceability Evidence Viewer</t>
  </si>
  <si>
    <t xml:space="preserve">Lot/Serial Explorer</t>
  </si>
  <si>
    <t xml:space="preserve">Event Trace</t>
  </si>
  <si>
    <t xml:space="preserve">Quarantine Console</t>
  </si>
  <si>
    <t xml:space="preserve">Release Approval Trace</t>
  </si>
  <si>
    <t xml:space="preserve">FEFO Compliance Dashboard</t>
  </si>
  <si>
    <t xml:space="preserve">Recall Readiness Dashboard</t>
  </si>
  <si>
    <t xml:space="preserve">Evidence Pack Generator</t>
  </si>
  <si>
    <t xml:space="preserve">Drill Planner</t>
  </si>
  <si>
    <t xml:space="preserve">WMS Integration Monitor</t>
  </si>
  <si>
    <t xml:space="preserve">Activity Trace</t>
  </si>
  <si>
    <t xml:space="preserve">3PL Integration Health</t>
  </si>
  <si>
    <t xml:space="preserve">Wave Planner View</t>
  </si>
  <si>
    <t xml:space="preserve">Performance KPIs</t>
  </si>
  <si>
    <t xml:space="preserve">Cycle Count Dashboard</t>
  </si>
  <si>
    <t xml:space="preserve">Variance Trace</t>
  </si>
  <si>
    <t xml:space="preserve">Scan Event Monitor</t>
  </si>
  <si>
    <t xml:space="preserve">Device Health</t>
  </si>
  <si>
    <t xml:space="preserve">Shipment Tracker</t>
  </si>
  <si>
    <t xml:space="preserve">POD Evidence Pack</t>
  </si>
  <si>
    <t xml:space="preserve">Carrier Console</t>
  </si>
  <si>
    <t xml:space="preserve">Contract/Rate Trace</t>
  </si>
  <si>
    <t xml:space="preserve">Routing Workspace</t>
  </si>
  <si>
    <t xml:space="preserve">Plan vs Actual View</t>
  </si>
  <si>
    <t xml:space="preserve">Reverse Logistics Monitor</t>
  </si>
  <si>
    <t xml:space="preserve">RMA Linkage</t>
  </si>
  <si>
    <t xml:space="preserve">Claims Inbox</t>
  </si>
  <si>
    <t xml:space="preserve">Demand Workspace</t>
  </si>
  <si>
    <t xml:space="preserve">Forecast Accuracy KPIs</t>
  </si>
  <si>
    <t xml:space="preserve">MRP Monitor</t>
  </si>
  <si>
    <t xml:space="preserve">S&amp;OP Board</t>
  </si>
  <si>
    <t xml:space="preserve">Sign-off Trace</t>
  </si>
  <si>
    <t xml:space="preserve">Safety Stock Lab</t>
  </si>
  <si>
    <t xml:space="preserve">Scenario Comparator</t>
  </si>
  <si>
    <t xml:space="preserve">Capacity Dashboard</t>
  </si>
  <si>
    <t xml:space="preserve">Constraint Trace</t>
  </si>
  <si>
    <t xml:space="preserve">BOM/Routing Viewer</t>
  </si>
  <si>
    <t xml:space="preserve">Change Trace</t>
  </si>
  <si>
    <t xml:space="preserve">Work Order Monitor</t>
  </si>
  <si>
    <t xml:space="preserve">Execution Trace</t>
  </si>
  <si>
    <t xml:space="preserve">Batch Console</t>
  </si>
  <si>
    <t xml:space="preserve">eBR Evidence Pack</t>
  </si>
  <si>
    <t xml:space="preserve">Signature Trace</t>
  </si>
  <si>
    <t xml:space="preserve">OEE Dashboard</t>
  </si>
  <si>
    <t xml:space="preserve">Downtime Root Cause Viewer</t>
  </si>
  <si>
    <t xml:space="preserve">Co-Mfg Integration View</t>
  </si>
  <si>
    <t xml:space="preserve">Quality/Evidence View</t>
  </si>
  <si>
    <t xml:space="preserve">PM Scheduler View</t>
  </si>
  <si>
    <t xml:space="preserve">Compliance KPIs</t>
  </si>
  <si>
    <t xml:space="preserve">Maintenance Workbench</t>
  </si>
  <si>
    <t xml:space="preserve">Work Order Trace</t>
  </si>
  <si>
    <t xml:space="preserve">Calibration Console</t>
  </si>
  <si>
    <t xml:space="preserve">Calibration Evidence Pack</t>
  </si>
  <si>
    <t xml:space="preserve">Schedule View</t>
  </si>
  <si>
    <t xml:space="preserve">Spares Dashboard</t>
  </si>
  <si>
    <t xml:space="preserve">Inventory Trace</t>
  </si>
  <si>
    <t xml:space="preserve">Reorder Alerts</t>
  </si>
  <si>
    <t xml:space="preserve">Sample Intake Monitor</t>
  </si>
  <si>
    <t xml:space="preserve">Chain-of-Custody Trace</t>
  </si>
  <si>
    <t xml:space="preserve">Results Console</t>
  </si>
  <si>
    <t xml:space="preserve">CoA Evidence Pack</t>
  </si>
  <si>
    <t xml:space="preserve">Signature Trace (optional)</t>
  </si>
  <si>
    <t xml:space="preserve">Stability Workspace</t>
  </si>
  <si>
    <t xml:space="preserve">Study Trace</t>
  </si>
  <si>
    <t xml:space="preserve">Trend Dashboard</t>
  </si>
  <si>
    <t xml:space="preserve">Outlier/Alert Inbox</t>
  </si>
  <si>
    <t xml:space="preserve">CAPA Linkage</t>
  </si>
  <si>
    <t xml:space="preserve">Controlled Doc Approval View</t>
  </si>
  <si>
    <t xml:space="preserve">Training Linkage View</t>
  </si>
  <si>
    <t xml:space="preserve">Deviation Intake</t>
  </si>
  <si>
    <t xml:space="preserve">Investigation Workspace</t>
  </si>
  <si>
    <t xml:space="preserve">CAPA Workbench</t>
  </si>
  <si>
    <t xml:space="preserve">Effectiveness Check Tracker</t>
  </si>
  <si>
    <t xml:space="preserve">Regulated Change Control Board</t>
  </si>
  <si>
    <t xml:space="preserve">Supplier Quality Console</t>
  </si>
  <si>
    <t xml:space="preserve">SCAR Tracker</t>
  </si>
  <si>
    <t xml:space="preserve">Complaint Triage</t>
  </si>
  <si>
    <t xml:space="preserve">Investigation Timeline</t>
  </si>
  <si>
    <t xml:space="preserve">Attestation Campaigns</t>
  </si>
  <si>
    <t xml:space="preserve">Attestation Audit View</t>
  </si>
  <si>
    <t xml:space="preserve">Risk Register</t>
  </si>
  <si>
    <t xml:space="preserve">Controls Library</t>
  </si>
  <si>
    <t xml:space="preserve">Control-to-Evidence Map</t>
  </si>
  <si>
    <t xml:space="preserve">Audit Planner</t>
  </si>
  <si>
    <t xml:space="preserve">Audit Calendar</t>
  </si>
  <si>
    <t xml:space="preserve">Findings Inbox</t>
  </si>
  <si>
    <t xml:space="preserve">Remediation Tracker</t>
  </si>
  <si>
    <t xml:space="preserve">KPI Dashboard</t>
  </si>
  <si>
    <t xml:space="preserve">TPRM Register</t>
  </si>
  <si>
    <t xml:space="preserve">Assessment Builder</t>
  </si>
  <si>
    <t xml:space="preserve">Risk Acceptance Workflow</t>
  </si>
  <si>
    <t xml:space="preserve">Monitoring Dashboard</t>
  </si>
  <si>
    <t xml:space="preserve">Contract Workspace</t>
  </si>
  <si>
    <t xml:space="preserve">Standard vs Exception Diff</t>
  </si>
  <si>
    <t xml:space="preserve">Clause Approval Flow</t>
  </si>
  <si>
    <t xml:space="preserve">Obligations Calendar</t>
  </si>
  <si>
    <t xml:space="preserve">Renewal Alerts</t>
  </si>
  <si>
    <t xml:space="preserve">Entity Register</t>
  </si>
  <si>
    <t xml:space="preserve">Filing Tracker</t>
  </si>
  <si>
    <t xml:space="preserve">Incident Console</t>
  </si>
  <si>
    <t xml:space="preserve">Timeline View</t>
  </si>
  <si>
    <t xml:space="preserve">Postmortem Pack</t>
  </si>
  <si>
    <t xml:space="preserve">Service Request Portal</t>
  </si>
  <si>
    <t xml:space="preserve">Fulfillment Queue</t>
  </si>
  <si>
    <t xml:space="preserve">SLA View</t>
  </si>
  <si>
    <t xml:space="preserve">Problem Workspace</t>
  </si>
  <si>
    <t xml:space="preserve">RCA Tracker</t>
  </si>
  <si>
    <t xml:space="preserve">CAB Workbench</t>
  </si>
  <si>
    <t xml:space="preserve">Change Calendar</t>
  </si>
  <si>
    <t xml:space="preserve">CMDB Explorer</t>
  </si>
  <si>
    <t xml:space="preserve">CI Relationships</t>
  </si>
  <si>
    <t xml:space="preserve">Change Impact View</t>
  </si>
  <si>
    <t xml:space="preserve">Request Templates</t>
  </si>
  <si>
    <t xml:space="preserve">SLA Definitions</t>
  </si>
  <si>
    <t xml:space="preserve">Controls Map</t>
  </si>
  <si>
    <t xml:space="preserve">Evidence Requirements Editor</t>
  </si>
  <si>
    <t xml:space="preserve">Coverage Dashboard</t>
  </si>
  <si>
    <t xml:space="preserve">Evidence Collector Monitor</t>
  </si>
  <si>
    <t xml:space="preserve">Connector Health</t>
  </si>
  <si>
    <t xml:space="preserve">Collection Run History</t>
  </si>
  <si>
    <t xml:space="preserve">Audit Pack Builder</t>
  </si>
  <si>
    <t xml:space="preserve">Trace Links</t>
  </si>
  <si>
    <t xml:space="preserve">PV Case Inbox</t>
  </si>
  <si>
    <t xml:space="preserve">Intake Forms</t>
  </si>
  <si>
    <t xml:space="preserve">Triage Rules</t>
  </si>
  <si>
    <t xml:space="preserve">Case Processing Console</t>
  </si>
  <si>
    <t xml:space="preserve">Workflow Trace</t>
  </si>
  <si>
    <t xml:space="preserve">MedDRA Coding Workbench</t>
  </si>
  <si>
    <t xml:space="preserve">Dictionary Trace</t>
  </si>
  <si>
    <t xml:space="preserve">Reporting Hub</t>
  </si>
  <si>
    <t xml:space="preserve">Signal Dashboard</t>
  </si>
  <si>
    <t xml:space="preserve">Signal Review Workflow</t>
  </si>
  <si>
    <t xml:space="preserve">PV Quality Review Queue</t>
  </si>
  <si>
    <t xml:space="preserve">Audit Pack</t>
  </si>
  <si>
    <t xml:space="preserve">Submission Workspace</t>
  </si>
  <si>
    <t xml:space="preserve">Dossier Library</t>
  </si>
  <si>
    <t xml:space="preserve">Variation Tracker</t>
  </si>
  <si>
    <t xml:space="preserve">Renewal Calendar</t>
  </si>
  <si>
    <t xml:space="preserve">Labeling Workspace</t>
  </si>
  <si>
    <t xml:space="preserve">Country Matrix</t>
  </si>
  <si>
    <t xml:space="preserve">Requirement Diff</t>
  </si>
  <si>
    <t xml:space="preserve">Compliance View</t>
  </si>
  <si>
    <t xml:space="preserve">Study Portfolio</t>
  </si>
  <si>
    <t xml:space="preserve">Study Setup Wizard</t>
  </si>
  <si>
    <t xml:space="preserve">Site Console</t>
  </si>
  <si>
    <t xml:space="preserve">Site KPI Dashboard</t>
  </si>
  <si>
    <t xml:space="preserve">Monitoring Console</t>
  </si>
  <si>
    <t xml:space="preserve">Findings Tracker</t>
  </si>
  <si>
    <t xml:space="preserve">eTMF Linkage View</t>
  </si>
  <si>
    <t xml:space="preserve">Document Completeness Dashboard</t>
  </si>
  <si>
    <t xml:space="preserve">SAE Bridge Dashboard</t>
  </si>
  <si>
    <t xml:space="preserve">Cross-case Link Viewer</t>
  </si>
  <si>
    <t xml:space="preserve">Serialization Monitor</t>
  </si>
  <si>
    <t xml:space="preserve">Integration Health</t>
  </si>
  <si>
    <t xml:space="preserve">Verification Console</t>
  </si>
  <si>
    <t xml:space="preserve">Compliance Interface Dashboard</t>
  </si>
  <si>
    <t xml:space="preserve">Submission Logs</t>
  </si>
  <si>
    <t xml:space="preserve">Validation Plan Builder</t>
  </si>
  <si>
    <t xml:space="preserve">Protocol Library</t>
  </si>
  <si>
    <t xml:space="preserve">Qualification Evidence Library</t>
  </si>
  <si>
    <t xml:space="preserve">Evidence Linkage</t>
  </si>
  <si>
    <t xml:space="preserve">Validation Report Builder</t>
  </si>
  <si>
    <t xml:space="preserve">External System Profile</t>
  </si>
  <si>
    <t xml:space="preserve">Integration/Contract Profile</t>
  </si>
  <si>
    <t xml:space="preserve">CRM External Landing</t>
  </si>
  <si>
    <t xml:space="preserve">High-level integration posture, key KPIs, last sync status</t>
  </si>
  <si>
    <t xml:space="preserve">CRM System; Integration Runs</t>
  </si>
  <si>
    <t xml:space="preserve">External CRM integration façade pages (detailed)</t>
  </si>
  <si>
    <t xml:space="preserve">Integration Cockpit</t>
  </si>
  <si>
    <t xml:space="preserve">Monitor sync KPIs, latency, error rate, throughput</t>
  </si>
  <si>
    <t xml:space="preserve">Sync Jobs; Exceptions</t>
  </si>
  <si>
    <t xml:space="preserve">Sync Run History</t>
  </si>
  <si>
    <t xml:space="preserve">Review run outcomes, durations, retries, snapshots</t>
  </si>
  <si>
    <t xml:space="preserve">Sync Runs</t>
  </si>
  <si>
    <t xml:space="preserve">Object Sync Status</t>
  </si>
  <si>
    <t xml:space="preserve">Per-object status (Accounts, Contacts, Leads, Opps, Cases, Campaigns)</t>
  </si>
  <si>
    <t xml:space="preserve">Sync Objects</t>
  </si>
  <si>
    <t xml:space="preserve">Mapping</t>
  </si>
  <si>
    <t xml:space="preserve">Object Mapping</t>
  </si>
  <si>
    <t xml:space="preserve">Map domain objects ↔ CRM objects; ownership stance</t>
  </si>
  <si>
    <t xml:space="preserve">Accounts/Contacts/Leads/Opps/Cases</t>
  </si>
  <si>
    <t xml:space="preserve">Field Mapping</t>
  </si>
  <si>
    <t xml:space="preserve">Map fields + transformations; validate required fields</t>
  </si>
  <si>
    <t xml:space="preserve">Field Mappings</t>
  </si>
  <si>
    <t xml:space="preserve">Contract &amp; Schema View</t>
  </si>
  <si>
    <t xml:space="preserve">View Data Contract linkage; compatibility status; versions</t>
  </si>
  <si>
    <t xml:space="preserve">Data Contracts</t>
  </si>
  <si>
    <t xml:space="preserve">API/Event Interface View</t>
  </si>
  <si>
    <t xml:space="preserve">View interface IDs, consumers, versions, deprecation</t>
  </si>
  <si>
    <t xml:space="preserve">Interfaces</t>
  </si>
  <si>
    <t xml:space="preserve">Errors</t>
  </si>
  <si>
    <t xml:space="preserve">Error &amp; Retry Queue</t>
  </si>
  <si>
    <t xml:space="preserve">Inspect failures, replay, retry/backoff policy</t>
  </si>
  <si>
    <t xml:space="preserve">Exceptions</t>
  </si>
  <si>
    <t xml:space="preserve">Detect mismatches; reconcile deltas; close exceptions</t>
  </si>
  <si>
    <t xml:space="preserve">Reconciliation Cases</t>
  </si>
  <si>
    <t xml:space="preserve">Duplicate/Conflict Resolver</t>
  </si>
  <si>
    <t xml:space="preserve">Resolve duplicates and merge conflicts (SoR rules applied)</t>
  </si>
  <si>
    <t xml:space="preserve">Conflict Items</t>
  </si>
  <si>
    <t xml:space="preserve">Credential &amp; Token Management</t>
  </si>
  <si>
    <t xml:space="preserve">Manage OAuth tokens/keys; rotation; access policies</t>
  </si>
  <si>
    <t xml:space="preserve">Credentials</t>
  </si>
  <si>
    <t xml:space="preserve">Rate Limits &amp; Throttling</t>
  </si>
  <si>
    <t xml:space="preserve">Monitor API quotas; tune throttles; plan capacity</t>
  </si>
  <si>
    <t xml:space="preserve">API Quotas</t>
  </si>
  <si>
    <t xml:space="preserve">Webhook/Event Subscription Admin</t>
  </si>
  <si>
    <t xml:space="preserve">Configure subscriptions, signing secrets, delivery policies</t>
  </si>
  <si>
    <t xml:space="preserve">Webhooks; Subscriptions</t>
  </si>
  <si>
    <t xml:space="preserve">Audit &amp; Evidence</t>
  </si>
  <si>
    <t xml:space="preserve">Audit / Evidence Export</t>
  </si>
  <si>
    <t xml:space="preserve">Export audit trail + evidence pack for CRM integrations</t>
  </si>
  <si>
    <t xml:space="preserve">Version &amp; Deprecation Calendar</t>
  </si>
  <si>
    <t xml:space="preserve">Track API versions; deprecation timelines; change windows</t>
  </si>
  <si>
    <t xml:space="preserve">Ops</t>
  </si>
  <si>
    <t xml:space="preserve">Alert policies, runbooks, escalation map</t>
  </si>
  <si>
    <t xml:space="preserve">Runbooks</t>
  </si>
  <si>
    <t xml:space="preserve">AI</t>
  </si>
  <si>
    <t xml:space="preserve">AI Assist: Mapping Copilot</t>
  </si>
  <si>
    <t xml:space="preserve">Suggest mappings; highlight breaking changes; generate diffs</t>
  </si>
  <si>
    <t xml:space="preserve">Mappings; Contracts</t>
  </si>
  <si>
    <t xml:space="preserve">AI Assist: Error Triage</t>
  </si>
  <si>
    <t xml:space="preserve">Summarize errors; suggest remediation; propose reruns</t>
  </si>
  <si>
    <t xml:space="preserve">Setup &amp; Configuration</t>
  </si>
  <si>
    <t xml:space="preserve">Payroll Provider Connector Setup</t>
  </si>
  <si>
    <t xml:space="preserve">Configure provider endpoints; credentials; schedules; health checks</t>
  </si>
  <si>
    <t xml:space="preserve">Connector; Credential; Endpoint</t>
  </si>
  <si>
    <t xml:space="preserve">NEW</t>
  </si>
  <si>
    <t xml:space="preserve">Uses Secrets Vault + API Gateway</t>
  </si>
  <si>
    <t xml:space="preserve">Contracts &amp; Mapping</t>
  </si>
  <si>
    <t xml:space="preserve">Payroll Contract Mapping</t>
  </si>
  <si>
    <t xml:space="preserve">Map provider fields to data contracts; validate compatibility; version control</t>
  </si>
  <si>
    <t xml:space="preserve">Payroll Result Contract; Mapping</t>
  </si>
  <si>
    <t xml:space="preserve">Data Contract Registry linked</t>
  </si>
  <si>
    <t xml:space="preserve">Operations</t>
  </si>
  <si>
    <t xml:space="preserve">Payroll Run Monitor</t>
  </si>
  <si>
    <t xml:space="preserve">Track pay cycle events; ingestion runs; success/failure; reconciliation</t>
  </si>
  <si>
    <t xml:space="preserve">Pay Cycle Event; Integration Run</t>
  </si>
  <si>
    <t xml:space="preserve">Payroll Exception Inbox</t>
  </si>
  <si>
    <t xml:space="preserve">Triage failures; assign; remediate; trigger workflows; capture RCA</t>
  </si>
  <si>
    <t xml:space="preserve">Exception; Task; Workflow Run</t>
  </si>
  <si>
    <t xml:space="preserve">Payroll Audit Export</t>
  </si>
  <si>
    <t xml:space="preserve">Export trace logs; evidence packs; retention tags</t>
  </si>
  <si>
    <t xml:space="preserve">Audit Event; Evidence Artifact</t>
  </si>
  <si>
    <t xml:space="preserve">Partner Master</t>
  </si>
  <si>
    <t xml:space="preserve">Partner Directory</t>
  </si>
  <si>
    <t xml:space="preserve">Search/browse partners; filter by status/type/region</t>
  </si>
  <si>
    <t xml:space="preserve">Partner; Alliance</t>
  </si>
  <si>
    <t xml:space="preserve">Partner Detail</t>
  </si>
  <si>
    <t xml:space="preserve">View partner profile; contacts; agreements; linked opportunities</t>
  </si>
  <si>
    <t xml:space="preserve">Partner; Agreement; Contact</t>
  </si>
  <si>
    <t xml:space="preserve">Onboarding</t>
  </si>
  <si>
    <t xml:space="preserve">Partner Onboarding Intake</t>
  </si>
  <si>
    <t xml:space="preserve">Create onboarding request; collect documents; route approvals</t>
  </si>
  <si>
    <t xml:space="preserve">Onboarding Request; Document; Workflow Run</t>
  </si>
  <si>
    <t xml:space="preserve">Agreements</t>
  </si>
  <si>
    <t xml:space="preserve">Partner Agreement Workspace</t>
  </si>
  <si>
    <t xml:space="preserve">Draft/review agreements; versioning; approvals; evidence</t>
  </si>
  <si>
    <t xml:space="preserve">Agreement; Document; Approval</t>
  </si>
  <si>
    <t xml:space="preserve">Partner Governance Inbox</t>
  </si>
  <si>
    <t xml:space="preserve">Review pending approvals/exceptions; manage SLAs</t>
  </si>
  <si>
    <t xml:space="preserve">Task; Approval; Exception</t>
  </si>
  <si>
    <t xml:space="preserve">Performance</t>
  </si>
  <si>
    <t xml:space="preserve">Partner Performance Scorecard</t>
  </si>
  <si>
    <t xml:space="preserve">View partner KPIs; referrals; pipeline contribution</t>
  </si>
  <si>
    <t xml:space="preserve">KPI; Scorecard; Referral</t>
  </si>
  <si>
    <t xml:space="preserve">Intake</t>
  </si>
  <si>
    <t xml:space="preserve">Pursuit Intake</t>
  </si>
  <si>
    <t xml:space="preserve">Create pursuit; classify; assign owner/team; link opportunity</t>
  </si>
  <si>
    <t xml:space="preserve">Pursuit; Opportunity</t>
  </si>
  <si>
    <t xml:space="preserve">Bid/No-Bid Decision</t>
  </si>
  <si>
    <t xml:space="preserve">Run decision workflow; capture rationale; approvals; evidence link</t>
  </si>
  <si>
    <t xml:space="preserve">Decision Record; Workflow Run; Evidence</t>
  </si>
  <si>
    <t xml:space="preserve">Execution</t>
  </si>
  <si>
    <t xml:space="preserve">Proposal Workspace</t>
  </si>
  <si>
    <t xml:space="preserve">Manage workplan; tasks; sections; owners; due dates</t>
  </si>
  <si>
    <t xml:space="preserve">Proposal; Task; Checklist</t>
  </si>
  <si>
    <t xml:space="preserve">Content</t>
  </si>
  <si>
    <t xml:space="preserve">Proposal Content Library</t>
  </si>
  <si>
    <t xml:space="preserve">Reuse approved content blocks; version control; tagging</t>
  </si>
  <si>
    <t xml:space="preserve">Document; Template; Tag</t>
  </si>
  <si>
    <t xml:space="preserve">Review &amp; Approval</t>
  </si>
  <si>
    <t xml:space="preserve">Proposal Review Timeline</t>
  </si>
  <si>
    <t xml:space="preserve">Coordinate reviews; comments; sign-offs; audit trail</t>
  </si>
  <si>
    <t xml:space="preserve">Approval; Audit Event</t>
  </si>
  <si>
    <t xml:space="preserve">Submission</t>
  </si>
  <si>
    <t xml:space="preserve">Track submissions; timestamps; recipients; outcomes</t>
  </si>
  <si>
    <t xml:space="preserve">Submission; Evidence Artifact</t>
  </si>
  <si>
    <t xml:space="preserve">Learning</t>
  </si>
  <si>
    <t xml:space="preserve">Lessons Learned Capture</t>
  </si>
  <si>
    <t xml:space="preserve">Capture post-outcome insights; link to methods; reuse patterns</t>
  </si>
  <si>
    <t xml:space="preserve">Lesson; Tag; Decision Link</t>
  </si>
  <si>
    <t xml:space="preserve">Deal Desk Intake</t>
  </si>
  <si>
    <t xml:space="preserve">Submit deal exception; attach evidence; route to desk</t>
  </si>
  <si>
    <t xml:space="preserve">Deal Exception; Document</t>
  </si>
  <si>
    <t xml:space="preserve">Discount/Terms Exception Request</t>
  </si>
  <si>
    <t xml:space="preserve">Select policy/control violated; propose compensating controls; expiry</t>
  </si>
  <si>
    <t xml:space="preserve">Policy Waiver; Control; Exception</t>
  </si>
  <si>
    <t xml:space="preserve">Approvals</t>
  </si>
  <si>
    <t xml:space="preserve">Deal Desk Approval Inbox</t>
  </si>
  <si>
    <t xml:space="preserve">Approve/reject; escalate; capture conditions; e-sign where required</t>
  </si>
  <si>
    <t xml:space="preserve">Approval; Audit Event; Signature</t>
  </si>
  <si>
    <t xml:space="preserve">Analysis</t>
  </si>
  <si>
    <t xml:space="preserve">Deal Comparison</t>
  </si>
  <si>
    <t xml:space="preserve">Compare deal scenarios; margin impact; risk flags</t>
  </si>
  <si>
    <t xml:space="preserve">Scenario; KPI; Risk Flag</t>
  </si>
  <si>
    <t xml:space="preserve">Approval Evidence Pack</t>
  </si>
  <si>
    <t xml:space="preserve">Generate evidence pack; export audit trail; link to decision log</t>
  </si>
  <si>
    <t xml:space="preserve">Evidence Pack; Decision Record</t>
  </si>
  <si>
    <t xml:space="preserve">Overview Dashboard</t>
  </si>
  <si>
    <t xml:space="preserve">KPIs, health, open items</t>
  </si>
  <si>
    <t xml:space="preserve">Work</t>
  </si>
  <si>
    <t xml:space="preserve">My Work / Approvals Inbox</t>
  </si>
  <si>
    <t xml:space="preserve">Approve/reject, assign, SLA follow-up</t>
  </si>
  <si>
    <t xml:space="preserve">Task; Workflow; AuditEvent</t>
  </si>
  <si>
    <t xml:space="preserve">Exceptions &amp; Reconciliation Queue</t>
  </si>
  <si>
    <t xml:space="preserve">Triage exceptions, route to workflow, link evidence</t>
  </si>
  <si>
    <t xml:space="preserve">Exception; DecisionRecord</t>
  </si>
  <si>
    <t xml:space="preserve">Traceability</t>
  </si>
  <si>
    <t xml:space="preserve">Trace / Audit Viewer</t>
  </si>
  <si>
    <t xml:space="preserve">End-to-end trace, correlation, audit export</t>
  </si>
  <si>
    <t xml:space="preserve">AuditEvent; EvidenceArtifact</t>
  </si>
  <si>
    <t xml:space="preserve">Evidence Pack Builder/Viewer</t>
  </si>
  <si>
    <t xml:space="preserve">Assemble/export evidence pack</t>
  </si>
  <si>
    <t xml:space="preserve">EvidenceArtifact; Document</t>
  </si>
  <si>
    <t xml:space="preserve">Integrations</t>
  </si>
  <si>
    <t xml:space="preserve">Contract status, sync health, retries</t>
  </si>
  <si>
    <t xml:space="preserve">DataContract; Interface</t>
  </si>
  <si>
    <t xml:space="preserve">Templates, reference data, roles, statuses</t>
  </si>
  <si>
    <t xml:space="preserve">Config; ReferenceData</t>
  </si>
  <si>
    <t xml:space="preserve">Reports &amp; Analytics</t>
  </si>
  <si>
    <t xml:space="preserve">Operational + compliance reporting</t>
  </si>
  <si>
    <t xml:space="preserve">Report; KPI</t>
  </si>
  <si>
    <t xml:space="preserve">Transaction List</t>
  </si>
  <si>
    <t xml:space="preserve">Search/filter/posting status</t>
  </si>
  <si>
    <t xml:space="preserve">Transaction</t>
  </si>
  <si>
    <t xml:space="preserve">Transaction Detail</t>
  </si>
  <si>
    <t xml:space="preserve">View lines, attachments, approvals, audit</t>
  </si>
  <si>
    <t xml:space="preserve">Transaction; Document</t>
  </si>
  <si>
    <t xml:space="preserve">Controls</t>
  </si>
  <si>
    <t xml:space="preserve">Approval Flow Trace</t>
  </si>
  <si>
    <t xml:space="preserve">Approval steps, SoD checks, exceptions</t>
  </si>
  <si>
    <t xml:space="preserve">Workflow; Control</t>
  </si>
  <si>
    <t xml:space="preserve">Controls &amp; Exceptions</t>
  </si>
  <si>
    <t xml:space="preserve">Control failures, remediation routing</t>
  </si>
  <si>
    <t xml:space="preserve">Control; Exception</t>
  </si>
  <si>
    <t xml:space="preserve">Period Close</t>
  </si>
  <si>
    <t xml:space="preserve">Close tasks, owners, due dates</t>
  </si>
  <si>
    <t xml:space="preserve">Task; Period</t>
  </si>
  <si>
    <t xml:space="preserve">Close progress, blockers, evidence</t>
  </si>
  <si>
    <t xml:space="preserve">Period; EvidenceArtifact</t>
  </si>
  <si>
    <t xml:space="preserve">AI Assist Panel</t>
  </si>
  <si>
    <t xml:space="preserve">Contextual assist: summarize/draft/recommend</t>
  </si>
  <si>
    <t xml:space="preserve">Module Objects</t>
  </si>
  <si>
    <t xml:space="preserve">Suppliers</t>
  </si>
  <si>
    <t xml:space="preserve">Supplier Onboarding Queue</t>
  </si>
  <si>
    <t xml:space="preserve">KYC/sanctions/doc checks, approvals</t>
  </si>
  <si>
    <t xml:space="preserve">Supplier; Document</t>
  </si>
  <si>
    <t xml:space="preserve">Procure</t>
  </si>
  <si>
    <t xml:space="preserve">Requisition &amp; PO Queue</t>
  </si>
  <si>
    <t xml:space="preserve">Create/approve requisitions/POs</t>
  </si>
  <si>
    <t xml:space="preserve">Requisition; PurchaseOrder</t>
  </si>
  <si>
    <t xml:space="preserve">Receiving &amp; Matching</t>
  </si>
  <si>
    <t xml:space="preserve">GRN, 3-way match exceptions</t>
  </si>
  <si>
    <t xml:space="preserve">Receipt; Invoice</t>
  </si>
  <si>
    <t xml:space="preserve">Spend Policy Check</t>
  </si>
  <si>
    <t xml:space="preserve">Policy compliance, waivers, audit links</t>
  </si>
  <si>
    <t xml:space="preserve">Policy; PolicyWaiver</t>
  </si>
  <si>
    <t xml:space="preserve">Pipeline views, stages, forecast rollups</t>
  </si>
  <si>
    <t xml:space="preserve">Opportunity; Account</t>
  </si>
  <si>
    <t xml:space="preserve">Opportunity Detail</t>
  </si>
  <si>
    <t xml:space="preserve">Stage, products, approvals, notes</t>
  </si>
  <si>
    <t xml:space="preserve">Opportunity; Product</t>
  </si>
  <si>
    <t xml:space="preserve">Lead Routing &amp; Queue</t>
  </si>
  <si>
    <t xml:space="preserve">Route leads, dedupe, assignment rules</t>
  </si>
  <si>
    <t xml:space="preserve">Lead</t>
  </si>
  <si>
    <t xml:space="preserve">Case Queue</t>
  </si>
  <si>
    <t xml:space="preserve">Triage cases, SLA routing, escalations</t>
  </si>
  <si>
    <t xml:space="preserve">Case</t>
  </si>
  <si>
    <t xml:space="preserve">Case Detail</t>
  </si>
  <si>
    <t xml:space="preserve">Timeline, comms, knowledge suggestions</t>
  </si>
  <si>
    <t xml:space="preserve">Case; Document</t>
  </si>
  <si>
    <t xml:space="preserve">Runs, performance, audience, compliance</t>
  </si>
  <si>
    <t xml:space="preserve">Campaign; Segment</t>
  </si>
  <si>
    <t xml:space="preserve">Inventory</t>
  </si>
  <si>
    <t xml:space="preserve">Balances, movements, valuations</t>
  </si>
  <si>
    <t xml:space="preserve">InventoryLedger</t>
  </si>
  <si>
    <t xml:space="preserve">Warehouse</t>
  </si>
  <si>
    <t xml:space="preserve">Warehouse Execution Queue</t>
  </si>
  <si>
    <t xml:space="preserve">Pick/pack/ship exceptions</t>
  </si>
  <si>
    <t xml:space="preserve">WarehouseTask</t>
  </si>
  <si>
    <t xml:space="preserve">Transport</t>
  </si>
  <si>
    <t xml:space="preserve">Tracking, POD, claims linkage</t>
  </si>
  <si>
    <t xml:space="preserve">Shipment; POD</t>
  </si>
  <si>
    <t xml:space="preserve">Planning</t>
  </si>
  <si>
    <t xml:space="preserve">Planning Workspace</t>
  </si>
  <si>
    <t xml:space="preserve">Forecast/MRP scenario, sign-offs</t>
  </si>
  <si>
    <t xml:space="preserve">Plan; Scenario</t>
  </si>
  <si>
    <t xml:space="preserve">Quality</t>
  </si>
  <si>
    <t xml:space="preserve">Log deviation, triage, assign</t>
  </si>
  <si>
    <t xml:space="preserve">Deviation</t>
  </si>
  <si>
    <t xml:space="preserve">RCA, evidence, decisions</t>
  </si>
  <si>
    <t xml:space="preserve">Deviation; EvidenceArtifact</t>
  </si>
  <si>
    <t xml:space="preserve">Actions, effectiveness checks, closure</t>
  </si>
  <si>
    <t xml:space="preserve">Change Control Board</t>
  </si>
  <si>
    <t xml:space="preserve">Change requests, risk, approvals</t>
  </si>
  <si>
    <t xml:space="preserve">ChangeRequest</t>
  </si>
  <si>
    <t xml:space="preserve">Inspection Readiness Dashboard</t>
  </si>
  <si>
    <t xml:space="preserve">Coverage, open findings, packs</t>
  </si>
  <si>
    <t xml:space="preserve">Audit; EvidenceArtifact</t>
  </si>
  <si>
    <t xml:space="preserve">AI Review Queue (HITL)</t>
  </si>
  <si>
    <t xml:space="preserve">Review/approve AI outputs, feedback loop</t>
  </si>
  <si>
    <t xml:space="preserve">ReviewItem; Feedback</t>
  </si>
  <si>
    <t xml:space="preserve">AI Policy &amp; Audit View</t>
  </si>
  <si>
    <t xml:space="preserve">Policy checks, prompt/version trace, exports</t>
  </si>
  <si>
    <t xml:space="preserve">Policy; AuditEvent</t>
  </si>
  <si>
    <t xml:space="preserve">Policy Lifecycle Workspace</t>
  </si>
  <si>
    <t xml:space="preserve">Draft/review/publish/attest</t>
  </si>
  <si>
    <t xml:space="preserve">Risk</t>
  </si>
  <si>
    <t xml:space="preserve">Risk Register Board</t>
  </si>
  <si>
    <t xml:space="preserve">Create/score/mitigate, owners</t>
  </si>
  <si>
    <t xml:space="preserve">Controls, tests, evidence mapping</t>
  </si>
  <si>
    <t xml:space="preserve">Control; EvidenceArtifact</t>
  </si>
  <si>
    <t xml:space="preserve">Plan audits, requests, evidence packs</t>
  </si>
  <si>
    <t xml:space="preserve">Remediation</t>
  </si>
  <si>
    <t xml:space="preserve">Findings &amp; Remediation</t>
  </si>
  <si>
    <t xml:space="preserve">Track findings, actions, SLAs</t>
  </si>
  <si>
    <t xml:space="preserve">Finding; Task</t>
  </si>
  <si>
    <t xml:space="preserve">Contracts</t>
  </si>
  <si>
    <t xml:space="preserve">Draft/review/approve, clause checks</t>
  </si>
  <si>
    <t xml:space="preserve">Contract; Clause</t>
  </si>
  <si>
    <t xml:space="preserve">Standard vs exception, approvals</t>
  </si>
  <si>
    <t xml:space="preserve">Clause</t>
  </si>
  <si>
    <t xml:space="preserve">Obligations</t>
  </si>
  <si>
    <t xml:space="preserve">Obligation Tracker</t>
  </si>
  <si>
    <t xml:space="preserve">Renewals, alerts, evidence</t>
  </si>
  <si>
    <t xml:space="preserve">Obligation; Document</t>
  </si>
  <si>
    <t xml:space="preserve">Service Ops</t>
  </si>
  <si>
    <t xml:space="preserve">Triage, runbooks, timeline</t>
  </si>
  <si>
    <t xml:space="preserve">Request Portal</t>
  </si>
  <si>
    <t xml:space="preserve">Submit/track requests</t>
  </si>
  <si>
    <t xml:space="preserve">ServiceRequest</t>
  </si>
  <si>
    <t xml:space="preserve">Change Calendar (CAB)</t>
  </si>
  <si>
    <t xml:space="preserve">Change approvals, blackout windows</t>
  </si>
  <si>
    <t xml:space="preserve">Change</t>
  </si>
  <si>
    <t xml:space="preserve">Assets</t>
  </si>
  <si>
    <t xml:space="preserve">CI relationships, impact</t>
  </si>
  <si>
    <t xml:space="preserve">CI</t>
  </si>
  <si>
    <t xml:space="preserve">Catalog</t>
  </si>
  <si>
    <t xml:space="preserve">Services, SLAs, request templates</t>
  </si>
  <si>
    <t xml:space="preserve">PV</t>
  </si>
  <si>
    <t xml:space="preserve">Case Intake Inbox</t>
  </si>
  <si>
    <t xml:space="preserve">Intake/triage, assign, due dates</t>
  </si>
  <si>
    <t xml:space="preserve">SafetyCase</t>
  </si>
  <si>
    <t xml:space="preserve">Narrative, events, seriousness, evidence</t>
  </si>
  <si>
    <t xml:space="preserve">SafetyCase; Document</t>
  </si>
  <si>
    <t xml:space="preserve">Coding Workbench</t>
  </si>
  <si>
    <t xml:space="preserve">MedDRA coding assist + review</t>
  </si>
  <si>
    <t xml:space="preserve">MedDRA; SafetyCase</t>
  </si>
  <si>
    <t xml:space="preserve">Submissions Hub</t>
  </si>
  <si>
    <t xml:space="preserve">Generate/submit, track status, evidence</t>
  </si>
  <si>
    <t xml:space="preserve">Submission; EvidenceArtifact</t>
  </si>
  <si>
    <t xml:space="preserve">Signal review workflow</t>
  </si>
  <si>
    <t xml:space="preserve">Signal</t>
  </si>
  <si>
    <t xml:space="preserve">QA checks, CAPA linkage</t>
  </si>
  <si>
    <t xml:space="preserve">Finding; CAPA</t>
  </si>
  <si>
    <t xml:space="preserve">RIM</t>
  </si>
  <si>
    <t xml:space="preserve">Dossier assembly, owners, evidence</t>
  </si>
  <si>
    <t xml:space="preserve">Dossier; Document</t>
  </si>
  <si>
    <t xml:space="preserve">Variations &amp; Renewals Tracker</t>
  </si>
  <si>
    <t xml:space="preserve">Change sets, timelines, approvals</t>
  </si>
  <si>
    <t xml:space="preserve">Variation</t>
  </si>
  <si>
    <t xml:space="preserve">Label versions, approvals, e-sign</t>
  </si>
  <si>
    <t xml:space="preserve">Label; Document</t>
  </si>
  <si>
    <t xml:space="preserve">Req diff, compliance view</t>
  </si>
  <si>
    <t xml:space="preserve">Requirement</t>
  </si>
  <si>
    <t xml:space="preserve">Clinical</t>
  </si>
  <si>
    <t xml:space="preserve">Studies, milestones, KPIs</t>
  </si>
  <si>
    <t xml:space="preserve">Study</t>
  </si>
  <si>
    <t xml:space="preserve">Setup, sites, docs, workflows</t>
  </si>
  <si>
    <t xml:space="preserve">Study; Site</t>
  </si>
  <si>
    <t xml:space="preserve">Site status, monitoring, issues</t>
  </si>
  <si>
    <t xml:space="preserve">Site</t>
  </si>
  <si>
    <t xml:space="preserve">Visits, findings, actions</t>
  </si>
  <si>
    <t xml:space="preserve">MonitoringFinding</t>
  </si>
  <si>
    <t xml:space="preserve">eTMF Completeness Dashboard</t>
  </si>
  <si>
    <t xml:space="preserve">Completeness, exceptions</t>
  </si>
  <si>
    <t xml:space="preserve">Bridge</t>
  </si>
  <si>
    <t xml:space="preserve">SAE Linkage Dashboard</t>
  </si>
  <si>
    <t xml:space="preserve">Clinical↔PV linkage view</t>
  </si>
  <si>
    <t xml:space="preserve">SAE; SafetyCase</t>
  </si>
  <si>
    <t xml:space="preserve">Integration health, event trace</t>
  </si>
  <si>
    <t xml:space="preserve">SerialEvent</t>
  </si>
  <si>
    <t xml:space="preserve">Verify, exceptions</t>
  </si>
  <si>
    <t xml:space="preserve">Verification</t>
  </si>
  <si>
    <t xml:space="preserve">EU FMD/DSCSA submissions, logs</t>
  </si>
  <si>
    <t xml:space="preserve">SubmissionLog</t>
  </si>
  <si>
    <t xml:space="preserve">Validation</t>
  </si>
  <si>
    <t xml:space="preserve">Plans/protocols, approvals</t>
  </si>
  <si>
    <t xml:space="preserve">ValidationPlan; Document</t>
  </si>
  <si>
    <t xml:space="preserve">IQ/OQ/PQ evidence structs</t>
  </si>
  <si>
    <t xml:space="preserve">QualificationEvidence</t>
  </si>
  <si>
    <t xml:space="preserve">Audit-ready reports, export</t>
  </si>
  <si>
    <t xml:space="preserve">ValidationReport; EvidenceArtifact</t>
  </si>
  <si>
    <t xml:space="preserve">General Ledger (GL) Overview</t>
  </si>
  <si>
    <t xml:space="preserve">KPI tiles, workload, exceptions snapshot</t>
  </si>
  <si>
    <t xml:space="preserve">Journal, Account, Ledger, Period, Posting</t>
  </si>
  <si>
    <t xml:space="preserve">General Ledger (GL) Work Queue / Inbox</t>
  </si>
  <si>
    <t xml:space="preserve">Assigned items, approvals, exceptions, SLA view</t>
  </si>
  <si>
    <t xml:space="preserve">Transactions</t>
  </si>
  <si>
    <t xml:space="preserve">General Ledger (GL) Transaction List</t>
  </si>
  <si>
    <t xml:space="preserve">Search/filter transactions, batch actions</t>
  </si>
  <si>
    <t xml:space="preserve">General Ledger (GL) Transaction Detail</t>
  </si>
  <si>
    <t xml:space="preserve">View lifecycle, postings, attachments</t>
  </si>
  <si>
    <t xml:space="preserve">General Ledger (GL) Approval Inbox</t>
  </si>
  <si>
    <t xml:space="preserve">Approve/reject, delegate, add evidence</t>
  </si>
  <si>
    <t xml:space="preserve">General Ledger (GL) Exceptions Queue</t>
  </si>
  <si>
    <t xml:space="preserve">Triage, assign, resolve, rerun</t>
  </si>
  <si>
    <t xml:space="preserve">General Ledger (GL) Trace Viewer</t>
  </si>
  <si>
    <t xml:space="preserve">End-to-end trace, correlation IDs</t>
  </si>
  <si>
    <t xml:space="preserve">General Ledger (GL) Integration Cockpit</t>
  </si>
  <si>
    <t xml:space="preserve">Contract status, connector health, retries</t>
  </si>
  <si>
    <t xml:space="preserve">General Ledger (GL) Evidence Pack</t>
  </si>
  <si>
    <t xml:space="preserve">Generate/export evidence pack</t>
  </si>
  <si>
    <t xml:space="preserve">General Ledger (GL) Reports &amp; Analytics</t>
  </si>
  <si>
    <t xml:space="preserve">Standard reports, exports, drilldowns</t>
  </si>
  <si>
    <t xml:space="preserve">General Ledger (GL) Configuration</t>
  </si>
  <si>
    <t xml:space="preserve">Templates, mappings, reference data</t>
  </si>
  <si>
    <t xml:space="preserve">Accounts Payable (AP) Overview</t>
  </si>
  <si>
    <t xml:space="preserve">Invoice, Vendor, Payment, Approval</t>
  </si>
  <si>
    <t xml:space="preserve">Accounts Payable (AP) Work Queue / Inbox</t>
  </si>
  <si>
    <t xml:space="preserve">Accounts Payable (AP) Transaction List</t>
  </si>
  <si>
    <t xml:space="preserve">Accounts Payable (AP) Transaction Detail</t>
  </si>
  <si>
    <t xml:space="preserve">Accounts Payable (AP) Approval Inbox</t>
  </si>
  <si>
    <t xml:space="preserve">Accounts Payable (AP) Exceptions Queue</t>
  </si>
  <si>
    <t xml:space="preserve">Accounts Payable (AP) Trace Viewer</t>
  </si>
  <si>
    <t xml:space="preserve">Accounts Payable (AP) Integration Cockpit</t>
  </si>
  <si>
    <t xml:space="preserve">Accounts Payable (AP) Evidence Pack</t>
  </si>
  <si>
    <t xml:space="preserve">Accounts Payable (AP) Reports &amp; Analytics</t>
  </si>
  <si>
    <t xml:space="preserve">Accounts Payable (AP) Configuration</t>
  </si>
  <si>
    <t xml:space="preserve">Accounts Receivable (AR) Overview</t>
  </si>
  <si>
    <t xml:space="preserve">Invoice, Customer, Receipt, Dispute</t>
  </si>
  <si>
    <t xml:space="preserve">Accounts Receivable (AR) Work Queue / Inbox</t>
  </si>
  <si>
    <t xml:space="preserve">Accounts Receivable (AR) Transaction List</t>
  </si>
  <si>
    <t xml:space="preserve">Accounts Receivable (AR) Transaction Detail</t>
  </si>
  <si>
    <t xml:space="preserve">Accounts Receivable (AR) Approval Inbox</t>
  </si>
  <si>
    <t xml:space="preserve">Accounts Receivable (AR) Exceptions Queue</t>
  </si>
  <si>
    <t xml:space="preserve">Accounts Receivable (AR) Trace Viewer</t>
  </si>
  <si>
    <t xml:space="preserve">Accounts Receivable (AR) Integration Cockpit</t>
  </si>
  <si>
    <t xml:space="preserve">Accounts Receivable (AR) Evidence Pack</t>
  </si>
  <si>
    <t xml:space="preserve">Accounts Receivable (AR) Reports &amp; Analytics</t>
  </si>
  <si>
    <t xml:space="preserve">Accounts Receivable (AR) Configuration</t>
  </si>
  <si>
    <t xml:space="preserve">Bank Reconciliation Overview</t>
  </si>
  <si>
    <t xml:space="preserve">Bank Statement, Match, Exception</t>
  </si>
  <si>
    <t xml:space="preserve">Bank Reconciliation Work Queue / Inbox</t>
  </si>
  <si>
    <t xml:space="preserve">Bank Reconciliation Transaction List</t>
  </si>
  <si>
    <t xml:space="preserve">Bank Reconciliation Transaction Detail</t>
  </si>
  <si>
    <t xml:space="preserve">Bank Reconciliation Approval Inbox</t>
  </si>
  <si>
    <t xml:space="preserve">Bank Reconciliation Exceptions Queue</t>
  </si>
  <si>
    <t xml:space="preserve">Bank Reconciliation Trace Viewer</t>
  </si>
  <si>
    <t xml:space="preserve">Bank Reconciliation Integration Cockpit</t>
  </si>
  <si>
    <t xml:space="preserve">Bank Reconciliation Evidence Pack</t>
  </si>
  <si>
    <t xml:space="preserve">Bank Reconciliation Reports &amp; Analytics</t>
  </si>
  <si>
    <t xml:space="preserve">Bank Reconciliation Configuration</t>
  </si>
  <si>
    <t xml:space="preserve">Period Close &amp; Consolidation Overview</t>
  </si>
  <si>
    <t xml:space="preserve">Close Task, Checklist, Evidence</t>
  </si>
  <si>
    <t xml:space="preserve">Period Close &amp; Consolidation Work Queue / Inbox</t>
  </si>
  <si>
    <t xml:space="preserve">Period Close &amp; Consolidation Transaction List</t>
  </si>
  <si>
    <t xml:space="preserve">Period Close &amp; Consolidation Transaction Detail</t>
  </si>
  <si>
    <t xml:space="preserve">Period Close &amp; Consolidation Approval Inbox</t>
  </si>
  <si>
    <t xml:space="preserve">Period Close &amp; Consolidation Exceptions Queue</t>
  </si>
  <si>
    <t xml:space="preserve">Period Close &amp; Consolidation Trace Viewer</t>
  </si>
  <si>
    <t xml:space="preserve">Period Close &amp; Consolidation Integration Cockpit</t>
  </si>
  <si>
    <t xml:space="preserve">Period Close &amp; Consolidation Evidence Pack</t>
  </si>
  <si>
    <t xml:space="preserve">Period Close &amp; Consolidation Reports &amp; Analytics</t>
  </si>
  <si>
    <t xml:space="preserve">Period Close &amp; Consolidation Configuration</t>
  </si>
  <si>
    <t xml:space="preserve">Intercompany Accounting Overview</t>
  </si>
  <si>
    <t xml:space="preserve">Intercompany</t>
  </si>
  <si>
    <t xml:space="preserve">Intercompany Accounting Work Queue / Inbox</t>
  </si>
  <si>
    <t xml:space="preserve">Intercompany Accounting Transaction List</t>
  </si>
  <si>
    <t xml:space="preserve">Intercompany Accounting Transaction Detail</t>
  </si>
  <si>
    <t xml:space="preserve">Intercompany Accounting Approval Inbox</t>
  </si>
  <si>
    <t xml:space="preserve">Intercompany Accounting Exceptions Queue</t>
  </si>
  <si>
    <t xml:space="preserve">Intercompany Accounting Trace Viewer</t>
  </si>
  <si>
    <t xml:space="preserve">Intercompany Accounting Integration Cockpit</t>
  </si>
  <si>
    <t xml:space="preserve">Intercompany Accounting Evidence Pack</t>
  </si>
  <si>
    <t xml:space="preserve">Intercompany Accounting Reports &amp; Analytics</t>
  </si>
  <si>
    <t xml:space="preserve">Intercompany Accounting Configuration</t>
  </si>
  <si>
    <t xml:space="preserve">Travel &amp; Expense (T&amp;E) Overview</t>
  </si>
  <si>
    <t xml:space="preserve">Travel</t>
  </si>
  <si>
    <t xml:space="preserve">Travel &amp; Expense (T&amp;E) Work Queue / Inbox</t>
  </si>
  <si>
    <t xml:space="preserve">Travel &amp; Expense (T&amp;E) Transaction List</t>
  </si>
  <si>
    <t xml:space="preserve">Travel &amp; Expense (T&amp;E) Transaction Detail</t>
  </si>
  <si>
    <t xml:space="preserve">Travel &amp; Expense (T&amp;E) Approval Inbox</t>
  </si>
  <si>
    <t xml:space="preserve">Travel &amp; Expense (T&amp;E) Exceptions Queue</t>
  </si>
  <si>
    <t xml:space="preserve">Travel &amp; Expense (T&amp;E) Trace Viewer</t>
  </si>
  <si>
    <t xml:space="preserve">Travel &amp; Expense (T&amp;E) Integration Cockpit</t>
  </si>
  <si>
    <t xml:space="preserve">Travel &amp; Expense (T&amp;E) Evidence Pack</t>
  </si>
  <si>
    <t xml:space="preserve">Travel &amp; Expense (T&amp;E) Reports &amp; Analytics</t>
  </si>
  <si>
    <t xml:space="preserve">Travel &amp; Expense (T&amp;E) Configuration</t>
  </si>
  <si>
    <t xml:space="preserve">BOM &amp; Routings Overview</t>
  </si>
  <si>
    <t xml:space="preserve">BOM</t>
  </si>
  <si>
    <t xml:space="preserve">BOM &amp; Routings Work Queue / Inbox</t>
  </si>
  <si>
    <t xml:space="preserve">BOM &amp; Routings List</t>
  </si>
  <si>
    <t xml:space="preserve">Search/filter, bulk actions</t>
  </si>
  <si>
    <t xml:space="preserve">BOM &amp; Routings Detail</t>
  </si>
  <si>
    <t xml:space="preserve">View record, workflow, attachments</t>
  </si>
  <si>
    <t xml:space="preserve">BOM &amp; Routings Reports</t>
  </si>
  <si>
    <t xml:space="preserve">Exports and dashboards</t>
  </si>
  <si>
    <t xml:space="preserve">BOM &amp; Routings Admin</t>
  </si>
  <si>
    <t xml:space="preserve">Templates, permissions</t>
  </si>
  <si>
    <t xml:space="preserve">Work Orders Overview</t>
  </si>
  <si>
    <t xml:space="preserve">Work Orders Work Queue / Inbox</t>
  </si>
  <si>
    <t xml:space="preserve">Work Orders List</t>
  </si>
  <si>
    <t xml:space="preserve">Work Orders Detail</t>
  </si>
  <si>
    <t xml:space="preserve">Work Orders Reports</t>
  </si>
  <si>
    <t xml:space="preserve">Work Orders Admin</t>
  </si>
  <si>
    <t xml:space="preserve">Batch Execution / eBR Overview</t>
  </si>
  <si>
    <t xml:space="preserve">Batch</t>
  </si>
  <si>
    <t xml:space="preserve">Batch Execution / eBR Work Queue / Inbox</t>
  </si>
  <si>
    <t xml:space="preserve">Batch Execution / eBR List</t>
  </si>
  <si>
    <t xml:space="preserve">Batch Execution / eBR Detail</t>
  </si>
  <si>
    <t xml:space="preserve">Batch Execution / eBR Reports</t>
  </si>
  <si>
    <t xml:space="preserve">Batch Execution / eBR Admin</t>
  </si>
  <si>
    <t xml:space="preserve">OEE &amp; Downtime Tracking Overview</t>
  </si>
  <si>
    <t xml:space="preserve">OEE</t>
  </si>
  <si>
    <t xml:space="preserve">OEE &amp; Downtime Tracking Work Queue / Inbox</t>
  </si>
  <si>
    <t xml:space="preserve">OEE &amp; Downtime Tracking List</t>
  </si>
  <si>
    <t xml:space="preserve">OEE &amp; Downtime Tracking Detail</t>
  </si>
  <si>
    <t xml:space="preserve">OEE &amp; Downtime Tracking Reports</t>
  </si>
  <si>
    <t xml:space="preserve">OEE &amp; Downtime Tracking Admin</t>
  </si>
  <si>
    <t xml:space="preserve">Co-Manufacturer Management Overview</t>
  </si>
  <si>
    <t xml:space="preserve">Co-Manufacturer</t>
  </si>
  <si>
    <t xml:space="preserve">Co-Manufacturer Management Work Queue / Inbox</t>
  </si>
  <si>
    <t xml:space="preserve">Co-Manufacturer Management List</t>
  </si>
  <si>
    <t xml:space="preserve">Co-Manufacturer Management Detail</t>
  </si>
  <si>
    <t xml:space="preserve">Co-Manufacturer Management Reports</t>
  </si>
  <si>
    <t xml:space="preserve">Co-Manufacturer Management Admin</t>
  </si>
  <si>
    <t xml:space="preserve">Preventive Maintenance Overview</t>
  </si>
  <si>
    <t xml:space="preserve">Preventive</t>
  </si>
  <si>
    <t xml:space="preserve">Preventive Maintenance Work Queue / Inbox</t>
  </si>
  <si>
    <t xml:space="preserve">Preventive Maintenance List</t>
  </si>
  <si>
    <t xml:space="preserve">Preventive Maintenance Detail</t>
  </si>
  <si>
    <t xml:space="preserve">Preventive Maintenance Reports</t>
  </si>
  <si>
    <t xml:space="preserve">Preventive Maintenance Admin</t>
  </si>
  <si>
    <t xml:space="preserve">Calibration Management Overview</t>
  </si>
  <si>
    <t xml:space="preserve">Calibration</t>
  </si>
  <si>
    <t xml:space="preserve">Calibration Management Work Queue / Inbox</t>
  </si>
  <si>
    <t xml:space="preserve">Calibration Management List</t>
  </si>
  <si>
    <t xml:space="preserve">Calibration Management Detail</t>
  </si>
  <si>
    <t xml:space="preserve">Calibration Management Reports</t>
  </si>
  <si>
    <t xml:space="preserve">Calibration Management Admin</t>
  </si>
  <si>
    <t xml:space="preserve">Spare Parts Management Overview</t>
  </si>
  <si>
    <t xml:space="preserve">Spare</t>
  </si>
  <si>
    <t xml:space="preserve">Spare Parts Management Work Queue / Inbox</t>
  </si>
  <si>
    <t xml:space="preserve">Spare Parts Management List</t>
  </si>
  <si>
    <t xml:space="preserve">Spare Parts Management Detail</t>
  </si>
  <si>
    <t xml:space="preserve">Spare Parts Management Reports</t>
  </si>
  <si>
    <t xml:space="preserve">Spare Parts Management Admin</t>
  </si>
  <si>
    <t xml:space="preserve">Sample Management Overview</t>
  </si>
  <si>
    <t xml:space="preserve">Sample</t>
  </si>
  <si>
    <t xml:space="preserve">Sample Management Work Queue / Inbox</t>
  </si>
  <si>
    <t xml:space="preserve">Sample Management List</t>
  </si>
  <si>
    <t xml:space="preserve">Sample Management Detail</t>
  </si>
  <si>
    <t xml:space="preserve">Sample Management Reports</t>
  </si>
  <si>
    <t xml:space="preserve">Sample Management Admin</t>
  </si>
  <si>
    <t xml:space="preserve">Test Results &amp; CoA Overview</t>
  </si>
  <si>
    <t xml:space="preserve">Test</t>
  </si>
  <si>
    <t xml:space="preserve">Test Results &amp; CoA Work Queue / Inbox</t>
  </si>
  <si>
    <t xml:space="preserve">Test Results &amp; CoA List</t>
  </si>
  <si>
    <t xml:space="preserve">Test Results &amp; CoA Detail</t>
  </si>
  <si>
    <t xml:space="preserve">Test Results &amp; CoA Reports</t>
  </si>
  <si>
    <t xml:space="preserve">Test Results &amp; CoA Admin</t>
  </si>
  <si>
    <t xml:space="preserve">Stability Studies Overview</t>
  </si>
  <si>
    <t xml:space="preserve">Stability</t>
  </si>
  <si>
    <t xml:space="preserve">Stability Studies Work Queue / Inbox</t>
  </si>
  <si>
    <t xml:space="preserve">Stability Studies List</t>
  </si>
  <si>
    <t xml:space="preserve">Stability Studies Detail</t>
  </si>
  <si>
    <t xml:space="preserve">Stability Studies Reports</t>
  </si>
  <si>
    <t xml:space="preserve">Stability Studies Admin</t>
  </si>
  <si>
    <t xml:space="preserve">Trend Analysis Overview</t>
  </si>
  <si>
    <t xml:space="preserve">Trend</t>
  </si>
  <si>
    <t xml:space="preserve">Trend Analysis Work Queue / Inbox</t>
  </si>
  <si>
    <t xml:space="preserve">Trend Analysis List</t>
  </si>
  <si>
    <t xml:space="preserve">Trend Analysis Detail</t>
  </si>
  <si>
    <t xml:space="preserve">Trend Analysis Reports</t>
  </si>
  <si>
    <t xml:space="preserve">Trend Analysis Admin</t>
  </si>
  <si>
    <t xml:space="preserve">Third-Party Risk Management (TPRM) Overview</t>
  </si>
  <si>
    <t xml:space="preserve">Third-Party</t>
  </si>
  <si>
    <t xml:space="preserve">Third-Party Risk Management (TPRM) Work Queue / Inbox</t>
  </si>
  <si>
    <t xml:space="preserve">Library</t>
  </si>
  <si>
    <t xml:space="preserve">Third-Party Risk Management (TPRM) Library</t>
  </si>
  <si>
    <t xml:space="preserve">Search, versioning, lifecycle</t>
  </si>
  <si>
    <t xml:space="preserve">Third-Party Risk Management (TPRM) Reviews &amp; Approvals</t>
  </si>
  <si>
    <t xml:space="preserve">Review queue, attestations, sign-offs</t>
  </si>
  <si>
    <t xml:space="preserve">Mappings</t>
  </si>
  <si>
    <t xml:space="preserve">Third-Party Risk Management (TPRM) Mapping &amp; Linkage</t>
  </si>
  <si>
    <t xml:space="preserve">Control↔evidence / clause↔policy mapping</t>
  </si>
  <si>
    <t xml:space="preserve">Third-Party Risk Management (TPRM) Evidence Pack</t>
  </si>
  <si>
    <t xml:space="preserve">Evidence export, audit trail</t>
  </si>
  <si>
    <t xml:space="preserve">Third-Party Risk Management (TPRM) Dashboards</t>
  </si>
  <si>
    <t xml:space="preserve">Coverage, risk posture, exceptions</t>
  </si>
  <si>
    <t xml:space="preserve">Third-Party Risk Management (TPRM) Admin</t>
  </si>
  <si>
    <t xml:space="preserve">Templates, roles, retention</t>
  </si>
  <si>
    <t xml:space="preserve">Control ↔ Evidence Mapping Overview</t>
  </si>
  <si>
    <t xml:space="preserve">Control ↔ Evidence Mapping Work Queue / Inbox</t>
  </si>
  <si>
    <t xml:space="preserve">Control ↔ Evidence Mapping List</t>
  </si>
  <si>
    <t xml:space="preserve">Control ↔ Evidence Mapping Detail</t>
  </si>
  <si>
    <t xml:space="preserve">Control ↔ Evidence Mapping Reports</t>
  </si>
  <si>
    <t xml:space="preserve">Control ↔ Evidence Mapping Admin</t>
  </si>
  <si>
    <t xml:space="preserve">Automated Evidence Collection Overview</t>
  </si>
  <si>
    <t xml:space="preserve">Automated</t>
  </si>
  <si>
    <t xml:space="preserve">Automated Evidence Collection Work Queue / Inbox</t>
  </si>
  <si>
    <t xml:space="preserve">Automated Evidence Collection List</t>
  </si>
  <si>
    <t xml:space="preserve">Automated Evidence Collection Detail</t>
  </si>
  <si>
    <t xml:space="preserve">Automated Evidence Collection Reports</t>
  </si>
  <si>
    <t xml:space="preserve">Automated Evidence Collection Admin</t>
  </si>
  <si>
    <t xml:space="preserve">Audit Pack Generator Overview</t>
  </si>
  <si>
    <t xml:space="preserve">Audit Pack Generator Work Queue / Inbox</t>
  </si>
  <si>
    <t xml:space="preserve">Audit Pack Generator List</t>
  </si>
  <si>
    <t xml:space="preserve">Audit Pack Generator Detail</t>
  </si>
  <si>
    <t xml:space="preserve">Audit Pack Generator Reports</t>
  </si>
  <si>
    <t xml:space="preserve">Audit Pack Generator Admin</t>
  </si>
  <si>
    <t xml:space="preserve">Case Intake &amp; Triage Overview</t>
  </si>
  <si>
    <t xml:space="preserve">PV Case, Reporter, Event, Product</t>
  </si>
  <si>
    <t xml:space="preserve">Case Intake &amp; Triage Work Queue / Inbox</t>
  </si>
  <si>
    <t xml:space="preserve">Case Intake &amp; Triage Intake</t>
  </si>
  <si>
    <t xml:space="preserve">Structured capture, validations, attachments</t>
  </si>
  <si>
    <t xml:space="preserve">Processing</t>
  </si>
  <si>
    <t xml:space="preserve">Case Intake &amp; Triage Processing Console</t>
  </si>
  <si>
    <t xml:space="preserve">Workflow steps, checklists, approvals</t>
  </si>
  <si>
    <t xml:space="preserve">Case Intake &amp; Triage Exceptions Queue</t>
  </si>
  <si>
    <t xml:space="preserve">Missing data, holds, escalations</t>
  </si>
  <si>
    <t xml:space="preserve">Submissions</t>
  </si>
  <si>
    <t xml:space="preserve">Case Intake &amp; Triage Submission/Export Center</t>
  </si>
  <si>
    <t xml:space="preserve">Generate packs, submit, track</t>
  </si>
  <si>
    <t xml:space="preserve">Case Intake &amp; Triage Evidence Pack</t>
  </si>
  <si>
    <t xml:space="preserve">Inspection-ready evidence</t>
  </si>
  <si>
    <t xml:space="preserve">Case Intake &amp; Triage Compliance Dashboards</t>
  </si>
  <si>
    <t xml:space="preserve">Timeliness, quality, signals</t>
  </si>
  <si>
    <t xml:space="preserve">Case Intake &amp; Triage Admin</t>
  </si>
  <si>
    <t xml:space="preserve">Dictionaries, taxonomies, rules</t>
  </si>
  <si>
    <t xml:space="preserve">Partner &amp; Alliance Management Overview</t>
  </si>
  <si>
    <t xml:space="preserve">Partner &amp; Alliance Management Work Queue / Inbox</t>
  </si>
  <si>
    <t xml:space="preserve">Pipeline</t>
  </si>
  <si>
    <t xml:space="preserve">Partner &amp; Alliance Management Pipeline Board</t>
  </si>
  <si>
    <t xml:space="preserve">Stages, scoring, next-best-actions</t>
  </si>
  <si>
    <t xml:space="preserve">Accounts</t>
  </si>
  <si>
    <t xml:space="preserve">Partner &amp; Alliance Management Account/Customer View</t>
  </si>
  <si>
    <t xml:space="preserve">360 view, hierarchy, interactions</t>
  </si>
  <si>
    <t xml:space="preserve">Activities</t>
  </si>
  <si>
    <t xml:space="preserve">Partner &amp; Alliance Management Activities &amp; Tasks</t>
  </si>
  <si>
    <t xml:space="preserve">Calls/meetings, follow-ups, assignments</t>
  </si>
  <si>
    <t xml:space="preserve">Partner &amp; Alliance Management Approval Inbox</t>
  </si>
  <si>
    <t xml:space="preserve">Discount/quote/terms approvals</t>
  </si>
  <si>
    <t xml:space="preserve">Partner &amp; Alliance Management SLA &amp; Escalations</t>
  </si>
  <si>
    <t xml:space="preserve">SLA breaches, escalations, runbooks</t>
  </si>
  <si>
    <t xml:space="preserve">Partner &amp; Alliance Management Integration Cockpit</t>
  </si>
  <si>
    <t xml:space="preserve">CRM/CPQ/ERP sync health, retries</t>
  </si>
  <si>
    <t xml:space="preserve">Partner &amp; Alliance Management Dashboards</t>
  </si>
  <si>
    <t xml:space="preserve">Performance KPIs, conversion, CSAT</t>
  </si>
  <si>
    <t xml:space="preserve">Partner &amp; Alliance Management Admin</t>
  </si>
  <si>
    <t xml:space="preserve">Routing rules, templates, permissions</t>
  </si>
  <si>
    <t xml:space="preserve">Pursuit &amp; Proposal Management (RFP/RFI) Overview</t>
  </si>
  <si>
    <t xml:space="preserve">Pursuit</t>
  </si>
  <si>
    <t xml:space="preserve">Pursuit &amp; Proposal Management (RFP/RFI) Work Queue / Inbox</t>
  </si>
  <si>
    <t xml:space="preserve">Pursuit &amp; Proposal Management (RFP/RFI) Pipeline Board</t>
  </si>
  <si>
    <t xml:space="preserve">Pursuit &amp; Proposal Management (RFP/RFI) Account/Customer View</t>
  </si>
  <si>
    <t xml:space="preserve">Pursuit &amp; Proposal Management (RFP/RFI) Activities &amp; Tasks</t>
  </si>
  <si>
    <t xml:space="preserve">Pursuit &amp; Proposal Management (RFP/RFI) Approval Inbox</t>
  </si>
  <si>
    <t xml:space="preserve">Pursuit &amp; Proposal Management (RFP/RFI) SLA &amp; Escalations</t>
  </si>
  <si>
    <t xml:space="preserve">Pursuit &amp; Proposal Management (RFP/RFI) Integration Cockpit</t>
  </si>
  <si>
    <t xml:space="preserve">Pursuit &amp; Proposal Management (RFP/RFI) Dashboards</t>
  </si>
  <si>
    <t xml:space="preserve">Pursuit &amp; Proposal Management (RFP/RFI) Admin</t>
  </si>
  <si>
    <t xml:space="preserve">Deal Desk &amp; Commercial Approvals Overview</t>
  </si>
  <si>
    <t xml:space="preserve">Deal</t>
  </si>
  <si>
    <t xml:space="preserve">Deal Desk &amp; Commercial Approvals Work Queue / Inbox</t>
  </si>
  <si>
    <t xml:space="preserve">Deal Desk &amp; Commercial Approvals Pipeline Board</t>
  </si>
  <si>
    <t xml:space="preserve">Deal Desk &amp; Commercial Approvals Account/Customer View</t>
  </si>
  <si>
    <t xml:space="preserve">Deal Desk &amp; Commercial Approvals Activities &amp; Tasks</t>
  </si>
  <si>
    <t xml:space="preserve">Deal Desk &amp; Commercial Approvals Approval Inbox</t>
  </si>
  <si>
    <t xml:space="preserve">Deal Desk &amp; Commercial Approvals SLA &amp; Escalations</t>
  </si>
  <si>
    <t xml:space="preserve">Deal Desk &amp; Commercial Approvals Integration Cockpit</t>
  </si>
  <si>
    <t xml:space="preserve">Deal Desk &amp; Commercial Approvals Dashboards</t>
  </si>
  <si>
    <t xml:space="preserve">Deal Desk &amp; Commercial Approvals Admin</t>
  </si>
  <si>
    <t xml:space="preserve">Core Operations</t>
  </si>
  <si>
    <t xml:space="preserve">Search &amp; Filter</t>
  </si>
  <si>
    <t xml:space="preserve">Global search, advanced filters, saved views</t>
  </si>
  <si>
    <t xml:space="preserve">Account/Lead/Opportunity/Case</t>
  </si>
  <si>
    <t xml:space="preserve">CRM detailed page set</t>
  </si>
  <si>
    <t xml:space="preserve">Create / Edit Wizard</t>
  </si>
  <si>
    <t xml:space="preserve">Create/edit records with validation and required fields</t>
  </si>
  <si>
    <t xml:space="preserve">Primary CRM object</t>
  </si>
  <si>
    <t xml:space="preserve">Activity Timeline</t>
  </si>
  <si>
    <t xml:space="preserve">View timeline of events, tasks, notes, emails</t>
  </si>
  <si>
    <t xml:space="preserve">Data &amp; Dedupe</t>
  </si>
  <si>
    <t xml:space="preserve">Duplicates &amp; Merge</t>
  </si>
  <si>
    <t xml:space="preserve">Detect duplicates, merge records, conflict resolution</t>
  </si>
  <si>
    <t xml:space="preserve">Duplicates</t>
  </si>
  <si>
    <t xml:space="preserve">View approval chain, SLA, escalations, decisions</t>
  </si>
  <si>
    <t xml:space="preserve">Sync Mapping (Fields)</t>
  </si>
  <si>
    <t xml:space="preserve">Field mapping and transformation rules</t>
  </si>
  <si>
    <t xml:space="preserve">Field mappings</t>
  </si>
  <si>
    <t xml:space="preserve">Sync Exceptions</t>
  </si>
  <si>
    <t xml:space="preserve">Review sync failures, retry, suppress, escalate</t>
  </si>
  <si>
    <t xml:space="preserve">Sync exceptions</t>
  </si>
  <si>
    <t xml:space="preserve">Standard Reports</t>
  </si>
  <si>
    <t xml:space="preserve">Module-specific reports, export, schedule</t>
  </si>
  <si>
    <t xml:space="preserve">Reports</t>
  </si>
  <si>
    <t xml:space="preserve">AI Triage &amp; Suggestions</t>
  </si>
  <si>
    <t xml:space="preserve">AI suggested routing, next actions, summaries (HITL where needed)</t>
  </si>
  <si>
    <t xml:space="preserve">AI suggestions</t>
  </si>
  <si>
    <t xml:space="preserve">Access &amp; Data Policies</t>
  </si>
  <si>
    <t xml:space="preserve">View RBAC, masking, consent impacts for this module</t>
  </si>
  <si>
    <t xml:space="preserve">Integration Overview</t>
  </si>
  <si>
    <t xml:space="preserve">View integration patterns, endpoints, owners</t>
  </si>
  <si>
    <t xml:space="preserve">Employee; Product; Contracts; Events</t>
  </si>
  <si>
    <t xml:space="preserve">Console</t>
  </si>
  <si>
    <t xml:space="preserve">Baseline for external integration governance</t>
  </si>
  <si>
    <t xml:space="preserve">Contracts &amp; Events</t>
  </si>
  <si>
    <t xml:space="preserve">Review required contracts, bundles, and event streams</t>
  </si>
  <si>
    <t xml:space="preserve">Contracts; Events; Canonical IDs</t>
  </si>
  <si>
    <t xml:space="preserve">Evidence for contract compliance</t>
  </si>
  <si>
    <t xml:space="preserve">Monitoring &amp; SLAs</t>
  </si>
  <si>
    <t xml:space="preserve">Monitor uptime, latency, failures, and SLO adherence</t>
  </si>
  <si>
    <t xml:space="preserve">SLO; Incidents; Metrics</t>
  </si>
  <si>
    <t xml:space="preserve">SLO and incident linkage</t>
  </si>
  <si>
    <t xml:space="preserve">Access &amp; Audit</t>
  </si>
  <si>
    <t xml:space="preserve">Review access posture and audit trail coverage</t>
  </si>
  <si>
    <t xml:space="preserve">Access; AuditEvent</t>
  </si>
  <si>
    <t xml:space="preserve">Auditability for external system interactions</t>
  </si>
  <si>
    <t xml:space="preserve">Navigation Admin Console</t>
  </si>
  <si>
    <t xml:space="preserve">Manage menu structure, status, hierarchy, publishing, and governance actions</t>
  </si>
  <si>
    <t xml:space="preserve">Central admin workspace for governed menu/navigation.</t>
  </si>
  <si>
    <t xml:space="preserve">Menu Tree Builder</t>
  </si>
  <si>
    <t xml:space="preserve">Create, edit, reorder, enable/disable sidebar/top-nav/app-launcher nodes</t>
  </si>
  <si>
    <t xml:space="preserve">MenuItem; MenuGroup; MenuTreeVersion</t>
  </si>
  <si>
    <t xml:space="preserve">Supports draft changes and published immutable navigation versions.</t>
  </si>
  <si>
    <t xml:space="preserve">Route Binding Console</t>
  </si>
  <si>
    <t xml:space="preserve">Bind menu items to module/page route metadata and validate route health</t>
  </si>
  <si>
    <t xml:space="preserve">RouteBinding; MenuItem</t>
  </si>
  <si>
    <t xml:space="preserve">Consumes MOD-0014 module/page metadata and owning module route declarations.</t>
  </si>
  <si>
    <t xml:space="preserve">Navigation Version Review</t>
  </si>
  <si>
    <t xml:space="preserve">Compare draft vs published navigation and submit/approve/publish changes</t>
  </si>
  <si>
    <t xml:space="preserve">MenuTreeVersion; MenuChangeRequest</t>
  </si>
  <si>
    <t xml:space="preserve">Uses MOD-0023 workflow and MOD-0021 audit for governed publishing.</t>
  </si>
  <si>
    <t xml:space="preserve">Preview</t>
  </si>
  <si>
    <t xml:space="preserve">Runtime Menu Preview</t>
  </si>
  <si>
    <t xml:space="preserve">Simulate user/role/tenant navigation visibility and hidden reasons</t>
  </si>
  <si>
    <t xml:space="preserve">MenuVisibilityRule; RouteBinding</t>
  </si>
  <si>
    <t xml:space="preserve">Consumes MOD-0018 RBAC and optional MOD-0011 feature flags.</t>
  </si>
  <si>
    <t xml:space="preserve">Design System Console</t>
  </si>
  <si>
    <t xml:space="preserve">Added during module gap closure update.</t>
  </si>
  <si>
    <t xml:space="preserve">Page Pattern Registry</t>
  </si>
  <si>
    <t xml:space="preserve">Wizard Pattern Governance</t>
  </si>
  <si>
    <t xml:space="preserve">Component Standard Detail</t>
  </si>
  <si>
    <t xml:space="preserve">UI Compliance Checklist</t>
  </si>
  <si>
    <t xml:space="preserve">Preferences Center</t>
  </si>
  <si>
    <t xml:space="preserve">Favorites &amp; Pinned Menu Manager</t>
  </si>
  <si>
    <t xml:space="preserve">Recent Workspace</t>
  </si>
  <si>
    <t xml:space="preserve">Default Landing Page Setup</t>
  </si>
  <si>
    <t xml:space="preserve">User Workspace Preview</t>
  </si>
  <si>
    <t xml:space="preserve">Organization Directory</t>
  </si>
  <si>
    <t xml:space="preserve">Person Directory</t>
  </si>
  <si>
    <t xml:space="preserve">Position Directory</t>
  </si>
  <si>
    <t xml:space="preserve">Delegation &amp; Assignment Matrix</t>
  </si>
  <si>
    <t xml:space="preserve">Org Binding Sync Monitor</t>
  </si>
  <si>
    <t xml:space="preserve">Bank Master</t>
  </si>
  <si>
    <t xml:space="preserve">Bank Detail</t>
  </si>
  <si>
    <t xml:space="preserve">Legal Entity Bank Account Registry</t>
  </si>
  <si>
    <t xml:space="preserve">Supplier Bank Account Registry</t>
  </si>
  <si>
    <t xml:space="preserve">Account Validation Review</t>
  </si>
  <si>
    <t xml:space="preserve">Account Change Approval</t>
  </si>
  <si>
    <t xml:space="preserve">Product Master List</t>
  </si>
  <si>
    <t xml:space="preserve">Product/Item Detail</t>
  </si>
  <si>
    <t xml:space="preserve">SKU Management</t>
  </si>
  <si>
    <t xml:space="preserve">UoM &amp; Identifier Mapping</t>
  </si>
  <si>
    <t xml:space="preserve">Product Lifecycle Review</t>
  </si>
  <si>
    <t xml:space="preserve">Financial Dimension Registry</t>
  </si>
  <si>
    <t xml:space="preserve">Cost Center Registry</t>
  </si>
  <si>
    <t xml:space="preserve">Profit Center Registry</t>
  </si>
  <si>
    <t xml:space="preserve">Cost Object Detail</t>
  </si>
  <si>
    <t xml:space="preserve">Dimension Set Governance</t>
  </si>
  <si>
    <t xml:space="preserve">Agent Registry Console</t>
  </si>
  <si>
    <t xml:space="preserve">Added during agent operations module update.</t>
  </si>
  <si>
    <t xml:space="preserve">Agent Definition Detail</t>
  </si>
  <si>
    <t xml:space="preserve">Agent Version Timeline</t>
  </si>
  <si>
    <t xml:space="preserve">Owner/Risk Classification Manager</t>
  </si>
  <si>
    <t xml:space="preserve">Deployment State Manager</t>
  </si>
  <si>
    <t xml:space="preserve">Agent Run Queue</t>
  </si>
  <si>
    <t xml:space="preserve">Agent Run Detail</t>
  </si>
  <si>
    <t xml:space="preserve">Execution Trace Viewer</t>
  </si>
  <si>
    <t xml:space="preserve">Approval Checkpoint Monitor</t>
  </si>
  <si>
    <t xml:space="preserve">Failure &amp; Retry Console</t>
  </si>
  <si>
    <t xml:space="preserve">Tool Catalog</t>
  </si>
  <si>
    <t xml:space="preserve">Tool Adapter Detail</t>
  </si>
  <si>
    <t xml:space="preserve">Tool Access Scope Manager</t>
  </si>
  <si>
    <t xml:space="preserve">Tool Invocation Monitor</t>
  </si>
  <si>
    <t xml:space="preserve">Tool Health Dashboard</t>
  </si>
  <si>
    <t xml:space="preserve">Agent Inbox</t>
  </si>
  <si>
    <t xml:space="preserve">Agent Recommendations</t>
  </si>
  <si>
    <t xml:space="preserve">Pending Human Approvals</t>
  </si>
  <si>
    <t xml:space="preserve">Agent Exceptions</t>
  </si>
  <si>
    <t xml:space="preserve">Agent Performance Dashboard</t>
  </si>
  <si>
    <t xml:space="preserve">Agent Policy Console</t>
  </si>
  <si>
    <t xml:space="preserve">Guardrail Rule Builder</t>
  </si>
  <si>
    <t xml:space="preserve">Approval Threshold Matrix</t>
  </si>
  <si>
    <t xml:space="preserve">Blocked Action Registry</t>
  </si>
  <si>
    <t xml:space="preserve">Policy Decision Review</t>
  </si>
  <si>
    <t xml:space="preserve">HR Home</t>
  </si>
  <si>
    <t xml:space="preserve">Added during HCM foundation update.</t>
  </si>
  <si>
    <t xml:space="preserve">HR Module Navigation</t>
  </si>
  <si>
    <t xml:space="preserve">HR Work Queue</t>
  </si>
  <si>
    <t xml:space="preserve">Employee Profile Search</t>
  </si>
  <si>
    <t xml:space="preserve">Employee Profile Detail</t>
  </si>
  <si>
    <t xml:space="preserve">Employment Timeline</t>
  </si>
  <si>
    <t xml:space="preserve">Assignment Console</t>
  </si>
  <si>
    <t xml:space="preserve">Position Assignment Detail</t>
  </si>
  <si>
    <t xml:space="preserve">Manager Hierarchy View</t>
  </si>
  <si>
    <t xml:space="preserve">Recruitment Requisition Intake</t>
  </si>
  <si>
    <t xml:space="preserve">Applicant Intake Form</t>
  </si>
  <si>
    <t xml:space="preserve">Applicant Intake Queue</t>
  </si>
  <si>
    <t xml:space="preserve">Candidate Pipeline Board</t>
  </si>
  <si>
    <t xml:space="preserve">Interview Schedule</t>
  </si>
  <si>
    <t xml:space="preserve">Interview Feedback Detail</t>
  </si>
  <si>
    <t xml:space="preserve">Offer Request</t>
  </si>
  <si>
    <t xml:space="preserve">Offer Approval Inbox</t>
  </si>
  <si>
    <t xml:space="preserve">Offer Detail</t>
  </si>
  <si>
    <t xml:space="preserve">Manual Hire Entry</t>
  </si>
  <si>
    <t xml:space="preserve">Onboarding Checklist</t>
  </si>
  <si>
    <t xml:space="preserve">Onboarding Case Detail</t>
  </si>
  <si>
    <t xml:space="preserve">Employment Change Request</t>
  </si>
  <si>
    <t xml:space="preserve">Transfer / Promotion Approval</t>
  </si>
  <si>
    <t xml:space="preserve">Change History</t>
  </si>
  <si>
    <t xml:space="preserve">Exit Checklist</t>
  </si>
  <si>
    <t xml:space="preserve">Exit Interview</t>
  </si>
  <si>
    <t xml:space="preserve">Exit Summary</t>
  </si>
  <si>
    <t xml:space="preserve">Performance Cycle Setup</t>
  </si>
  <si>
    <t xml:space="preserve">Performance Review Form</t>
  </si>
  <si>
    <t xml:space="preserve">Review Calibration</t>
  </si>
  <si>
    <t xml:space="preserve">Competency Framework Mapping</t>
  </si>
  <si>
    <t xml:space="preserve">Skills Assessment Form</t>
  </si>
  <si>
    <t xml:space="preserve">Skills Matrix</t>
  </si>
  <si>
    <t xml:space="preserve">Development Plan Detail</t>
  </si>
  <si>
    <t xml:space="preserve">Development Action Tracker</t>
  </si>
  <si>
    <t xml:space="preserve">Manager Development Review</t>
  </si>
  <si>
    <t xml:space="preserve">Training Record Detail</t>
  </si>
  <si>
    <t xml:space="preserve">Mandatory Training Tracker</t>
  </si>
  <si>
    <t xml:space="preserve">Learning Evidence Register</t>
  </si>
  <si>
    <t xml:space="preserve">Workforce Plan Workspace</t>
  </si>
  <si>
    <t xml:space="preserve">Demand / Capacity Scenario</t>
  </si>
  <si>
    <t xml:space="preserve">Workforce Plan Approval</t>
  </si>
  <si>
    <t xml:space="preserve">Position Budget Plan</t>
  </si>
  <si>
    <t xml:space="preserve">Hiring Plan Register</t>
  </si>
  <si>
    <t xml:space="preserve">HR KPI Catalog View</t>
  </si>
  <si>
    <t xml:space="preserve">HR Dashboard Shell</t>
  </si>
  <si>
    <t xml:space="preserve">HR Metric Ownership Matrix</t>
  </si>
  <si>
    <t xml:space="preserve">HR Document Workspace</t>
  </si>
  <si>
    <t xml:space="preserve">HR Evidence Register</t>
  </si>
  <si>
    <t xml:space="preserve">HR Retention View</t>
  </si>
  <si>
    <t xml:space="preserve">HR Access Policy Matrix</t>
  </si>
  <si>
    <t xml:space="preserve">Sensitive HR Data Access Review</t>
  </si>
  <si>
    <t xml:space="preserve">HR Governance Exceptions</t>
  </si>
  <si>
    <t xml:space="preserve">Leave Balance View</t>
  </si>
  <si>
    <t xml:space="preserve">Absence Record View</t>
  </si>
  <si>
    <t xml:space="preserve">Timesheet / Roster Interface</t>
  </si>
  <si>
    <t xml:space="preserve">Compensation Package View</t>
  </si>
  <si>
    <t xml:space="preserve">Benefits Reference View</t>
  </si>
  <si>
    <t xml:space="preserve">Payroll Status Reference</t>
  </si>
  <si>
    <t xml:space="preserve">HR Case Intake</t>
  </si>
  <si>
    <t xml:space="preserve">Employee Relations Case Detail</t>
  </si>
  <si>
    <t xml:space="preserve">Investigation / Disciplinary Record</t>
  </si>
  <si>
    <t xml:space="preserve">HR Compliance Dashboard</t>
  </si>
  <si>
    <t xml:space="preserve">Statutory Report Package</t>
  </si>
  <si>
    <t xml:space="preserve">Permit / Contract Expiry Tracker</t>
  </si>
  <si>
    <t xml:space="preserve">Employee Self-Service Home</t>
  </si>
  <si>
    <t xml:space="preserve">Manager Team View</t>
  </si>
  <si>
    <t xml:space="preserve">HR Request Center</t>
  </si>
  <si>
    <t xml:space="preserve">Succession Pool</t>
  </si>
  <si>
    <t xml:space="preserve">High-Potential Register</t>
  </si>
  <si>
    <t xml:space="preserve">Critical Role Readiness Matrix</t>
  </si>
  <si>
    <t xml:space="preserve">Talent Ecosystem Platform Shell Workspace</t>
  </si>
  <si>
    <t xml:space="preserve">Manage talent ecosystem platform shell, review records, execute governed actions, and export controlled outputs.</t>
  </si>
  <si>
    <t xml:space="preserve">Talent Ecosystem update</t>
  </si>
  <si>
    <t xml:space="preserve">Boundary: Product shell / workspace. Consumes HCM/shared services.</t>
  </si>
  <si>
    <t xml:space="preserve">Industry Candidate Identity &amp; Talent Profile Workspace</t>
  </si>
  <si>
    <t xml:space="preserve">Manage industry candidate identity &amp; talent profile, review records, execute governed actions, and export controlled outputs.</t>
  </si>
  <si>
    <t xml:space="preserve">Boundary: Sector-wide candidate identity owner. Consumes HCM/shared services.</t>
  </si>
  <si>
    <t xml:space="preserve">Association Membership &amp; Member Company Registry Workspace</t>
  </si>
  <si>
    <t xml:space="preserve">Manage association membership &amp; member company registry, review records, execute governed actions, and export controlled outputs.</t>
  </si>
  <si>
    <t xml:space="preserve">Boundary: Association membership owner. Consumes HCM/shared services.</t>
  </si>
  <si>
    <t xml:space="preserve">Verified HR Participant &amp; Company Access Workspace</t>
  </si>
  <si>
    <t xml:space="preserve">Manage verified hr participant &amp; company access, review records, execute governed actions, and export controlled outputs.</t>
  </si>
  <si>
    <t xml:space="preserve">Boundary: Talent-network access governance. Consumes HCM/shared services.</t>
  </si>
  <si>
    <t xml:space="preserve">Consent, Visibility &amp; Access Policy Workspace</t>
  </si>
  <si>
    <t xml:space="preserve">Manage consent, visibility &amp; access policy, review records, execute governed actions, and export controlled outputs.</t>
  </si>
  <si>
    <t xml:space="preserve">Boundary: Talent access policy owner. Consumes HCM/shared services.</t>
  </si>
  <si>
    <t xml:space="preserve">Talent Ecosystem Governance &amp; Review Board Workspace</t>
  </si>
  <si>
    <t xml:space="preserve">Manage talent ecosystem governance &amp; review board, review records, execute governed actions, and export controlled outputs.</t>
  </si>
  <si>
    <t xml:space="preserve">Boundary: Review board workflow owner. Consumes HCM/shared services.</t>
  </si>
  <si>
    <t xml:space="preserve">Industry Exit Reference Record Registry Workspace</t>
  </si>
  <si>
    <t xml:space="preserve">Manage industry exit reference record registry, review records, execute governed actions, and export controlled outputs.</t>
  </si>
  <si>
    <t xml:space="preserve">Boundary: Industry reference record owner. Consumes HCM/shared services.</t>
  </si>
  <si>
    <t xml:space="preserve">Reference Exchange Marketplace Workspace</t>
  </si>
  <si>
    <t xml:space="preserve">Manage reference exchange marketplace, review records, execute governed actions, and export controlled outputs.</t>
  </si>
  <si>
    <t xml:space="preserve">Boundary: HR-to-HR reference workflow owner. Consumes HCM/shared services.</t>
  </si>
  <si>
    <t xml:space="preserve">Rehire Recommendation Network Workspace</t>
  </si>
  <si>
    <t xml:space="preserve">Manage rehire recommendation network, review records, execute governed actions, and export controlled outputs.</t>
  </si>
  <si>
    <t xml:space="preserve">Boundary: Rehire recommendation owner. Consumes HCM/shared services.</t>
  </si>
  <si>
    <t xml:space="preserve">Trust Level &amp; Multi-Signature Engine Workspace</t>
  </si>
  <si>
    <t xml:space="preserve">Manage trust level &amp; multi-signature engine, review records, execute governed actions, and export controlled outputs.</t>
  </si>
  <si>
    <t xml:space="preserve">Boundary: Trust validation owner. Consumes HCM/shared services.</t>
  </si>
  <si>
    <t xml:space="preserve">Candidate Response &amp; Dispute Management Workspace</t>
  </si>
  <si>
    <t xml:space="preserve">Manage candidate response &amp; dispute management, review records, execute governed actions, and export controlled outputs.</t>
  </si>
  <si>
    <t xml:space="preserve">Boundary: Candidate response/dispute owner. Consumes HCM/shared services.</t>
  </si>
  <si>
    <t xml:space="preserve">Hiring Risk Indicators Workspace</t>
  </si>
  <si>
    <t xml:space="preserve">Manage hiring risk indicators, review records, execute governed actions, and export controlled outputs.</t>
  </si>
  <si>
    <t xml:space="preserve">Boundary: Rule-based signal owner. Consumes HCM/shared services.</t>
  </si>
  <si>
    <t xml:space="preserve">Early Warning Signals Workspace</t>
  </si>
  <si>
    <t xml:space="preserve">Manage early warning signals, review records, execute governed actions, and export controlled outputs.</t>
  </si>
  <si>
    <t xml:space="preserve">Boundary: Pattern signal owner. Consumes HCM/shared services.</t>
  </si>
  <si>
    <t xml:space="preserve">Restricted Integrity Registry Workspace</t>
  </si>
  <si>
    <t xml:space="preserve">Manage restricted integrity registry, review records, execute governed actions, and export controlled outputs.</t>
  </si>
  <si>
    <t xml:space="preserve">Boundary: Restricted serious-case owner. Consumes HCM/shared services.</t>
  </si>
  <si>
    <t xml:space="preserve">Professional Reputation Ledger Workspace</t>
  </si>
  <si>
    <t xml:space="preserve">Manage professional reputation ledger, review records, execute governed actions, and export controlled outputs.</t>
  </si>
  <si>
    <t xml:space="preserve">Boundary: Positive reputation signal owner. Consumes HCM/shared services.</t>
  </si>
  <si>
    <t xml:space="preserve">Talent Data Foundation Workspace</t>
  </si>
  <si>
    <t xml:space="preserve">Manage talent data foundation, review records, execute governed actions, and export controlled outputs.</t>
  </si>
  <si>
    <t xml:space="preserve">Boundary: Sector talent foundation owner. Consumes HCM/shared services.</t>
  </si>
  <si>
    <t xml:space="preserve">Industry Talent Pool Workspace</t>
  </si>
  <si>
    <t xml:space="preserve">Manage industry talent pool, review records, execute governed actions, and export controlled outputs.</t>
  </si>
  <si>
    <t xml:space="preserve">Boundary: Available/trusted talent pool owner. Consumes HCM/shared services.</t>
  </si>
  <si>
    <t xml:space="preserve">Industry Skill Passport Workspace</t>
  </si>
  <si>
    <t xml:space="preserve">Manage industry skill passport, review records, execute governed actions, and export controlled outputs.</t>
  </si>
  <si>
    <t xml:space="preserve">Boundary: Sector skill passport owner. Consumes HCM/shared services.</t>
  </si>
  <si>
    <t xml:space="preserve">Candidate Career Passport Workspace</t>
  </si>
  <si>
    <t xml:space="preserve">Manage candidate career passport, review records, execute governed actions, and export controlled outputs.</t>
  </si>
  <si>
    <t xml:space="preserve">Boundary: Candidate career passport owner. Consumes HCM/shared services.</t>
  </si>
  <si>
    <t xml:space="preserve">Talent Development Network Workspace</t>
  </si>
  <si>
    <t xml:space="preserve">Manage talent development network, review records, execute governed actions, and export controlled outputs.</t>
  </si>
  <si>
    <t xml:space="preserve">Boundary: Development pathway owner. Consumes HCM/shared services.</t>
  </si>
  <si>
    <t xml:space="preserve">Industry Succession Pool Workspace</t>
  </si>
  <si>
    <t xml:space="preserve">Manage industry succession pool, review records, execute governed actions, and export controlled outputs.</t>
  </si>
  <si>
    <t xml:space="preserve">Boundary: Sector succession pool owner. Consumes HCM/shared services.</t>
  </si>
  <si>
    <t xml:space="preserve">Verified Certification Registry Workspace</t>
  </si>
  <si>
    <t xml:space="preserve">Manage verified certification registry, review records, execute governed actions, and export controlled outputs.</t>
  </si>
  <si>
    <t xml:space="preserve">Boundary: Certification verification owner. Consumes HCM/shared services.</t>
  </si>
  <si>
    <t xml:space="preserve">Mentorship &amp; Recommendation Network Workspace</t>
  </si>
  <si>
    <t xml:space="preserve">Manage mentorship &amp; recommendation network, review records, execute governed actions, and export controlled outputs.</t>
  </si>
  <si>
    <t xml:space="preserve">Boundary: Mentoring/recommendation workflow owner. Consumes HCM/shared services.</t>
  </si>
  <si>
    <t xml:space="preserve">Shared Salary Benchmarking Workspace</t>
  </si>
  <si>
    <t xml:space="preserve">Manage shared salary benchmarking, review records, execute governed actions, and export controlled outputs.</t>
  </si>
  <si>
    <t xml:space="preserve">Boundary: Aggregated salary benchmark owner. Consumes HCM/shared services.</t>
  </si>
  <si>
    <t xml:space="preserve">Workforce Analytics Workspace</t>
  </si>
  <si>
    <t xml:space="preserve">Manage workforce analytics, review records, execute governed actions, and export controlled outputs.</t>
  </si>
  <si>
    <t xml:space="preserve">Boundary: Sector analytics owner. Consumes HCM/shared services.</t>
  </si>
  <si>
    <t xml:space="preserve">Sector Talent Trends Workspace</t>
  </si>
  <si>
    <t xml:space="preserve">Manage sector talent trends, review records, execute governed actions, and export controlled outputs.</t>
  </si>
  <si>
    <t xml:space="preserve">Boundary: Sector trend intelligence owner. Consumes HCM/shared services.</t>
  </si>
  <si>
    <t xml:space="preserve">Talent Supply &amp; Demand Forecasting Workspace</t>
  </si>
  <si>
    <t xml:space="preserve">Manage talent supply &amp; demand forecasting, review records, execute governed actions, and export controlled outputs.</t>
  </si>
  <si>
    <t xml:space="preserve">Boundary: Forecasting owner. Consumes HCM/shared services.</t>
  </si>
  <si>
    <t xml:space="preserve">Skills Gap Heatmap Workspace</t>
  </si>
  <si>
    <t xml:space="preserve">Manage skills gap heatmap, review records, execute governed actions, and export controlled outputs.</t>
  </si>
  <si>
    <t xml:space="preserve">Boundary: Skill gap intelligence owner. Consumes HCM/shared services.</t>
  </si>
  <si>
    <t xml:space="preserve">Sector Mobility Intelligence Workspace</t>
  </si>
  <si>
    <t xml:space="preserve">Manage sector mobility intelligence, review records, execute governed actions, and export controlled outputs.</t>
  </si>
  <si>
    <t xml:space="preserve">Boundary: Talent mobility intelligence owner. Consumes HCM/shared services.</t>
  </si>
  <si>
    <t xml:space="preserve">Association Operations Workspace</t>
  </si>
  <si>
    <t xml:space="preserve">Manage association operations, review records, execute governed actions, and export controlled outputs.</t>
  </si>
  <si>
    <t xml:space="preserve">Boundary: Association operating workflow owner. Consumes HCM/shared services.</t>
  </si>
  <si>
    <t xml:space="preserve">Industry Knowledge Network Workspace</t>
  </si>
  <si>
    <t xml:space="preserve">Manage industry knowledge network, review records, execute governed actions, and export controlled outputs.</t>
  </si>
  <si>
    <t xml:space="preserve">Boundary: Knowledge library/community owner. Consumes HCM/shared services.</t>
  </si>
  <si>
    <t xml:space="preserve">Category</t>
  </si>
  <si>
    <t xml:space="preserve">Primary Objects (SoR)</t>
  </si>
  <si>
    <t xml:space="preserve">Integration Pattern</t>
  </si>
  <si>
    <t xml:space="preserve">Required Contract Bundle</t>
  </si>
  <si>
    <t xml:space="preserve">Security/Compliance</t>
  </si>
  <si>
    <t xml:space="preserve">Owner (Business)</t>
  </si>
  <si>
    <t xml:space="preserve">Owner (Ops)</t>
  </si>
  <si>
    <t xml:space="preserve">Core HR / Employee Master (Internalized)</t>
  </si>
  <si>
    <t xml:space="preserve">Internalized / No External Integration</t>
  </si>
  <si>
    <t xml:space="preserve">Employee; Org; Job</t>
  </si>
  <si>
    <t xml:space="preserve">N/A - Internal HCM</t>
  </si>
  <si>
    <t xml:space="preserve">Reclassified as native internal HCM module MOD-0251.</t>
  </si>
  <si>
    <t xml:space="preserve">Document binaries; Evidence packages</t>
  </si>
  <si>
    <t xml:space="preserve">N/A - Internal Platform Service</t>
  </si>
  <si>
    <t xml:space="preserve">Internal document security controls</t>
  </si>
  <si>
    <t xml:space="preserve">Platform Owner</t>
  </si>
  <si>
    <t xml:space="preserve">Reclassified as internal document repository service MOD-0262.</t>
  </si>
  <si>
    <t xml:space="preserve">Native Payroll Engine (Internalized)</t>
  </si>
  <si>
    <t xml:space="preserve">N/A - Internal HCM Payroll</t>
  </si>
  <si>
    <t xml:space="preserve">PII/HR Confidential; retention policy required</t>
  </si>
  <si>
    <t xml:space="preserve">Reclassified as native internal payroll module MOD-0279.</t>
  </si>
  <si>
    <t xml:space="preserve">Time, Attendance &amp; Leave Management (Internalized)</t>
  </si>
  <si>
    <t xml:space="preserve">N/A - Internal HCM Time &amp; Leave</t>
  </si>
  <si>
    <t xml:space="preserve">PII/HR Confidential (as applicable)</t>
  </si>
  <si>
    <t xml:space="preserve">Reclassified as native internal time, attendance, and leave module MOD-0280.</t>
  </si>
  <si>
    <t xml:space="preserve">Module Coverage Integrity Check</t>
  </si>
  <si>
    <t xml:space="preserve">Modules in Module Pages but missing in Blueprint_Data</t>
  </si>
  <si>
    <t xml:space="preserve">Modules in Blueprint_Data but missing in Module Pages</t>
  </si>
  <si>
    <t xml:space="preserve">Contract Code</t>
  </si>
  <si>
    <t xml:space="preserve">Description (first-seen)</t>
  </si>
  <si>
    <t xml:space="preserve">Source</t>
  </si>
  <si>
    <t xml:space="preserve">ACTION-BUNDLE</t>
  </si>
  <si>
    <t xml:space="preserve">CAPA plan/actions, effectiveness checks, due dates, escalations</t>
  </si>
  <si>
    <t xml:space="preserve">Blueprint_Data.Minimum Integration Contracts</t>
  </si>
  <si>
    <t xml:space="preserve">telemetry inputs, sentiment model, action handoff contract, KPI bindings</t>
  </si>
  <si>
    <t xml:space="preserve">risk checklist, eval results schema, model/prompt registry bindings</t>
  </si>
  <si>
    <t xml:space="preserve">alert rule schema, routing/escalation model, runbook link contract, OTel</t>
  </si>
  <si>
    <t xml:space="preserve">AP-CONTROL-BUNDLE</t>
  </si>
  <si>
    <t xml:space="preserve">workflow approvals, SoD hook optional, invoice/GRN/PO link contracts, audit + evidence export</t>
  </si>
  <si>
    <t xml:space="preserve">OIDC/SSO, RBAC hooks, Workflow APIs, AuditEvent v1, Evidence Pack export, Data Contracts for key objects, OTel/Correlation-ID</t>
  </si>
  <si>
    <t xml:space="preserve">AR-BILLING-BUNDLE</t>
  </si>
  <si>
    <t xml:space="preserve">billing contracts, customer ID binding, dispute reference IDs, audit hooks</t>
  </si>
  <si>
    <t xml:space="preserve">asset master contracts, depreciation schedule, evidence export, retention hooks</t>
  </si>
  <si>
    <t xml:space="preserve">SSO/RBAC, Workflow v1, AuditEvent v1, Evidence-Link, Controlled Doc refs, Export Pack, OTel, Correlation-ID, Error Model</t>
  </si>
  <si>
    <t xml:space="preserve">availability calc contracts, decision logs linkage, exception model</t>
  </si>
  <si>
    <t xml:space="preserve">attestation schema, signer binding, evidence pack export, audit hooks</t>
  </si>
  <si>
    <t xml:space="preserve">AuditEvent v1, retention/export, tamper-evidence, OTel</t>
  </si>
  <si>
    <t xml:space="preserve">AUDIT-MGMT-BUNDLE</t>
  </si>
  <si>
    <t xml:space="preserve">audit plan model, workpapers refs, evidence pack assembly contract</t>
  </si>
  <si>
    <t xml:space="preserve">BCP templates, exercise workflow, action register schema, evidence pack export</t>
  </si>
  <si>
    <t xml:space="preserve">backup policies, restore workflows, validation reports, audit hooks</t>
  </si>
  <si>
    <t xml:space="preserve">metric binding, access control model, audit of access/export, OTel</t>
  </si>
  <si>
    <t xml:space="preserve">billing schema, AR integration contract, discrepancy exception model, audit hooks</t>
  </si>
  <si>
    <t xml:space="preserve">boundary proposals, review cycles, evidence pack binding, audit hooks</t>
  </si>
  <si>
    <t xml:space="preserve">order schema, idempotency, canonical IDs, audit/evidence export, OTel</t>
  </si>
  <si>
    <t xml:space="preserve">calibration schedules, cert artifacts, evidence link/export</t>
  </si>
  <si>
    <t xml:space="preserve">campaign schema, audience references, KPI bindings, audit/export</t>
  </si>
  <si>
    <t xml:space="preserve">card feed contracts, match rules, exceptions, evidence export</t>
  </si>
  <si>
    <t xml:space="preserve">carrier schema, rate cards, contract refs, evidence export</t>
  </si>
  <si>
    <t xml:space="preserve">CASE-BUNDLE</t>
  </si>
  <si>
    <t xml:space="preserve">case lifecycle, investigation object model, attachments/evidence refs</t>
  </si>
  <si>
    <t xml:space="preserve">CASE-LIFECYCLE</t>
  </si>
  <si>
    <t xml:space="preserve">case lifecycle state machine, audit-grade workflow trace, evidence pack assembly contract</t>
  </si>
  <si>
    <t xml:space="preserve">CATALOG-BUNDLE</t>
  </si>
  <si>
    <t xml:space="preserve">catalog item schema, request template model, SLA definitions</t>
  </si>
  <si>
    <t xml:space="preserve">segment schema, lineage hooks, consent filters, data product linkage</t>
  </si>
  <si>
    <t xml:space="preserve">CERT-BUNDLE</t>
  </si>
  <si>
    <t xml:space="preserve">cert criteria, evidence links, status lifecycle</t>
  </si>
  <si>
    <t xml:space="preserve">champion roster, engagement tracking, training linkage contract</t>
  </si>
  <si>
    <t xml:space="preserve">CHANGE-BUNDLE</t>
  </si>
  <si>
    <t xml:space="preserve">change object model, impact links, approvals, evidence pack export</t>
  </si>
  <si>
    <t xml:space="preserve">impact model, KPI bindings, mitigation actions, workflow hooks</t>
  </si>
  <si>
    <t xml:space="preserve">CHANGE-PACK-BUNDLE</t>
  </si>
  <si>
    <t xml:space="preserve">package schema, dependencies, approval gates, audit hooks</t>
  </si>
  <si>
    <t xml:space="preserve">CI-GUARDRAIL-BUNDLE</t>
  </si>
  <si>
    <t xml:space="preserve">policy-as-code hooks, waiver integration, build-time checks</t>
  </si>
  <si>
    <t xml:space="preserve">claim schema, evidence attachments, workflow handoff optional, audit export</t>
  </si>
  <si>
    <t xml:space="preserve">CLAUSE-BUNDLE</t>
  </si>
  <si>
    <t xml:space="preserve">clause objects, approval workflow, exception diff contract</t>
  </si>
  <si>
    <t xml:space="preserve">contract objects, clause references, approvals, evidence export, retention hooks</t>
  </si>
  <si>
    <t xml:space="preserve">CMDB-BUNDLE</t>
  </si>
  <si>
    <t xml:space="preserve">CI schema, relationship model, discovery/import contracts, impact API</t>
  </si>
  <si>
    <t xml:space="preserve">results schema, CoA artifact model, evidence links, signature binding optional</t>
  </si>
  <si>
    <t xml:space="preserve">widget model, data source bindings, access controls, audit hooks, OTel</t>
  </si>
  <si>
    <t xml:space="preserve">co-mfg partner schema, quality evidence links, exception model, audit export</t>
  </si>
  <si>
    <t xml:space="preserve">plan schema, audience segments, channel hooks, audit/export</t>
  </si>
  <si>
    <t xml:space="preserve">COMPAT-BUNDLE</t>
  </si>
  <si>
    <t xml:space="preserve">compatibility rules, semver policy, deprecation calendar</t>
  </si>
  <si>
    <t xml:space="preserve">COMPLAINT-BUNDLE</t>
  </si>
  <si>
    <t xml:space="preserve">complaint intake, triage, investigation timeline, evidence refs</t>
  </si>
  <si>
    <t xml:space="preserve">CONFIG-BUNDLE</t>
  </si>
  <si>
    <t xml:space="preserve">flag schema, config profiles, rollout events, audit hooks</t>
  </si>
  <si>
    <t xml:space="preserve">CONNECTOR-BUNDLE</t>
  </si>
  <si>
    <t xml:space="preserve">connector contracts, run history, idempotent collection jobs, error taxonomy</t>
  </si>
  <si>
    <t xml:space="preserve">CONSENT-BINDING</t>
  </si>
  <si>
    <t xml:space="preserve">contact objects, consent references, audit hooks</t>
  </si>
  <si>
    <t xml:space="preserve">consent object model, channel prefs, lawful basis tags, audit export, privacy hooks</t>
  </si>
  <si>
    <t xml:space="preserve">app registration schema, credential issuance, quota/subscription model, audit hooks</t>
  </si>
  <si>
    <t xml:space="preserve">document object model, versioning, access control hooks, AuditEvent v1, OTel</t>
  </si>
  <si>
    <t xml:space="preserve">CONTROLLED-DOC-BUNDLE</t>
  </si>
  <si>
    <t xml:space="preserve">approval workflow binding, training linkage contract, evidence link</t>
  </si>
  <si>
    <t xml:space="preserve">handoff contract, canonical IDs, evidence linkage</t>
  </si>
  <si>
    <t xml:space="preserve">configuration schema, rules binding, exception model, audit hooks</t>
  </si>
  <si>
    <t xml:space="preserve">price list schema, discount rules, approvals, policy binding, audit/evidence export</t>
  </si>
  <si>
    <t xml:space="preserve">quote object model, approval workflow, audit/evidence export</t>
  </si>
  <si>
    <t xml:space="preserve">account hierarchy schema, canonical IDs, data contracts, audit/evidence export</t>
  </si>
  <si>
    <t xml:space="preserve">forecast objects, quota model, approvals/audit, certified metrics binding</t>
  </si>
  <si>
    <t xml:space="preserve">lead objects, routing rules, audit hooks, OTel</t>
  </si>
  <si>
    <t xml:space="preserve">territory model schema, approvals, audit/evidence export</t>
  </si>
  <si>
    <t xml:space="preserve">visit objects, geo/time binding, compliance evidence export</t>
  </si>
  <si>
    <t xml:space="preserve">survey/feedback schema, workflow handoff, certified metric binding</t>
  </si>
  <si>
    <t xml:space="preserve">SSO/OIDC, RBAC/ABAC, AuditEvent v1, DataContract link, Workflow hooks, Evidence-link optional, OTel, Correlation-ID, Error Model</t>
  </si>
  <si>
    <t xml:space="preserve">DATA-PRODUCT-BUNDLE</t>
  </si>
  <si>
    <t xml:space="preserve">product SLA model, consumer registry binding, contract/version bindings</t>
  </si>
  <si>
    <t xml:space="preserve">decision outcome schema, metric bindings, benefits tracking, evidence links</t>
  </si>
  <si>
    <t xml:space="preserve">dispute schema, SLA/escalation, resolution states, evidence export</t>
  </si>
  <si>
    <t xml:space="preserve">DQ-BUNDLE</t>
  </si>
  <si>
    <t xml:space="preserve">DQ rule model, validation jobs binding, exception model, scorecards hooks</t>
  </si>
  <si>
    <t xml:space="preserve">RTO/RPO objectives, drill plans, failover runbooks, evidence pack export</t>
  </si>
  <si>
    <t xml:space="preserve">PM plans, schedules, compliance KPIs, evidence export</t>
  </si>
  <si>
    <t xml:space="preserve">WO schema, parts/labor postings, evidence export, audit hooks</t>
  </si>
  <si>
    <t xml:space="preserve">batch record schema, signature binding, audit/evidence export, retention hooks</t>
  </si>
  <si>
    <t xml:space="preserve">partner profile schema, message trace, mapping contracts, acknowledgements, OTel</t>
  </si>
  <si>
    <t xml:space="preserve">ENTITY-BUNDLE</t>
  </si>
  <si>
    <t xml:space="preserve">entity register model, filings, evidence pack export</t>
  </si>
  <si>
    <t xml:space="preserve">forecast versions, driver library schema, certified metrics binding, evidence export</t>
  </si>
  <si>
    <t xml:space="preserve">budget versions, approvals, certified metrics binding, evidence export</t>
  </si>
  <si>
    <t xml:space="preserve">close checklist templates, task engine integration, approvals, evidence pack generation, audit hooks</t>
  </si>
  <si>
    <t xml:space="preserve">e-invoice payload contracts, submission logs, receipt/ack tracking, immutable archive binding</t>
  </si>
  <si>
    <t xml:space="preserve">API Gateway, OAuth2/JWT, GL data contracts, Canonical IDs, AuditEvent v1, Evidence links/export, OTel/Correlation-ID, error model</t>
  </si>
  <si>
    <t xml:space="preserve">forecast model contracts, scenario comparison, metric registry binding, audit/evidence export</t>
  </si>
  <si>
    <t xml:space="preserve">position contracts, exposure calc logic binding, scenario support, evidence export</t>
  </si>
  <si>
    <t xml:space="preserve">interco transaction contracts, partner entity IDs, reconciliation exceptions, settlement evidence</t>
  </si>
  <si>
    <t xml:space="preserve">payment run objects, approval workflow, SoD checks, signature/attestation hook optional, audit trail</t>
  </si>
  <si>
    <t xml:space="preserve">bank statement ingestion contract, match rules, exception model, evidence export, OTel</t>
  </si>
  <si>
    <t xml:space="preserve">report pack templates, certified metrics binding, submission tracking, evidence export</t>
  </si>
  <si>
    <t xml:space="preserve">tax calc inputs/outputs contracts, evidence links, audit export, retention hooks</t>
  </si>
  <si>
    <t xml:space="preserve">cash position contracts, bank feed binding, reconciliation hooks, audit/evidence export</t>
  </si>
  <si>
    <t xml:space="preserve">ESCALATION-BUNDLE</t>
  </si>
  <si>
    <t xml:space="preserve">escalation routes, decision link contract, audit hooks</t>
  </si>
  <si>
    <t xml:space="preserve">signature envelope schema, signer identity binding, audit hooks, evidence link</t>
  </si>
  <si>
    <t xml:space="preserve">review checklist schema, approval gates, evidence links, audit hooks</t>
  </si>
  <si>
    <t xml:space="preserve">AsyncAPI binding, CloudEvents envelope, topic/subscription model, replay contract, OTel, Correlation-ID</t>
  </si>
  <si>
    <t xml:space="preserve">control-evidence map schema, evidence requirements model, coverage KPIs, AuditEvent v1, OTel</t>
  </si>
  <si>
    <t xml:space="preserve">decision object model, evidence links, export</t>
  </si>
  <si>
    <t xml:space="preserve">EVIDENCE-PACK-BUNDLE</t>
  </si>
  <si>
    <t xml:space="preserve">pack schema, retention class binding, export controls</t>
  </si>
  <si>
    <t xml:space="preserve">exception model, routing rules, workflow handoff contract, RCA schema, audit hooks</t>
  </si>
  <si>
    <t xml:space="preserve">policy binding, approval workflow, receipt/doc attachment contracts, audit/evidence export</t>
  </si>
  <si>
    <t xml:space="preserve">KPI model, metric bindings, ownership, certification hooks</t>
  </si>
  <si>
    <t xml:space="preserve">experiment object model, baseline comparator, metric bindings, audit hooks</t>
  </si>
  <si>
    <t xml:space="preserve">spec bundle schema, traceability manifest, export formats, signed export optional</t>
  </si>
  <si>
    <t xml:space="preserve">SSO/RBAC context; Audit hooks; Contract IDs; OTel; Correlation-ID</t>
  </si>
  <si>
    <t xml:space="preserve">expiry rules, allocation constraints binding, exception model</t>
  </si>
  <si>
    <t xml:space="preserve">GAP-BUNDLE</t>
  </si>
  <si>
    <t xml:space="preserve">gap object model, prioritization, ownership assignment hooks</t>
  </si>
  <si>
    <t xml:space="preserve">GLOSSARY-BUNDLE</t>
  </si>
  <si>
    <t xml:space="preserve">term lifecycle, approvals, synonym model, link-to-metrics</t>
  </si>
  <si>
    <t xml:space="preserve">SSO/OIDC, RBAC/ABAC, AuditEvent v1, Registry API OpenAPI, Change Events CloudEvents, SemVer+Deprecation, Correlation-ID, Error Model, OTel</t>
  </si>
  <si>
    <t xml:space="preserve">GRAPH-BUNDLE</t>
  </si>
  <si>
    <t xml:space="preserve">graph schema, versioning, export SVG/PNG, evidence anchors</t>
  </si>
  <si>
    <t xml:space="preserve">SSO/RBAC, Workflow v1, AuditEvent v1, Policy refs, Attestation envelope, Evidence-Link, Export Pack, OTel</t>
  </si>
  <si>
    <t xml:space="preserve">GRN objects, match keys, exception model, audit/evidence export</t>
  </si>
  <si>
    <t xml:space="preserve">controlled doc templates, approval workflow, audit export, evidence link</t>
  </si>
  <si>
    <t xml:space="preserve">review task model, sampling policy, feedback schema, audit export</t>
  </si>
  <si>
    <t xml:space="preserve">impact KPI schema, ownership, certification hooks</t>
  </si>
  <si>
    <t xml:space="preserve">theme schema, clustering output model, evidence links, export</t>
  </si>
  <si>
    <t xml:space="preserve">recon job schema, exception model, contract validation hooks, OTel</t>
  </si>
  <si>
    <t xml:space="preserve">API Gateway OpenAPI, contract IDs, doc metadata model, exception model, reconciliation hooks, OTel</t>
  </si>
  <si>
    <t xml:space="preserve">OpenAPI governance link, OAuth2/JWT, throttling, WAF hooks optional, OTel, Correlation-ID</t>
  </si>
  <si>
    <t xml:space="preserve">INTERFACE-GOV-BUNDLE</t>
  </si>
  <si>
    <t xml:space="preserve">versioning, deprecation calendar binding, consumer notification hook</t>
  </si>
  <si>
    <t xml:space="preserve">inventory ledger schema, valuation rules, canonical IDs, audit/evidence export</t>
  </si>
  <si>
    <t xml:space="preserve">ITIL-CHANGE-BUNDLE</t>
  </si>
  <si>
    <t xml:space="preserve">CAB workflow, change calendar feeds, approval trace</t>
  </si>
  <si>
    <t xml:space="preserve">SSO/RBAC, Workflow v1, AuditEvent v1, OTel, Incident schema, Runbook refs, Evidence-Link optional</t>
  </si>
  <si>
    <t xml:space="preserve">journey schema, persona linkage, versioning, export</t>
  </si>
  <si>
    <t xml:space="preserve">article sync contracts, search indexing contract, feedback capture schema</t>
  </si>
  <si>
    <t xml:space="preserve">entity model, link types, resolution rules, provenance/audit, correlation ID binding, OTel</t>
  </si>
  <si>
    <t xml:space="preserve">dataset model, contract binding, access policies, audit hooks, OTel</t>
  </si>
  <si>
    <t xml:space="preserve">LEARNING-BUNDLE</t>
  </si>
  <si>
    <t xml:space="preserve">learning entry schema, tagging/taxonomy hooks, diff views</t>
  </si>
  <si>
    <t xml:space="preserve">lease contract objects, calc rules binding, evidence export, retention hooks</t>
  </si>
  <si>
    <t xml:space="preserve">SSO/RBAC, Workflow v1, AuditEvent v1, Document refs, Clause refs, Evidence-Link, Export Pack, OTel</t>
  </si>
  <si>
    <t xml:space="preserve">LIBRARY-BUNDLE</t>
  </si>
  <si>
    <t xml:space="preserve">catalog, tagging/taxonomy hooks, version diff</t>
  </si>
  <si>
    <t xml:space="preserve">sample schema, custody events, audit/evidence export, retention hooks</t>
  </si>
  <si>
    <t xml:space="preserve">lineage event model, pipeline run binding, contract IDs, OTel</t>
  </si>
  <si>
    <t xml:space="preserve">link types, correlation IDs, incident contract refs, audit hooks</t>
  </si>
  <si>
    <t xml:space="preserve">match rules, exception queue, approval workflow, evidence pack export</t>
  </si>
  <si>
    <t xml:space="preserve">MDM-BUNDLE</t>
  </si>
  <si>
    <t xml:space="preserve">golden record model, match/merge rules, survivorship policy, stewardship queue integration, lineage hooks</t>
  </si>
  <si>
    <t xml:space="preserve">work order schema, execution events, traceability hooks, audit export</t>
  </si>
  <si>
    <t xml:space="preserve">asset model, ownership bindings, contract links, classification tags, audit hooks, OTel</t>
  </si>
  <si>
    <t xml:space="preserve">METHOD-WORKSPACE-BUNDLE</t>
  </si>
  <si>
    <t xml:space="preserve">structured templates, review workflow binding, version diff</t>
  </si>
  <si>
    <t xml:space="preserve">method templates, intake schema, approval workflow hook, versioning</t>
  </si>
  <si>
    <t xml:space="preserve">METRIC-BINDING</t>
  </si>
  <si>
    <t xml:space="preserve">opportunity schema, stage model, KPI bindings</t>
  </si>
  <si>
    <t xml:space="preserve">METRIC-CERT-BUNDLE</t>
  </si>
  <si>
    <t xml:space="preserve">calc contracts, certification criteria, audit hooks</t>
  </si>
  <si>
    <t xml:space="preserve">BOM schema, routing schema, change approvals, evidence export</t>
  </si>
  <si>
    <t xml:space="preserve">report templates, certified metrics binding, access control hooks, evidence export</t>
  </si>
  <si>
    <t xml:space="preserve">MITIGATION-BUNDLE</t>
  </si>
  <si>
    <t xml:space="preserve">concern taxonomy, mitigation actions, workflow hooks</t>
  </si>
  <si>
    <t xml:space="preserve">model metadata schema, versioning, approval workflow, audit hooks, evaluation binding</t>
  </si>
  <si>
    <t xml:space="preserve">MODEL-BUNDLE</t>
  </si>
  <si>
    <t xml:space="preserve">conceptual model schema, versioning, export JSON/MD</t>
  </si>
  <si>
    <t xml:space="preserve">drift metrics, eval reports schema, alert rules, OTel</t>
  </si>
  <si>
    <t xml:space="preserve">narrative object model, consent/PII controls, linkage API, audit hooks</t>
  </si>
  <si>
    <t xml:space="preserve">template schema, routing rules, delivery events, consent hooks optional, OTel</t>
  </si>
  <si>
    <t xml:space="preserve">OBLIGATION-BUNDLE</t>
  </si>
  <si>
    <t xml:space="preserve">obligation model, calendar feeds, notification triggers</t>
  </si>
  <si>
    <t xml:space="preserve">OTel logs/metrics/traces, alert hooks, Correlation-ID, Error Model</t>
  </si>
  <si>
    <t xml:space="preserve">telemetry contract, downtime codes taxonomy, KPI bindings, workflow handoff</t>
  </si>
  <si>
    <t xml:space="preserve">OPS-SCORECARD-BUNDLE</t>
  </si>
  <si>
    <t xml:space="preserve">owner views, escalation hooks, audit</t>
  </si>
  <si>
    <t xml:space="preserve">constraint model, solver run schema, comparator, audit hooks, OTel</t>
  </si>
  <si>
    <t xml:space="preserve">PACK-BUNDLE</t>
  </si>
  <si>
    <t xml:space="preserve">pack manifest schema, export formats, trace links, retention hooks</t>
  </si>
  <si>
    <t xml:space="preserve">pay-run objects, linkage to AP/treasury, approvals, audit/evidence export</t>
  </si>
  <si>
    <t xml:space="preserve">capacity models, load test evidence schema, performance KPIs, OTel</t>
  </si>
  <si>
    <t xml:space="preserve">persona schema, versioning, journey linkage contract</t>
  </si>
  <si>
    <t xml:space="preserve">pipeline spec, run history, contract validation hooks, lineage hooks, retry policy, OTel</t>
  </si>
  <si>
    <t xml:space="preserve">capacity models, constraints, scenario outputs, evidence export</t>
  </si>
  <si>
    <t xml:space="preserve">forecast objects, KPI bindings, approvals, evidence export</t>
  </si>
  <si>
    <t xml:space="preserve">MRP runs, exception model, replenishment proposals, evidence export</t>
  </si>
  <si>
    <t xml:space="preserve">meeting cycles, sign-off objects, workflow binding, evidence export</t>
  </si>
  <si>
    <t xml:space="preserve">optimization runs, constraints schema, scenario outputs, evidence export</t>
  </si>
  <si>
    <t xml:space="preserve">SSO/OIDC, Admin API, AuditEvent v1 for critical admin ops, OTel, Correlation-ID, Error Model</t>
  </si>
  <si>
    <t xml:space="preserve">req/PO contracts, approval workflow, vendor/customer IDs, audit hooks</t>
  </si>
  <si>
    <t xml:space="preserve">external identity, API gateway binding, consent/privacy hooks, audit</t>
  </si>
  <si>
    <t xml:space="preserve">PROBLEM-BUNDLE</t>
  </si>
  <si>
    <t xml:space="preserve">problem records, RCA model, known error linkage, evidence refs</t>
  </si>
  <si>
    <t xml:space="preserve">prompt object model, versioning, approval gates, audit hooks</t>
  </si>
  <si>
    <t xml:space="preserve">registry write-back contract, approval/attestation hook, audit, idempotency</t>
  </si>
  <si>
    <t xml:space="preserve">trend KPIs, outlier model, CAPA linkage contract, certified metrics binding</t>
  </si>
  <si>
    <t xml:space="preserve">quarantine states, release approvals, audit hooks, evidence export</t>
  </si>
  <si>
    <t xml:space="preserve">assessment templates, scoring, action register, evidence export</t>
  </si>
  <si>
    <t xml:space="preserve">recall drill plans, trace queries, evidence pack export, audit hooks</t>
  </si>
  <si>
    <t xml:space="preserve">retention policy schema, legal hold API, export/immutability hooks, AuditEvent v1</t>
  </si>
  <si>
    <t xml:space="preserve">study object model, workflow/inbox, controlled docs binding, audit export, OTel</t>
  </si>
  <si>
    <t xml:space="preserve">SSO+RBAC/ABAC, PHI/PII masking hooks, AuditEvent v1, Workflow/Inbox v1, Evidence-Link, OTel, Correlation-ID, Error Model</t>
  </si>
  <si>
    <t xml:space="preserve">inspection checklist schema, audit pack generator interface, CAPA linkage contract, evidence graph IDs</t>
  </si>
  <si>
    <t xml:space="preserve">controlled docs binding, records/retention hooks, submission package schema, audit export, OTel</t>
  </si>
  <si>
    <t xml:space="preserve">data product contract IDs, metric semantic IDs, review workflow, evidence pack, OTel</t>
  </si>
  <si>
    <t xml:space="preserve">RELEASE-BUNDLE</t>
  </si>
  <si>
    <t xml:space="preserve">promotion gates, approvals, evidence pack export</t>
  </si>
  <si>
    <t xml:space="preserve">REMEDIATION-BUNDLE</t>
  </si>
  <si>
    <t xml:space="preserve">finding model, remediation plan/actions, SLA/escalation</t>
  </si>
  <si>
    <t xml:space="preserve">REQ-MATRIX</t>
  </si>
  <si>
    <t xml:space="preserve">country requirement schema, diff contract, compliance status model</t>
  </si>
  <si>
    <t xml:space="preserve">REQUEST-BUNDLE</t>
  </si>
  <si>
    <t xml:space="preserve">request types, fulfillment workflows, SLA contracts</t>
  </si>
  <si>
    <t xml:space="preserve">reverse shipment schema, RMA linkage contract, evidence export</t>
  </si>
  <si>
    <t xml:space="preserve">cycle scheduler, review report schema, action register, evidence export</t>
  </si>
  <si>
    <t xml:space="preserve">RISK-BUNDLE</t>
  </si>
  <si>
    <t xml:space="preserve">risk taxonomy, control mapping model, KRIs refs</t>
  </si>
  <si>
    <t xml:space="preserve">RMA schema, approvals, disposition rules, evidence export</t>
  </si>
  <si>
    <t xml:space="preserve">route plans, constraints schema, plan vs actual events, evidence export</t>
  </si>
  <si>
    <t xml:space="preserve">rule schema, versioning, test runner contract, AuditEvent v1</t>
  </si>
  <si>
    <t xml:space="preserve">SAFETY-LINK</t>
  </si>
  <si>
    <t xml:space="preserve">canonical IDs, cross-case linkage schema, reconciliation, evidence links, OTel</t>
  </si>
  <si>
    <t xml:space="preserve">scan event schema, device identity, offline buffer/replay contract</t>
  </si>
  <si>
    <t xml:space="preserve">scenario model, assumptions, metric bindings, provenance/audit, OTel</t>
  </si>
  <si>
    <t xml:space="preserve">job spec schema, run history, retry/backoff policy, OTel, secrets hook</t>
  </si>
  <si>
    <t xml:space="preserve">SCHEMA-BINDING</t>
  </si>
  <si>
    <t xml:space="preserve">schema registry binding, compatibility rules, contract IDs</t>
  </si>
  <si>
    <t xml:space="preserve">index model, ACL binding to RBAC/ABAC, query audit, relevance tuning config, OTel</t>
  </si>
  <si>
    <t xml:space="preserve">policy decision/entitlement APIs, RBAC/ABAC model, audit hooks</t>
  </si>
  <si>
    <t xml:space="preserve">SoD rules schema, violation events, workflow exception binding, AuditEvent v1</t>
  </si>
  <si>
    <t xml:space="preserve">masking rules schema, row/field policy hooks, test harness contract</t>
  </si>
  <si>
    <t xml:space="preserve">OIDC/SAML, MFA policies, session management, AuditEvent v1, OTel</t>
  </si>
  <si>
    <t xml:space="preserve">SECRET-BUNDLE</t>
  </si>
  <si>
    <t xml:space="preserve">secret CRUD, rotation, policy hooks, key mgmt integration</t>
  </si>
  <si>
    <t xml:space="preserve">metric IDs, calc contracts, certification state machine</t>
  </si>
  <si>
    <t xml:space="preserve">regulator message schemas, submission logs, immutable records hooks, ack/receipt model, OTel</t>
  </si>
  <si>
    <t xml:space="preserve">verification workflow, exception model, event bus envelope, evidence pack</t>
  </si>
  <si>
    <t xml:space="preserve">OpenAPI, event contract (CloudEvents/AsyncAPI</t>
  </si>
  <si>
    <t xml:space="preserve">case schema, SLA clocks, notification templates binding, audit/evidence export, OTel</t>
  </si>
  <si>
    <t xml:space="preserve">routing rules, escalation policies, SLA breach events, runbook links</t>
  </si>
  <si>
    <t xml:space="preserve">SLO definitions, indicator bindings, error budget model, change workflow hooks</t>
  </si>
  <si>
    <t xml:space="preserve">RFx objects, bid schemas, evaluation scoring, decision/evidence export</t>
  </si>
  <si>
    <t xml:space="preserve">spares catalog schema, reorder rules, inventory linkage contract</t>
  </si>
  <si>
    <t xml:space="preserve">SSO/OIDC, RBAC/ABAC, AuditEvent v1, Evidence-Link API, Doc API, Workflow hooks, OTel, Correlation-ID, Error Model, Export/Pack</t>
  </si>
  <si>
    <t xml:space="preserve">study schema, timepoint plans, results linkage, evidence export</t>
  </si>
  <si>
    <t xml:space="preserve">stakeholder object model, salience scoring, relationship graph binding, audit hooks</t>
  </si>
  <si>
    <t xml:space="preserve">stream job spec, windowing policy, late event handling, contract bindings, OTel</t>
  </si>
  <si>
    <t xml:space="preserve">risk scoring model, scorecards w/ certified metrics, remediation workflow handoff</t>
  </si>
  <si>
    <t xml:space="preserve">SUPPLIER-QUALITY-BUNDLE</t>
  </si>
  <si>
    <t xml:space="preserve">SCAR model, supplier linkage, scorecards refs</t>
  </si>
  <si>
    <t xml:space="preserve">TASK-BUNDLE</t>
  </si>
  <si>
    <t xml:space="preserve">task templates, checklist schema, assignment rules</t>
  </si>
  <si>
    <t xml:space="preserve">taxonomy model, tag lifecycle, rule-based tagging, approval workflow, audit hooks</t>
  </si>
  <si>
    <t xml:space="preserve">shipment schema, status events, POD artifact model, evidence export, OTel</t>
  </si>
  <si>
    <t xml:space="preserve">TP dataset contracts, lineage hooks, evidence pack export</t>
  </si>
  <si>
    <t xml:space="preserve">TPRM-BUNDLE</t>
  </si>
  <si>
    <t xml:space="preserve">vendor assessment model, acceptance workflow, monitoring events, evidence refs</t>
  </si>
  <si>
    <t xml:space="preserve">canonical ID schema, correlation header rules, trace stitching contract</t>
  </si>
  <si>
    <t xml:space="preserve">TRADEOFF-BUNDLE</t>
  </si>
  <si>
    <t xml:space="preserve">trade-off model, value map schema, decision linkage</t>
  </si>
  <si>
    <t xml:space="preserve">training plan schema, curriculum map, completion evidence, workflow hooks</t>
  </si>
  <si>
    <t xml:space="preserve">trust KPI model, reporting pack schema, evidence export contract</t>
  </si>
  <si>
    <t xml:space="preserve">intake schema, routing rules, consent hooks, evidence links</t>
  </si>
  <si>
    <t xml:space="preserve">webhook spec, delivery events, retry/idempotency, signature verification hooks</t>
  </si>
  <si>
    <t xml:space="preserve">warehouse task schema, scan events, exception model, OTel</t>
  </si>
  <si>
    <t xml:space="preserve">count tasks, variance schema, approvals optional, evidence export</t>
  </si>
  <si>
    <t xml:space="preserve">wave objects, optimization params, KPI bindings</t>
  </si>
  <si>
    <t xml:space="preserve">approval, SLA, escalation, waiver lifecycle events</t>
  </si>
  <si>
    <t xml:space="preserve">values model, WoW templates, playbook versioning, adoption linkages</t>
  </si>
  <si>
    <t xml:space="preserve">page pattern schema, component standard schema, wizard metadata schema, accessibility checklist, AuditEvent v1, Correlation-ID, OTel</t>
  </si>
  <si>
    <t xml:space="preserve">Module gap closure update</t>
  </si>
  <si>
    <t xml:space="preserve">Used by MOD-0286.</t>
  </si>
  <si>
    <t xml:space="preserve">user preference schema, workspace personalization API, preference changed events, AuditEvent v1, Correlation-ID, OTel</t>
  </si>
  <si>
    <t xml:space="preserve">Used by MOD-0287.</t>
  </si>
  <si>
    <t xml:space="preserve">person reference contract, position assignment contract, org unit contract, delegation event, AuditEvent v1, Correlation-ID, OTel</t>
  </si>
  <si>
    <t xml:space="preserve">Used by MOD-0288.</t>
  </si>
  <si>
    <t xml:space="preserve">bank master schema, bank account schema, validation status event, account change approval contract, AuditEvent v1, Evidence Link, Correlation-ID, OTel</t>
  </si>
  <si>
    <t xml:space="preserve">Used by MOD-0289.</t>
  </si>
  <si>
    <t xml:space="preserve">product master schema, item master schema, SKU schema, UoM mapping, lifecycle event, AuditEvent v1, Correlation-ID, OTel</t>
  </si>
  <si>
    <t xml:space="preserve">Used by MOD-0290.</t>
  </si>
  <si>
    <t xml:space="preserve">financial dimension schema, cost object schema, dimension set schema, approval event, AuditEvent v1, Correlation-ID, OTel</t>
  </si>
  <si>
    <t xml:space="preserve">Used by MOD-0291.</t>
  </si>
  <si>
    <t xml:space="preserve">agent definition schema, version schema, owner assignment, risk classification, lifecycle events, deployment state, AuditEvent v1, Correlation-ID, OTel</t>
  </si>
  <si>
    <t xml:space="preserve">Agent operations module update</t>
  </si>
  <si>
    <t xml:space="preserve">Used by MOD-0292.</t>
  </si>
  <si>
    <t xml:space="preserve">agent run schema, run-step schema, runtime state transition event, approval checkpoint event, execution trace event, failure/retry event, AuditEvent v1, Correlation-ID, OTel</t>
  </si>
  <si>
    <t xml:space="preserve">Used by MOD-0293.</t>
  </si>
  <si>
    <t xml:space="preserve">tool definition schema, adapter contract, tool invocation request/response, tool access scope schema, tool health event, secrets hook, AuditEvent v1, Correlation-ID, OTel</t>
  </si>
  <si>
    <t xml:space="preserve">Used by MOD-0294.</t>
  </si>
  <si>
    <t xml:space="preserve">agent inbox item schema, recommendation view contract, approval handoff contract, exception view contract, dashboard query API, AuditEvent v1, Correlation-ID, OTel</t>
  </si>
  <si>
    <t xml:space="preserve">Used by MOD-0295.</t>
  </si>
  <si>
    <t xml:space="preserve">agent policy schema, guardrail rule schema, approval threshold rule, blocked action rule, policy decision event, policy violation event, AuditEvent v1, Correlation-ID, OTel</t>
  </si>
  <si>
    <t xml:space="preserve">Used by MOD-0296.</t>
  </si>
  <si>
    <t xml:space="preserve">HR workspace schema, navigation state, HR saved views, workspace queue view, AuditEvent v1, Correlation-ID, OTel</t>
  </si>
  <si>
    <t xml:space="preserve">HCM foundation update</t>
  </si>
  <si>
    <t xml:space="preserve">Used by MOD-0297.</t>
  </si>
  <si>
    <t xml:space="preserve">employee profile projection schema, employment snapshot schema, assignment context schema, position binding contract, manager hierarchy view contract, AuditEvent v1, Correlation-ID, OTel</t>
  </si>
  <si>
    <t xml:space="preserve">Used by MOD-0298-MOD-0299.</t>
  </si>
  <si>
    <t xml:space="preserve">requisition schema, applicant intake schema, pipeline stage schema, interview feedback schema, offer schema, hiring decision event, AuditEvent v1, Correlation-ID, OTel</t>
  </si>
  <si>
    <t xml:space="preserve">Used by MOD-0300-MOD-0302.</t>
  </si>
  <si>
    <t xml:space="preserve">onboarding case schema, manual hire entry contract, employment change schema, offboarding case schema, exit interview schema, exit summary event, AuditEvent v1, Correlation-ID, OTel</t>
  </si>
  <si>
    <t xml:space="preserve">Used by MOD-0303-MOD-0305.</t>
  </si>
  <si>
    <t xml:space="preserve">performance review schema, competency schema, skill rating schema, development plan schema, training record schema, succession pool schema, HiPo record schema, AuditEvent v1, Correlation-ID, OTel</t>
  </si>
  <si>
    <t xml:space="preserve">Used by MOD-0306-MOD-0309 and MOD-0320.</t>
  </si>
  <si>
    <t xml:space="preserve">workforce plan schema, demand scenario schema, capacity assumption schema, headcount plan schema, position budget plan schema, approval snapshot event, AuditEvent v1, Correlation-ID, OTel</t>
  </si>
  <si>
    <t xml:space="preserve">Used by MOD-0310-MOD-0311.</t>
  </si>
  <si>
    <t xml:space="preserve">HR KPI mapping schema, dashboard query contract, metric ownership reference, analytics saved view contract, AuditEvent v1, Correlation-ID, OTel</t>
  </si>
  <si>
    <t xml:space="preserve">Used by MOD-0312.</t>
  </si>
  <si>
    <t xml:space="preserve">HR evidence package schema, HR document link contract, retention view contract, legal hold reference, AuditEvent v1, Correlation-ID, OTel</t>
  </si>
  <si>
    <t xml:space="preserve">Used by MOD-0313.</t>
  </si>
  <si>
    <t xml:space="preserve">HR access policy schema, sensitive-data classification, access review event, governance exception schema, AuditEvent v1, Correlation-ID, OTel</t>
  </si>
  <si>
    <t xml:space="preserve">Used by MOD-0314.</t>
  </si>
  <si>
    <t xml:space="preserve">leave balance view contract, absence record contract, timesheet snapshot contract, compensation view contract, benefit assignment reference, payroll status reference, exception event, AuditEvent v1, Correlation-ID, OTel</t>
  </si>
  <si>
    <t xml:space="preserve">Used by MOD-0315-MOD-0316.</t>
  </si>
  <si>
    <t xml:space="preserve">HR case schema, grievance schema, disciplinary action schema, investigation record schema, warning record schema, evidence link, AuditEvent v1, Correlation-ID, OTel</t>
  </si>
  <si>
    <t xml:space="preserve">Used by MOD-0317.</t>
  </si>
  <si>
    <t xml:space="preserve">statutory report package schema, expiry record schema, submission evidence link, compliance dashboard query, AuditEvent v1, Correlation-ID, OTel</t>
  </si>
  <si>
    <t xml:space="preserve">Used by MOD-0318.</t>
  </si>
  <si>
    <t xml:space="preserve">self-service request schema, manager team view contract, approval inbox contract, channel preference reference, AuditEvent v1, Correlation-ID, OTel</t>
  </si>
  <si>
    <t xml:space="preserve">Used by MOD-0319.</t>
  </si>
  <si>
    <t xml:space="preserve">candidate identity/profile, member context, consent visibility, AuditEvent v1, Correlation-ID, OTel</t>
  </si>
  <si>
    <t xml:space="preserve">Foundation modules.</t>
  </si>
  <si>
    <t xml:space="preserve">review-board case, access grant, trust signature, restricted visibility, evidence links, AuditEvent v1</t>
  </si>
  <si>
    <t xml:space="preserve">Governance and restricted records.</t>
  </si>
  <si>
    <t xml:space="preserve">exit reference, reference request/response, rehire recommendation, dispute binding, signal rules</t>
  </si>
  <si>
    <t xml:space="preserve">Reference network.</t>
  </si>
  <si>
    <t xml:space="preserve">talent pool, skill passport, career passport, development, certification, mentorship schemas</t>
  </si>
  <si>
    <t xml:space="preserve">Talent growth network.</t>
  </si>
  <si>
    <t xml:space="preserve">benchmark dataset, analytics mart, forecast scenario, skill gap heatmap, mobility schema</t>
  </si>
  <si>
    <t xml:space="preserve">Workforce intelligence.</t>
  </si>
  <si>
    <t xml:space="preserve">member registry, membership lifecycle, operations case, sanction/legal request/export schemas</t>
  </si>
  <si>
    <t xml:space="preserve">Association operations.</t>
  </si>
  <si>
    <t xml:space="preserve">competency framework, role library, interview bank, HR best practice, learning content schemas</t>
  </si>
  <si>
    <t xml:space="preserve">Industry Knowledge Network.</t>
  </si>
  <si>
    <t xml:space="preserve">Dependency Type</t>
  </si>
  <si>
    <t xml:space="preserve">Validation Flag</t>
  </si>
  <si>
    <t xml:space="preserve">HARD</t>
  </si>
  <si>
    <t xml:space="preserve">OK</t>
  </si>
  <si>
    <t xml:space="preserve">NONE</t>
  </si>
  <si>
    <t xml:space="preserve">Required for governed navigation runtime and admin console.</t>
  </si>
  <si>
    <t xml:space="preserve">OPTIONAL</t>
  </si>
  <si>
    <t xml:space="preserve">Optional for feature-flagged menu visibility.</t>
  </si>
  <si>
    <t xml:space="preserve">Added during module gap closure update</t>
  </si>
  <si>
    <t xml:space="preserve">Added during agent operations module update; no duplicate shared-service ownership.</t>
  </si>
  <si>
    <t xml:space="preserve">Added during HCM foundation update; preserves external SoR and shared-service boundaries.</t>
  </si>
  <si>
    <t xml:space="preserve">Added during Talent Ecosystem update; preserves HCM, external SoR, and shared-service boundaries.</t>
  </si>
  <si>
    <t xml:space="preserve">Release Candidate?</t>
  </si>
  <si>
    <t xml:space="preserve">Rationale</t>
  </si>
  <si>
    <t xml:space="preserve">In release scope</t>
  </si>
  <si>
    <t xml:space="preserve">Registry &amp; Control Plane</t>
  </si>
  <si>
    <t xml:space="preserve">Not in release scope</t>
  </si>
  <si>
    <t xml:space="preserve">External Provider Onboarding</t>
  </si>
  <si>
    <t xml:space="preserve">Platform Extension</t>
  </si>
  <si>
    <t xml:space="preserve">Foundational platform shell/navigation capability required for access-aware module discovery and governed UX shell.</t>
  </si>
  <si>
    <t xml:space="preserve">Foundational platform capability required for coherent UI/page delivery.</t>
  </si>
  <si>
    <t xml:space="preserve">Platform foundation candidate for personalized user workspace behavior.</t>
  </si>
  <si>
    <t xml:space="preserve">Platform foundation candidate for workflow routing, ownership, delegation, and approval context.</t>
  </si>
  <si>
    <t xml:space="preserve">Domain foundation gap; add after platform foundations stabilize.</t>
  </si>
  <si>
    <t xml:space="preserve">Foundational platform candidate; required before runtime execution, tool access, and policy enforcement.</t>
  </si>
  <si>
    <t xml:space="preserve">Build after registry and guardrails are stable; execution runtime carries higher operational risk.</t>
  </si>
  <si>
    <t xml:space="preserve">Build after guardrails because tool execution must be policy-mediated and auditable.</t>
  </si>
  <si>
    <t xml:space="preserve">Experience layer should follow registry, runtime, and guardrail foundations.</t>
  </si>
  <si>
    <t xml:space="preserve">Mandatory governance candidate; must exist before any operational agent can execute controlled actions.</t>
  </si>
  <si>
    <t xml:space="preserve">HCM foundation candidate; required before Talent Ecosystem Platform.</t>
  </si>
  <si>
    <t xml:space="preserve">Planned HR completion module after HCM foundation stabilizes.</t>
  </si>
  <si>
    <t xml:space="preserve">HR Sensitive Ops / Interface</t>
  </si>
  <si>
    <t xml:space="preserve">MVP candidate for Industry Reference Network foundation.</t>
  </si>
  <si>
    <t xml:space="preserve">Planned later-phase Talent Ecosystem module.</t>
  </si>
  <si>
    <t xml:space="preserve">System Navigation Management Blueprint Update</t>
  </si>
  <si>
    <t xml:space="preserve">Decision</t>
  </si>
  <si>
    <t xml:space="preserve">Create separate module; do not merge into MOD-0014</t>
  </si>
  <si>
    <t xml:space="preserve">New Module ID</t>
  </si>
  <si>
    <t xml:space="preserve">Boundary</t>
  </si>
  <si>
    <t xml:space="preserve">MOD-0014 owns module metadata and boundaries. MOD-0285 owns menu/navigation tree, route placement, published navigation versions, and access-aware runtime menu rendering.</t>
  </si>
  <si>
    <t xml:space="preserve">Updated Sheet</t>
  </si>
  <si>
    <t xml:space="preserve">Inserted / Updated Rows</t>
  </si>
  <si>
    <t xml:space="preserve">Purpose</t>
  </si>
  <si>
    <t xml:space="preserve">Blueprint_Data</t>
  </si>
  <si>
    <t xml:space="preserve">Row 286</t>
  </si>
  <si>
    <t xml:space="preserve">Full master data record</t>
  </si>
  <si>
    <t xml:space="preserve">Done</t>
  </si>
  <si>
    <t xml:space="preserve">Blueprint_View</t>
  </si>
  <si>
    <t xml:space="preserve">Row 280</t>
  </si>
  <si>
    <t xml:space="preserve">Visible blueprint record</t>
  </si>
  <si>
    <t xml:space="preserve">Checks</t>
  </si>
  <si>
    <t xml:space="preserve">Release/dependency check stub</t>
  </si>
  <si>
    <t xml:space="preserve">Release_Backlog</t>
  </si>
  <si>
    <t xml:space="preserve">Row 282</t>
  </si>
  <si>
    <t xml:space="preserve">Release backlog row</t>
  </si>
  <si>
    <t xml:space="preserve">Release_Candidates</t>
  </si>
  <si>
    <t xml:space="preserve">Candidate/gate row</t>
  </si>
  <si>
    <t xml:space="preserve">Dependencies</t>
  </si>
  <si>
    <t xml:space="preserve">Rows 1250:1255</t>
  </si>
  <si>
    <t xml:space="preserve">Hard/optional dependencies</t>
  </si>
  <si>
    <t xml:space="preserve">Dependencies_Normalized</t>
  </si>
  <si>
    <t xml:space="preserve">Normalized dependencies</t>
  </si>
  <si>
    <t xml:space="preserve">SoR_Map</t>
  </si>
  <si>
    <t xml:space="preserve">Rows 245:251</t>
  </si>
  <si>
    <t xml:space="preserve">System-of-record objects</t>
  </si>
  <si>
    <t xml:space="preserve">Module Pages</t>
  </si>
  <si>
    <t xml:space="preserve">Rows 3200:3204</t>
  </si>
  <si>
    <t xml:space="preserve">Page coverage</t>
  </si>
  <si>
    <t xml:space="preserve">VERSION_LOG</t>
  </si>
  <si>
    <t xml:space="preserve">Row 10</t>
  </si>
  <si>
    <t xml:space="preserve">Change log</t>
  </si>
  <si>
    <t xml:space="preserve">Module Gap Closure Update</t>
  </si>
  <si>
    <t xml:space="preserve">Update Date</t>
  </si>
  <si>
    <t xml:space="preserve">Added six additional modules identified as core blueprint gaps after MOD-0285.</t>
  </si>
  <si>
    <t xml:space="preserve">Added Module ID</t>
  </si>
  <si>
    <t xml:space="preserve">Primary Gap Closed</t>
  </si>
  <si>
    <t xml:space="preserve">UI/page-pattern governance, wizard standards, component governance</t>
  </si>
  <si>
    <t xml:space="preserve">User preferences, favorites, pinned navigation, workspace personalization</t>
  </si>
  <si>
    <t xml:space="preserve">Platform person/position/org directory and workflow routing bindings</t>
  </si>
  <si>
    <t xml:space="preserve">Bank master and legal entity/supplier bank account registry</t>
  </si>
  <si>
    <t xml:space="preserve">Product, item, SKU, UoM, and canonical product identifiers</t>
  </si>
  <si>
    <t xml:space="preserve">Financial dimensions, cost objects, cost centers, and profit centers</t>
  </si>
  <si>
    <t xml:space="preserve">Updated Sheets</t>
  </si>
  <si>
    <t xml:space="preserve">Blueprint_Data; Blueprint_View; Checks; Release_Backlog; Release_Candidates; Dependencies; Dependencies_Normalized; SoR_Map; Module Pages; Enterprise Object Catalog; Contract Bundle Dictionary; Standards; VERSION_LOG</t>
  </si>
  <si>
    <t xml:space="preserve">Boundary Note</t>
  </si>
  <si>
    <t xml:space="preserve">No RBAC, audit, workflow, or external provider ownership was duplicated. New modules consume existing shared services.</t>
  </si>
  <si>
    <t xml:space="preserve">Remaining Data Quality Note</t>
  </si>
  <si>
    <t xml:space="preserve">Source workbook still contains pre-existing Release_Backlog #NAME? formula artifacts and existing page coverage gaps for MOD-0279/MOD-0280.</t>
  </si>
  <si>
    <t xml:space="preserve">Agent Operations Blueprint Update</t>
  </si>
  <si>
    <t xml:space="preserve">Added five Agent Operations &amp; Governance modules using MOD-0292-MOD-0296 because MOD-0290 and MOD-0291 are already assigned in the uploaded blueprint.</t>
  </si>
  <si>
    <t xml:space="preserve">Boundary Rule</t>
  </si>
  <si>
    <t xml:space="preserve">Agent modules orchestrate and govern agent behavior only. They do not own supplier, invoice, contract, cash-flow, project, legal entity, or payment business objects.</t>
  </si>
  <si>
    <t xml:space="preserve">ID Collision Note</t>
  </si>
  <si>
    <t xml:space="preserve">Requested MOD-0290/MOD-0291 agent IDs were not reused because existing workbook already assigns them to Product / Item / SKU Master and Financial Dimensions &amp; Cost Object Registry.</t>
  </si>
  <si>
    <t xml:space="preserve">Source workbook still contains pre-existing Release_Backlog #NAME? artifacts and existing Page Coverage Check gaps for MOD-0279/MOD-0280.</t>
  </si>
  <si>
    <t xml:space="preserve">Human Capital Management Foundation Update</t>
  </si>
  <si>
    <t xml:space="preserve">Updated HCM module names and boundaries for internal-only HCM architecture. MOD-0251, MOD-0279, MOD-0280, and MOD-0281 are now native internal HCM capabilities.</t>
  </si>
  <si>
    <t xml:space="preserve">HCM is a native internal capability layer. HRIS, payroll, time-attendance, and document repository capabilities are treated as internal modules in the HCM/TEP development plan.</t>
  </si>
  <si>
    <t xml:space="preserve">Cluster</t>
  </si>
  <si>
    <t xml:space="preserve">Module Code</t>
  </si>
  <si>
    <t xml:space="preserve">Ownership Model</t>
  </si>
  <si>
    <t xml:space="preserve">Phase</t>
  </si>
  <si>
    <t xml:space="preserve">Presentation / workspace shell</t>
  </si>
  <si>
    <t xml:space="preserve">Native HCM workspace</t>
  </si>
  <si>
    <t xml:space="preserve">Workspace over MOD-0251 internal employee master.</t>
  </si>
  <si>
    <t xml:space="preserve">HR assignment layer</t>
  </si>
  <si>
    <t xml:space="preserve">Native HR workflow</t>
  </si>
  <si>
    <t xml:space="preserve">Owns HR offer workflow records; compensation and payroll data are governed by internal HCM payroll/compensation modules.</t>
  </si>
  <si>
    <t xml:space="preserve">Owns workflow records; finalized employment changes update internal Core HR / Employee Master as governed events.</t>
  </si>
  <si>
    <t xml:space="preserve">Native HR record owner</t>
  </si>
  <si>
    <t xml:space="preserve">Native HR learning record</t>
  </si>
  <si>
    <t xml:space="preserve">Native HR planning owner</t>
  </si>
  <si>
    <t xml:space="preserve">Facade over shared analytics</t>
  </si>
  <si>
    <t xml:space="preserve">Facade over shared docs/evidence</t>
  </si>
  <si>
    <t xml:space="preserve">HR governance policy layer</t>
  </si>
  <si>
    <t xml:space="preserve">Workspace over internal time/leave</t>
  </si>
  <si>
    <t xml:space="preserve">Native HCM compensation</t>
  </si>
  <si>
    <t xml:space="preserve">Native compensation and benefits management; uses MOD-0279 and MOD-0281 internal payroll capabilities.</t>
  </si>
  <si>
    <t xml:space="preserve">Native HR sensitive case owner</t>
  </si>
  <si>
    <t xml:space="preserve">Native HR reporting layer</t>
  </si>
  <si>
    <t xml:space="preserve">Channel / interaction layer</t>
  </si>
  <si>
    <t xml:space="preserve">Native HR planning record</t>
  </si>
  <si>
    <t xml:space="preserve">Existing Modules Kept</t>
  </si>
  <si>
    <t xml:space="preserve">MOD-0251, MOD-0279, MOD-0280, MOD-0281, MOD-0288 and shared platform services were reclassified for internal-only HCM naming where applicable.</t>
  </si>
  <si>
    <t xml:space="preserve">Industry Talent Ecosystem Platform Update Summary</t>
  </si>
  <si>
    <t xml:space="preserve">Capability Block</t>
  </si>
  <si>
    <t xml:space="preserve">Code Range</t>
  </si>
  <si>
    <t xml:space="preserve">MOD-0321 through MOD-0351</t>
  </si>
  <si>
    <t xml:space="preserve">Sector-wide talent trust/reference/reputation/mobility/workforce intelligence; consumes HCM Foundation outputs and does not replace HCM or external HR systems.</t>
  </si>
  <si>
    <t xml:space="preserve">Product shell / workspace</t>
  </si>
  <si>
    <t xml:space="preserve">Depends on: UI shell; RBAC; HCM Foundation. Existing master modules kept unchanged.</t>
  </si>
  <si>
    <t xml:space="preserve">Sector-wide candidate identity owner</t>
  </si>
  <si>
    <t xml:space="preserve">Depends on: MOD-0298; MOD-0288; Identity/RBAC. Existing master modules kept unchanged.</t>
  </si>
  <si>
    <t xml:space="preserve">Association membership owner</t>
  </si>
  <si>
    <t xml:space="preserve">Depends on: MOD-0324; RBAC. Existing master modules kept unchanged.</t>
  </si>
  <si>
    <t xml:space="preserve">Talent-network access governance</t>
  </si>
  <si>
    <t xml:space="preserve">Depends on: MOD-0018; MOD-0021; MOD-0288. Existing master modules kept unchanged.</t>
  </si>
  <si>
    <t xml:space="preserve">Talent access policy owner</t>
  </si>
  <si>
    <t xml:space="preserve">Depends on: RBAC; Audit; Notification. Existing master modules kept unchanged.</t>
  </si>
  <si>
    <t xml:space="preserve">Review board workflow owner</t>
  </si>
  <si>
    <t xml:space="preserve">Depends on: Workflow; Audit; Evidence. Existing master modules kept unchanged.</t>
  </si>
  <si>
    <t xml:space="preserve">Industry reference record owner</t>
  </si>
  <si>
    <t xml:space="preserve">Depends on: MOD-0305; MOD-0313; MOD-0314. Existing master modules kept unchanged.</t>
  </si>
  <si>
    <t xml:space="preserve">HR-to-HR reference workflow owner</t>
  </si>
  <si>
    <t xml:space="preserve">Depends on: MOD-0327; Workflow; Notification. Existing master modules kept unchanged.</t>
  </si>
  <si>
    <t xml:space="preserve">Rehire recommendation owner</t>
  </si>
  <si>
    <t xml:space="preserve">Depends on: MOD-0327; MOD-0330. Existing master modules kept unchanged.</t>
  </si>
  <si>
    <t xml:space="preserve">Trust validation owner</t>
  </si>
  <si>
    <t xml:space="preserve">Depends on: Evidence; Workflow; Audit. Existing master modules kept unchanged.</t>
  </si>
  <si>
    <t xml:space="preserve">Candidate response/dispute owner</t>
  </si>
  <si>
    <t xml:space="preserve">Depends on: MOD-0322; MOD-0327; MOD-0326. Existing master modules kept unchanged.</t>
  </si>
  <si>
    <t xml:space="preserve">Rule-based signal owner</t>
  </si>
  <si>
    <t xml:space="preserve">Depends on: MOD-0327; MOD-0331; MOD-0334. Existing master modules kept unchanged.</t>
  </si>
  <si>
    <t xml:space="preserve">Pattern signal owner</t>
  </si>
  <si>
    <t xml:space="preserve">Depends on: MOD-0332; Analytics. Existing master modules kept unchanged.</t>
  </si>
  <si>
    <t xml:space="preserve">Restricted serious-case owner</t>
  </si>
  <si>
    <t xml:space="preserve">Depends on: MOD-0326; Evidence; Audit. Existing master modules kept unchanged.</t>
  </si>
  <si>
    <t xml:space="preserve">Positive reputation signal owner</t>
  </si>
  <si>
    <t xml:space="preserve">Depends on: MOD-0306; MOD-0307; MOD-0327. Existing master modules kept unchanged.</t>
  </si>
  <si>
    <t xml:space="preserve">Sector talent foundation owner</t>
  </si>
  <si>
    <t xml:space="preserve">Depends on: MOD-0306; MOD-0307; MOD-0322. Existing master modules kept unchanged.</t>
  </si>
  <si>
    <t xml:space="preserve">Available/trusted talent pool owner</t>
  </si>
  <si>
    <t xml:space="preserve">Depends on: MOD-0322; MOD-0335; MOD-0336. Existing master modules kept unchanged.</t>
  </si>
  <si>
    <t xml:space="preserve">Sector skill passport owner</t>
  </si>
  <si>
    <t xml:space="preserve">Depends on: MOD-0307; MOD-0336. Existing master modules kept unchanged.</t>
  </si>
  <si>
    <t xml:space="preserve">Candidate career passport owner</t>
  </si>
  <si>
    <t xml:space="preserve">Depends on: MOD-0322; MOD-0338; MOD-0342. Existing master modules kept unchanged.</t>
  </si>
  <si>
    <t xml:space="preserve">Development pathway owner</t>
  </si>
  <si>
    <t xml:space="preserve">Depends on: MOD-0308; MOD-0309; MOD-0338. Existing master modules kept unchanged.</t>
  </si>
  <si>
    <t xml:space="preserve">Sector succession pool owner</t>
  </si>
  <si>
    <t xml:space="preserve">Depends on: MOD-0320; MOD-0337. Existing master modules kept unchanged.</t>
  </si>
  <si>
    <t xml:space="preserve">Certification verification owner</t>
  </si>
  <si>
    <t xml:space="preserve">Depends on: Docs/Evidence; External issuers. Existing master modules kept unchanged.</t>
  </si>
  <si>
    <t xml:space="preserve">Mentoring/recommendation workflow owner</t>
  </si>
  <si>
    <t xml:space="preserve">Depends on: MOD-0335; MOD-0340. Existing master modules kept unchanged.</t>
  </si>
  <si>
    <t xml:space="preserve">Aggregated salary benchmark owner</t>
  </si>
  <si>
    <t xml:space="preserve">Depends on: MOD-0316; Analytics; Anonymization. Existing master modules kept unchanged.</t>
  </si>
  <si>
    <t xml:space="preserve">Sector analytics owner</t>
  </si>
  <si>
    <t xml:space="preserve">Depends on: MOD-0312; Data Warehouse. Existing master modules kept unchanged.</t>
  </si>
  <si>
    <t xml:space="preserve">Sector trend intelligence owner</t>
  </si>
  <si>
    <t xml:space="preserve">Depends on: Analytics; Taxonomy. Existing master modules kept unchanged.</t>
  </si>
  <si>
    <t xml:space="preserve">Forecasting owner</t>
  </si>
  <si>
    <t xml:space="preserve">Depends on: MOD-0310; MOD-0345. Existing master modules kept unchanged.</t>
  </si>
  <si>
    <t xml:space="preserve">Skill gap intelligence owner</t>
  </si>
  <si>
    <t xml:space="preserve">Depends on: MOD-0338; MOD-0345. Existing master modules kept unchanged.</t>
  </si>
  <si>
    <t xml:space="preserve">Talent mobility intelligence owner</t>
  </si>
  <si>
    <t xml:space="preserve">Depends on: MOD-0322; MOD-0337; Analytics. Existing master modules kept unchanged.</t>
  </si>
  <si>
    <t xml:space="preserve">Association operating workflow owner</t>
  </si>
  <si>
    <t xml:space="preserve">Depends on: MOD-0323; MOD-0326. Existing master modules kept unchanged.</t>
  </si>
  <si>
    <t xml:space="preserve">Knowledge library/community owner</t>
  </si>
  <si>
    <t xml:space="preserve">Depends on: Competency; Role; Learning content. Existing master modules kept unchanged.</t>
  </si>
  <si>
    <t xml:space="preserve">Gap Register Summary</t>
  </si>
  <si>
    <t xml:space="preserve">Generated</t>
  </si>
  <si>
    <t xml:space="preserve">Workbook</t>
  </si>
  <si>
    <t xml:space="preserve">Metric</t>
  </si>
  <si>
    <t xml:space="preserve">HCM module check flags</t>
  </si>
  <si>
    <t xml:space="preserve">0 / 24</t>
  </si>
  <si>
    <t xml:space="preserve">No missing deps, out-of-sequence, SoR collisions, or OM field gaps</t>
  </si>
  <si>
    <t xml:space="preserve">Talent Ecosystem module check flags</t>
  </si>
  <si>
    <t xml:space="preserve">0 / 31</t>
  </si>
  <si>
    <t xml:space="preserve">Portfolio release scope blanks</t>
  </si>
  <si>
    <t xml:space="preserve">Modules with blank Release Scope</t>
  </si>
  <si>
    <t xml:space="preserve">Portfolio release scope TBD</t>
  </si>
  <si>
    <t xml:space="preserve">Modules with Release Scope = TBD</t>
  </si>
  <si>
    <t xml:space="preserve">HCM release scope TBD</t>
  </si>
  <si>
    <t xml:space="preserve">All HCM modules currently have Release Scope = TBD</t>
  </si>
  <si>
    <t xml:space="preserve">Missing dependency flags</t>
  </si>
  <si>
    <t xml:space="preserve">Pre-existing module dependency gaps; none in HCM/Talent blocks</t>
  </si>
  <si>
    <t xml:space="preserve">Out-of-sequence flags</t>
  </si>
  <si>
    <t xml:space="preserve">Pre-existing sequence gaps</t>
  </si>
  <si>
    <t xml:space="preserve">SoR collision module flags</t>
  </si>
  <si>
    <t xml:space="preserve">Module-level collision flags</t>
  </si>
  <si>
    <t xml:space="preserve">SoR collision object groups</t>
  </si>
  <si>
    <t xml:space="preserve">Grouped SoR_Map collision rows</t>
  </si>
  <si>
    <t xml:space="preserve">Missing Module Pages</t>
  </si>
  <si>
    <t xml:space="preserve">Current master 6 has Module Pages for all Blueprint_Data modules</t>
  </si>
  <si>
    <t xml:space="preserve">Formula error matches</t>
  </si>
  <si>
    <t xml:space="preserve">43+ visible</t>
  </si>
  <si>
    <t xml:space="preserve">Module Status contains #NAME? / _xludf.AGGREGATE portability issue</t>
  </si>
  <si>
    <t xml:space="preserve">Severity</t>
  </si>
  <si>
    <t xml:space="preserve">Count</t>
  </si>
  <si>
    <t xml:space="preserve">Info</t>
  </si>
  <si>
    <t xml:space="preserve">Gap Type</t>
  </si>
  <si>
    <t xml:space="preserve">Formula Compatibility</t>
  </si>
  <si>
    <t xml:space="preserve">HCM Release Scope</t>
  </si>
  <si>
    <t xml:space="preserve">Out-of-Sequence Dependency</t>
  </si>
  <si>
    <t xml:space="preserve">Page Coverage Confirmation</t>
  </si>
  <si>
    <t xml:space="preserve">Release Scope Governance</t>
  </si>
  <si>
    <t xml:space="preserve">Gap ID</t>
  </si>
  <si>
    <t xml:space="preserve">Module ID(s)</t>
  </si>
  <si>
    <t xml:space="preserve">Module Name(s)</t>
  </si>
  <si>
    <t xml:space="preserve">Capability Block / Cluster</t>
  </si>
  <si>
    <t xml:space="preserve">Current Evidence</t>
  </si>
  <si>
    <t xml:space="preserve">Impact</t>
  </si>
  <si>
    <t xml:space="preserve">Suggested Fix</t>
  </si>
  <si>
    <t xml:space="preserve">Owner / Action Lane</t>
  </si>
  <si>
    <t xml:space="preserve">Release Gate Impact</t>
  </si>
  <si>
    <t xml:space="preserve">GAP-001</t>
  </si>
  <si>
    <t xml:space="preserve">PORTFOLIO</t>
  </si>
  <si>
    <t xml:space="preserve">Portfolio release-scope model</t>
  </si>
  <si>
    <t xml:space="preserve">All domains</t>
  </si>
  <si>
    <t xml:space="preserve">Release governance</t>
  </si>
  <si>
    <t xml:space="preserve">201 modules have blank Release Scope; 105 modules have TBD Release Scope. Release_Gate currently covers only R1 PPM MVP.</t>
  </si>
  <si>
    <t xml:space="preserve">Most modules are outside active release governance; sequencing gates cannot be enforced consistently.</t>
  </si>
  <si>
    <t xml:space="preserve">Assign release scopes or explicit Deferred/External/Backlog statuses across the portfolio; expand Release_Gate beyond R1 PPM MVP.</t>
  </si>
  <si>
    <t xml:space="preserve">Portfolio Architecture / PMO</t>
  </si>
  <si>
    <t xml:space="preserve">Open</t>
  </si>
  <si>
    <t xml:space="preserve">Yes</t>
  </si>
  <si>
    <t xml:space="preserve">Current master 6 workbook check.</t>
  </si>
  <si>
    <t xml:space="preserve">GAP-002</t>
  </si>
  <si>
    <t xml:space="preserve">Release Scope is TBD while dependent Talent Ecosystem modules have concrete scopes.</t>
  </si>
  <si>
    <t xml:space="preserve">Talent Ecosystem may appear shippable before its HCM foundation is governed and sequenced.</t>
  </si>
  <si>
    <t xml:space="preserve">Set Release Scope to 'HCM Foundation MVP' or explicitly mark Deferred with rationale.</t>
  </si>
  <si>
    <t xml:space="preserve">HCM Product Architecture</t>
  </si>
  <si>
    <t xml:space="preserve">Implementation Phase: HR Foundation MVP; Wave: W-2</t>
  </si>
  <si>
    <t xml:space="preserve">GAP-003</t>
  </si>
  <si>
    <t xml:space="preserve">GAP-004</t>
  </si>
  <si>
    <t xml:space="preserve">GAP-005</t>
  </si>
  <si>
    <t xml:space="preserve">Set Release Scope to 'HCM Completion' or explicitly mark Deferred with rationale.</t>
  </si>
  <si>
    <t xml:space="preserve">Implementation Phase: HR Completion; Wave: W-4</t>
  </si>
  <si>
    <t xml:space="preserve">GAP-006</t>
  </si>
  <si>
    <t xml:space="preserve">GAP-007</t>
  </si>
  <si>
    <t xml:space="preserve">GAP-008</t>
  </si>
  <si>
    <t xml:space="preserve">GAP-009</t>
  </si>
  <si>
    <t xml:space="preserve">GAP-010</t>
  </si>
  <si>
    <t xml:space="preserve">GAP-011</t>
  </si>
  <si>
    <t xml:space="preserve">GAP-012</t>
  </si>
  <si>
    <t xml:space="preserve">GAP-013</t>
  </si>
  <si>
    <t xml:space="preserve">GAP-014</t>
  </si>
  <si>
    <t xml:space="preserve">GAP-015</t>
  </si>
  <si>
    <t xml:space="preserve">GAP-016</t>
  </si>
  <si>
    <t xml:space="preserve">GAP-017</t>
  </si>
  <si>
    <t xml:space="preserve">GAP-018</t>
  </si>
  <si>
    <t xml:space="preserve">GAP-019</t>
  </si>
  <si>
    <t xml:space="preserve">GAP-020</t>
  </si>
  <si>
    <t xml:space="preserve">Set Release Scope to 'HCM Sensitive Ops' or explicitly mark Deferred with rationale.</t>
  </si>
  <si>
    <t xml:space="preserve">Implementation Phase: HR Sensitive Ops / Interface; Wave: W-3</t>
  </si>
  <si>
    <t xml:space="preserve">GAP-021</t>
  </si>
  <si>
    <t xml:space="preserve">GAP-022</t>
  </si>
  <si>
    <t xml:space="preserve">Implementation Phase: HR Sensitive Ops; Wave: W-3</t>
  </si>
  <si>
    <t xml:space="preserve">GAP-023</t>
  </si>
  <si>
    <t xml:space="preserve">GAP-024</t>
  </si>
  <si>
    <t xml:space="preserve">GAP-025</t>
  </si>
  <si>
    <t xml:space="preserve">GAP-026</t>
  </si>
  <si>
    <t xml:space="preserve">Missing Dependency Count = 1; Missing Dependencies = Release Governance &amp; Promotion</t>
  </si>
  <si>
    <t xml:space="preserve">Module sequencing may be blocked or dependent contract/interface may be undefined.</t>
  </si>
  <si>
    <t xml:space="preserve">Add missing dependency modules to blueprint, normalize dependency names to existing modules, or mark dependency as external/deferred with resolution note.</t>
  </si>
  <si>
    <t xml:space="preserve">Conditional</t>
  </si>
  <si>
    <t xml:space="preserve">Wave: W-3; Release Scope: (blank)</t>
  </si>
  <si>
    <t xml:space="preserve">GAP-027</t>
  </si>
  <si>
    <t xml:space="preserve">Missing Dependency Count = 1; Missing Dependencies = Data Dictionary / Glossary (later acceptable)</t>
  </si>
  <si>
    <t xml:space="preserve">GAP-028</t>
  </si>
  <si>
    <t xml:space="preserve">Missing Dependency Count = 1; Missing Dependencies = Document Management</t>
  </si>
  <si>
    <t xml:space="preserve">GAP-029</t>
  </si>
  <si>
    <t xml:space="preserve">Wave: W-4; Release Scope: (blank)</t>
  </si>
  <si>
    <t xml:space="preserve">GAP-030</t>
  </si>
  <si>
    <t xml:space="preserve">Missing Dependency Count = 1; Missing Dependencies = Records Management</t>
  </si>
  <si>
    <t xml:space="preserve">GAP-031</t>
  </si>
  <si>
    <t xml:space="preserve">Missing Dependency Count = 2; Missing Dependencies = SSO/MFA; RBAC/ABAC</t>
  </si>
  <si>
    <t xml:space="preserve">Wave: W-2; Release Scope: (blank)</t>
  </si>
  <si>
    <t xml:space="preserve">GAP-032</t>
  </si>
  <si>
    <t xml:space="preserve">Missing Dependency Count = 2; Missing Dependencies = Interface Registry (event interfaces); Event Taxonomy &amp; Naming Standard (minimum)</t>
  </si>
  <si>
    <t xml:space="preserve">GAP-033</t>
  </si>
  <si>
    <t xml:space="preserve">Missing Dependency Count = 1; Missing Dependencies = API/Event runtime</t>
  </si>
  <si>
    <t xml:space="preserve">GAP-034</t>
  </si>
  <si>
    <t xml:space="preserve">Missing Dependency Count = 1; Missing Dependencies = Event Bus</t>
  </si>
  <si>
    <t xml:space="preserve">GAP-035</t>
  </si>
  <si>
    <t xml:space="preserve">Missing Dependency Count = 1; Missing Dependencies = Core data stores</t>
  </si>
  <si>
    <t xml:space="preserve">GAP-036</t>
  </si>
  <si>
    <t xml:space="preserve">Missing Dependency Count = 1; Missing Dependencies = Observability maturity</t>
  </si>
  <si>
    <t xml:space="preserve">GAP-037</t>
  </si>
  <si>
    <t xml:space="preserve">Missing Dependency Count = 1; Missing Dependencies = baseline load data</t>
  </si>
  <si>
    <t xml:space="preserve">GAP-038</t>
  </si>
  <si>
    <t xml:space="preserve">Missing Dependency Count = 1; Missing Dependencies = Backup &amp; Restore baseline</t>
  </si>
  <si>
    <t xml:space="preserve">GAP-039</t>
  </si>
  <si>
    <t xml:space="preserve">Missing Dependency Count = 1; Missing Dependencies = SoR &amp; Ownership Registry</t>
  </si>
  <si>
    <t xml:space="preserve">GAP-040</t>
  </si>
  <si>
    <t xml:space="preserve">Missing Dependency Count = 1; Missing Dependencies = MDM</t>
  </si>
  <si>
    <t xml:space="preserve">GAP-041</t>
  </si>
  <si>
    <t xml:space="preserve">GAP-042</t>
  </si>
  <si>
    <t xml:space="preserve">GAP-043</t>
  </si>
  <si>
    <t xml:space="preserve">GAP-044</t>
  </si>
  <si>
    <t xml:space="preserve">GAP-045</t>
  </si>
  <si>
    <t xml:space="preserve">Missing Dependency Count = 1; Missing Dependencies = Data Dictionary/Glossary</t>
  </si>
  <si>
    <t xml:space="preserve">GAP-046</t>
  </si>
  <si>
    <t xml:space="preserve">Missing Dependency Count = 1; Missing Dependencies = Semantic Tagging</t>
  </si>
  <si>
    <t xml:space="preserve">GAP-047</t>
  </si>
  <si>
    <t xml:space="preserve">Missing Dependency Count = 1; Missing Dependencies = Data Warehouse/Lakehouse</t>
  </si>
  <si>
    <t xml:space="preserve">GAP-048</t>
  </si>
  <si>
    <t xml:space="preserve">Missing Dependency Count = 1; Missing Dependencies = Scorecards/Dashboards</t>
  </si>
  <si>
    <t xml:space="preserve">GAP-049</t>
  </si>
  <si>
    <t xml:space="preserve">Missing Dependency Count = 1; Missing Dependencies = Secrets Vault</t>
  </si>
  <si>
    <t xml:space="preserve">GAP-050</t>
  </si>
  <si>
    <t xml:space="preserve">Missing Dependency Count = 2; Missing Dependencies = Lakehouse; Scheduler/Job Orchestration</t>
  </si>
  <si>
    <t xml:space="preserve">GAP-051</t>
  </si>
  <si>
    <t xml:space="preserve">Missing Dependency Count = 2; Missing Dependencies = Event Bus; Lakehouse</t>
  </si>
  <si>
    <t xml:space="preserve">GAP-052</t>
  </si>
  <si>
    <t xml:space="preserve">Missing Dependency Count = 1; Missing Dependencies = Lakehouse</t>
  </si>
  <si>
    <t xml:space="preserve">GAP-053</t>
  </si>
  <si>
    <t xml:space="preserve">Missing Dependency Count = 1; Missing Dependencies = Model Registry</t>
  </si>
  <si>
    <t xml:space="preserve">GAP-054</t>
  </si>
  <si>
    <t xml:space="preserve">Missing Dependency Count = 1; Missing Dependencies = Prompt Registry</t>
  </si>
  <si>
    <t xml:space="preserve">GAP-055</t>
  </si>
  <si>
    <t xml:space="preserve">GAP-056</t>
  </si>
  <si>
    <t xml:space="preserve">Missing Dependency Count = 1; Missing Dependencies = Scenario Modeling</t>
  </si>
  <si>
    <t xml:space="preserve">GAP-057</t>
  </si>
  <si>
    <t xml:space="preserve">GAP-058</t>
  </si>
  <si>
    <t xml:space="preserve">Missing Dependency Count = 1; Missing Dependencies = Cockpit Builder</t>
  </si>
  <si>
    <t xml:space="preserve">GAP-059</t>
  </si>
  <si>
    <t xml:space="preserve">Missing Dependency Count = 2; Missing Dependencies = Alerting &amp; Runbooks; Integration Monitoring</t>
  </si>
  <si>
    <t xml:space="preserve">GAP-060</t>
  </si>
  <si>
    <t xml:space="preserve">Missing Dependency Count = 1; Missing Dependencies = Evidence Linking Service</t>
  </si>
  <si>
    <t xml:space="preserve">GAP-061</t>
  </si>
  <si>
    <t xml:space="preserve">GAP-062</t>
  </si>
  <si>
    <t xml:space="preserve">Missing Dependency Count = 1; Missing Dependencies = Billing integration surface</t>
  </si>
  <si>
    <t xml:space="preserve">GAP-063</t>
  </si>
  <si>
    <t xml:space="preserve">GAP-064</t>
  </si>
  <si>
    <t xml:space="preserve">Missing Dependency Count = 2; Missing Dependencies = Audit Trail; Evidence Linking</t>
  </si>
  <si>
    <t xml:space="preserve">GAP-065</t>
  </si>
  <si>
    <t xml:space="preserve">Missing Dependency Count = 1; Missing Dependencies = Canonical ID &amp; Correlation</t>
  </si>
  <si>
    <t xml:space="preserve">GAP-066</t>
  </si>
  <si>
    <t xml:space="preserve">GAP-067</t>
  </si>
  <si>
    <t xml:space="preserve">Missing Dependency Count = 2; Missing Dependencies = Data Warehouse/Lakehouse; Treasury integrations</t>
  </si>
  <si>
    <t xml:space="preserve">GAP-068</t>
  </si>
  <si>
    <t xml:space="preserve">Missing Dependency Count = 1; Missing Dependencies = Evidence Linking</t>
  </si>
  <si>
    <t xml:space="preserve">GAP-069</t>
  </si>
  <si>
    <t xml:space="preserve">GAP-070</t>
  </si>
  <si>
    <t xml:space="preserve">GAP-071</t>
  </si>
  <si>
    <t xml:space="preserve">GAP-072</t>
  </si>
  <si>
    <t xml:space="preserve">GAP-073</t>
  </si>
  <si>
    <t xml:space="preserve">GAP-074</t>
  </si>
  <si>
    <t xml:space="preserve">GAP-075</t>
  </si>
  <si>
    <t xml:space="preserve">GAP-076</t>
  </si>
  <si>
    <t xml:space="preserve">GAP-077</t>
  </si>
  <si>
    <t xml:space="preserve">Missing Dependency Count = 1; Missing Dependencies = AP</t>
  </si>
  <si>
    <t xml:space="preserve">GAP-078</t>
  </si>
  <si>
    <t xml:space="preserve">Missing Dependency Count = 2; Missing Dependencies = CLM; Document Mgmt</t>
  </si>
  <si>
    <t xml:space="preserve">GAP-079</t>
  </si>
  <si>
    <t xml:space="preserve">Missing Dependency Count = 1; Missing Dependencies = Supplier Onboarding</t>
  </si>
  <si>
    <t xml:space="preserve">GAP-080</t>
  </si>
  <si>
    <t xml:space="preserve">GAP-081</t>
  </si>
  <si>
    <t xml:space="preserve">Missing Dependency Count = 2; Missing Dependencies = Risk Register &amp; Controls; Supplier Onboarding</t>
  </si>
  <si>
    <t xml:space="preserve">GAP-082</t>
  </si>
  <si>
    <t xml:space="preserve">GAP-083</t>
  </si>
  <si>
    <t xml:space="preserve">Missing Dependency Count = 2; Missing Dependencies = SoR &amp; Ownership Registry; Canonical ID</t>
  </si>
  <si>
    <t xml:space="preserve">Wave: W-1; Release Scope: (blank)</t>
  </si>
  <si>
    <t xml:space="preserve">GAP-084</t>
  </si>
  <si>
    <t xml:space="preserve">Missing Dependency Count = 2; Missing Dependencies = Customer 360; Consent &amp; Preference Mgmt</t>
  </si>
  <si>
    <t xml:space="preserve">GAP-085</t>
  </si>
  <si>
    <t xml:space="preserve">Missing Dependency Count = 1; Missing Dependencies = Customer 360</t>
  </si>
  <si>
    <t xml:space="preserve">GAP-086</t>
  </si>
  <si>
    <t xml:space="preserve">GAP-087</t>
  </si>
  <si>
    <t xml:space="preserve">Missing Dependency Count = 1; Missing Dependencies = CLM</t>
  </si>
  <si>
    <t xml:space="preserve">GAP-088</t>
  </si>
  <si>
    <t xml:space="preserve">Missing Dependency Count = 2; Missing Dependencies = Notification Service; Audit Trail</t>
  </si>
  <si>
    <t xml:space="preserve">GAP-089</t>
  </si>
  <si>
    <t xml:space="preserve">Missing Dependency Count = 1; Missing Dependencies = Document Mgmt</t>
  </si>
  <si>
    <t xml:space="preserve">GAP-090</t>
  </si>
  <si>
    <t xml:space="preserve">GAP-091</t>
  </si>
  <si>
    <t xml:space="preserve">Missing Dependency Count = 2; Missing Dependencies = SSO/MFA; Audit Trail</t>
  </si>
  <si>
    <t xml:space="preserve">GAP-092</t>
  </si>
  <si>
    <t xml:space="preserve">Missing Dependency Count = 1; Missing Dependencies = Consent &amp; Preference Mgmt</t>
  </si>
  <si>
    <t xml:space="preserve">GAP-093</t>
  </si>
  <si>
    <t xml:space="preserve">GAP-094</t>
  </si>
  <si>
    <t xml:space="preserve">Missing Dependency Count = 2; Missing Dependencies = DWH/Lakehouse; Consent &amp; Preference Mgmt</t>
  </si>
  <si>
    <t xml:space="preserve">GAP-095</t>
  </si>
  <si>
    <t xml:space="preserve">Missing Dependency Count = 1; Missing Dependencies = AR</t>
  </si>
  <si>
    <t xml:space="preserve">GAP-096</t>
  </si>
  <si>
    <t xml:space="preserve">GAP-097</t>
  </si>
  <si>
    <t xml:space="preserve">Missing Dependency Count = 1; Missing Dependencies = Canonical ID</t>
  </si>
  <si>
    <t xml:space="preserve">GAP-098</t>
  </si>
  <si>
    <t xml:space="preserve">Missing Dependency Count = 1; Missing Dependencies = Lot/Batch/Serial</t>
  </si>
  <si>
    <t xml:space="preserve">GAP-099</t>
  </si>
  <si>
    <t xml:space="preserve">GAP-100</t>
  </si>
  <si>
    <t xml:space="preserve">Missing Dependency Count = 2; Missing Dependencies = Lot/Batch/Serial; Evidence Linking</t>
  </si>
  <si>
    <t xml:space="preserve">GAP-101</t>
  </si>
  <si>
    <t xml:space="preserve">Missing Dependency Count = 1; Missing Dependencies = Device integration</t>
  </si>
  <si>
    <t xml:space="preserve">GAP-102</t>
  </si>
  <si>
    <t xml:space="preserve">GAP-103</t>
  </si>
  <si>
    <t xml:space="preserve">Missing Dependency Count = 1; Missing Dependencies = DWH/Lakehouse</t>
  </si>
  <si>
    <t xml:space="preserve">GAP-104</t>
  </si>
  <si>
    <t xml:space="preserve">GAP-105</t>
  </si>
  <si>
    <t xml:space="preserve">Missing Dependency Count = 1; Missing Dependencies = supply constraints data</t>
  </si>
  <si>
    <t xml:space="preserve">GAP-106</t>
  </si>
  <si>
    <t xml:space="preserve">Missing Dependency Count = 1; Missing Dependencies = manufacturing telemetry</t>
  </si>
  <si>
    <t xml:space="preserve">GAP-107</t>
  </si>
  <si>
    <t xml:space="preserve">GAP-108</t>
  </si>
  <si>
    <t xml:space="preserve">Missing Dependency Count = 1; Missing Dependencies = CMDB/Asset Mgmt</t>
  </si>
  <si>
    <t xml:space="preserve">GAP-109</t>
  </si>
  <si>
    <t xml:space="preserve">GAP-110</t>
  </si>
  <si>
    <t xml:space="preserve">Missing Dependency Count = 2; Missing Dependencies = CMDB/Asset Mgmt; Evidence Linking</t>
  </si>
  <si>
    <t xml:space="preserve">GAP-111</t>
  </si>
  <si>
    <t xml:space="preserve">GAP-112</t>
  </si>
  <si>
    <t xml:space="preserve">GAP-113</t>
  </si>
  <si>
    <t xml:space="preserve">GAP-114</t>
  </si>
  <si>
    <t xml:space="preserve">GAP-115</t>
  </si>
  <si>
    <t xml:space="preserve">GAP-116</t>
  </si>
  <si>
    <t xml:space="preserve">GAP-117</t>
  </si>
  <si>
    <t xml:space="preserve">Missing Dependency Count = 2; Missing Dependencies = Supplier Onboarding; Policy Mgmt &amp; Attestations</t>
  </si>
  <si>
    <t xml:space="preserve">GAP-118</t>
  </si>
  <si>
    <t xml:space="preserve">GAP-119</t>
  </si>
  <si>
    <t xml:space="preserve">GAP-120</t>
  </si>
  <si>
    <t xml:space="preserve">Missing Dependency Count = 2; Missing Dependencies = CLM; Notification Service</t>
  </si>
  <si>
    <t xml:space="preserve">GAP-121</t>
  </si>
  <si>
    <t xml:space="preserve">GAP-122</t>
  </si>
  <si>
    <t xml:space="preserve">GAP-123</t>
  </si>
  <si>
    <t xml:space="preserve">Missing Dependency Count = 1; Missing Dependencies = Tenant/Environment Mgmt</t>
  </si>
  <si>
    <t xml:space="preserve">GAP-124</t>
  </si>
  <si>
    <t xml:space="preserve">Missing Dependency Count = 2; Missing Dependencies = Audit Trail; Document Mgmt</t>
  </si>
  <si>
    <t xml:space="preserve">GAP-125</t>
  </si>
  <si>
    <t xml:space="preserve">GAP-126</t>
  </si>
  <si>
    <t xml:space="preserve">GAP-127</t>
  </si>
  <si>
    <t xml:space="preserve">GAP-128</t>
  </si>
  <si>
    <t xml:space="preserve">Missing Dependency Count = 1; Missing Dependencies = PV workflows</t>
  </si>
  <si>
    <t xml:space="preserve">GAP-129</t>
  </si>
  <si>
    <t xml:space="preserve">GAP-130</t>
  </si>
  <si>
    <t xml:space="preserve">Missing Dependency Count = 2; Missing Dependencies = Document Management; Records Management</t>
  </si>
  <si>
    <t xml:space="preserve">GAP-131</t>
  </si>
  <si>
    <t xml:space="preserve">Missing Dependency Count = 2; Missing Dependencies = Evidence Linking Service; Records Management</t>
  </si>
  <si>
    <t xml:space="preserve">GAP-132</t>
  </si>
  <si>
    <t xml:space="preserve">Out-of-Sequence Count = 1; Dependencies = Interface Registry</t>
  </si>
  <si>
    <t xml:space="preserve">Build order may violate prerequisite waves and create rework or shell-only delivery risk.</t>
  </si>
  <si>
    <t xml:space="preserve">Move module to later wave, move dependency to earlier wave, or document why the sequence is acceptable.</t>
  </si>
  <si>
    <t xml:space="preserve">GAP-133</t>
  </si>
  <si>
    <t xml:space="preserve">Out-of-Sequence Count = 1; Dependencies = Data Contract Registry</t>
  </si>
  <si>
    <t xml:space="preserve">GAP-134</t>
  </si>
  <si>
    <t xml:space="preserve">Out-of-Sequence Count = 1; Dependencies = Clause Library</t>
  </si>
  <si>
    <t xml:space="preserve">GAP-135</t>
  </si>
  <si>
    <t xml:space="preserve">Out-of-Sequence Count = 1; Dependencies = Metric &amp; Semantic Registry</t>
  </si>
  <si>
    <t xml:space="preserve">GAP-136</t>
  </si>
  <si>
    <t xml:space="preserve">GAP-137</t>
  </si>
  <si>
    <t xml:space="preserve">GAP-138</t>
  </si>
  <si>
    <t xml:space="preserve">SoR collision flagged with: Metric Definitions &amp; Ownership; SoR object: Metric definitions; module SoR Notes: (blank)</t>
  </si>
  <si>
    <t xml:space="preserve">Single-owner rule is not fully enforceable until the authoritative owner/consumer split is documented in the checked fields.</t>
  </si>
  <si>
    <t xml:space="preserve">Create explicit SoR split decision: declare single owner, consumer modules, and update SoR_Map Resolution Note + module-level SoR Notes.</t>
  </si>
  <si>
    <t xml:space="preserve">Enterprise Architecture / SoR Owner</t>
  </si>
  <si>
    <t xml:space="preserve">SoR_Map resolution: (blank)</t>
  </si>
  <si>
    <t xml:space="preserve">GAP-139</t>
  </si>
  <si>
    <t xml:space="preserve">SoR collision flagged with: Metric &amp; Semantic Registry; SoR object: metric definitions; module SoR Notes: (blank)</t>
  </si>
  <si>
    <t xml:space="preserve">GAP-140</t>
  </si>
  <si>
    <t xml:space="preserve">SoR collision flagged with: Scenario Planning; SoR object: scenarios; module SoR Notes: (blank)</t>
  </si>
  <si>
    <t xml:space="preserve">Copy/align resolution into module-level SoR Notes: Assign SoR to Scenario Planning (MOD-0138); Scenario Modeling (MOD-0070) is a tool, not SoR</t>
  </si>
  <si>
    <t xml:space="preserve">SoR_Map resolution: Assign SoR to Scenario Planning (MOD-0138); Scenario Modeling (MOD-0070) is a tool, not SoR</t>
  </si>
  <si>
    <t xml:space="preserve">GAP-141</t>
  </si>
  <si>
    <t xml:space="preserve">SoR collision flagged with: Interface Decision Publication; SoR object: Not SoR / blank SoR object; module SoR Notes: Not SoR: publication tool</t>
  </si>
  <si>
    <t xml:space="preserve">Mirror module-level Not-SoR / ownership note into SoR_Map resolution note and/or adjust SoR applicability so collision is not treated as unresolved.</t>
  </si>
  <si>
    <t xml:space="preserve">GAP-142</t>
  </si>
  <si>
    <t xml:space="preserve">SoR collision flagged with: SoR Assignment Publication; SoR object: Not SoR / blank SoR object; module SoR Notes: Not SoR: publication tool</t>
  </si>
  <si>
    <t xml:space="preserve">GAP-143</t>
  </si>
  <si>
    <t xml:space="preserve">SoR collision flagged with: Trust &amp; Transparency Metrics; SoR object: Not SoR / blank SoR object; module SoR Notes: Not SoR: metrics runtime</t>
  </si>
  <si>
    <t xml:space="preserve">GAP-144</t>
  </si>
  <si>
    <t xml:space="preserve">SoR collision flagged with: Social/Health Impact Metrics; SoR object: Not SoR / blank SoR object; module SoR Notes: Not SoR: metrics runtime</t>
  </si>
  <si>
    <t xml:space="preserve">GAP-145</t>
  </si>
  <si>
    <t xml:space="preserve">SoR collision flagged with: Supplier Onboarding (KYC/Sanctions/Docs); SoR object: suppliers; module SoR Notes: (blank)</t>
  </si>
  <si>
    <t xml:space="preserve">Copy/align resolution into module-level SoR Notes: Split: Supplier Onboarding (MOD-0140) owns supplier identity/KYC; AP (MOD-0119) owns financial relationship only</t>
  </si>
  <si>
    <t xml:space="preserve">SoR_Map resolution: Split: Supplier Onboarding (MOD-0140) owns supplier identity/KYC; AP (MOD-0119) owns financial relationship only</t>
  </si>
  <si>
    <t xml:space="preserve">GAP-146</t>
  </si>
  <si>
    <t xml:space="preserve">SoR collision flagged with: Forecasting &amp; Quotas; SoR object: forecasts; module SoR Notes: (blank)</t>
  </si>
  <si>
    <t xml:space="preserve">Copy/align resolution into module-level SoR Notes: Assign SoR to Rolling Forecast (MOD-0137); Forecasting &amp; Quotas (MOD-0154) references it as consumer</t>
  </si>
  <si>
    <t xml:space="preserve">SoR_Map resolution: Assign SoR to Rolling Forecast (MOD-0137); Forecasting &amp; Quotas (MOD-0154) references it as consumer</t>
  </si>
  <si>
    <t xml:space="preserve">GAP-147</t>
  </si>
  <si>
    <t xml:space="preserve">SoR collision flagged with: Scenario Modeling (what-if); SoR object: scenarios; module SoR Notes: (blank)</t>
  </si>
  <si>
    <t xml:space="preserve">GAP-148</t>
  </si>
  <si>
    <t xml:space="preserve">SoR collision flagged with: Accounts Payable (AP); SoR object: suppliers; module SoR Notes: (blank)</t>
  </si>
  <si>
    <t xml:space="preserve">GAP-149</t>
  </si>
  <si>
    <t xml:space="preserve">SoR collision flagged with: Rolling Forecast; SoR object: forecasts; module SoR Notes: (blank)</t>
  </si>
  <si>
    <t xml:space="preserve">GAP-150</t>
  </si>
  <si>
    <t xml:space="preserve">SoR collision flagged with: SAE Linkage (Clinical ↔ PV), Serialization Repository Integration; SoR object: Not SoR / blank SoR object; module SoR Notes: Not SoR</t>
  </si>
  <si>
    <t xml:space="preserve">GAP-151</t>
  </si>
  <si>
    <t xml:space="preserve">SoR collision flagged with: eTMF Integration, Serialization Repository Integration; SoR object: Not SoR / blank SoR object; module SoR Notes: Not SoR</t>
  </si>
  <si>
    <t xml:space="preserve">GAP-152</t>
  </si>
  <si>
    <t xml:space="preserve">SoR collision flagged with: eTMF Integration, SAE Linkage (Clinical ↔ PV); SoR object: Not SoR / blank SoR object; module SoR Notes: Not SoR</t>
  </si>
  <si>
    <t xml:space="preserve">GAP-153</t>
  </si>
  <si>
    <t xml:space="preserve">WORKBOOK</t>
  </si>
  <si>
    <t xml:space="preserve">Module Status formulas</t>
  </si>
  <si>
    <t xml:space="preserve">Workbook controls</t>
  </si>
  <si>
    <t xml:space="preserve">Validation machinery</t>
  </si>
  <si>
    <t xml:space="preserve">Formula error scan finds #NAME? values in Module Status, primarily AGGREGATE formulas surfaced as _xludf.AGGREGATE.</t>
  </si>
  <si>
    <t xml:space="preserve">Some workbook validation views may not be portable across spreadsheet engines or may show false errors.</t>
  </si>
  <si>
    <t xml:space="preserve">Replace unsupported formula patterns with compatible formulas or document Excel-only calculation dependency; verify in Excel desktop after update.</t>
  </si>
  <si>
    <t xml:space="preserve">Workbook Governance</t>
  </si>
  <si>
    <t xml:space="preserve">Detected through workbook error scan.</t>
  </si>
  <si>
    <t xml:space="preserve">GAP-154</t>
  </si>
  <si>
    <t xml:space="preserve">4 Module Pages exist in current master 6 workbook.</t>
  </si>
  <si>
    <t xml:space="preserve">No action required; prior missing-page finding is not present in current workbook.</t>
  </si>
  <si>
    <t xml:space="preserve">Keep external SoR module pages as integration/monitoring pages; no native HR workflow pages needed.</t>
  </si>
  <si>
    <t xml:space="preserve">External Systems / Platform Ops</t>
  </si>
  <si>
    <t xml:space="preserve">Confirmed</t>
  </si>
  <si>
    <t xml:space="preserve">No</t>
  </si>
  <si>
    <t xml:space="preserve">Confirms MOD-0279/MOD-0280 page coverage.</t>
  </si>
  <si>
    <t xml:space="preserve">GAP-155</t>
  </si>
  <si>
    <t>MOD-0352</t>
  </si>
  <si>
    <t>8) Management &amp; Governance</t>
  </si>
  <si>
    <t>Management &amp; Governance Suite</t>
  </si>
  <si>
    <t>Enterprise Strategy &amp; Performance Management</t>
  </si>
  <si>
    <t>Establish an authoritative, versioned enterprise strategy system of record covering strategy frameworks, themes, planning cycles, goals, objectives, strategy targets and alignment while consuming certified metrics, PPM delivery references and management reporting.</t>
  </si>
  <si>
    <t>Enterprise Strategy Management</t>
  </si>
  <si>
    <t>System-of-Record &amp; Ownership Registry; Interface Registry; Data Contract Registry; Metric &amp; Semantic Registry; RBAC / ABAC Authorization; Audit Trail Service; Workflow Designer; Documentation &amp; Evidence Management; Evidence Linking Service; Canonical ID &amp; Correlation Standard; Reference Data Management; KPI Catalog; Metric Definitions &amp; Ownership; Scorecards / Dashboards; Project &amp; Portfolio Management; Management Reporting; Organization, Person &amp; Position Directory</t>
  </si>
  <si>
    <t>One authoritative strategy version governs frameworks, themes, periods, goals, objectives, targets and cascade relationships without duplicating metric, PPM, task, workflow or reporting ownership.</t>
  </si>
  <si>
    <t>Strategy Architecture Hub; Strategy Framework Register; Strategy Periods &amp; Planning Cycles; Strategy Themes &amp; Principles; Strategy Version &amp; Publication; Strategy Architecture Audit &amp; Export; Goals Register; Objectives Register; Goal / Objective Detail; Targets &amp; Threshold Plans; Alignment &amp; Cascade Matrix; Contribution &amp; Coverage Register; Strategy Exceptions; Performance Review Workspace</t>
  </si>
  <si>
    <t>Domain App (Management &amp; Governance)</t>
  </si>
  <si>
    <t>MG-STRATEGY-BUNDLE (strategy framework, planning cycle, period, theme, version, publication, goal/objective/target/alignment, owner bindings, certified metric IDs, PPM/report references, audit, evidence, correlation and error model) + SEMANTIC-BUNDLE + APP-PPM-BUNDLE + WORKFLOW-BUNDLE + EVIDENCE-LINK + ORG-DIR-BUNDLE</t>
  </si>
  <si>
    <t>SoR: enterprise strategies, strategy frameworks, strategy themes, strategy planning cycles, strategy periods, strategy versions, strategic goals, strategic objectives, target plans, strategy alignment links, contribution weights and cascade versions</t>
  </si>
  <si>
    <t>L1 Service Desk; L2 Management Governance Ops; L3 Product Engineering</t>
  </si>
  <si>
    <t>DOMAIN-APP-BASE + MG-BASE</t>
  </si>
  <si>
    <t>Management Governance Ops</t>
  </si>
  <si>
    <t>Product Engineering</t>
  </si>
  <si>
    <t>enterprise strategies; strategy frameworks; strategy themes; strategy planning cycles; strategy periods; strategy versions; strategic goals; strategic objectives; target plans; strategy alignment links; contribution weights; cascade versions</t>
  </si>
  <si>
    <t>M&amp;G Core</t>
  </si>
  <si>
    <t>Management Governance Core</t>
  </si>
  <si>
    <t>MG-STRATEGY-BUNDLE;SEMANTIC-BUNDLE;APP-PPM-BUNDLE;WORKFLOW-BUNDLE;EVIDENCE-LINK;ORG-DIR-BUNDLE</t>
  </si>
  <si>
    <t>Unified strategy framework/version/goal/objective/target/alignment contracts with certified metric IDs, PPM delivery references, workflow, evidence, reporting and organization bindings.</t>
  </si>
  <si>
    <t>Owns enterprise strategy frameworks, versions, goals, objectives, strategy targets and alignment links; metric definitions, scorecards, PPM delivery objects, tasks, workflow runs and report packs remain with canonical owners.</t>
  </si>
  <si>
    <t>MOD-0354</t>
  </si>
  <si>
    <t>Delivery &amp; Execution Management</t>
  </si>
  <si>
    <t>Provide reusable, governed structural decomposition, hierarchy, dependency, baseline and projection mechanics across project, process, risk, issue, change and remediation contexts.</t>
  </si>
  <si>
    <t>Decomposition &amp; Work Structuring Engine</t>
  </si>
  <si>
    <t>System-of-Record &amp; Ownership Registry; Interface Registry; Data Contract Registry; RBAC / ABAC Authorization; Audit Trail Service; Workflow Designer; Task &amp; Checklist Engine; Canonical ID &amp; Correlation Standard; Reference Data Management; Organization, Person &amp; Position Directory</t>
  </si>
  <si>
    <t>One shared structural kernel prevents duplicate WBS/plan engines while preserving consumer business-object ownership and task/workflow boundaries.</t>
  </si>
  <si>
    <t>Structure Types; Node Types &amp; Hierarchy Rules; Structure Templates; Structure Workspace (Tree/Table); Dependencies Register; Baselines &amp; Compare; Cross-Structure Links; Structure Governance &amp; Audit</t>
  </si>
  <si>
    <t>DWS-BUNDLE (structure types, node types, hierarchy rules, instances, nodes, dependencies, baselines, projections, ETag, idempotency, audit/outbox) + TASK-BUNDLE + WORKFLOW-BUNDLE + EVIDENCE-LINK + ORG-DIR-BUNDLE</t>
  </si>
  <si>
    <t>SoR: structure definitions, node definitions, hierarchy rules, structure templates, structure instances, structure nodes, structural dependencies, baseline snapshots</t>
  </si>
  <si>
    <t>structure definitions; node definitions; hierarchy rules; structure templates; structure instances; structure nodes; structural dependencies; baseline snapshots</t>
  </si>
  <si>
    <t>M&amp;G Foundation</t>
  </si>
  <si>
    <t>Management Governance Foundation</t>
  </si>
  <si>
    <t>Owns structural mechanics only; projects/programs remain MOD-0117-owned, tasks remain MOD-0024-owned, workflows remain MOD-0023-owned and evidence remains MOD-0031-owned.</t>
  </si>
  <si>
    <t>MOD-0355</t>
  </si>
  <si>
    <t>Business Process &amp; Operational Management</t>
  </si>
  <si>
    <t>Establish an authoritative enterprise process architecture and versioned process-model system of record, including process KPI bindings and lightweight improvement opportunities/outcomes, without duplicating workflow, task, metric or process-mining ownership.</t>
  </si>
  <si>
    <t>Business Process Architecture &amp; Modeling</t>
  </si>
  <si>
    <t>Decomposition &amp; Work Structuring Engine; System-of-Record &amp; Ownership Registry; Interface Registry; Data Contract Registry; RBAC / ABAC Authorization; Audit Trail Service; Workflow Designer; Controlled Documents; Canonical ID &amp; Correlation Standard; Reference Data Management; Organization, Person &amp; Position Directory</t>
  </si>
  <si>
    <t>Governed process domains, families, processes, models, versions, activities, control points, roles, KPI bindings and improvement records linked to exact workflow, procedure, metric and delivery references.</t>
  </si>
  <si>
    <t>Process Architecture Home; Process Domain &amp; Family Register; Process Register; Process Modeler; Process Version Detail; Activity &amp; Control Point Library; Process Role Matrix; Publication &amp; Lifecycle; Procedure &amp; Evidence Links; Process KPI Binding; Improvement Opportunity Register; Improvement Detail &amp; Outcome Review</t>
  </si>
  <si>
    <t>BPM-MODEL-BUNDLE (process architecture, process/model/version, activity, sequence, control point, role binding, publication, workflow/procedure binding, process KPI binding and improvement opportunity/outcome references) + DWS-BUNDLE + WORKFLOW-BUNDLE + CONTROLLED-DOC-BUNDLE + SEMANTIC-BUNDLE + APP-PPM-BUNDLE + ORG-DIR-BUNDLE</t>
  </si>
  <si>
    <t>SoR: process architectures, process domains, process families, business processes, process models, process model versions, activities, control points, process role bindings, process KPI bindings, process improvement opportunities and process improvement outcomes</t>
  </si>
  <si>
    <t>process architectures; process domains; process families; business processes; process models; process model versions; process activities; process control points; process role bindings; process KPI bindings; process improvement opportunities; process improvement outcomes</t>
  </si>
  <si>
    <t>Owns process definitions, versions, process KPI bindings and lightweight improvement opportunities/outcomes; MOD-0023 owns workflow/approval runs, MOD-0024 owns operational tasks, certified metrics remain MOD-0059/MOD-0060-owned, and process mining/conformance remains a future candidate gap.</t>
  </si>
  <si>
    <t>BPM-MODEL-BUNDLE;DWS-BUNDLE;WORKFLOW-BUNDLE;CONTROLLED-DOC-BUNDLE;SEMANTIC-BUNDLE;APP-PPM-BUNDLE;ORG-DIR-BUNDLE</t>
  </si>
  <si>
    <t>Process architecture/model/version, KPI-binding and improvement-record contracts with DWS structure, workflow-definition, controlled-procedure, metric, delivery and organization-role references; no process-mining or conformance SoR.</t>
  </si>
  <si>
    <t>MOD-0357</t>
  </si>
  <si>
    <t>Decisioning, Reviews &amp; Management Cadence</t>
  </si>
  <si>
    <t>Govern recurring and ad-hoc management review cycles, review instances, agendas, packs, attendance, outcomes and cadence configurations linked to authoritative governance bodies, decisions, tasks, evidence and reports.</t>
  </si>
  <si>
    <t>Management Review &amp; Cadence</t>
  </si>
  <si>
    <t>Governance Charters, Committees &amp; Accountability; Decision &amp; Rationale Log; RBAC / ABAC Authorization; Audit Trail Service; Workflow Designer; Task &amp; Checklist Engine; Scheduler / Job Orchestration; Documentation &amp; Evidence Management; Evidence Linking Service; Management Reporting; Organization, Person &amp; Position Directory</t>
  </si>
  <si>
    <t>One review/cadence system of record coordinates recurring management forums without owning persistent governance bodies, decisions, tasks, source reports or evidence.</t>
  </si>
  <si>
    <t>Management Cadence Calendar; Review Cycle Register; Review Instance Workspace; Agenda Builder; Review Pack Builder; Governance Forum Workspace; Review Outcomes &amp; Decision Links; Follow-up Register; Cadence Analytics</t>
  </si>
  <si>
    <t>REVIEW-CADENCE-BUNDLE (review cycles, instances, agendas, packs, forum references, attendance, outcomes, decision/task/evidence links) + REVIEW-BUNDLE + WORKFLOW-BUNDLE + TASK-BUNDLE + EVIDENCE-LINK + ORG-DIR-BUNDLE</t>
  </si>
  <si>
    <t>SoR: management review cycles, review instances, agendas, review packs, attendance records, review outcomes and cadence configurations</t>
  </si>
  <si>
    <t>management review cycles; review instances; agendas; review packs; attendance records; review outcomes; cadence configurations</t>
  </si>
  <si>
    <t>Owns review-cycle, review-instance, agenda, pack, attendance, outcome and cadence records; governance bodies remain MOD-0359-owned, decisions remain MOD-0007-owned and tasks remain MOD-0024-owned.</t>
  </si>
  <si>
    <t>Review-cycle, agenda, pack, attendance and outcome contracts with governance-body, scheduler, decision, task, evidence, reporting and organization references.</t>
  </si>
  <si>
    <t>MOD-0358</t>
  </si>
  <si>
    <t>Policy, Authority &amp; Organizational Governance</t>
  </si>
  <si>
    <t>Govern delegated authority, approval limits, mandates, effective periods and temporary delegations with policy, SoD and audit controls.</t>
  </si>
  <si>
    <t>Delegated Authority &amp; Approval Limits</t>
  </si>
  <si>
    <t>System-of-Record &amp; Ownership Registry; Interface Registry; Data Contract Registry; Policy &amp; Control Library; RBAC / ABAC Authorization; Segregation of Duties Controls; Audit Trail Service; e-Signature Service; Workflow Designer; Business Rules Engine; Organization, Person &amp; Position Directory</t>
  </si>
  <si>
    <t>Authoritative approval-limit and authority policy decisions support workflow routing, eligibility checks and controlled temporary delegation without relying on free-text roles.</t>
  </si>
  <si>
    <t>Authority Policy Register; Approval Limits Matrix; Authority Grant Detail; Delegation Requests; Temporary Delegations; Authority Conflict / SoD Review; Authority Exceptions; Authority Audit &amp; Export</t>
  </si>
  <si>
    <t>AUTHORITY-BUNDLE (authority policies, limits, grants, mandates, eligibility, delegation, expiry, revocation, SoD and workflow decision hooks) + SEC-AUTHZ-BUNDLE + WORKFLOW-BUNDLE + RULES-BUNDLE + ORG-DIR-BUNDLE</t>
  </si>
  <si>
    <t>SoR: authority policies, approval limits, authority grants, authority mandates, temporary authority instruments, authority exceptions and authority revocations</t>
  </si>
  <si>
    <t>authority policies; approval limits; authority grants; authority mandates; temporary authority instruments; authority exceptions; authority revocations</t>
  </si>
  <si>
    <t>Owns authority policies, limits, grants, mandates, temporary authority instruments, exceptions and revocations; MOD-0288 supplies person/position/org and routing bindings, MOD-0018 enforces access and MOD-0023 executes approvals.</t>
  </si>
  <si>
    <t>Authority policy, limit, grant, mandate, temporary-authority, exception and revocation contracts with SoD, workflow, rules and organization-directory references.</t>
  </si>
  <si>
    <t>MOD-0359</t>
  </si>
  <si>
    <t>Maintain authoritative governance bodies, charter versions, mandates, membership terms, decision-right assignments and accountability matrices without reducing governance semantics to document files or meeting records.</t>
  </si>
  <si>
    <t>Governance Bodies, Charters &amp; Accountability Registry</t>
  </si>
  <si>
    <t>System-of-Record &amp; Ownership Registry; Policy &amp; Control Library; Decision &amp; Rationale Log; RBAC / ABAC Authorization; Audit Trail Service; Workflow Designer; Documentation &amp; Evidence Management; Records Management; Organization, Person &amp; Position Directory</t>
  </si>
  <si>
    <t>Persistent governance master data remains separate from recurring review instances, controlled document content and statutory legal-entity actions.</t>
  </si>
  <si>
    <t>Governance Bodies Register; Governance Body Detail; Charter Register; Charter Version Detail; Mandates &amp; Decision Rights; Membership Terms; Accountability Matrix; Charter Review &amp; Renewal; Governance Body Audit &amp; Export</t>
  </si>
  <si>
    <t>GOVERNANCE-CHARTER-BUNDLE (governance bodies, charters, mandates, decision rights, memberships, accountability matrices, review/renewal) + GOV-REG-BUNDLE + WORKFLOW-BUNDLE + CONTROLLED-DOC-BUNDLE + ORG-DIR-BUNDLE</t>
  </si>
  <si>
    <t>SoR: governance bodies, governance charter versions, committee mandates, membership terms, decision-right assignments and accountability matrices</t>
  </si>
  <si>
    <t>governance bodies; governance charter versions; committee mandates; membership terms; decision-right assignments; accountability matrices</t>
  </si>
  <si>
    <t>Owns persistent governance bodies, charter versions, mandates, membership terms, decision-right assignments and accountability matrices; review instances remain MOD-0357-owned, controlled document content remains MOD-0029-owned and statutory legal-entity actions remain MOD-0220-owned.</t>
  </si>
  <si>
    <t>Governance-body, charter-version, mandate, membership-term, decision-right and accountability contracts with controlled-document, directory, decision and review-cadence references.</t>
  </si>
  <si>
    <t>Prepare approved Management &amp; Governance DCP and module pack; implement a runtime vertical slice.</t>
  </si>
  <si>
    <t>Reconciled canonical Management &amp; Governance module in master 8.1; implementation requires approved DCP/module pack.</t>
  </si>
  <si>
    <t>Required for canonical ownership, security, audit, data/reference integrity or runtime contract baseline.</t>
  </si>
  <si>
    <t>Process KPI Binding</t>
  </si>
  <si>
    <t>Business Process Management</t>
  </si>
  <si>
    <t>ProcessKPIBindingID</t>
  </si>
  <si>
    <t>BPM-MODEL-BUNDLE;SEMANTIC-BUNDLE</t>
  </si>
  <si>
    <t>Binds certified metric and calculation-contract references to an exact process-model version; metric definitions remain external.</t>
  </si>
  <si>
    <t>BPM-MODEL-BUNDLE;APP-PPM-BUNDLE;REVIEW-BUNDLE</t>
  </si>
  <si>
    <t>Lightweight process-improvement opportunity linked to decisions and execution references; project/task execution remains external.</t>
  </si>
  <si>
    <t>Realized improvement outcome linked to evidence and authoritative decision/execution records.</t>
  </si>
  <si>
    <t>Management &amp; Governance master 8.1 reconciliation</t>
  </si>
  <si>
    <t>strategy framework, planning cycle, period, theme, version, publication, goal/objective/target/alignment contracts, certified metric/PPM/report references, audit, evidence and correlation</t>
  </si>
  <si>
    <t>process architecture, domain/family, process/model/version, activity, sequence, control point, role binding, publication, workflow/procedure binding, process KPI binding and improvement opportunity/outcome reference contracts</t>
  </si>
  <si>
    <t>Process-definition SoR with governed metric and improvement references; workflow execution, metric definitions and process mining/conformance remain external.</t>
  </si>
  <si>
    <t>Added unified MOD-0352 Enterprise Strategy Management; MOD-0353 candidate scope was merged and withdrawn.</t>
  </si>
  <si>
    <t>Resolved in master 8.1; metric, PPM and reporting ownership remains external.</t>
  </si>
  <si>
    <t>Blueprint master 7 provided workflow, tasks, documents and metrics but no BPM process architecture/model/version SoR.</t>
  </si>
  <si>
    <t>Workflow could be misused as BPM and process definitions lacked canonical ownership.</t>
  </si>
  <si>
    <t>Added MOD-0355 for core BPM; process KPI binding and lightweight improvement records are included, while process intelligence/conformance remains GAP-162.</t>
  </si>
  <si>
    <t>Core BPM resolved in master 8.1; process mining/conformance is deliberately deferred.</t>
  </si>
  <si>
    <t>Added MOD-0357 for review/cadence records and linked persistent governance bodies to MOD-0359.</t>
  </si>
  <si>
    <t>Resolved in master 8.1; decisions/tasks remain in MOD-0007/MOD-0024.</t>
  </si>
  <si>
    <t>Added MOD-0359 with controlled-document, organization and cadence boundaries.</t>
  </si>
  <si>
    <t>Resolved in master 8.1; statutory entity actions remain MOD-0220-owned.</t>
  </si>
  <si>
    <t>GAP-162</t>
  </si>
  <si>
    <t>Future Capability Candidate</t>
  </si>
  <si>
    <t>TBD candidate (no MOD ID)</t>
  </si>
  <si>
    <t>Process Intelligence &amp; Conformance</t>
  </si>
  <si>
    <t>1.6 Business Process &amp; Operational Management</t>
  </si>
  <si>
    <t>Core BPM is covered by MOD-0355 and existing metric/scorecard modules, but process mining, observed-path conformance, variants and bottleneck analysis have no canonical SoR.</t>
  </si>
  <si>
    <t>Assigning event-mining and conformance records to MOD-0355 would overload the process-model SoR and duplicate generic metric and exception capabilities.</t>
  </si>
  <si>
    <t>Retain as a future candidate gap; complete event-model, conformance-lifecycle, data-volume and consumer analysis before assigning a module identity.</t>
  </si>
  <si>
    <t>Enterprise Architecture / Process Office / Data &amp; Intelligence</t>
  </si>
  <si>
    <t>Not required for core 1.6 coverage or initial Management &amp; Governance development waves.</t>
  </si>
  <si>
    <t>2026-07-27</t>
  </si>
  <si>
    <t>System Capability &amp; Implementation Blueprint - master 8.1.xlsx</t>
  </si>
  <si>
    <t>6 resolved in master 8.1; Process Intelligence &amp; Conformance retained as one future candidate gap</t>
  </si>
  <si>
    <t>MOD-0352; MOD-0354; MOD-0355; MOD-0357; MOD-0358; MOD-0359</t>
  </si>
  <si>
    <t>Reconciled page-level development inventory</t>
  </si>
  <si>
    <t>Canonical object entries after boundary reconciliation</t>
  </si>
  <si>
    <t>Management &amp; Governance future candidate gaps</t>
  </si>
  <si>
    <t>Process Intelligence &amp; Conformance (no MOD ID)</t>
  </si>
  <si>
    <t>Unified core SoR + composite</t>
  </si>
  <si>
    <t>MOD-0352 owns strategy frameworks/versions/goals/objectives/targets/alignment; metrics, PPM delivery objects and report packs remain with canonical owners.</t>
  </si>
  <si>
    <t>Core BPM SoR + shared execution; future intelligence gap</t>
  </si>
  <si>
    <t>MOD-0355 owns process definitions/versions, KPI bindings and lightweight improvement records; workflow/tasks/metrics remain external and process intelligence/conformance remains GAP-162.</t>
  </si>
  <si>
    <t>New review/cadence SoR + existing decisions/reporting</t>
  </si>
  <si>
    <t>New authority/governance-master SoRs + existing policy/legal/directory</t>
  </si>
  <si>
    <t>Management &amp; Governance Blueprint Update — Master 8.1</t>
  </si>
  <si>
    <t>Canonical domain mapping plus six reconciled modules; MOD-0353 was merged into MOD-0352 and MOD-0356 was withdrawn as a module. Existing platform, PPM, HCM, SSM, GRC, QMS, finance and reporting SoRs remain unchanged.</t>
  </si>
  <si>
    <t>Reconciled page inventory</t>
  </si>
  <si>
    <t>Reconciled object catalog entries</t>
  </si>
  <si>
    <t>1.1</t>
  </si>
  <si>
    <t>1.4</t>
  </si>
  <si>
    <t>1.6</t>
  </si>
  <si>
    <t>1.9</t>
  </si>
  <si>
    <t>1.10​</t>
  </si>
  <si>
    <t>Governance reconciliation</t>
  </si>
  <si>
    <t>Boundary decision dated 2026-07-27</t>
  </si>
  <si>
    <t>Merged MOD-0353 into MOD-0352; withdrew MOD-0356 as a module; retained Process Intelligence &amp; Conformance as GAP-162 without a runtime identity.</t>
  </si>
  <si>
    <t>Withdrawn candidate</t>
  </si>
  <si>
    <t>MOD-0353</t>
  </si>
  <si>
    <t>Merged into MOD-0352 Enterprise Strategy Management; never authorized as a runtime identity.</t>
  </si>
  <si>
    <t>MOD-0356</t>
  </si>
  <si>
    <t>Converted to a capability group; Process Intelligence &amp; Conformance retained as GAP-162.</t>
  </si>
  <si>
    <t>Future candidate gap</t>
  </si>
  <si>
    <t>No MOD ID until event-model, conformance-lifecycle and runtime boundary analysis is approved.</t>
  </si>
  <si>
    <t>Management &amp; Governance Release Gate — Master 8.1</t>
  </si>
  <si>
    <t>&gt;=6</t>
  </si>
  <si>
    <t>0 / 6</t>
  </si>
  <si>
    <t>6 / 6</t>
  </si>
  <si>
    <t>Governance baseline reconciled; development authorization remains blocked pending DCP, six module packs and runtime evidence.</t>
  </si>
  <si>
    <t>Master 8.1 reconciles the Management &amp; Governance update to six canonical modules: MOD-0352, MOD-0354, MOD-0355, MOD-0357, MOD-0358 and MOD-0359. MOD-0353 was merged into MOD-0352; MOD-0356 was withdrawn as a module and retained as a future capability gap.</t>
  </si>
  <si>
    <t>v8.1-management-governance-reconciliation</t>
  </si>
  <si>
    <t/>
  </si>
  <si>
    <t>System Capability &amp; Implementation Blueprint - master 8.xlsx</t>
  </si>
  <si>
    <t>Reconciled Management &amp; Governance module identities: merged MOD-0353 into MOD-0352 Enterprise Strategy Management; withdrew MOD-0356 as a module; retained six canonical modules; updated pages, objects, dependencies, contracts, release gates and gap records; Process Intelligence &amp; Conformance remains GAP-162.</t>
  </si>
</sst>
</file>

<file path=xl/styles.xml><?xml version="1.0" encoding="utf-8"?>
<x:styleSheet xmlns:x="http://schemas.openxmlformats.org/spreadsheetml/2006/main">
  <x:fonts count="20">
    <x:font>
      <x:sz val="10"/>
      <x:color theme="1"/>
      <x:name val="Play"/>
    </x:font>
    <x:font>
      <x:sz val="10"/>
      <x:color rgb="FF002060"/>
      <x:name val="Play"/>
    </x:font>
    <x:font>
      <x:sz val="8"/>
      <x:color rgb="FF002060"/>
      <x:name val="Play"/>
    </x:font>
    <x:font>
      <x:b/>
      <x:sz val="12"/>
      <x:name val="Play"/>
    </x:font>
    <x:font>
      <x:b/>
      <x:sz val="10"/>
      <x:name val="Play"/>
    </x:font>
    <x:font>
      <x:b/>
      <x:sz val="16"/>
      <x:name val="Play"/>
    </x:font>
    <x:font>
      <x:b/>
      <x:sz val="10"/>
      <x:color rgb="FFFFFFFF"/>
      <x:name val="Play"/>
    </x:font>
    <x:font>
      <x:b/>
      <x:sz val="14"/>
      <x:name val="Play"/>
    </x:font>
    <x:font>
      <x:b/>
      <x:sz val="10"/>
      <x:color rgb="FF856404"/>
      <x:name val="Play"/>
    </x:font>
    <x:font>
      <x:b/>
      <x:sz val="10"/>
      <x:name val="Play"/>
    </x:font>
    <x:font>
      <x:i/>
      <x:sz val="10"/>
      <x:color rgb="FF155724"/>
      <x:name val="Play"/>
    </x:font>
    <x:font>
      <x:b/>
      <x:sz val="10"/>
      <x:color theme="1"/>
      <x:name val="Play"/>
    </x:font>
    <x:font>
      <x:b/>
      <x:sz val="16"/>
      <x:color theme="1"/>
      <x:name val="Play"/>
    </x:font>
    <x:font>
      <x:sz val="10"/>
      <x:color rgb="FF000000"/>
      <x:name val="Play"/>
    </x:font>
    <x:font>
      <x:b/>
      <x:sz val="11"/>
      <x:color rgb="FFFFFFFF"/>
      <x:name val="Play"/>
    </x:font>
    <x:font>
      <x:sz val="8"/>
      <x:color rgb="FF000000"/>
      <x:name val="Play"/>
    </x:font>
    <x:font>
      <x:b/>
      <x:sz val="14"/>
      <x:color rgb="FFFFFFFF"/>
      <x:name val="Play"/>
    </x:font>
    <x:font>
      <x:b/>
      <x:sz val="16"/>
      <x:color rgb="FFFFFFFF"/>
      <x:name val="Play"/>
    </x:font>
    <x:font>
      <x:i/>
      <x:sz val="10"/>
      <x:color rgb="FF17365D"/>
      <x:name val="Play"/>
    </x:font>
    <x:font>
      <x:b/>
      <x:sz val="10"/>
      <x:color rgb="FF9C0006"/>
      <x:name val="Play"/>
    </x:font>
  </x:fonts>
  <x:fills count="17">
    <x:fill>
      <x:patternFill patternType="none"/>
    </x:fill>
    <x:fill>
      <x:patternFill patternType="gray125"/>
    </x:fill>
    <x:fill>
      <x:patternFill patternType="solid">
        <x:fgColor rgb="FFFFC000"/>
      </x:patternFill>
    </x:fill>
    <x:fill>
      <x:patternFill patternType="solid">
        <x:fgColor rgb="FF1F4E79"/>
      </x:patternFill>
    </x:fill>
    <x:fill>
      <x:patternFill patternType="solid">
        <x:fgColor rgb="FFFFF3CD"/>
      </x:patternFill>
    </x:fill>
    <x:fill>
      <x:patternFill patternType="solid">
        <x:fgColor rgb="FFD4EDDA"/>
      </x:patternFill>
    </x:fill>
    <x:fill>
      <x:patternFill patternType="solid">
        <x:fgColor rgb="FFEAF2F8"/>
      </x:patternFill>
    </x:fill>
    <x:fill>
      <x:patternFill patternType="solid">
        <x:fgColor rgb="FFF3F6FA"/>
      </x:patternFill>
    </x:fill>
    <x:fill>
      <x:patternFill patternType="solid">
        <x:fgColor rgb="FFEAF2F8"/>
      </x:patternFill>
    </x:fill>
    <x:fill>
      <x:patternFill patternType="solid">
        <x:fgColor rgb="FF7030A0"/>
      </x:patternFill>
    </x:fill>
    <x:fill>
      <x:patternFill patternType="solid">
        <x:fgColor rgb="FF1F4E78"/>
      </x:patternFill>
    </x:fill>
    <x:fill>
      <x:patternFill patternType="solid">
        <x:fgColor rgb="FF0F766E"/>
      </x:patternFill>
    </x:fill>
    <x:fill>
      <x:patternFill patternType="solid">
        <x:fgColor rgb="FF0F172A"/>
      </x:patternFill>
    </x:fill>
    <x:fill>
      <x:patternFill patternType="solid">
        <x:fgColor rgb="FF334155"/>
      </x:patternFill>
    </x:fill>
    <x:fill>
      <x:patternFill patternType="solid">
        <x:fgColor rgb="FF17365D"/>
      </x:patternFill>
    </x:fill>
    <x:fill>
      <x:patternFill patternType="solid">
        <x:fgColor rgb="FFD9EAF7"/>
      </x:patternFill>
    </x:fill>
    <x:fill>
      <x:patternFill patternType="solid">
        <x:fgColor rgb="FFFCE4D6"/>
      </x:patternFill>
    </x:fill>
  </x:fills>
  <x:borders count="12">
    <x:border/>
    <x:border>
      <x:left style="thin">
        <x:color indexed="64"/>
      </x:left>
      <x:right style="thin">
        <x:color indexed="64"/>
      </x:right>
      <x:top style="thin">
        <x:color indexed="64"/>
      </x:top>
      <x:bottom style="thin">
        <x:color indexed="64"/>
      </x:bottom>
    </x:border>
    <x:border>
      <x:left style="thin">
        <x:color rgb="FF51154A"/>
      </x:left>
      <x:right style="thin">
        <x:color rgb="FF51154A"/>
      </x:right>
      <x:top style="thin">
        <x:color rgb="FF51154A"/>
      </x:top>
      <x:bottom style="thin">
        <x:color rgb="FF51154A"/>
      </x:bottom>
    </x:border>
    <x:border>
      <x:right style="thin">
        <x:color rgb="FF51154A"/>
      </x:right>
      <x:top style="thin">
        <x:color rgb="FF51154A"/>
      </x:top>
      <x:bottom style="thin">
        <x:color rgb="FF51154A"/>
      </x:bottom>
    </x:border>
    <x:border>
      <x:left style="thin">
        <x:color rgb="FF51154A"/>
      </x:left>
      <x:right style="thin">
        <x:color rgb="FF51154A"/>
      </x:right>
      <x:bottom style="thin">
        <x:color rgb="FF51154A"/>
      </x:bottom>
    </x:border>
    <x:border>
      <x:right style="thin">
        <x:color rgb="FF51154A"/>
      </x:right>
      <x:bottom style="thin">
        <x:color rgb="FF51154A"/>
      </x:bottom>
    </x:border>
    <x:border/>
    <x:border>
      <x:left style="thin">
        <x:color indexed="64"/>
      </x:left>
      <x:right style="thin">
        <x:color indexed="64"/>
      </x:right>
      <x:top style="thin">
        <x:color indexed="64"/>
      </x:top>
      <x:bottom style="thin">
        <x:color indexed="64"/>
      </x:bottom>
    </x:border>
    <x:border>
      <x:left style="thin">
        <x:color rgb="FF51154A"/>
      </x:left>
      <x:right style="thin">
        <x:color rgb="FF51154A"/>
      </x:right>
      <x:top style="thin">
        <x:color rgb="FF51154A"/>
      </x:top>
      <x:bottom style="thin">
        <x:color rgb="FF51154A"/>
      </x:bottom>
    </x:border>
    <x:border>
      <x:right style="thin">
        <x:color rgb="FF51154A"/>
      </x:right>
      <x:top style="thin">
        <x:color rgb="FF51154A"/>
      </x:top>
      <x:bottom style="thin">
        <x:color rgb="FF51154A"/>
      </x:bottom>
    </x:border>
    <x:border>
      <x:left style="thin">
        <x:color rgb="FF51154A"/>
      </x:left>
      <x:right style="thin">
        <x:color rgb="FF51154A"/>
      </x:right>
      <x:bottom style="thin">
        <x:color rgb="FF51154A"/>
      </x:bottom>
    </x:border>
    <x:border>
      <x:right style="thin">
        <x:color rgb="FF51154A"/>
      </x:right>
      <x:bottom style="thin">
        <x:color rgb="FF51154A"/>
      </x:bottom>
    </x:border>
  </x:borders>
  <x:cellStyleXfs count="1">
    <x:xf numFmtId="0" fontId="0" fillId="0" borderId="0"/>
  </x:cellStyleXfs>
  <x:cellXfs count="102">
    <x:xf numFmtId="0" fontId="0" fillId="0" borderId="0" xfId="0"/>
    <x:xf numFmtId="0" fontId="1" fillId="0" borderId="0" xfId="0" applyFont="1"/>
    <x:xf numFmtId="0" fontId="1" fillId="0" borderId="0" xfId="0" applyFont="1" applyAlignment="1">
      <x:alignment horizontal="center"/>
    </x:xf>
    <x:xf numFmtId="0" fontId="2" fillId="2" borderId="1" xfId="0" applyFont="1" applyFill="1" applyBorder="1" applyAlignment="1">
      <x:alignment vertical="center" wrapText="1"/>
    </x:xf>
    <x:xf numFmtId="0" fontId="2" fillId="2" borderId="1" xfId="0" applyFont="1" applyFill="1" applyBorder="1" applyAlignment="1">
      <x:alignment horizontal="center" vertical="center" wrapText="1"/>
    </x:xf>
    <x:xf numFmtId="0" fontId="2" fillId="0" borderId="1" xfId="0" applyFont="1" applyBorder="1" applyAlignment="1">
      <x:alignment vertical="center" wrapText="1"/>
    </x:xf>
    <x:xf numFmtId="0" fontId="2" fillId="0" borderId="1" xfId="0" applyFont="1" applyBorder="1" applyAlignment="1">
      <x:alignment horizontal="center" vertical="center" wrapText="1"/>
    </x:xf>
    <x:xf numFmtId="0" fontId="3" fillId="0" borderId="0" xfId="0" applyFont="1"/>
    <x:xf numFmtId="0" fontId="4" fillId="0" borderId="0" xfId="0" applyFont="1"/>
    <x:xf numFmtId="0" fontId="5" fillId="0" borderId="0" xfId="0" applyFont="1"/>
    <x:xf numFmtId="0" fontId="0" fillId="0" borderId="0" xfId="0" applyAlignment="1">
      <x:alignment vertical="top" wrapText="1"/>
    </x:xf>
    <x:xf numFmtId="0" fontId="6" fillId="3" borderId="0" xfId="0" applyFont="1" applyFill="1" applyAlignment="1">
      <x:alignment horizontal="center" vertical="center" wrapText="1"/>
    </x:xf>
    <x:xf numFmtId="0" fontId="7" fillId="0" borderId="0" xfId="0" applyFont="1"/>
    <x:xf numFmtId="0" fontId="6" fillId="3" borderId="0" xfId="0" applyFont="1" applyFill="1" applyAlignment="1">
      <x:alignment vertical="center" wrapText="1"/>
    </x:xf>
    <x:xf numFmtId="0" fontId="6" fillId="3" borderId="0" xfId="0" applyFont="1" applyFill="1"/>
    <x:xf numFmtId="0" fontId="8" fillId="4" borderId="0" xfId="0" applyFont="1" applyFill="1"/>
    <x:xf numFmtId="0" fontId="9" fillId="0" borderId="0" xfId="0" applyFont="1"/>
    <x:xf numFmtId="0" fontId="10" fillId="5" borderId="0" xfId="0" applyFont="1" applyFill="1"/>
    <x:xf numFmtId="0" fontId="11" fillId="7" borderId="0" xfId="0" applyFont="1" applyFill="1" applyAlignment="1">
      <x:alignment vertical="top" wrapText="1"/>
    </x:xf>
    <x:xf numFmtId="0" fontId="11" fillId="8" borderId="0" xfId="0" applyFont="1" applyFill="1"/>
    <x:xf numFmtId="0" fontId="13" fillId="0" borderId="0" xfId="0" applyFont="1"/>
    <x:xf numFmtId="0" fontId="14" fillId="9" borderId="2" xfId="0" applyFont="1" applyFill="1" applyBorder="1" applyAlignment="1">
      <x:alignment horizontal="center" vertical="center" wrapText="1"/>
    </x:xf>
    <x:xf numFmtId="0" fontId="14" fillId="9" borderId="3" xfId="0" applyFont="1" applyFill="1" applyBorder="1" applyAlignment="1">
      <x:alignment horizontal="center" vertical="center" wrapText="1"/>
    </x:xf>
    <x:xf numFmtId="0" fontId="15" fillId="0" borderId="4" xfId="0" applyFont="1" applyBorder="1" applyAlignment="1">
      <x:alignment vertical="center" wrapText="1"/>
    </x:xf>
    <x:xf numFmtId="0" fontId="15" fillId="0" borderId="5" xfId="0" applyFont="1" applyBorder="1" applyAlignment="1">
      <x:alignment vertical="center" wrapText="1"/>
    </x:xf>
    <x:xf numFmtId="0" fontId="0" fillId="0" borderId="0" xfId="0" applyAlignment="1">
      <x:alignment wrapText="1"/>
    </x:xf>
    <x:xf numFmtId="0" fontId="16" fillId="10" borderId="0" xfId="0" applyFont="1" applyFill="1" applyAlignment="1">
      <x:alignment horizontal="center" wrapText="1"/>
    </x:xf>
    <x:xf numFmtId="0" fontId="6" fillId="11" borderId="0" xfId="0" applyFont="1" applyFill="1" applyAlignment="1">
      <x:alignment horizontal="center" wrapText="1"/>
    </x:xf>
    <x:xf numFmtId="0" fontId="11" fillId="0" borderId="0" xfId="0" applyFont="1" applyAlignment="1">
      <x:alignment wrapText="1"/>
    </x:xf>
    <x:xf numFmtId="0" fontId="11" fillId="0" borderId="0" xfId="0" applyFont="1"/>
    <x:xf numFmtId="0" fontId="6" fillId="13" borderId="0" xfId="0" applyFont="1" applyFill="1" applyAlignment="1">
      <x:alignment wrapText="1"/>
    </x:xf>
    <x:xf numFmtId="0" fontId="6" fillId="12" borderId="0" xfId="0" applyFont="1" applyFill="1" applyAlignment="1">
      <x:alignment horizontal="center" vertical="center" wrapText="1"/>
    </x:xf>
    <x:xf numFmtId="0" fontId="0" fillId="0" borderId="0" xfId="0"/>
    <x:xf numFmtId="0" fontId="12" fillId="6" borderId="0" xfId="0" applyFont="1" applyFill="1" applyAlignment="1">
      <x:alignment horizontal="center" vertical="top" wrapText="1"/>
    </x:xf>
    <x:xf numFmtId="0" fontId="0" fillId="0" borderId="0" xfId="0" applyAlignment="1">
      <x:alignment vertical="top" wrapText="1"/>
    </x:xf>
    <x:xf numFmtId="0" fontId="12" fillId="0" borderId="0" xfId="0" applyFont="1" applyAlignment="1">
      <x:alignment wrapText="1"/>
    </x:xf>
    <x:xf numFmtId="0" fontId="0" fillId="0" borderId="0" xfId="0" applyAlignment="1">
      <x:alignment wrapText="1"/>
    </x:xf>
    <x:xf numFmtId="0" fontId="16" fillId="12" borderId="0" xfId="0" applyFont="1" applyFill="1" applyAlignment="1">
      <x:alignment horizontal="center" wrapText="1"/>
    </x:xf>
    <x:xf numFmtId="0" fontId="0" fillId="0" borderId="6" xfId="0" applyNumberFormat="1" applyFont="1" applyFill="1" applyBorder="1"/>
    <x:xf numFmtId="0" fontId="1" fillId="0" borderId="6" xfId="0" applyNumberFormat="1" applyFont="1" applyFill="1" applyBorder="1"/>
    <x:xf numFmtId="0" fontId="1" fillId="0" borderId="6" xfId="0" applyNumberFormat="1" applyFont="1" applyFill="1" applyBorder="1" applyAlignment="1">
      <x:alignment horizontal="center"/>
    </x:xf>
    <x:xf numFmtId="0" fontId="2" fillId="2" borderId="7" xfId="0" applyNumberFormat="1" applyFont="1" applyFill="1" applyBorder="1" applyAlignment="1">
      <x:alignment vertical="center" wrapText="1"/>
    </x:xf>
    <x:xf numFmtId="0" fontId="2" fillId="2" borderId="7" xfId="0" applyNumberFormat="1" applyFont="1" applyFill="1" applyBorder="1" applyAlignment="1">
      <x:alignment horizontal="center" vertical="center" wrapText="1"/>
    </x:xf>
    <x:xf numFmtId="0" fontId="2" fillId="0" borderId="7" xfId="0" applyNumberFormat="1" applyFont="1" applyFill="1" applyBorder="1" applyAlignment="1">
      <x:alignment vertical="center" wrapText="1"/>
    </x:xf>
    <x:xf numFmtId="0" fontId="2" fillId="0" borderId="7" xfId="0" applyNumberFormat="1" applyFont="1" applyFill="1" applyBorder="1" applyAlignment="1">
      <x:alignment horizontal="center" vertical="center" wrapText="1"/>
    </x:xf>
    <x:xf numFmtId="0" fontId="3" fillId="0" borderId="6" xfId="0" applyNumberFormat="1" applyFont="1" applyFill="1" applyBorder="1"/>
    <x:xf numFmtId="0" fontId="4" fillId="0" borderId="6" xfId="0" applyNumberFormat="1" applyFont="1" applyFill="1" applyBorder="1"/>
    <x:xf numFmtId="0" fontId="5" fillId="0" borderId="6" xfId="0" applyNumberFormat="1" applyFont="1" applyFill="1" applyBorder="1"/>
    <x:xf numFmtId="0" fontId="0" fillId="0" borderId="6" xfId="0" applyNumberFormat="1" applyFont="1" applyFill="1" applyBorder="1" applyAlignment="1">
      <x:alignment vertical="top" wrapText="1"/>
    </x:xf>
    <x:xf numFmtId="0" fontId="6" fillId="3" borderId="6" xfId="0" applyNumberFormat="1" applyFont="1" applyFill="1" applyBorder="1" applyAlignment="1">
      <x:alignment horizontal="center" vertical="center" wrapText="1"/>
    </x:xf>
    <x:xf numFmtId="0" fontId="7" fillId="0" borderId="6" xfId="0" applyNumberFormat="1" applyFont="1" applyFill="1" applyBorder="1"/>
    <x:xf numFmtId="0" fontId="6" fillId="3" borderId="6" xfId="0" applyNumberFormat="1" applyFont="1" applyFill="1" applyBorder="1" applyAlignment="1">
      <x:alignment vertical="center" wrapText="1"/>
    </x:xf>
    <x:xf numFmtId="0" fontId="6" fillId="3" borderId="6" xfId="0" applyNumberFormat="1" applyFont="1" applyFill="1" applyBorder="1"/>
    <x:xf numFmtId="0" fontId="8" fillId="4" borderId="6" xfId="0" applyNumberFormat="1" applyFont="1" applyFill="1" applyBorder="1"/>
    <x:xf numFmtId="0" fontId="10" fillId="5" borderId="6" xfId="0" applyNumberFormat="1" applyFont="1" applyFill="1" applyBorder="1"/>
    <x:xf numFmtId="0" fontId="11" fillId="7" borderId="6" xfId="0" applyNumberFormat="1" applyFont="1" applyFill="1" applyBorder="1" applyAlignment="1">
      <x:alignment vertical="top" wrapText="1"/>
    </x:xf>
    <x:xf numFmtId="0" fontId="11" fillId="6" borderId="6" xfId="0" applyNumberFormat="1" applyFont="1" applyFill="1" applyBorder="1"/>
    <x:xf numFmtId="0" fontId="13" fillId="0" borderId="6" xfId="0" applyNumberFormat="1" applyFont="1" applyFill="1" applyBorder="1"/>
    <x:xf numFmtId="0" fontId="14" fillId="9" borderId="8" xfId="0" applyNumberFormat="1" applyFont="1" applyFill="1" applyBorder="1" applyAlignment="1">
      <x:alignment horizontal="center" vertical="center" wrapText="1"/>
    </x:xf>
    <x:xf numFmtId="0" fontId="14" fillId="9" borderId="9" xfId="0" applyNumberFormat="1" applyFont="1" applyFill="1" applyBorder="1" applyAlignment="1">
      <x:alignment horizontal="center" vertical="center" wrapText="1"/>
    </x:xf>
    <x:xf numFmtId="0" fontId="15" fillId="0" borderId="10" xfId="0" applyNumberFormat="1" applyFont="1" applyFill="1" applyBorder="1" applyAlignment="1">
      <x:alignment vertical="center" wrapText="1"/>
    </x:xf>
    <x:xf numFmtId="0" fontId="15" fillId="0" borderId="11" xfId="0" applyNumberFormat="1" applyFont="1" applyFill="1" applyBorder="1" applyAlignment="1">
      <x:alignment vertical="center" wrapText="1"/>
    </x:xf>
    <x:xf numFmtId="0" fontId="0" fillId="0" borderId="6" xfId="0" applyNumberFormat="1" applyFont="1" applyFill="1" applyBorder="1" applyAlignment="1">
      <x:alignment wrapText="1"/>
    </x:xf>
    <x:xf numFmtId="0" fontId="16" fillId="10" borderId="6" xfId="0" applyNumberFormat="1" applyFont="1" applyFill="1" applyBorder="1" applyAlignment="1">
      <x:alignment horizontal="center" wrapText="1"/>
    </x:xf>
    <x:xf numFmtId="0" fontId="6" fillId="11" borderId="6" xfId="0" applyNumberFormat="1" applyFont="1" applyFill="1" applyBorder="1" applyAlignment="1">
      <x:alignment horizontal="center" wrapText="1"/>
    </x:xf>
    <x:xf numFmtId="0" fontId="11" fillId="0" borderId="6" xfId="0" applyNumberFormat="1" applyFont="1" applyFill="1" applyBorder="1" applyAlignment="1">
      <x:alignment wrapText="1"/>
    </x:xf>
    <x:xf numFmtId="0" fontId="11" fillId="0" borderId="6" xfId="0" applyNumberFormat="1" applyFont="1" applyFill="1" applyBorder="1"/>
    <x:xf numFmtId="0" fontId="6" fillId="13" borderId="6" xfId="0" applyNumberFormat="1" applyFont="1" applyFill="1" applyBorder="1" applyAlignment="1">
      <x:alignment wrapText="1"/>
    </x:xf>
    <x:xf numFmtId="0" fontId="6" fillId="12" borderId="6" xfId="0" applyNumberFormat="1" applyFont="1" applyFill="1" applyBorder="1" applyAlignment="1">
      <x:alignment horizontal="center" vertical="center" wrapText="1"/>
    </x:xf>
    <x:xf numFmtId="0" fontId="12" fillId="6" borderId="6" xfId="0" applyNumberFormat="1" applyFont="1" applyFill="1" applyBorder="1" applyAlignment="1">
      <x:alignment horizontal="center" vertical="top" wrapText="1"/>
    </x:xf>
    <x:xf numFmtId="0" fontId="12" fillId="0" borderId="6" xfId="0" applyNumberFormat="1" applyFont="1" applyFill="1" applyBorder="1" applyAlignment="1">
      <x:alignment wrapText="1"/>
    </x:xf>
    <x:xf numFmtId="0" fontId="16" fillId="12" borderId="6" xfId="0" applyNumberFormat="1" applyFont="1" applyFill="1" applyBorder="1" applyAlignment="1">
      <x:alignment horizont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14" borderId="0" xfId="0" applyNumberFormat="1" applyFont="1" applyFill="1" applyBorder="1"/>
    <x:xf numFmtId="0" fontId="6" fillId="14" borderId="0" xfId="0" applyNumberFormat="1" applyFont="1" applyFill="1" applyBorder="1"/>
    <x:xf numFmtId="0" fontId="6" fillId="14" borderId="0" xfId="0" applyNumberFormat="1" applyFont="1" applyFill="1" applyBorder="1" applyAlignment="1">
      <x:alignment wrapText="1"/>
    </x:xf>
    <x:xf numFmtId="0" fontId="6" fillId="14" borderId="0" xfId="0" applyNumberFormat="1" applyFont="1" applyFill="1" applyBorder="1" applyAlignment="1">
      <x:alignment horizontal="center" wrapText="1"/>
    </x:xf>
    <x:xf numFmtId="0" fontId="6" fillId="14" borderId="0" xfId="0" applyNumberFormat="1" applyFont="1" applyFill="1" applyBorder="1" applyAlignment="1">
      <x:alignment horizontal="center" vertical="center" wrapText="1"/>
    </x:xf>
    <x:xf numFmtId="0" fontId="0" fillId="14" borderId="6" xfId="0" applyNumberFormat="1" applyFont="1" applyFill="1" applyBorder="1"/>
    <x:xf numFmtId="0" fontId="6" fillId="14" borderId="6" xfId="0" applyNumberFormat="1" applyFont="1" applyFill="1" applyBorder="1"/>
    <x:xf numFmtId="0" fontId="6" fillId="14" borderId="6" xfId="0" applyNumberFormat="1" applyFont="1" applyFill="1" applyBorder="1" applyAlignment="1">
      <x:alignment wrapText="1"/>
    </x:xf>
    <x:xf numFmtId="0" fontId="6" fillId="14" borderId="6" xfId="0" applyNumberFormat="1" applyFont="1" applyFill="1" applyBorder="1" applyAlignment="1">
      <x:alignment horizontal="center" wrapText="1"/>
    </x:xf>
    <x:xf numFmtId="0" fontId="6" fillId="14" borderId="6" xfId="0" applyNumberFormat="1" applyFont="1" applyFill="1" applyBorder="1" applyAlignment="1">
      <x:alignment horizontal="center" vertical="center" wrapText="1"/>
    </x:xf>
    <x:xf numFmtId="0" fontId="17" fillId="14" borderId="0" xfId="0" applyNumberFormat="1" applyFont="1" applyFill="1" applyBorder="1"/>
    <x:xf numFmtId="0" fontId="17" fillId="14" borderId="0" xfId="0" applyNumberFormat="1" applyFont="1" applyFill="1" applyBorder="1" applyAlignment="1">
      <x:alignment horizontal="center"/>
    </x:xf>
    <x:xf numFmtId="0" fontId="17" fillId="14" borderId="0" xfId="0" applyNumberFormat="1" applyFont="1" applyFill="1" applyBorder="1" applyAlignment="1">
      <x:alignment horizontal="center" vertical="center"/>
    </x:xf>
    <x:xf numFmtId="0" fontId="17" fillId="14" borderId="6" xfId="0" applyNumberFormat="1" applyFont="1" applyFill="1" applyBorder="1"/>
    <x:xf numFmtId="0" fontId="17" fillId="14" borderId="6" xfId="0" applyNumberFormat="1" applyFont="1" applyFill="1" applyBorder="1" applyAlignment="1">
      <x:alignment horizontal="center"/>
    </x:xf>
    <x:xf numFmtId="0" fontId="17" fillId="14" borderId="6" xfId="0" applyNumberFormat="1" applyFont="1" applyFill="1" applyBorder="1" applyAlignment="1">
      <x:alignment horizontal="center" vertical="center"/>
    </x:xf>
    <x:xf numFmtId="0" fontId="0" fillId="15" borderId="0" xfId="0" applyNumberFormat="1" applyFont="1" applyFill="1" applyBorder="1"/>
    <x:xf numFmtId="0" fontId="18" fillId="15" borderId="0" xfId="0" applyNumberFormat="1" applyFont="1" applyFill="1" applyBorder="1"/>
    <x:xf numFmtId="0" fontId="18" fillId="15" borderId="0" xfId="0" applyNumberFormat="1" applyFont="1" applyFill="1" applyBorder="1" applyAlignment="1">
      <x:alignment wrapText="1"/>
    </x:xf>
    <x:xf numFmtId="0" fontId="0" fillId="15" borderId="6" xfId="0" applyNumberFormat="1" applyFont="1" applyFill="1" applyBorder="1"/>
    <x:xf numFmtId="0" fontId="18" fillId="15" borderId="6" xfId="0" applyNumberFormat="1" applyFont="1" applyFill="1" applyBorder="1"/>
    <x:xf numFmtId="0" fontId="18" fillId="15" borderId="6" xfId="0" applyNumberFormat="1" applyFont="1" applyFill="1" applyBorder="1" applyAlignment="1">
      <x:alignment wrapText="1"/>
    </x:xf>
    <x:xf numFmtId="0" fontId="0" fillId="14" borderId="0" xfId="0" applyNumberFormat="1" applyFont="1" applyFill="1" applyBorder="1" applyAlignment="1">
      <x:alignment wrapText="1"/>
    </x:xf>
    <x:xf numFmtId="0" fontId="0" fillId="14" borderId="6" xfId="0" applyNumberFormat="1" applyFont="1" applyFill="1" applyBorder="1" applyAlignment="1">
      <x:alignment wrapText="1"/>
    </x:xf>
    <x:xf numFmtId="0" fontId="0" fillId="16" borderId="0" xfId="0" applyNumberFormat="1" applyFont="1" applyFill="1" applyBorder="1"/>
    <x:xf numFmtId="0" fontId="19" fillId="16" borderId="0" xfId="0" applyNumberFormat="1" applyFont="1" applyFill="1" applyBorder="1"/>
    <x:xf numFmtId="0" fontId="19" fillId="16" borderId="0" xfId="0" applyNumberFormat="1" applyFont="1" applyFill="1" applyBorder="1" applyAlignment="1">
      <x:alignment wrapText="1"/>
    </x:xf>
  </x:cellXfs>
  <x:cellStyles count="1">
    <x:cellStyle name="Normal" xfId="0"/>
  </x:cellStyles>
  <x:dxfs count="9">
    <x:dxf>
      <x:font>
        <x:b/>
        <x:color rgb="FF166534"/>
      </x:font>
      <x:fill>
        <x:patternFill>
          <x:bgColor rgb="FFDCFCE7"/>
        </x:patternFill>
      </x:fill>
    </x:dxf>
    <x:dxf>
      <x:font>
        <x:b/>
        <x:color rgb="FF9A3412"/>
      </x:font>
      <x:fill>
        <x:patternFill>
          <x:bgColor rgb="FFFFEDD5"/>
        </x:patternFill>
      </x:fill>
    </x:dxf>
    <x:dxf>
      <x:font>
        <x:b/>
        <x:color rgb="FF1E3A8A"/>
      </x:font>
      <x:fill>
        <x:patternFill>
          <x:bgColor rgb="FFDBEAFE"/>
        </x:patternFill>
      </x:fill>
    </x:dxf>
    <x:dxf>
      <x:font>
        <x:b/>
        <x:color rgb="FF78350F"/>
      </x:font>
      <x:fill>
        <x:patternFill>
          <x:bgColor rgb="FFFEF3C7"/>
        </x:patternFill>
      </x:fill>
    </x:dxf>
    <x:dxf>
      <x:font>
        <x:b/>
        <x:color rgb="FF7F1D1D"/>
      </x:font>
      <x:fill>
        <x:patternFill>
          <x:bgColor rgb="FFFECACA"/>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fdce3a58464f63" /><Relationship Type="http://schemas.openxmlformats.org/officeDocument/2006/relationships/theme" Target="/xl/theme/theme1.xml" Id="R2619cfa065e14cd8" /><Relationship Type="http://schemas.openxmlformats.org/officeDocument/2006/relationships/sharedStrings" Target="/xl/sharedStrings.xml" Id="R86859207cf864df0" /><Relationship Type="http://schemas.openxmlformats.org/officeDocument/2006/relationships/worksheet" Target="/xl/worksheets/sheet1.xml" Id="R3cfd148792dc4f25" /><Relationship Type="http://schemas.openxmlformats.org/officeDocument/2006/relationships/worksheet" Target="/xl/worksheets/sheet2.xml" Id="Rc66a5cfe150e4e92" /><Relationship Type="http://schemas.openxmlformats.org/officeDocument/2006/relationships/worksheet" Target="/xl/worksheets/sheet3.xml" Id="Reeb34c17ba2843b6" /><Relationship Type="http://schemas.openxmlformats.org/officeDocument/2006/relationships/worksheet" Target="/xl/worksheets/sheet4.xml" Id="Rf3931776323d47b7" /><Relationship Type="http://schemas.openxmlformats.org/officeDocument/2006/relationships/worksheet" Target="/xl/worksheets/sheet5.xml" Id="R8551d79e2afd422f" /><Relationship Type="http://schemas.openxmlformats.org/officeDocument/2006/relationships/worksheet" Target="/xl/worksheets/sheet6.xml" Id="Rdc89f2ee9fa34479" /><Relationship Type="http://schemas.openxmlformats.org/officeDocument/2006/relationships/worksheet" Target="/xl/worksheets/sheet7.xml" Id="Rf9c6a3ea345e4b8e" /><Relationship Type="http://schemas.openxmlformats.org/officeDocument/2006/relationships/worksheet" Target="/xl/worksheets/sheet8.xml" Id="Rdcc00733b47341ad" /><Relationship Type="http://schemas.openxmlformats.org/officeDocument/2006/relationships/worksheet" Target="/xl/worksheets/sheet9.xml" Id="R04c5252ae1904092" /><Relationship Type="http://schemas.openxmlformats.org/officeDocument/2006/relationships/worksheet" Target="/xl/worksheets/sheet10.xml" Id="R59d4a896a5984438" /><Relationship Type="http://schemas.openxmlformats.org/officeDocument/2006/relationships/worksheet" Target="/xl/worksheets/sheet11.xml" Id="R009670240b414ba8" /><Relationship Type="http://schemas.openxmlformats.org/officeDocument/2006/relationships/worksheet" Target="/xl/worksheets/sheet12.xml" Id="R3789be73bd8741d3" /><Relationship Type="http://schemas.openxmlformats.org/officeDocument/2006/relationships/worksheet" Target="/xl/worksheets/sheet13.xml" Id="Rf3734ce671c7442b" /><Relationship Type="http://schemas.openxmlformats.org/officeDocument/2006/relationships/worksheet" Target="/xl/worksheets/sheet14.xml" Id="R44ef0d3b647d411b" /><Relationship Type="http://schemas.openxmlformats.org/officeDocument/2006/relationships/worksheet" Target="/xl/worksheets/sheet15.xml" Id="R77c34e91fe654906" /><Relationship Type="http://schemas.openxmlformats.org/officeDocument/2006/relationships/worksheet" Target="/xl/worksheets/sheet16.xml" Id="R34054d05f4204b32" /><Relationship Type="http://schemas.openxmlformats.org/officeDocument/2006/relationships/worksheet" Target="/xl/worksheets/sheet17.xml" Id="R12de0e0abc5e40c3" /><Relationship Type="http://schemas.openxmlformats.org/officeDocument/2006/relationships/worksheet" Target="/xl/worksheets/sheet18.xml" Id="Rba146dfef32549b0" /><Relationship Type="http://schemas.openxmlformats.org/officeDocument/2006/relationships/worksheet" Target="/xl/worksheets/sheet19.xml" Id="Re6dbb736501c46e5" /><Relationship Type="http://schemas.openxmlformats.org/officeDocument/2006/relationships/worksheet" Target="/xl/worksheets/sheet20.xml" Id="R2ae27a1f941a43e1" /><Relationship Type="http://schemas.openxmlformats.org/officeDocument/2006/relationships/worksheet" Target="/xl/worksheets/sheet21.xml" Id="R893e6042394f42ec" /><Relationship Type="http://schemas.openxmlformats.org/officeDocument/2006/relationships/worksheet" Target="/xl/worksheets/sheet22.xml" Id="Rcf037f5661844e39" /><Relationship Type="http://schemas.openxmlformats.org/officeDocument/2006/relationships/worksheet" Target="/xl/worksheets/sheet23.xml" Id="R4ee49e1d140241aa" /><Relationship Type="http://schemas.openxmlformats.org/officeDocument/2006/relationships/worksheet" Target="/xl/worksheets/sheet24.xml" Id="Reaa102ffc88045fd" /><Relationship Type="http://schemas.openxmlformats.org/officeDocument/2006/relationships/worksheet" Target="/xl/worksheets/sheet25.xml" Id="R88dad883b5234d0a" /><Relationship Type="http://schemas.openxmlformats.org/officeDocument/2006/relationships/worksheet" Target="/xl/worksheets/sheet26.xml" Id="R871e9e03ef2041d9" /><Relationship Type="http://schemas.openxmlformats.org/officeDocument/2006/relationships/worksheet" Target="/xl/worksheets/sheet27.xml" Id="R1103867418f54e48" /><Relationship Type="http://schemas.openxmlformats.org/officeDocument/2006/relationships/worksheet" Target="/xl/worksheets/sheet28.xml" Id="Rcd514aed587445f2" /><Relationship Type="http://schemas.openxmlformats.org/officeDocument/2006/relationships/worksheet" Target="/xl/worksheets/sheet29.xml" Id="R7cc89b80de8b4777" /><Relationship Type="http://schemas.openxmlformats.org/officeDocument/2006/relationships/worksheet" Target="/xl/worksheets/sheet30.xml" Id="Ra7d45658f7a84688" /><Relationship Type="http://schemas.openxmlformats.org/officeDocument/2006/relationships/worksheet" Target="/xl/worksheets/sheet31.xml" Id="Raa5a1328645a4b0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ae93aa2630f477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New Canonical Modules by Subdomain</a:t>
            </a:r>
          </a:p>
        </c:rich>
      </c:tx>
      <c:overlay val="0"/>
    </c:title>
    <c:autoTitleDeleted val="0"/>
    <c:plotArea>
      <c:layout/>
      <c:barChart>
        <c:barDir val="col"/>
        <c:varyColors val="0"/>
        <c:ser>
          <c:idx val="0"/>
          <c:order val="0"/>
          <c:tx>
            <c:v>New modules</c:v>
          </c:tx>
          <c:cat>
            <c:strRef>
              <c:f>'MG_Update_Summary'!$J$4:$J$8</c:f>
              <c:strCache>
                <c:ptCount val="0"/>
              </c:strCache>
            </c:strRef>
          </c:cat>
          <c:val>
            <c:numRef>
              <c:f>'MG_Update_Summary'!$K$4:$K$8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9</xdr:row>
      <xdr:rowOff>0</xdr:rowOff>
    </xdr:from>
    <xdr:to>
      <xdr:col>17</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e93aa2630f4770"/>
        </a:graphicData>
      </a:graphic>
    </xdr:graphicFrame>
    <xdr:clientData/>
  </xdr:twoCellAnchor>
</xdr:wsDr>
</file>

<file path=xl/tables/table1.xml><?xml version="1.0" encoding="utf-8"?>
<x:table xmlns:x="http://schemas.openxmlformats.org/spreadsheetml/2006/main" id="1" name="BlueprintData" displayName="BlueprintData" ref="A1:O285">
  <x:autoFilter ref="A1:O285"/>
  <x:tableColumns count="15">
    <x:tableColumn id="1" name="Module ID"/>
    <x:tableColumn id="2" name="Domain / Landscape"/>
    <x:tableColumn id="3" name="Suite / Platform"/>
    <x:tableColumn id="4" name="Capability Group"/>
    <x:tableColumn id="5" name="Aim / Goal (Capability Group)"/>
    <x:tableColumn id="6" name="Module Name"/>
    <x:tableColumn id="7" name="Wave"/>
    <x:tableColumn id="8" name="Dependency Gate (must exist first)"/>
    <x:tableColumn id="9" name="Delivery Outcome / Value"/>
    <x:tableColumn id="10" name="Soft Pages (for development)"/>
    <x:tableColumn id="11" name="Placement"/>
    <x:tableColumn id="12" name="Minimum Integration Contracts (must be standardized)"/>
    <x:tableColumn id="13" name="SoR Module (primary objects impacted)"/>
    <x:tableColumn id="14" name="Default Support Model (L1/L2/L3)"/>
    <x:tableColumn id="15" name="Integration Contracts"/>
  </x:tableColumns>
  <x:tableStyleInfo name="TableStyleMedium9" showRowStripes="1"/>
</x:table>
</file>

<file path=xl/tables/table2.xml><?xml version="1.0" encoding="utf-8"?>
<x:table xmlns:x="http://schemas.openxmlformats.org/spreadsheetml/2006/main" id="2" name="BlueprintView" displayName="BlueprintView" ref="A1:O279">
  <x:autoFilter ref="A1:O279"/>
  <x:tableColumns count="15">
    <x:tableColumn id="1" name="Module ID"/>
    <x:tableColumn id="2" name="Domain / Landscape"/>
    <x:tableColumn id="3" name="Suite / Platform"/>
    <x:tableColumn id="4" name="Capability Group"/>
    <x:tableColumn id="5" name="Aim / Goal (Capability Group)"/>
    <x:tableColumn id="6" name="Module Name"/>
    <x:tableColumn id="7" name="Wave"/>
    <x:tableColumn id="8" name="Dependency Gate (must exist first)"/>
    <x:tableColumn id="9" name="Delivery Outcome / Value"/>
    <x:tableColumn id="10" name="Soft Pages (for development)"/>
    <x:tableColumn id="11" name="Placement"/>
    <x:tableColumn id="12" name="Minimum Integration Contracts (must be standardized)"/>
    <x:tableColumn id="13" name="SoR Module (primary objects impacted)"/>
    <x:tableColumn id="14" name="Default Support Model (L1/L2/L3)"/>
    <x:tableColumn id="15" name="Integration Contracts"/>
  </x:tableColumns>
  <x:tableStyleInfo name="TableStyleMedium2" showRowStripes="1"/>
</x:table>
</file>

<file path=xl/tables/table3.xml><?xml version="1.0" encoding="utf-8"?>
<table xmlns="http://schemas.openxmlformats.org/spreadsheetml/2006/main" id="3" name="PrioritizedGapRegisterTable" displayName="PrioritizedGapRegisterTable" ref="A1:N163">
  <tableColumns count="14">
    <tableColumn id="1" name="Gap ID"/>
    <tableColumn id="2" name="Severity"/>
    <tableColumn id="3" name="Gap Type"/>
    <tableColumn id="4" name="Module ID(s)"/>
    <tableColumn id="5" name="Module Name(s)"/>
    <tableColumn id="6" name="Domain"/>
    <tableColumn id="7" name="Capability Block / Cluster"/>
    <tableColumn id="8" name="Current Evidence"/>
    <tableColumn id="9" name="Impact"/>
    <tableColumn id="10" name="Suggested Fix"/>
    <tableColumn id="11" name="Owner / Action Lane"/>
    <tableColumn id="12" name="Status"/>
    <tableColumn id="13" name="Release Gate Impact"/>
    <tableColumn id="14" name="Notes"/>
  </tableColumns>
  <tableStyleInfo name="TableStyleMedium2" showRowStripes="1"/>
</table>
</file>

<file path=xl/tables/table4.xml><?xml version="1.0" encoding="utf-8"?>
<x:table xmlns:x="http://schemas.openxmlformats.org/spreadsheetml/2006/main" id="4" name="MGDomainMapTable" displayName="MGDomainMapTable" ref="A1:J11" headerRowCount="1">
  <x:tableColumns count="10">
    <x:tableColumn id="1" name="No."/>
    <x:tableColumn id="2" name="Name"/>
    <x:tableColumn id="3" name="Type"/>
    <x:tableColumn id="4" name="Purpose"/>
    <x:tableColumn id="5" name="Coverage Model"/>
    <x:tableColumn id="6" name="Primary SoR Modules"/>
    <x:tableColumn id="7" name="Supporting Modules"/>
    <x:tableColumn id="8" name="New Modules Added v8"/>
    <x:tableColumn id="9" name="Boundary Note"/>
    <x:tableColumn id="10" name="Release Scope"/>
  </x:tableColumns>
  <x:tableStyleInfo name="TableStyleMedium2" showRowStripes="1"/>
</x:table>
</file>

<file path=xl/tables/table5.xml><?xml version="1.0" encoding="utf-8"?>
<table xmlns="http://schemas.openxmlformats.org/spreadsheetml/2006/main" id="5" name="MGNewModulesTable" displayName="MGNewModulesTable" ref="A14:H20" headerRowCount="1">
  <tableColumns count="8">
    <tableColumn id="1" name="Module ID"/>
    <tableColumn id="2" name="Module Name"/>
    <tableColumn id="3" name="Subdomain"/>
    <tableColumn id="4" name="Wave"/>
    <tableColumn id="5" name="Release Scope"/>
    <tableColumn id="6" name="Primary SoR Object Family"/>
    <tableColumn id="7" name="Boundary"/>
    <tableColumn id="8" name="Page Count"/>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8bc8b26fa2c54db1" /></Relationships>
</file>

<file path=xl/worksheets/_rels/sheet6.xml.rels>&#65279;<?xml version="1.0" encoding="utf-8"?><Relationships xmlns="http://schemas.openxmlformats.org/package/2006/relationships"><Relationship Type="http://schemas.openxmlformats.org/officeDocument/2006/relationships/table" Target="/xl/tables/table2.xml" Id="Rcf18c434486c49d6" /></Relationships>
</file>

<file path=xl/worksheets/_rels/sheet28.xml.rels>&#65279;<?xml version="1.0" encoding="utf-8"?><Relationships xmlns="http://schemas.openxmlformats.org/package/2006/relationships"><Relationship Type="http://schemas.openxmlformats.org/officeDocument/2006/relationships/table" Target="/xl/tables/table3.xml" Id="R0a9644f2066947e5" /></Relationships>
</file>

<file path=xl/worksheets/_rels/sheet29.xml.rels>&#65279;<?xml version="1.0" encoding="utf-8"?><Relationships xmlns="http://schemas.openxmlformats.org/package/2006/relationships"><Relationship Type="http://schemas.openxmlformats.org/officeDocument/2006/relationships/table" Target="/xl/tables/table4.xml" Id="R243bb57dde5546b5" /></Relationships>
</file>

<file path=xl/worksheets/_rels/sheet30.xml.rels>&#65279;<?xml version="1.0" encoding="utf-8"?><Relationships xmlns="http://schemas.openxmlformats.org/package/2006/relationships"><Relationship Type="http://schemas.openxmlformats.org/officeDocument/2006/relationships/drawing" Target="/xl/drawings/drawing1.xml" Id="Re5a6fcc3c046496e" /><Relationship Type="http://schemas.openxmlformats.org/officeDocument/2006/relationships/table" Target="/xl/tables/table5.xml" Id="R897cfa5927814fe8" /></Relationships>
</file>

<file path=xl/worksheets/sheet1.xml><?xml version="1.0" encoding="utf-8"?>
<x:worksheet xmlns:x="http://schemas.openxmlformats.org/spreadsheetml/2006/main">
  <x:sheetFormatPr baseColWidth="10" defaultColWidth="35.83203125" defaultRowHeight="13"/>
  <x:cols>
    <x:col min="1" max="2" width="6" customWidth="1"/>
  </x:cols>
  <x:sheetData>
    <x:row r="1">
      <x:c r="A1" s="20"/>
      <x:c r="B1" s="20"/>
      <x:c r="C1" s="20"/>
      <x:c r="D1" s="20"/>
      <x:c r="E1" s="20"/>
      <x:c r="F1" s="20"/>
    </x:row>
    <x:row r="2" ht="15">
      <x:c r="A2" s="20"/>
      <x:c r="B2" s="20"/>
      <x:c r="C2" s="21" t="s">
        <x:v>0</x:v>
      </x:c>
      <x:c r="D2" s="22" t="s">
        <x:v>1</x:v>
      </x:c>
      <x:c r="E2" s="22" t="s">
        <x:v>2</x:v>
      </x:c>
      <x:c r="F2" s="22" t="s">
        <x:v>3</x:v>
      </x:c>
    </x:row>
    <x:row r="3" ht="36">
      <x:c r="A3" s="20"/>
      <x:c r="B3" s="20"/>
      <x:c r="C3" s="23" t="s">
        <x:v>4</x:v>
      </x:c>
      <x:c r="D3" s="24" t="s">
        <x:v>5</x:v>
      </x:c>
      <x:c r="E3" s="24" t="s">
        <x:v>6</x:v>
      </x:c>
      <x:c r="F3" s="24" t="s">
        <x:v>7</x:v>
      </x:c>
    </x:row>
    <x:row r="4" ht="36">
      <x:c r="A4" s="20"/>
      <x:c r="B4" s="20"/>
      <x:c r="C4" s="23" t="s">
        <x:v>4</x:v>
      </x:c>
      <x:c r="D4" s="24" t="s">
        <x:v>8</x:v>
      </x:c>
      <x:c r="E4" s="24" t="s">
        <x:v>9</x:v>
      </x:c>
      <x:c r="F4" s="24" t="s">
        <x:v>10</x:v>
      </x:c>
    </x:row>
    <x:row r="5" ht="36">
      <x:c r="A5" s="20"/>
      <x:c r="B5" s="20"/>
      <x:c r="C5" s="23" t="s">
        <x:v>4</x:v>
      </x:c>
      <x:c r="D5" s="24" t="s">
        <x:v>11</x:v>
      </x:c>
      <x:c r="E5" s="24" t="s">
        <x:v>12</x:v>
      </x:c>
      <x:c r="F5" s="24" t="s">
        <x:v>13</x:v>
      </x:c>
    </x:row>
    <x:row r="6" ht="36">
      <x:c r="A6" s="20"/>
      <x:c r="B6" s="20"/>
      <x:c r="C6" s="23" t="s">
        <x:v>4</x:v>
      </x:c>
      <x:c r="D6" s="24" t="s">
        <x:v>14</x:v>
      </x:c>
      <x:c r="E6" s="24" t="s">
        <x:v>15</x:v>
      </x:c>
      <x:c r="F6" s="24" t="s">
        <x:v>16</x:v>
      </x:c>
    </x:row>
    <x:row r="7" ht="36">
      <x:c r="A7" s="20"/>
      <x:c r="B7" s="20"/>
      <x:c r="C7" s="23" t="s">
        <x:v>17</x:v>
      </x:c>
      <x:c r="D7" s="24" t="s">
        <x:v>18</x:v>
      </x:c>
      <x:c r="E7" s="24" t="s">
        <x:v>19</x:v>
      </x:c>
      <x:c r="F7" s="24" t="s">
        <x:v>20</x:v>
      </x:c>
    </x:row>
    <x:row r="8" ht="36">
      <x:c r="A8" s="20"/>
      <x:c r="B8" s="20"/>
      <x:c r="C8" s="23" t="s">
        <x:v>17</x:v>
      </x:c>
      <x:c r="D8" s="24" t="s">
        <x:v>21</x:v>
      </x:c>
      <x:c r="E8" s="24" t="s">
        <x:v>22</x:v>
      </x:c>
      <x:c r="F8" s="24" t="s">
        <x:v>23</x:v>
      </x:c>
    </x:row>
    <x:row r="9" ht="36">
      <x:c r="A9" s="20"/>
      <x:c r="B9" s="20"/>
      <x:c r="C9" s="23" t="s">
        <x:v>17</x:v>
      </x:c>
      <x:c r="D9" s="24" t="s">
        <x:v>24</x:v>
      </x:c>
      <x:c r="E9" s="24" t="s">
        <x:v>25</x:v>
      </x:c>
      <x:c r="F9" s="24" t="s">
        <x:v>26</x:v>
      </x:c>
    </x:row>
    <x:row r="10" ht="36">
      <x:c r="A10" s="20"/>
      <x:c r="B10" s="20"/>
      <x:c r="C10" s="23" t="s">
        <x:v>17</x:v>
      </x:c>
      <x:c r="D10" s="24" t="s">
        <x:v>27</x:v>
      </x:c>
      <x:c r="E10" s="24" t="s">
        <x:v>28</x:v>
      </x:c>
      <x:c r="F10" s="24" t="s">
        <x:v>29</x:v>
      </x:c>
    </x:row>
    <x:row r="11" ht="36">
      <x:c r="A11" s="20"/>
      <x:c r="B11" s="20"/>
      <x:c r="C11" s="23" t="s">
        <x:v>30</x:v>
      </x:c>
      <x:c r="D11" s="24" t="s">
        <x:v>31</x:v>
      </x:c>
      <x:c r="E11" s="24" t="s">
        <x:v>32</x:v>
      </x:c>
      <x:c r="F11" s="24" t="s">
        <x:v>33</x:v>
      </x:c>
    </x:row>
    <x:row r="12" ht="36">
      <x:c r="A12" s="20"/>
      <x:c r="B12" s="20"/>
      <x:c r="C12" s="23" t="s">
        <x:v>30</x:v>
      </x:c>
      <x:c r="D12" s="24" t="s">
        <x:v>34</x:v>
      </x:c>
      <x:c r="E12" s="24" t="s">
        <x:v>35</x:v>
      </x:c>
      <x:c r="F12" s="24" t="s">
        <x:v>36</x:v>
      </x:c>
    </x:row>
    <x:row r="13" ht="36">
      <x:c r="A13" s="20"/>
      <x:c r="B13" s="20"/>
      <x:c r="C13" s="23" t="s">
        <x:v>30</x:v>
      </x:c>
      <x:c r="D13" s="24" t="s">
        <x:v>37</x:v>
      </x:c>
      <x:c r="E13" s="24" t="s">
        <x:v>38</x:v>
      </x:c>
      <x:c r="F13" s="24" t="s">
        <x:v>39</x:v>
      </x:c>
    </x:row>
    <x:row r="14" ht="36">
      <x:c r="A14" s="20"/>
      <x:c r="B14" s="20"/>
      <x:c r="C14" s="23" t="s">
        <x:v>30</x:v>
      </x:c>
      <x:c r="D14" s="24" t="s">
        <x:v>40</x:v>
      </x:c>
      <x:c r="E14" s="24" t="s">
        <x:v>41</x:v>
      </x:c>
      <x:c r="F14" s="24" t="s">
        <x:v>42</x:v>
      </x:c>
    </x:row>
    <x:row r="15" ht="36">
      <x:c r="A15" s="20"/>
      <x:c r="B15" s="20"/>
      <x:c r="C15" s="23" t="s">
        <x:v>30</x:v>
      </x:c>
      <x:c r="D15" s="24" t="s">
        <x:v>43</x:v>
      </x:c>
      <x:c r="E15" s="24" t="s">
        <x:v>44</x:v>
      </x:c>
      <x:c r="F15" s="24" t="s">
        <x:v>45</x:v>
      </x:c>
    </x:row>
    <x:row r="16" ht="36">
      <x:c r="A16" s="20"/>
      <x:c r="B16" s="20"/>
      <x:c r="C16" s="23" t="s">
        <x:v>46</x:v>
      </x:c>
      <x:c r="D16" s="24" t="s">
        <x:v>47</x:v>
      </x:c>
      <x:c r="E16" s="24" t="s">
        <x:v>48</x:v>
      </x:c>
      <x:c r="F16" s="24" t="s">
        <x:v>49</x:v>
      </x:c>
    </x:row>
    <x:row r="17" ht="24">
      <x:c r="A17" s="20"/>
      <x:c r="B17" s="20"/>
      <x:c r="C17" s="23" t="s">
        <x:v>46</x:v>
      </x:c>
      <x:c r="D17" s="24" t="s">
        <x:v>50</x:v>
      </x:c>
      <x:c r="E17" s="24" t="s">
        <x:v>51</x:v>
      </x:c>
      <x:c r="F17" s="24" t="s">
        <x:v>52</x:v>
      </x:c>
    </x:row>
    <x:row r="18" ht="36">
      <x:c r="A18" s="20"/>
      <x:c r="B18" s="20"/>
      <x:c r="C18" s="23" t="s">
        <x:v>46</x:v>
      </x:c>
      <x:c r="D18" s="24" t="s">
        <x:v>53</x:v>
      </x:c>
      <x:c r="E18" s="24" t="s">
        <x:v>54</x:v>
      </x:c>
      <x:c r="F18" s="24" t="s">
        <x:v>55</x:v>
      </x:c>
    </x:row>
    <x:row r="19" ht="36">
      <x:c r="A19" s="20"/>
      <x:c r="B19" s="20"/>
      <x:c r="C19" s="23" t="s">
        <x:v>46</x:v>
      </x:c>
      <x:c r="D19" s="24" t="s">
        <x:v>56</x:v>
      </x:c>
      <x:c r="E19" s="24" t="s">
        <x:v>57</x:v>
      </x:c>
      <x:c r="F19" s="24" t="s">
        <x:v>58</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3"/>
  <x:cols>
    <x:col min="1" max="1" width="14" customWidth="1"/>
    <x:col min="2" max="2" width="42" customWidth="1"/>
    <x:col min="3" max="3" width="8" customWidth="1"/>
    <x:col min="4" max="4" width="16" customWidth="1"/>
    <x:col min="5" max="5" width="10" customWidth="1"/>
    <x:col min="6" max="6" width="22" customWidth="1"/>
    <x:col min="7" max="8" width="14" customWidth="1"/>
    <x:col min="9" max="9" width="12" customWidth="1"/>
    <x:col min="10" max="10" width="20" customWidth="1"/>
    <x:col min="11" max="11" width="40" customWidth="1"/>
  </x:cols>
  <x:sheetData>
    <x:row r="1" ht="42.75" customHeight="1">
      <x:c r="A1" s="12" t="s">
        <x:v>59</x:v>
      </x:c>
    </x:row>
    <x:row r="3">
      <x:c r="A3" s="8" t="s">
        <x:v>60</x:v>
      </x:c>
    </x:row>
    <x:row r="5" ht="33.25" customHeight="1">
      <x:c r="A5" s="8" t="s">
        <x:v>61</x:v>
      </x:c>
      <x:c r="B5" s="10" t="str">
        <x:f>IFERROR(INDEX(Blueprint_Data!$F:$F,MATCH($B$3,Blueprint_Data!$A:$A,0)),"")</x:f>
      </x:c>
    </x:row>
    <x:row r="6" ht="33.25" customHeight="1">
      <x:c r="A6" s="8" t="s">
        <x:v>62</x:v>
      </x:c>
      <x:c r="B6" s="10" t="str">
        <x:f>IFERROR(VLOOKUP($B$3,Blueprint_Data!$A$2:$AB$285,2,FALSE),"")</x:f>
      </x:c>
    </x:row>
    <x:row r="7" ht="33.25" customHeight="1">
      <x:c r="A7" s="8" t="s">
        <x:v>63</x:v>
      </x:c>
      <x:c r="B7" s="10" t="str">
        <x:f>IFERROR(VLOOKUP($B$3,Blueprint_Data!$A$2:$AB$285,7,FALSE),"")</x:f>
      </x:c>
    </x:row>
    <x:row r="8" ht="33.25" customHeight="1">
      <x:c r="A8" s="8" t="s">
        <x:v>64</x:v>
      </x:c>
      <x:c r="B8" s="10" t="str">
        <x:f>IFERROR(VLOOKUP($B$3,Blueprint_Data!$A$2:$AB$285,23,FALSE),"")</x:f>
      </x:c>
    </x:row>
    <x:row r="9" ht="33.25" customHeight="1">
      <x:c r="A9" s="8" t="s">
        <x:v>65</x:v>
      </x:c>
      <x:c r="B9" s="10" t="str">
        <x:f>IF(OR($B$11&gt;0,$B$12&gt;0,$B$13="YES",$B$14&gt;0),"YES","NO")</x:f>
        <x:v>NO</x:v>
      </x:c>
    </x:row>
    <x:row r="10" ht="33.25" customHeight="1">
      <x:c r="A10" s="8" t="s">
        <x:v>66</x:v>
      </x:c>
      <x:c r="B10" s="10" t="str">
        <x:f>IF((IF($B$11&gt;0,"Missing Dependency; ","")&amp;IF($B$12&gt;0,"Out-of-Seq; ","")&amp;IF($B$13="YES","SoR Collision; ","")&amp;IF($B$14&gt;0,"Missing OM Fields; ",""))="","",IF(RIGHT((IF($B$11&gt;0,"Missing Dependency; ","")&amp;IF($B$12&gt;0,"Out-of-Seq; ","")&amp;IF($B$13="YES","SoR Collision; ","")&amp;IF($B$14&gt;0,"Missing OM Fields; ","")),2)="; ",LEFT((IF($B$11&gt;0,"Missing Dependency; ","")&amp;IF($B$12&gt;0,"Out-of-Seq; ","")&amp;IF($B$13="YES","SoR Collision; ","")&amp;IF($B$14&gt;0,"Missing OM Fields; ","")),LEN((IF($B$11&gt;0,"Missing Dependency; ","")&amp;IF($B$12&gt;0,"Out-of-Seq; ","")&amp;IF($B$13="YES","SoR Collision; ","")&amp;IF($B$14&gt;0,"Missing OM Fields; ","")))-2),(IF($B$11&gt;0,"Missing Dependency; ","")&amp;IF($B$12&gt;0,"Out-of-Seq; ","")&amp;IF($B$13="YES","SoR Collision; ","")&amp;IF($B$14&gt;0,"Missing OM Fields; ",""))))</x:f>
      </x:c>
    </x:row>
    <x:row r="11">
      <x:c r="A11" s="8" t="s">
        <x:v>67</x:v>
      </x:c>
      <x:c r="B11" s="10" t="n">
        <x:f>IFERROR(INDEX(Checks!$D:$D,MATCH($B$3,Checks!$A:$A,0)),0)</x:f>
        <x:v>0</x:v>
      </x:c>
    </x:row>
    <x:row r="12">
      <x:c r="A12" s="8" t="s">
        <x:v>68</x:v>
      </x:c>
      <x:c r="B12" s="10" t="n">
        <x:f>IFERROR(INDEX(Checks!$F:$F,MATCH($B$3,Checks!$A:$A,0)),0)</x:f>
        <x:v>0</x:v>
      </x:c>
    </x:row>
    <x:row r="13" ht="33.25" customHeight="1">
      <x:c r="A13" s="8" t="s">
        <x:v>69</x:v>
      </x:c>
      <x:c r="B13" s="10" t="str">
        <x:f>IFERROR(INDEX(Checks!$H:$H,MATCH($B$3,Checks!$A:$A,0)),"NO")</x:f>
        <x:v>NO</x:v>
      </x:c>
    </x:row>
    <x:row r="14">
      <x:c r="A14" s="8" t="s">
        <x:v>70</x:v>
      </x:c>
      <x:c r="B14" s="10" t="n">
        <x:f>IFERROR(INDEX(Checks!$J:$J,MATCH($B$3,Checks!$A:$A,0)),0)</x:f>
        <x:v>0</x:v>
      </x:c>
    </x:row>
    <x:row r="15" ht="33.25" customHeight="1">
      <x:c r="A15" s="8" t="s">
        <x:v>71</x:v>
      </x:c>
      <x:c r="B15" s="10" t="str">
        <x:f>IF($B$9="NO","Proceed: finalize spec pack + sequencing",IF($B$13="YES","Resolve SoR ownership (single SoR) and update catalog",IF($B$11&gt;0,"Register prerequisites and close missing dependency gaps",IF($B$12&gt;0,"Resequence waves to satisfy prerequisite ordering",IF($B$14&gt;0,"Populate Operating Model fields (support/SLO/owners)","Remediate blockers")))))</x:f>
        <x:v>Proceed: finalize spec pack + sequencing</x:v>
      </x:c>
    </x:row>
    <x:row r="18" ht="133" customHeight="1">
      <x:c r="A18" s="13" t="s">
        <x:v>72</x:v>
      </x:c>
      <x:c r="B18" s="13" t="s">
        <x:v>61</x:v>
      </x:c>
      <x:c r="C18" s="13" t="s">
        <x:v>63</x:v>
      </x:c>
      <x:c r="D18" s="13" t="s">
        <x:v>64</x:v>
      </x:c>
      <x:c r="E18" s="13" t="s">
        <x:v>65</x:v>
      </x:c>
      <x:c r="F18" s="13" t="s">
        <x:v>66</x:v>
      </x:c>
      <x:c r="G18" s="13" t="s">
        <x:v>67</x:v>
      </x:c>
      <x:c r="H18" s="13" t="s">
        <x:v>68</x:v>
      </x:c>
      <x:c r="I18" s="13" t="s">
        <x:v>69</x:v>
      </x:c>
      <x:c r="J18" s="13" t="s">
        <x:v>70</x:v>
      </x:c>
      <x:c r="K18" s="13" t="s">
        <x:v>71</x:v>
      </x:c>
    </x:row>
    <x:row r="19" ht="66.25" customHeight="1">
      <x:c r="A19" s="10" t="s">
        <x:v>73</x:v>
      </x:c>
      <x:c r="B19" s="10" t="s">
        <x:v>74</x:v>
      </x:c>
      <x:c r="C19" s="10" t="s">
        <x:v>75</x:v>
      </x:c>
      <x:c r="D19" s="10" t="s">
        <x:v>76</x:v>
      </x:c>
      <x:c r="E19" s="10" t="s">
        <x:v>77</x:v>
      </x:c>
      <x:c r="F19" s="10"/>
      <x:c r="G19" s="10">
        <x:v>0</x:v>
      </x:c>
      <x:c r="H19" s="10">
        <x:v>0</x:v>
      </x:c>
      <x:c r="I19" s="10" t="s">
        <x:v>77</x:v>
      </x:c>
      <x:c r="J19" s="10">
        <x:v>0</x:v>
      </x:c>
      <x:c r="K19" s="10"/>
    </x:row>
    <x:row r="20" ht="66.25" customHeight="1">
      <x:c r="A20" s="10" t="e">
        <x:f>IFERROR(INDEX(Dependencies!$C$2:$C$5000,_xludf.AGGREGATE(15,6,(ROW(Dependencies!$A$2:$A$5000)-ROW(Dependencies!$A$2)+1)/(Dependencies!$A$2:$A$5000=$B$3),ROWS($A$20:A20))),"")</x:f>
      </x:c>
      <x:c r="B20" s="10" t="e">
        <x:f>IF($A20="","",IFERROR(INDEX(Blueprint_Data!$F:$F,MATCH($A20,Blueprint_Data!$A:$A,0)),""))</x:f>
      </x:c>
      <x:c r="C20" s="10" t="e">
        <x:f>IF($A20="","",IFERROR(INDEX(Blueprint_Data!$G:$G,MATCH($A20,Blueprint_Data!$A:$A,0)),""))</x:f>
      </x:c>
      <x:c r="D20" s="10" t="e">
        <x:f>IF($A20="","",IFERROR(INDEX(Blueprint_Data!$W:$W,MATCH($A20,Blueprint_Data!$A:$A,0)),""))</x:f>
      </x:c>
      <x:c r="E20" s="10" t="e">
        <x:f t="shared" ref="E20:E51" si="0">IF($A20="","",IF(OR(G20&gt;0,H20&gt;0,I20="YES",J20&gt;0),"YES","NO"))</x:f>
      </x:c>
      <x:c r="F20" s="10" t="e">
        <x:f t="shared" ref="F20:F51" si="1">IF((IF(G20&gt;0,"Missing Dependency; ","")&amp;IF(H20&gt;0,"Out-of-Seq; ","")&amp;IF(I20="YES","SoR Collision; ","")&amp;IF(J20&gt;0,"Missing OM Fields; ",""))="","",IF(RIGHT((IF(G20&gt;0,"Missing Dependency; ","")&amp;IF(H20&gt;0,"Out-of-Seq; ","")&amp;IF(I20="YES","SoR Collision; ","")&amp;IF(J20&gt;0,"Missing OM Fields; ","")),2)="; ",LEFT((IF(G20&gt;0,"Missing Dependency; ","")&amp;IF(H20&gt;0,"Out-of-Seq; ","")&amp;IF(I20="YES","SoR Collision; ","")&amp;IF(J20&gt;0,"Missing OM Fields; ","")),LEN((IF(G20&gt;0,"Missing Dependency; ","")&amp;IF(H20&gt;0,"Out-of-Seq; ","")&amp;IF(I20="YES","SoR Collision; ","")&amp;IF(J20&gt;0,"Missing OM Fields; ","")))-2),(IF(G20&gt;0,"Missing Dependency; ","")&amp;IF(H20&gt;0,"Out-of-Seq; ","")&amp;IF(I20="YES","SoR Collision; ","")&amp;IF(J20&gt;0,"Missing OM Fields; ",""))))</x:f>
      </x:c>
      <x:c r="G20" s="10" t="e">
        <x:f>IF($A20="","",IFERROR(INDEX(Checks!$D:$D,MATCH($A20,Checks!$A:$A,0)),0))</x:f>
      </x:c>
      <x:c r="H20" s="10" t="e">
        <x:f>IF($A20="","",IFERROR(INDEX(Checks!$F:$F,MATCH($A20,Checks!$A:$A,0)),0))</x:f>
      </x:c>
      <x:c r="I20" s="10" t="e">
        <x:f>IF($A20="","",IFERROR(INDEX(Checks!$H:$H,MATCH($A20,Checks!$A:$A,0)),"NO"))</x:f>
      </x:c>
      <x:c r="J20" s="10" t="e">
        <x:f>IF($A20="","",IFERROR(INDEX(Checks!$J:$J,MATCH($A20,Checks!$A:$A,0)),0))</x:f>
      </x:c>
      <x:c r="K20" s="10" t="e">
        <x:f t="shared" ref="K20:K51" si="2">IF($A20="","",IF(E20="NO","OK: dependency is clean",IF(I20="YES","Resolve SoR ownership (single SoR)",IF(G20&gt;0,"Close missing dependencies",IF(H20&gt;0,"Resequence waves",IF(J20&gt;0,"Populate Operating Model fields","Remediate blockers"))))))</x:f>
      </x:c>
    </x:row>
    <x:row r="21" ht="66.25" customHeight="1">
      <x:c r="A21" s="10" t="e">
        <x:f>IFERROR(INDEX(Dependencies!$C$2:$C$5000,_xludf.AGGREGATE(15,6,(ROW(Dependencies!$A$2:$A$5000)-ROW(Dependencies!$A$2)+1)/(Dependencies!$A$2:$A$5000=$B$3),ROWS($A$20:A21))),"")</x:f>
      </x:c>
      <x:c r="B21" s="10" t="e">
        <x:f>IF($A21="","",IFERROR(INDEX(Blueprint_Data!$F:$F,MATCH($A21,Blueprint_Data!$A:$A,0)),""))</x:f>
      </x:c>
      <x:c r="C21" s="10" t="e">
        <x:f>IF($A21="","",IFERROR(INDEX(Blueprint_Data!$G:$G,MATCH($A21,Blueprint_Data!$A:$A,0)),""))</x:f>
      </x:c>
      <x:c r="D21" s="10" t="e">
        <x:f>IF($A21="","",IFERROR(INDEX(Blueprint_Data!$W:$W,MATCH($A21,Blueprint_Data!$A:$A,0)),""))</x:f>
      </x:c>
      <x:c r="E21" s="10" t="str">
        <x:f t="shared" si="0"/>
      </x:c>
      <x:c r="F21" s="10" t="str">
        <x:f t="shared" si="1"/>
        <x:v>Missing Dependency; Out-of-Seq; Missing OM Fields</x:v>
      </x:c>
      <x:c r="G21" s="10" t="e">
        <x:f>IF($A21="","",IFERROR(INDEX(Checks!$D:$D,MATCH($A21,Checks!$A:$A,0)),0))</x:f>
      </x:c>
      <x:c r="H21" s="10" t="e">
        <x:f>IF($A21="","",IFERROR(INDEX(Checks!$F:$F,MATCH($A21,Checks!$A:$A,0)),0))</x:f>
      </x:c>
      <x:c r="I21" s="10" t="e">
        <x:f>IF($A21="","",IFERROR(INDEX(Checks!$H:$H,MATCH($A21,Checks!$A:$A,0)),"NO"))</x:f>
      </x:c>
      <x:c r="J21" s="10" t="e">
        <x:f>IF($A21="","",IFERROR(INDEX(Checks!$J:$J,MATCH($A21,Checks!$A:$A,0)),0))</x:f>
      </x:c>
      <x:c r="K21" s="10" t="str">
        <x:f t="shared" si="2"/>
      </x:c>
    </x:row>
    <x:row r="22" ht="66.25" customHeight="1">
      <x:c r="A22" s="10" t="e">
        <x:f>IFERROR(INDEX(Dependencies!$C$2:$C$5000,_xludf.AGGREGATE(15,6,(ROW(Dependencies!$A$2:$A$5000)-ROW(Dependencies!$A$2)+1)/(Dependencies!$A$2:$A$5000=$B$3),ROWS($A$20:A22))),"")</x:f>
      </x:c>
      <x:c r="B22" s="10" t="e">
        <x:f>IF($A22="","",IFERROR(INDEX(Blueprint_Data!$F:$F,MATCH($A22,Blueprint_Data!$A:$A,0)),""))</x:f>
      </x:c>
      <x:c r="C22" s="10" t="e">
        <x:f>IF($A22="","",IFERROR(INDEX(Blueprint_Data!$G:$G,MATCH($A22,Blueprint_Data!$A:$A,0)),""))</x:f>
      </x:c>
      <x:c r="D22" s="10" t="e">
        <x:f>IF($A22="","",IFERROR(INDEX(Blueprint_Data!$W:$W,MATCH($A22,Blueprint_Data!$A:$A,0)),""))</x:f>
      </x:c>
      <x:c r="E22" s="10" t="str">
        <x:f t="shared" si="0"/>
      </x:c>
      <x:c r="F22" s="10" t="str">
        <x:f t="shared" si="1"/>
        <x:v>Missing Dependency; Out-of-Seq; Missing OM Fields</x:v>
      </x:c>
      <x:c r="G22" s="10" t="e">
        <x:f>IF($A22="","",IFERROR(INDEX(Checks!$D:$D,MATCH($A22,Checks!$A:$A,0)),0))</x:f>
      </x:c>
      <x:c r="H22" s="10" t="e">
        <x:f>IF($A22="","",IFERROR(INDEX(Checks!$F:$F,MATCH($A22,Checks!$A:$A,0)),0))</x:f>
      </x:c>
      <x:c r="I22" s="10" t="e">
        <x:f>IF($A22="","",IFERROR(INDEX(Checks!$H:$H,MATCH($A22,Checks!$A:$A,0)),"NO"))</x:f>
      </x:c>
      <x:c r="J22" s="10" t="e">
        <x:f>IF($A22="","",IFERROR(INDEX(Checks!$J:$J,MATCH($A22,Checks!$A:$A,0)),0))</x:f>
      </x:c>
      <x:c r="K22" s="10" t="str">
        <x:f t="shared" si="2"/>
      </x:c>
    </x:row>
    <x:row r="23" ht="66.25" customHeight="1">
      <x:c r="A23" s="10" t="e">
        <x:f>IFERROR(INDEX(Dependencies!$C$2:$C$5000,_xludf.AGGREGATE(15,6,(ROW(Dependencies!$A$2:$A$5000)-ROW(Dependencies!$A$2)+1)/(Dependencies!$A$2:$A$5000=$B$3),ROWS($A$20:A23))),"")</x:f>
      </x:c>
      <x:c r="B23" s="10" t="e">
        <x:f>IF($A23="","",IFERROR(INDEX(Blueprint_Data!$F:$F,MATCH($A23,Blueprint_Data!$A:$A,0)),""))</x:f>
      </x:c>
      <x:c r="C23" s="10" t="e">
        <x:f>IF($A23="","",IFERROR(INDEX(Blueprint_Data!$G:$G,MATCH($A23,Blueprint_Data!$A:$A,0)),""))</x:f>
      </x:c>
      <x:c r="D23" s="10" t="e">
        <x:f>IF($A23="","",IFERROR(INDEX(Blueprint_Data!$W:$W,MATCH($A23,Blueprint_Data!$A:$A,0)),""))</x:f>
      </x:c>
      <x:c r="E23" s="10" t="str">
        <x:f t="shared" si="0"/>
      </x:c>
      <x:c r="F23" s="10" t="str">
        <x:f t="shared" si="1"/>
        <x:v>Missing Dependency; Out-of-Seq; Missing OM Fields</x:v>
      </x:c>
      <x:c r="G23" s="10" t="e">
        <x:f>IF($A23="","",IFERROR(INDEX(Checks!$D:$D,MATCH($A23,Checks!$A:$A,0)),0))</x:f>
      </x:c>
      <x:c r="H23" s="10" t="e">
        <x:f>IF($A23="","",IFERROR(INDEX(Checks!$F:$F,MATCH($A23,Checks!$A:$A,0)),0))</x:f>
      </x:c>
      <x:c r="I23" s="10" t="e">
        <x:f>IF($A23="","",IFERROR(INDEX(Checks!$H:$H,MATCH($A23,Checks!$A:$A,0)),"NO"))</x:f>
      </x:c>
      <x:c r="J23" s="10" t="e">
        <x:f>IF($A23="","",IFERROR(INDEX(Checks!$J:$J,MATCH($A23,Checks!$A:$A,0)),0))</x:f>
      </x:c>
      <x:c r="K23" s="10" t="str">
        <x:f t="shared" si="2"/>
      </x:c>
    </x:row>
    <x:row r="24" ht="66.25" customHeight="1">
      <x:c r="A24" s="10" t="e">
        <x:f>IFERROR(INDEX(Dependencies!$C$2:$C$5000,_xludf.AGGREGATE(15,6,(ROW(Dependencies!$A$2:$A$5000)-ROW(Dependencies!$A$2)+1)/(Dependencies!$A$2:$A$5000=$B$3),ROWS($A$20:A24))),"")</x:f>
      </x:c>
      <x:c r="B24" s="10" t="e">
        <x:f>IF($A24="","",IFERROR(INDEX(Blueprint_Data!$F:$F,MATCH($A24,Blueprint_Data!$A:$A,0)),""))</x:f>
      </x:c>
      <x:c r="C24" s="10" t="e">
        <x:f>IF($A24="","",IFERROR(INDEX(Blueprint_Data!$G:$G,MATCH($A24,Blueprint_Data!$A:$A,0)),""))</x:f>
      </x:c>
      <x:c r="D24" s="10" t="e">
        <x:f>IF($A24="","",IFERROR(INDEX(Blueprint_Data!$W:$W,MATCH($A24,Blueprint_Data!$A:$A,0)),""))</x:f>
      </x:c>
      <x:c r="E24" s="10" t="str">
        <x:f t="shared" si="0"/>
      </x:c>
      <x:c r="F24" s="10" t="str">
        <x:f t="shared" si="1"/>
        <x:v>Missing Dependency; Out-of-Seq; Missing OM Fields</x:v>
      </x:c>
      <x:c r="G24" s="10" t="e">
        <x:f>IF($A24="","",IFERROR(INDEX(Checks!$D:$D,MATCH($A24,Checks!$A:$A,0)),0))</x:f>
      </x:c>
      <x:c r="H24" s="10" t="e">
        <x:f>IF($A24="","",IFERROR(INDEX(Checks!$F:$F,MATCH($A24,Checks!$A:$A,0)),0))</x:f>
      </x:c>
      <x:c r="I24" s="10" t="e">
        <x:f>IF($A24="","",IFERROR(INDEX(Checks!$H:$H,MATCH($A24,Checks!$A:$A,0)),"NO"))</x:f>
      </x:c>
      <x:c r="J24" s="10" t="e">
        <x:f>IF($A24="","",IFERROR(INDEX(Checks!$J:$J,MATCH($A24,Checks!$A:$A,0)),0))</x:f>
      </x:c>
      <x:c r="K24" s="10" t="str">
        <x:f t="shared" si="2"/>
      </x:c>
    </x:row>
    <x:row r="25" ht="66.25" customHeight="1">
      <x:c r="A25" s="10" t="e">
        <x:f>IFERROR(INDEX(Dependencies!$C$2:$C$5000,_xludf.AGGREGATE(15,6,(ROW(Dependencies!$A$2:$A$5000)-ROW(Dependencies!$A$2)+1)/(Dependencies!$A$2:$A$5000=$B$3),ROWS($A$20:A25))),"")</x:f>
      </x:c>
      <x:c r="B25" s="10" t="e">
        <x:f>IF($A25="","",IFERROR(INDEX(Blueprint_Data!$F:$F,MATCH($A25,Blueprint_Data!$A:$A,0)),""))</x:f>
      </x:c>
      <x:c r="C25" s="10" t="e">
        <x:f>IF($A25="","",IFERROR(INDEX(Blueprint_Data!$G:$G,MATCH($A25,Blueprint_Data!$A:$A,0)),""))</x:f>
      </x:c>
      <x:c r="D25" s="10" t="e">
        <x:f>IF($A25="","",IFERROR(INDEX(Blueprint_Data!$W:$W,MATCH($A25,Blueprint_Data!$A:$A,0)),""))</x:f>
      </x:c>
      <x:c r="E25" s="10" t="str">
        <x:f t="shared" si="0"/>
      </x:c>
      <x:c r="F25" s="10" t="str">
        <x:f t="shared" si="1"/>
        <x:v>Missing Dependency; Out-of-Seq; Missing OM Fields</x:v>
      </x:c>
      <x:c r="G25" s="10" t="e">
        <x:f>IF($A25="","",IFERROR(INDEX(Checks!$D:$D,MATCH($A25,Checks!$A:$A,0)),0))</x:f>
      </x:c>
      <x:c r="H25" s="10" t="e">
        <x:f>IF($A25="","",IFERROR(INDEX(Checks!$F:$F,MATCH($A25,Checks!$A:$A,0)),0))</x:f>
      </x:c>
      <x:c r="I25" s="10" t="e">
        <x:f>IF($A25="","",IFERROR(INDEX(Checks!$H:$H,MATCH($A25,Checks!$A:$A,0)),"NO"))</x:f>
      </x:c>
      <x:c r="J25" s="10" t="e">
        <x:f>IF($A25="","",IFERROR(INDEX(Checks!$J:$J,MATCH($A25,Checks!$A:$A,0)),0))</x:f>
      </x:c>
      <x:c r="K25" s="10" t="str">
        <x:f t="shared" si="2"/>
      </x:c>
    </x:row>
    <x:row r="26" ht="66.25" customHeight="1">
      <x:c r="A26" s="10" t="e">
        <x:f>IFERROR(INDEX(Dependencies!$C$2:$C$5000,_xludf.AGGREGATE(15,6,(ROW(Dependencies!$A$2:$A$5000)-ROW(Dependencies!$A$2)+1)/(Dependencies!$A$2:$A$5000=$B$3),ROWS($A$20:A26))),"")</x:f>
      </x:c>
      <x:c r="B26" s="10" t="e">
        <x:f>IF($A26="","",IFERROR(INDEX(Blueprint_Data!$F:$F,MATCH($A26,Blueprint_Data!$A:$A,0)),""))</x:f>
      </x:c>
      <x:c r="C26" s="10" t="e">
        <x:f>IF($A26="","",IFERROR(INDEX(Blueprint_Data!$G:$G,MATCH($A26,Blueprint_Data!$A:$A,0)),""))</x:f>
      </x:c>
      <x:c r="D26" s="10" t="e">
        <x:f>IF($A26="","",IFERROR(INDEX(Blueprint_Data!$W:$W,MATCH($A26,Blueprint_Data!$A:$A,0)),""))</x:f>
      </x:c>
      <x:c r="E26" s="10" t="str">
        <x:f t="shared" si="0"/>
      </x:c>
      <x:c r="F26" s="10" t="str">
        <x:f t="shared" si="1"/>
        <x:v>Missing Dependency; Out-of-Seq; Missing OM Fields</x:v>
      </x:c>
      <x:c r="G26" s="10" t="e">
        <x:f>IF($A26="","",IFERROR(INDEX(Checks!$D:$D,MATCH($A26,Checks!$A:$A,0)),0))</x:f>
      </x:c>
      <x:c r="H26" s="10" t="e">
        <x:f>IF($A26="","",IFERROR(INDEX(Checks!$F:$F,MATCH($A26,Checks!$A:$A,0)),0))</x:f>
      </x:c>
      <x:c r="I26" s="10" t="e">
        <x:f>IF($A26="","",IFERROR(INDEX(Checks!$H:$H,MATCH($A26,Checks!$A:$A,0)),"NO"))</x:f>
      </x:c>
      <x:c r="J26" s="10" t="e">
        <x:f>IF($A26="","",IFERROR(INDEX(Checks!$J:$J,MATCH($A26,Checks!$A:$A,0)),0))</x:f>
      </x:c>
      <x:c r="K26" s="10" t="str">
        <x:f t="shared" si="2"/>
      </x:c>
    </x:row>
    <x:row r="27" ht="66.25" customHeight="1">
      <x:c r="A27" s="10" t="e">
        <x:f>IFERROR(INDEX(Dependencies!$C$2:$C$5000,_xludf.AGGREGATE(15,6,(ROW(Dependencies!$A$2:$A$5000)-ROW(Dependencies!$A$2)+1)/(Dependencies!$A$2:$A$5000=$B$3),ROWS($A$20:A27))),"")</x:f>
      </x:c>
      <x:c r="B27" s="10" t="e">
        <x:f>IF($A27="","",IFERROR(INDEX(Blueprint_Data!$F:$F,MATCH($A27,Blueprint_Data!$A:$A,0)),""))</x:f>
      </x:c>
      <x:c r="C27" s="10" t="e">
        <x:f>IF($A27="","",IFERROR(INDEX(Blueprint_Data!$G:$G,MATCH($A27,Blueprint_Data!$A:$A,0)),""))</x:f>
      </x:c>
      <x:c r="D27" s="10" t="e">
        <x:f>IF($A27="","",IFERROR(INDEX(Blueprint_Data!$W:$W,MATCH($A27,Blueprint_Data!$A:$A,0)),""))</x:f>
      </x:c>
      <x:c r="E27" s="10" t="str">
        <x:f t="shared" si="0"/>
      </x:c>
      <x:c r="F27" s="10" t="str">
        <x:f t="shared" si="1"/>
        <x:v>Missing Dependency; Out-of-Seq; Missing OM Fields</x:v>
      </x:c>
      <x:c r="G27" s="10" t="e">
        <x:f>IF($A27="","",IFERROR(INDEX(Checks!$D:$D,MATCH($A27,Checks!$A:$A,0)),0))</x:f>
      </x:c>
      <x:c r="H27" s="10" t="e">
        <x:f>IF($A27="","",IFERROR(INDEX(Checks!$F:$F,MATCH($A27,Checks!$A:$A,0)),0))</x:f>
      </x:c>
      <x:c r="I27" s="10" t="e">
        <x:f>IF($A27="","",IFERROR(INDEX(Checks!$H:$H,MATCH($A27,Checks!$A:$A,0)),"NO"))</x:f>
      </x:c>
      <x:c r="J27" s="10" t="e">
        <x:f>IF($A27="","",IFERROR(INDEX(Checks!$J:$J,MATCH($A27,Checks!$A:$A,0)),0))</x:f>
      </x:c>
      <x:c r="K27" s="10" t="str">
        <x:f t="shared" si="2"/>
      </x:c>
    </x:row>
    <x:row r="28" ht="66.25" customHeight="1">
      <x:c r="A28" s="10" t="e">
        <x:f>IFERROR(INDEX(Dependencies!$C$2:$C$5000,_xludf.AGGREGATE(15,6,(ROW(Dependencies!$A$2:$A$5000)-ROW(Dependencies!$A$2)+1)/(Dependencies!$A$2:$A$5000=$B$3),ROWS($A$20:A28))),"")</x:f>
      </x:c>
      <x:c r="B28" s="10" t="e">
        <x:f>IF($A28="","",IFERROR(INDEX(Blueprint_Data!$F:$F,MATCH($A28,Blueprint_Data!$A:$A,0)),""))</x:f>
      </x:c>
      <x:c r="C28" s="10" t="e">
        <x:f>IF($A28="","",IFERROR(INDEX(Blueprint_Data!$G:$G,MATCH($A28,Blueprint_Data!$A:$A,0)),""))</x:f>
      </x:c>
      <x:c r="D28" s="10" t="e">
        <x:f>IF($A28="","",IFERROR(INDEX(Blueprint_Data!$W:$W,MATCH($A28,Blueprint_Data!$A:$A,0)),""))</x:f>
      </x:c>
      <x:c r="E28" s="10" t="str">
        <x:f t="shared" si="0"/>
      </x:c>
      <x:c r="F28" s="10" t="str">
        <x:f t="shared" si="1"/>
        <x:v>Missing Dependency; Out-of-Seq; Missing OM Fields</x:v>
      </x:c>
      <x:c r="G28" s="10" t="e">
        <x:f>IF($A28="","",IFERROR(INDEX(Checks!$D:$D,MATCH($A28,Checks!$A:$A,0)),0))</x:f>
      </x:c>
      <x:c r="H28" s="10" t="e">
        <x:f>IF($A28="","",IFERROR(INDEX(Checks!$F:$F,MATCH($A28,Checks!$A:$A,0)),0))</x:f>
      </x:c>
      <x:c r="I28" s="10" t="e">
        <x:f>IF($A28="","",IFERROR(INDEX(Checks!$H:$H,MATCH($A28,Checks!$A:$A,0)),"NO"))</x:f>
      </x:c>
      <x:c r="J28" s="10" t="e">
        <x:f>IF($A28="","",IFERROR(INDEX(Checks!$J:$J,MATCH($A28,Checks!$A:$A,0)),0))</x:f>
      </x:c>
      <x:c r="K28" s="10" t="str">
        <x:f t="shared" si="2"/>
      </x:c>
    </x:row>
    <x:row r="29" ht="66.25" customHeight="1">
      <x:c r="A29" s="10" t="e">
        <x:f>IFERROR(INDEX(Dependencies!$C$2:$C$5000,_xludf.AGGREGATE(15,6,(ROW(Dependencies!$A$2:$A$5000)-ROW(Dependencies!$A$2)+1)/(Dependencies!$A$2:$A$5000=$B$3),ROWS($A$20:A29))),"")</x:f>
      </x:c>
      <x:c r="B29" s="10" t="e">
        <x:f>IF($A29="","",IFERROR(INDEX(Blueprint_Data!$F:$F,MATCH($A29,Blueprint_Data!$A:$A,0)),""))</x:f>
      </x:c>
      <x:c r="C29" s="10" t="e">
        <x:f>IF($A29="","",IFERROR(INDEX(Blueprint_Data!$G:$G,MATCH($A29,Blueprint_Data!$A:$A,0)),""))</x:f>
      </x:c>
      <x:c r="D29" s="10" t="e">
        <x:f>IF($A29="","",IFERROR(INDEX(Blueprint_Data!$W:$W,MATCH($A29,Blueprint_Data!$A:$A,0)),""))</x:f>
      </x:c>
      <x:c r="E29" s="10" t="str">
        <x:f t="shared" si="0"/>
      </x:c>
      <x:c r="F29" s="10" t="str">
        <x:f t="shared" si="1"/>
        <x:v>Missing Dependency; Out-of-Seq; Missing OM Fields</x:v>
      </x:c>
      <x:c r="G29" s="10" t="e">
        <x:f>IF($A29="","",IFERROR(INDEX(Checks!$D:$D,MATCH($A29,Checks!$A:$A,0)),0))</x:f>
      </x:c>
      <x:c r="H29" s="10" t="e">
        <x:f>IF($A29="","",IFERROR(INDEX(Checks!$F:$F,MATCH($A29,Checks!$A:$A,0)),0))</x:f>
      </x:c>
      <x:c r="I29" s="10" t="e">
        <x:f>IF($A29="","",IFERROR(INDEX(Checks!$H:$H,MATCH($A29,Checks!$A:$A,0)),"NO"))</x:f>
      </x:c>
      <x:c r="J29" s="10" t="e">
        <x:f>IF($A29="","",IFERROR(INDEX(Checks!$J:$J,MATCH($A29,Checks!$A:$A,0)),0))</x:f>
      </x:c>
      <x:c r="K29" s="10" t="str">
        <x:f t="shared" si="2"/>
      </x:c>
    </x:row>
    <x:row r="30" ht="66.25" customHeight="1">
      <x:c r="A30" s="10" t="e">
        <x:f>IFERROR(INDEX(Dependencies!$C$2:$C$5000,_xludf.AGGREGATE(15,6,(ROW(Dependencies!$A$2:$A$5000)-ROW(Dependencies!$A$2)+1)/(Dependencies!$A$2:$A$5000=$B$3),ROWS($A$20:A30))),"")</x:f>
      </x:c>
      <x:c r="B30" s="10" t="e">
        <x:f>IF($A30="","",IFERROR(INDEX(Blueprint_Data!$F:$F,MATCH($A30,Blueprint_Data!$A:$A,0)),""))</x:f>
      </x:c>
      <x:c r="C30" s="10" t="e">
        <x:f>IF($A30="","",IFERROR(INDEX(Blueprint_Data!$G:$G,MATCH($A30,Blueprint_Data!$A:$A,0)),""))</x:f>
      </x:c>
      <x:c r="D30" s="10" t="e">
        <x:f>IF($A30="","",IFERROR(INDEX(Blueprint_Data!$W:$W,MATCH($A30,Blueprint_Data!$A:$A,0)),""))</x:f>
      </x:c>
      <x:c r="E30" s="10" t="str">
        <x:f t="shared" si="0"/>
      </x:c>
      <x:c r="F30" s="10" t="str">
        <x:f t="shared" si="1"/>
        <x:v>Missing Dependency; Out-of-Seq; Missing OM Fields</x:v>
      </x:c>
      <x:c r="G30" s="10" t="e">
        <x:f>IF($A30="","",IFERROR(INDEX(Checks!$D:$D,MATCH($A30,Checks!$A:$A,0)),0))</x:f>
      </x:c>
      <x:c r="H30" s="10" t="e">
        <x:f>IF($A30="","",IFERROR(INDEX(Checks!$F:$F,MATCH($A30,Checks!$A:$A,0)),0))</x:f>
      </x:c>
      <x:c r="I30" s="10" t="e">
        <x:f>IF($A30="","",IFERROR(INDEX(Checks!$H:$H,MATCH($A30,Checks!$A:$A,0)),"NO"))</x:f>
      </x:c>
      <x:c r="J30" s="10" t="e">
        <x:f>IF($A30="","",IFERROR(INDEX(Checks!$J:$J,MATCH($A30,Checks!$A:$A,0)),0))</x:f>
      </x:c>
      <x:c r="K30" s="10" t="str">
        <x:f t="shared" si="2"/>
      </x:c>
    </x:row>
    <x:row r="31" ht="66.25" customHeight="1">
      <x:c r="A31" s="10" t="e">
        <x:f>IFERROR(INDEX(Dependencies!$C$2:$C$5000,_xludf.AGGREGATE(15,6,(ROW(Dependencies!$A$2:$A$5000)-ROW(Dependencies!$A$2)+1)/(Dependencies!$A$2:$A$5000=$B$3),ROWS($A$20:A31))),"")</x:f>
      </x:c>
      <x:c r="B31" s="10" t="e">
        <x:f>IF($A31="","",IFERROR(INDEX(Blueprint_Data!$F:$F,MATCH($A31,Blueprint_Data!$A:$A,0)),""))</x:f>
      </x:c>
      <x:c r="C31" s="10" t="e">
        <x:f>IF($A31="","",IFERROR(INDEX(Blueprint_Data!$G:$G,MATCH($A31,Blueprint_Data!$A:$A,0)),""))</x:f>
      </x:c>
      <x:c r="D31" s="10" t="e">
        <x:f>IF($A31="","",IFERROR(INDEX(Blueprint_Data!$W:$W,MATCH($A31,Blueprint_Data!$A:$A,0)),""))</x:f>
      </x:c>
      <x:c r="E31" s="10" t="str">
        <x:f t="shared" si="0"/>
      </x:c>
      <x:c r="F31" s="10" t="str">
        <x:f t="shared" si="1"/>
        <x:v>Missing Dependency; Out-of-Seq; Missing OM Fields</x:v>
      </x:c>
      <x:c r="G31" s="10" t="e">
        <x:f>IF($A31="","",IFERROR(INDEX(Checks!$D:$D,MATCH($A31,Checks!$A:$A,0)),0))</x:f>
      </x:c>
      <x:c r="H31" s="10" t="e">
        <x:f>IF($A31="","",IFERROR(INDEX(Checks!$F:$F,MATCH($A31,Checks!$A:$A,0)),0))</x:f>
      </x:c>
      <x:c r="I31" s="10" t="e">
        <x:f>IF($A31="","",IFERROR(INDEX(Checks!$H:$H,MATCH($A31,Checks!$A:$A,0)),"NO"))</x:f>
      </x:c>
      <x:c r="J31" s="10" t="e">
        <x:f>IF($A31="","",IFERROR(INDEX(Checks!$J:$J,MATCH($A31,Checks!$A:$A,0)),0))</x:f>
      </x:c>
      <x:c r="K31" s="10" t="str">
        <x:f t="shared" si="2"/>
      </x:c>
    </x:row>
    <x:row r="32" ht="66.25" customHeight="1">
      <x:c r="A32" s="10" t="e">
        <x:f>IFERROR(INDEX(Dependencies!$C$2:$C$5000,_xludf.AGGREGATE(15,6,(ROW(Dependencies!$A$2:$A$5000)-ROW(Dependencies!$A$2)+1)/(Dependencies!$A$2:$A$5000=$B$3),ROWS($A$20:A32))),"")</x:f>
      </x:c>
      <x:c r="B32" s="10" t="e">
        <x:f>IF($A32="","",IFERROR(INDEX(Blueprint_Data!$F:$F,MATCH($A32,Blueprint_Data!$A:$A,0)),""))</x:f>
      </x:c>
      <x:c r="C32" s="10" t="e">
        <x:f>IF($A32="","",IFERROR(INDEX(Blueprint_Data!$G:$G,MATCH($A32,Blueprint_Data!$A:$A,0)),""))</x:f>
      </x:c>
      <x:c r="D32" s="10" t="e">
        <x:f>IF($A32="","",IFERROR(INDEX(Blueprint_Data!$W:$W,MATCH($A32,Blueprint_Data!$A:$A,0)),""))</x:f>
      </x:c>
      <x:c r="E32" s="10" t="str">
        <x:f t="shared" si="0"/>
      </x:c>
      <x:c r="F32" s="10" t="str">
        <x:f t="shared" si="1"/>
        <x:v>Missing Dependency; Out-of-Seq; Missing OM Fields</x:v>
      </x:c>
      <x:c r="G32" s="10" t="e">
        <x:f>IF($A32="","",IFERROR(INDEX(Checks!$D:$D,MATCH($A32,Checks!$A:$A,0)),0))</x:f>
      </x:c>
      <x:c r="H32" s="10" t="e">
        <x:f>IF($A32="","",IFERROR(INDEX(Checks!$F:$F,MATCH($A32,Checks!$A:$A,0)),0))</x:f>
      </x:c>
      <x:c r="I32" s="10" t="e">
        <x:f>IF($A32="","",IFERROR(INDEX(Checks!$H:$H,MATCH($A32,Checks!$A:$A,0)),"NO"))</x:f>
      </x:c>
      <x:c r="J32" s="10" t="e">
        <x:f>IF($A32="","",IFERROR(INDEX(Checks!$J:$J,MATCH($A32,Checks!$A:$A,0)),0))</x:f>
      </x:c>
      <x:c r="K32" s="10" t="str">
        <x:f t="shared" si="2"/>
      </x:c>
    </x:row>
    <x:row r="33" ht="66.25" customHeight="1">
      <x:c r="A33" s="10" t="e">
        <x:f>IFERROR(INDEX(Dependencies!$C$2:$C$5000,_xludf.AGGREGATE(15,6,(ROW(Dependencies!$A$2:$A$5000)-ROW(Dependencies!$A$2)+1)/(Dependencies!$A$2:$A$5000=$B$3),ROWS($A$20:A33))),"")</x:f>
      </x:c>
      <x:c r="B33" s="10" t="e">
        <x:f>IF($A33="","",IFERROR(INDEX(Blueprint_Data!$F:$F,MATCH($A33,Blueprint_Data!$A:$A,0)),""))</x:f>
      </x:c>
      <x:c r="C33" s="10" t="e">
        <x:f>IF($A33="","",IFERROR(INDEX(Blueprint_Data!$G:$G,MATCH($A33,Blueprint_Data!$A:$A,0)),""))</x:f>
      </x:c>
      <x:c r="D33" s="10" t="e">
        <x:f>IF($A33="","",IFERROR(INDEX(Blueprint_Data!$W:$W,MATCH($A33,Blueprint_Data!$A:$A,0)),""))</x:f>
      </x:c>
      <x:c r="E33" s="10" t="str">
        <x:f t="shared" si="0"/>
      </x:c>
      <x:c r="F33" s="10" t="str">
        <x:f t="shared" si="1"/>
        <x:v>Missing Dependency; Out-of-Seq; Missing OM Fields</x:v>
      </x:c>
      <x:c r="G33" s="10" t="e">
        <x:f>IF($A33="","",IFERROR(INDEX(Checks!$D:$D,MATCH($A33,Checks!$A:$A,0)),0))</x:f>
      </x:c>
      <x:c r="H33" s="10" t="e">
        <x:f>IF($A33="","",IFERROR(INDEX(Checks!$F:$F,MATCH($A33,Checks!$A:$A,0)),0))</x:f>
      </x:c>
      <x:c r="I33" s="10" t="e">
        <x:f>IF($A33="","",IFERROR(INDEX(Checks!$H:$H,MATCH($A33,Checks!$A:$A,0)),"NO"))</x:f>
      </x:c>
      <x:c r="J33" s="10" t="e">
        <x:f>IF($A33="","",IFERROR(INDEX(Checks!$J:$J,MATCH($A33,Checks!$A:$A,0)),0))</x:f>
      </x:c>
      <x:c r="K33" s="10" t="str">
        <x:f t="shared" si="2"/>
      </x:c>
    </x:row>
    <x:row r="34" ht="66.25" customHeight="1">
      <x:c r="A34" s="10" t="e">
        <x:f>IFERROR(INDEX(Dependencies!$C$2:$C$5000,_xludf.AGGREGATE(15,6,(ROW(Dependencies!$A$2:$A$5000)-ROW(Dependencies!$A$2)+1)/(Dependencies!$A$2:$A$5000=$B$3),ROWS($A$20:A34))),"")</x:f>
      </x:c>
      <x:c r="B34" s="10" t="e">
        <x:f>IF($A34="","",IFERROR(INDEX(Blueprint_Data!$F:$F,MATCH($A34,Blueprint_Data!$A:$A,0)),""))</x:f>
      </x:c>
      <x:c r="C34" s="10" t="e">
        <x:f>IF($A34="","",IFERROR(INDEX(Blueprint_Data!$G:$G,MATCH($A34,Blueprint_Data!$A:$A,0)),""))</x:f>
      </x:c>
      <x:c r="D34" s="10" t="e">
        <x:f>IF($A34="","",IFERROR(INDEX(Blueprint_Data!$W:$W,MATCH($A34,Blueprint_Data!$A:$A,0)),""))</x:f>
      </x:c>
      <x:c r="E34" s="10" t="str">
        <x:f t="shared" si="0"/>
      </x:c>
      <x:c r="F34" s="10" t="str">
        <x:f t="shared" si="1"/>
        <x:v>Missing Dependency; Out-of-Seq; Missing OM Fields</x:v>
      </x:c>
      <x:c r="G34" s="10" t="e">
        <x:f>IF($A34="","",IFERROR(INDEX(Checks!$D:$D,MATCH($A34,Checks!$A:$A,0)),0))</x:f>
      </x:c>
      <x:c r="H34" s="10" t="e">
        <x:f>IF($A34="","",IFERROR(INDEX(Checks!$F:$F,MATCH($A34,Checks!$A:$A,0)),0))</x:f>
      </x:c>
      <x:c r="I34" s="10" t="e">
        <x:f>IF($A34="","",IFERROR(INDEX(Checks!$H:$H,MATCH($A34,Checks!$A:$A,0)),"NO"))</x:f>
      </x:c>
      <x:c r="J34" s="10" t="e">
        <x:f>IF($A34="","",IFERROR(INDEX(Checks!$J:$J,MATCH($A34,Checks!$A:$A,0)),0))</x:f>
      </x:c>
      <x:c r="K34" s="10" t="str">
        <x:f t="shared" si="2"/>
      </x:c>
    </x:row>
    <x:row r="35" ht="66.25" customHeight="1">
      <x:c r="A35" s="10" t="e">
        <x:f>IFERROR(INDEX(Dependencies!$C$2:$C$5000,_xludf.AGGREGATE(15,6,(ROW(Dependencies!$A$2:$A$5000)-ROW(Dependencies!$A$2)+1)/(Dependencies!$A$2:$A$5000=$B$3),ROWS($A$20:A35))),"")</x:f>
      </x:c>
      <x:c r="B35" s="10" t="e">
        <x:f>IF($A35="","",IFERROR(INDEX(Blueprint_Data!$F:$F,MATCH($A35,Blueprint_Data!$A:$A,0)),""))</x:f>
      </x:c>
      <x:c r="C35" s="10" t="e">
        <x:f>IF($A35="","",IFERROR(INDEX(Blueprint_Data!$G:$G,MATCH($A35,Blueprint_Data!$A:$A,0)),""))</x:f>
      </x:c>
      <x:c r="D35" s="10" t="e">
        <x:f>IF($A35="","",IFERROR(INDEX(Blueprint_Data!$W:$W,MATCH($A35,Blueprint_Data!$A:$A,0)),""))</x:f>
      </x:c>
      <x:c r="E35" s="10" t="str">
        <x:f t="shared" si="0"/>
      </x:c>
      <x:c r="F35" s="10" t="str">
        <x:f t="shared" si="1"/>
        <x:v>Missing Dependency; Out-of-Seq; Missing OM Fields</x:v>
      </x:c>
      <x:c r="G35" s="10" t="e">
        <x:f>IF($A35="","",IFERROR(INDEX(Checks!$D:$D,MATCH($A35,Checks!$A:$A,0)),0))</x:f>
      </x:c>
      <x:c r="H35" s="10" t="e">
        <x:f>IF($A35="","",IFERROR(INDEX(Checks!$F:$F,MATCH($A35,Checks!$A:$A,0)),0))</x:f>
      </x:c>
      <x:c r="I35" s="10" t="e">
        <x:f>IF($A35="","",IFERROR(INDEX(Checks!$H:$H,MATCH($A35,Checks!$A:$A,0)),"NO"))</x:f>
      </x:c>
      <x:c r="J35" s="10" t="e">
        <x:f>IF($A35="","",IFERROR(INDEX(Checks!$J:$J,MATCH($A35,Checks!$A:$A,0)),0))</x:f>
      </x:c>
      <x:c r="K35" s="10" t="str">
        <x:f t="shared" si="2"/>
      </x:c>
    </x:row>
    <x:row r="36" ht="66.25" customHeight="1">
      <x:c r="A36" s="10" t="e">
        <x:f>IFERROR(INDEX(Dependencies!$C$2:$C$5000,_xludf.AGGREGATE(15,6,(ROW(Dependencies!$A$2:$A$5000)-ROW(Dependencies!$A$2)+1)/(Dependencies!$A$2:$A$5000=$B$3),ROWS($A$20:A36))),"")</x:f>
      </x:c>
      <x:c r="B36" s="10" t="e">
        <x:f>IF($A36="","",IFERROR(INDEX(Blueprint_Data!$F:$F,MATCH($A36,Blueprint_Data!$A:$A,0)),""))</x:f>
      </x:c>
      <x:c r="C36" s="10" t="e">
        <x:f>IF($A36="","",IFERROR(INDEX(Blueprint_Data!$G:$G,MATCH($A36,Blueprint_Data!$A:$A,0)),""))</x:f>
      </x:c>
      <x:c r="D36" s="10" t="e">
        <x:f>IF($A36="","",IFERROR(INDEX(Blueprint_Data!$W:$W,MATCH($A36,Blueprint_Data!$A:$A,0)),""))</x:f>
      </x:c>
      <x:c r="E36" s="10" t="str">
        <x:f t="shared" si="0"/>
      </x:c>
      <x:c r="F36" s="10" t="str">
        <x:f t="shared" si="1"/>
        <x:v>Missing Dependency; Out-of-Seq; Missing OM Fields</x:v>
      </x:c>
      <x:c r="G36" s="10" t="e">
        <x:f>IF($A36="","",IFERROR(INDEX(Checks!$D:$D,MATCH($A36,Checks!$A:$A,0)),0))</x:f>
      </x:c>
      <x:c r="H36" s="10" t="e">
        <x:f>IF($A36="","",IFERROR(INDEX(Checks!$F:$F,MATCH($A36,Checks!$A:$A,0)),0))</x:f>
      </x:c>
      <x:c r="I36" s="10" t="e">
        <x:f>IF($A36="","",IFERROR(INDEX(Checks!$H:$H,MATCH($A36,Checks!$A:$A,0)),"NO"))</x:f>
      </x:c>
      <x:c r="J36" s="10" t="e">
        <x:f>IF($A36="","",IFERROR(INDEX(Checks!$J:$J,MATCH($A36,Checks!$A:$A,0)),0))</x:f>
      </x:c>
      <x:c r="K36" s="10" t="str">
        <x:f t="shared" si="2"/>
      </x:c>
    </x:row>
    <x:row r="37" ht="66.25" customHeight="1">
      <x:c r="A37" s="10" t="e">
        <x:f>IFERROR(INDEX(Dependencies!$C$2:$C$5000,_xludf.AGGREGATE(15,6,(ROW(Dependencies!$A$2:$A$5000)-ROW(Dependencies!$A$2)+1)/(Dependencies!$A$2:$A$5000=$B$3),ROWS($A$20:A37))),"")</x:f>
      </x:c>
      <x:c r="B37" s="10" t="e">
        <x:f>IF($A37="","",IFERROR(INDEX(Blueprint_Data!$F:$F,MATCH($A37,Blueprint_Data!$A:$A,0)),""))</x:f>
      </x:c>
      <x:c r="C37" s="10" t="e">
        <x:f>IF($A37="","",IFERROR(INDEX(Blueprint_Data!$G:$G,MATCH($A37,Blueprint_Data!$A:$A,0)),""))</x:f>
      </x:c>
      <x:c r="D37" s="10" t="e">
        <x:f>IF($A37="","",IFERROR(INDEX(Blueprint_Data!$W:$W,MATCH($A37,Blueprint_Data!$A:$A,0)),""))</x:f>
      </x:c>
      <x:c r="E37" s="10" t="str">
        <x:f t="shared" si="0"/>
      </x:c>
      <x:c r="F37" s="10" t="str">
        <x:f t="shared" si="1"/>
        <x:v>Missing Dependency; Out-of-Seq; Missing OM Fields</x:v>
      </x:c>
      <x:c r="G37" s="10" t="e">
        <x:f>IF($A37="","",IFERROR(INDEX(Checks!$D:$D,MATCH($A37,Checks!$A:$A,0)),0))</x:f>
      </x:c>
      <x:c r="H37" s="10" t="e">
        <x:f>IF($A37="","",IFERROR(INDEX(Checks!$F:$F,MATCH($A37,Checks!$A:$A,0)),0))</x:f>
      </x:c>
      <x:c r="I37" s="10" t="e">
        <x:f>IF($A37="","",IFERROR(INDEX(Checks!$H:$H,MATCH($A37,Checks!$A:$A,0)),"NO"))</x:f>
      </x:c>
      <x:c r="J37" s="10" t="e">
        <x:f>IF($A37="","",IFERROR(INDEX(Checks!$J:$J,MATCH($A37,Checks!$A:$A,0)),0))</x:f>
      </x:c>
      <x:c r="K37" s="10" t="str">
        <x:f t="shared" si="2"/>
      </x:c>
    </x:row>
    <x:row r="38" ht="66.25" customHeight="1">
      <x:c r="A38" s="10" t="e">
        <x:f>IFERROR(INDEX(Dependencies!$C$2:$C$5000,_xludf.AGGREGATE(15,6,(ROW(Dependencies!$A$2:$A$5000)-ROW(Dependencies!$A$2)+1)/(Dependencies!$A$2:$A$5000=$B$3),ROWS($A$20:A38))),"")</x:f>
      </x:c>
      <x:c r="B38" s="10" t="e">
        <x:f>IF($A38="","",IFERROR(INDEX(Blueprint_Data!$F:$F,MATCH($A38,Blueprint_Data!$A:$A,0)),""))</x:f>
      </x:c>
      <x:c r="C38" s="10" t="e">
        <x:f>IF($A38="","",IFERROR(INDEX(Blueprint_Data!$G:$G,MATCH($A38,Blueprint_Data!$A:$A,0)),""))</x:f>
      </x:c>
      <x:c r="D38" s="10" t="e">
        <x:f>IF($A38="","",IFERROR(INDEX(Blueprint_Data!$W:$W,MATCH($A38,Blueprint_Data!$A:$A,0)),""))</x:f>
      </x:c>
      <x:c r="E38" s="10" t="str">
        <x:f t="shared" si="0"/>
      </x:c>
      <x:c r="F38" s="10" t="str">
        <x:f t="shared" si="1"/>
        <x:v>Missing Dependency; Out-of-Seq; Missing OM Fields</x:v>
      </x:c>
      <x:c r="G38" s="10" t="e">
        <x:f>IF($A38="","",IFERROR(INDEX(Checks!$D:$D,MATCH($A38,Checks!$A:$A,0)),0))</x:f>
      </x:c>
      <x:c r="H38" s="10" t="e">
        <x:f>IF($A38="","",IFERROR(INDEX(Checks!$F:$F,MATCH($A38,Checks!$A:$A,0)),0))</x:f>
      </x:c>
      <x:c r="I38" s="10" t="e">
        <x:f>IF($A38="","",IFERROR(INDEX(Checks!$H:$H,MATCH($A38,Checks!$A:$A,0)),"NO"))</x:f>
      </x:c>
      <x:c r="J38" s="10" t="e">
        <x:f>IF($A38="","",IFERROR(INDEX(Checks!$J:$J,MATCH($A38,Checks!$A:$A,0)),0))</x:f>
      </x:c>
      <x:c r="K38" s="10" t="str">
        <x:f t="shared" si="2"/>
      </x:c>
    </x:row>
    <x:row r="39" ht="66.25" customHeight="1">
      <x:c r="A39" s="10" t="e">
        <x:f>IFERROR(INDEX(Dependencies!$C$2:$C$5000,_xludf.AGGREGATE(15,6,(ROW(Dependencies!$A$2:$A$5000)-ROW(Dependencies!$A$2)+1)/(Dependencies!$A$2:$A$5000=$B$3),ROWS($A$20:A39))),"")</x:f>
      </x:c>
      <x:c r="B39" s="10" t="e">
        <x:f>IF($A39="","",IFERROR(INDEX(Blueprint_Data!$F:$F,MATCH($A39,Blueprint_Data!$A:$A,0)),""))</x:f>
      </x:c>
      <x:c r="C39" s="10" t="e">
        <x:f>IF($A39="","",IFERROR(INDEX(Blueprint_Data!$G:$G,MATCH($A39,Blueprint_Data!$A:$A,0)),""))</x:f>
      </x:c>
      <x:c r="D39" s="10" t="e">
        <x:f>IF($A39="","",IFERROR(INDEX(Blueprint_Data!$W:$W,MATCH($A39,Blueprint_Data!$A:$A,0)),""))</x:f>
      </x:c>
      <x:c r="E39" s="10" t="str">
        <x:f t="shared" si="0"/>
      </x:c>
      <x:c r="F39" s="10" t="str">
        <x:f t="shared" si="1"/>
        <x:v>Missing Dependency; Out-of-Seq; Missing OM Fields</x:v>
      </x:c>
      <x:c r="G39" s="10" t="e">
        <x:f>IF($A39="","",IFERROR(INDEX(Checks!$D:$D,MATCH($A39,Checks!$A:$A,0)),0))</x:f>
      </x:c>
      <x:c r="H39" s="10" t="e">
        <x:f>IF($A39="","",IFERROR(INDEX(Checks!$F:$F,MATCH($A39,Checks!$A:$A,0)),0))</x:f>
      </x:c>
      <x:c r="I39" s="10" t="e">
        <x:f>IF($A39="","",IFERROR(INDEX(Checks!$H:$H,MATCH($A39,Checks!$A:$A,0)),"NO"))</x:f>
      </x:c>
      <x:c r="J39" s="10" t="e">
        <x:f>IF($A39="","",IFERROR(INDEX(Checks!$J:$J,MATCH($A39,Checks!$A:$A,0)),0))</x:f>
      </x:c>
      <x:c r="K39" s="10" t="str">
        <x:f t="shared" si="2"/>
      </x:c>
    </x:row>
    <x:row r="40" ht="66.25" customHeight="1">
      <x:c r="A40" s="10" t="e">
        <x:f>IFERROR(INDEX(Dependencies!$C$2:$C$5000,_xludf.AGGREGATE(15,6,(ROW(Dependencies!$A$2:$A$5000)-ROW(Dependencies!$A$2)+1)/(Dependencies!$A$2:$A$5000=$B$3),ROWS($A$20:A40))),"")</x:f>
      </x:c>
      <x:c r="B40" s="10" t="e">
        <x:f>IF($A40="","",IFERROR(INDEX(Blueprint_Data!$F:$F,MATCH($A40,Blueprint_Data!$A:$A,0)),""))</x:f>
      </x:c>
      <x:c r="C40" s="10" t="e">
        <x:f>IF($A40="","",IFERROR(INDEX(Blueprint_Data!$G:$G,MATCH($A40,Blueprint_Data!$A:$A,0)),""))</x:f>
      </x:c>
      <x:c r="D40" s="10" t="e">
        <x:f>IF($A40="","",IFERROR(INDEX(Blueprint_Data!$W:$W,MATCH($A40,Blueprint_Data!$A:$A,0)),""))</x:f>
      </x:c>
      <x:c r="E40" s="10" t="str">
        <x:f t="shared" si="0"/>
      </x:c>
      <x:c r="F40" s="10" t="str">
        <x:f t="shared" si="1"/>
        <x:v>Missing Dependency; Out-of-Seq; Missing OM Fields</x:v>
      </x:c>
      <x:c r="G40" s="10" t="e">
        <x:f>IF($A40="","",IFERROR(INDEX(Checks!$D:$D,MATCH($A40,Checks!$A:$A,0)),0))</x:f>
      </x:c>
      <x:c r="H40" s="10" t="e">
        <x:f>IF($A40="","",IFERROR(INDEX(Checks!$F:$F,MATCH($A40,Checks!$A:$A,0)),0))</x:f>
      </x:c>
      <x:c r="I40" s="10" t="e">
        <x:f>IF($A40="","",IFERROR(INDEX(Checks!$H:$H,MATCH($A40,Checks!$A:$A,0)),"NO"))</x:f>
      </x:c>
      <x:c r="J40" s="10" t="e">
        <x:f>IF($A40="","",IFERROR(INDEX(Checks!$J:$J,MATCH($A40,Checks!$A:$A,0)),0))</x:f>
      </x:c>
      <x:c r="K40" s="10" t="str">
        <x:f t="shared" si="2"/>
      </x:c>
    </x:row>
    <x:row r="41" ht="66.25" customHeight="1">
      <x:c r="A41" s="10" t="e">
        <x:f>IFERROR(INDEX(Dependencies!$C$2:$C$5000,_xludf.AGGREGATE(15,6,(ROW(Dependencies!$A$2:$A$5000)-ROW(Dependencies!$A$2)+1)/(Dependencies!$A$2:$A$5000=$B$3),ROWS($A$20:A41))),"")</x:f>
      </x:c>
      <x:c r="B41" s="10" t="e">
        <x:f>IF($A41="","",IFERROR(INDEX(Blueprint_Data!$F:$F,MATCH($A41,Blueprint_Data!$A:$A,0)),""))</x:f>
      </x:c>
      <x:c r="C41" s="10" t="e">
        <x:f>IF($A41="","",IFERROR(INDEX(Blueprint_Data!$G:$G,MATCH($A41,Blueprint_Data!$A:$A,0)),""))</x:f>
      </x:c>
      <x:c r="D41" s="10" t="e">
        <x:f>IF($A41="","",IFERROR(INDEX(Blueprint_Data!$W:$W,MATCH($A41,Blueprint_Data!$A:$A,0)),""))</x:f>
      </x:c>
      <x:c r="E41" s="10" t="str">
        <x:f t="shared" si="0"/>
      </x:c>
      <x:c r="F41" s="10" t="str">
        <x:f t="shared" si="1"/>
        <x:v>Missing Dependency; Out-of-Seq; Missing OM Fields</x:v>
      </x:c>
      <x:c r="G41" s="10" t="e">
        <x:f>IF($A41="","",IFERROR(INDEX(Checks!$D:$D,MATCH($A41,Checks!$A:$A,0)),0))</x:f>
      </x:c>
      <x:c r="H41" s="10" t="e">
        <x:f>IF($A41="","",IFERROR(INDEX(Checks!$F:$F,MATCH($A41,Checks!$A:$A,0)),0))</x:f>
      </x:c>
      <x:c r="I41" s="10" t="e">
        <x:f>IF($A41="","",IFERROR(INDEX(Checks!$H:$H,MATCH($A41,Checks!$A:$A,0)),"NO"))</x:f>
      </x:c>
      <x:c r="J41" s="10" t="e">
        <x:f>IF($A41="","",IFERROR(INDEX(Checks!$J:$J,MATCH($A41,Checks!$A:$A,0)),0))</x:f>
      </x:c>
      <x:c r="K41" s="10" t="str">
        <x:f t="shared" si="2"/>
      </x:c>
    </x:row>
    <x:row r="42" ht="66.25" customHeight="1">
      <x:c r="A42" s="10" t="e">
        <x:f>IFERROR(INDEX(Dependencies!$C$2:$C$5000,_xludf.AGGREGATE(15,6,(ROW(Dependencies!$A$2:$A$5000)-ROW(Dependencies!$A$2)+1)/(Dependencies!$A$2:$A$5000=$B$3),ROWS($A$20:A42))),"")</x:f>
      </x:c>
      <x:c r="B42" s="10" t="e">
        <x:f>IF($A42="","",IFERROR(INDEX(Blueprint_Data!$F:$F,MATCH($A42,Blueprint_Data!$A:$A,0)),""))</x:f>
      </x:c>
      <x:c r="C42" s="10" t="e">
        <x:f>IF($A42="","",IFERROR(INDEX(Blueprint_Data!$G:$G,MATCH($A42,Blueprint_Data!$A:$A,0)),""))</x:f>
      </x:c>
      <x:c r="D42" s="10" t="e">
        <x:f>IF($A42="","",IFERROR(INDEX(Blueprint_Data!$W:$W,MATCH($A42,Blueprint_Data!$A:$A,0)),""))</x:f>
      </x:c>
      <x:c r="E42" s="10" t="str">
        <x:f t="shared" si="0"/>
      </x:c>
      <x:c r="F42" s="10" t="str">
        <x:f t="shared" si="1"/>
        <x:v>Missing Dependency; Out-of-Seq; Missing OM Fields</x:v>
      </x:c>
      <x:c r="G42" s="10" t="e">
        <x:f>IF($A42="","",IFERROR(INDEX(Checks!$D:$D,MATCH($A42,Checks!$A:$A,0)),0))</x:f>
      </x:c>
      <x:c r="H42" s="10" t="e">
        <x:f>IF($A42="","",IFERROR(INDEX(Checks!$F:$F,MATCH($A42,Checks!$A:$A,0)),0))</x:f>
      </x:c>
      <x:c r="I42" s="10" t="e">
        <x:f>IF($A42="","",IFERROR(INDEX(Checks!$H:$H,MATCH($A42,Checks!$A:$A,0)),"NO"))</x:f>
      </x:c>
      <x:c r="J42" s="10" t="e">
        <x:f>IF($A42="","",IFERROR(INDEX(Checks!$J:$J,MATCH($A42,Checks!$A:$A,0)),0))</x:f>
      </x:c>
      <x:c r="K42" s="10" t="str">
        <x:f t="shared" si="2"/>
      </x:c>
    </x:row>
    <x:row r="43" ht="66.25" customHeight="1">
      <x:c r="A43" s="10" t="e">
        <x:f>IFERROR(INDEX(Dependencies!$C$2:$C$5000,_xludf.AGGREGATE(15,6,(ROW(Dependencies!$A$2:$A$5000)-ROW(Dependencies!$A$2)+1)/(Dependencies!$A$2:$A$5000=$B$3),ROWS($A$20:A43))),"")</x:f>
      </x:c>
      <x:c r="B43" s="10" t="e">
        <x:f>IF($A43="","",IFERROR(INDEX(Blueprint_Data!$F:$F,MATCH($A43,Blueprint_Data!$A:$A,0)),""))</x:f>
      </x:c>
      <x:c r="C43" s="10" t="e">
        <x:f>IF($A43="","",IFERROR(INDEX(Blueprint_Data!$G:$G,MATCH($A43,Blueprint_Data!$A:$A,0)),""))</x:f>
      </x:c>
      <x:c r="D43" s="10" t="e">
        <x:f>IF($A43="","",IFERROR(INDEX(Blueprint_Data!$W:$W,MATCH($A43,Blueprint_Data!$A:$A,0)),""))</x:f>
      </x:c>
      <x:c r="E43" s="10" t="str">
        <x:f t="shared" si="0"/>
      </x:c>
      <x:c r="F43" s="10" t="str">
        <x:f t="shared" si="1"/>
        <x:v>Missing Dependency; Out-of-Seq; Missing OM Fields</x:v>
      </x:c>
      <x:c r="G43" s="10" t="e">
        <x:f>IF($A43="","",IFERROR(INDEX(Checks!$D:$D,MATCH($A43,Checks!$A:$A,0)),0))</x:f>
      </x:c>
      <x:c r="H43" s="10" t="e">
        <x:f>IF($A43="","",IFERROR(INDEX(Checks!$F:$F,MATCH($A43,Checks!$A:$A,0)),0))</x:f>
      </x:c>
      <x:c r="I43" s="10" t="e">
        <x:f>IF($A43="","",IFERROR(INDEX(Checks!$H:$H,MATCH($A43,Checks!$A:$A,0)),"NO"))</x:f>
      </x:c>
      <x:c r="J43" s="10" t="e">
        <x:f>IF($A43="","",IFERROR(INDEX(Checks!$J:$J,MATCH($A43,Checks!$A:$A,0)),0))</x:f>
      </x:c>
      <x:c r="K43" s="10" t="str">
        <x:f t="shared" si="2"/>
      </x:c>
    </x:row>
    <x:row r="44" ht="66.25" customHeight="1">
      <x:c r="A44" s="10" t="e">
        <x:f>IFERROR(INDEX(Dependencies!$C$2:$C$5000,_xludf.AGGREGATE(15,6,(ROW(Dependencies!$A$2:$A$5000)-ROW(Dependencies!$A$2)+1)/(Dependencies!$A$2:$A$5000=$B$3),ROWS($A$20:A44))),"")</x:f>
      </x:c>
      <x:c r="B44" s="10" t="e">
        <x:f>IF($A44="","",IFERROR(INDEX(Blueprint_Data!$F:$F,MATCH($A44,Blueprint_Data!$A:$A,0)),""))</x:f>
      </x:c>
      <x:c r="C44" s="10" t="e">
        <x:f>IF($A44="","",IFERROR(INDEX(Blueprint_Data!$G:$G,MATCH($A44,Blueprint_Data!$A:$A,0)),""))</x:f>
      </x:c>
      <x:c r="D44" s="10" t="e">
        <x:f>IF($A44="","",IFERROR(INDEX(Blueprint_Data!$W:$W,MATCH($A44,Blueprint_Data!$A:$A,0)),""))</x:f>
      </x:c>
      <x:c r="E44" s="10" t="str">
        <x:f t="shared" si="0"/>
      </x:c>
      <x:c r="F44" s="10" t="str">
        <x:f t="shared" si="1"/>
        <x:v>Missing Dependency; Out-of-Seq; Missing OM Fields</x:v>
      </x:c>
      <x:c r="G44" s="10" t="e">
        <x:f>IF($A44="","",IFERROR(INDEX(Checks!$D:$D,MATCH($A44,Checks!$A:$A,0)),0))</x:f>
      </x:c>
      <x:c r="H44" s="10" t="e">
        <x:f>IF($A44="","",IFERROR(INDEX(Checks!$F:$F,MATCH($A44,Checks!$A:$A,0)),0))</x:f>
      </x:c>
      <x:c r="I44" s="10" t="e">
        <x:f>IF($A44="","",IFERROR(INDEX(Checks!$H:$H,MATCH($A44,Checks!$A:$A,0)),"NO"))</x:f>
      </x:c>
      <x:c r="J44" s="10" t="e">
        <x:f>IF($A44="","",IFERROR(INDEX(Checks!$J:$J,MATCH($A44,Checks!$A:$A,0)),0))</x:f>
      </x:c>
      <x:c r="K44" s="10" t="str">
        <x:f t="shared" si="2"/>
      </x:c>
    </x:row>
    <x:row r="45" ht="66.25" customHeight="1">
      <x:c r="A45" s="10" t="e">
        <x:f>IFERROR(INDEX(Dependencies!$C$2:$C$5000,_xludf.AGGREGATE(15,6,(ROW(Dependencies!$A$2:$A$5000)-ROW(Dependencies!$A$2)+1)/(Dependencies!$A$2:$A$5000=$B$3),ROWS($A$20:A45))),"")</x:f>
      </x:c>
      <x:c r="B45" s="10" t="e">
        <x:f>IF($A45="","",IFERROR(INDEX(Blueprint_Data!$F:$F,MATCH($A45,Blueprint_Data!$A:$A,0)),""))</x:f>
      </x:c>
      <x:c r="C45" s="10" t="e">
        <x:f>IF($A45="","",IFERROR(INDEX(Blueprint_Data!$G:$G,MATCH($A45,Blueprint_Data!$A:$A,0)),""))</x:f>
      </x:c>
      <x:c r="D45" s="10" t="e">
        <x:f>IF($A45="","",IFERROR(INDEX(Blueprint_Data!$W:$W,MATCH($A45,Blueprint_Data!$A:$A,0)),""))</x:f>
      </x:c>
      <x:c r="E45" s="10" t="str">
        <x:f t="shared" si="0"/>
      </x:c>
      <x:c r="F45" s="10" t="str">
        <x:f t="shared" si="1"/>
        <x:v>Missing Dependency; Out-of-Seq; Missing OM Fields</x:v>
      </x:c>
      <x:c r="G45" s="10" t="e">
        <x:f>IF($A45="","",IFERROR(INDEX(Checks!$D:$D,MATCH($A45,Checks!$A:$A,0)),0))</x:f>
      </x:c>
      <x:c r="H45" s="10" t="e">
        <x:f>IF($A45="","",IFERROR(INDEX(Checks!$F:$F,MATCH($A45,Checks!$A:$A,0)),0))</x:f>
      </x:c>
      <x:c r="I45" s="10" t="e">
        <x:f>IF($A45="","",IFERROR(INDEX(Checks!$H:$H,MATCH($A45,Checks!$A:$A,0)),"NO"))</x:f>
      </x:c>
      <x:c r="J45" s="10" t="e">
        <x:f>IF($A45="","",IFERROR(INDEX(Checks!$J:$J,MATCH($A45,Checks!$A:$A,0)),0))</x:f>
      </x:c>
      <x:c r="K45" s="10" t="str">
        <x:f t="shared" si="2"/>
      </x:c>
    </x:row>
    <x:row r="46" ht="66.25" customHeight="1">
      <x:c r="A46" s="10" t="e">
        <x:f>IFERROR(INDEX(Dependencies!$C$2:$C$5000,_xludf.AGGREGATE(15,6,(ROW(Dependencies!$A$2:$A$5000)-ROW(Dependencies!$A$2)+1)/(Dependencies!$A$2:$A$5000=$B$3),ROWS($A$20:A46))),"")</x:f>
      </x:c>
      <x:c r="B46" s="10" t="e">
        <x:f>IF($A46="","",IFERROR(INDEX(Blueprint_Data!$F:$F,MATCH($A46,Blueprint_Data!$A:$A,0)),""))</x:f>
      </x:c>
      <x:c r="C46" s="10" t="e">
        <x:f>IF($A46="","",IFERROR(INDEX(Blueprint_Data!$G:$G,MATCH($A46,Blueprint_Data!$A:$A,0)),""))</x:f>
      </x:c>
      <x:c r="D46" s="10" t="e">
        <x:f>IF($A46="","",IFERROR(INDEX(Blueprint_Data!$W:$W,MATCH($A46,Blueprint_Data!$A:$A,0)),""))</x:f>
      </x:c>
      <x:c r="E46" s="10" t="str">
        <x:f t="shared" si="0"/>
      </x:c>
      <x:c r="F46" s="10" t="str">
        <x:f t="shared" si="1"/>
        <x:v>Missing Dependency; Out-of-Seq; Missing OM Fields</x:v>
      </x:c>
      <x:c r="G46" s="10" t="e">
        <x:f>IF($A46="","",IFERROR(INDEX(Checks!$D:$D,MATCH($A46,Checks!$A:$A,0)),0))</x:f>
      </x:c>
      <x:c r="H46" s="10" t="e">
        <x:f>IF($A46="","",IFERROR(INDEX(Checks!$F:$F,MATCH($A46,Checks!$A:$A,0)),0))</x:f>
      </x:c>
      <x:c r="I46" s="10" t="e">
        <x:f>IF($A46="","",IFERROR(INDEX(Checks!$H:$H,MATCH($A46,Checks!$A:$A,0)),"NO"))</x:f>
      </x:c>
      <x:c r="J46" s="10" t="e">
        <x:f>IF($A46="","",IFERROR(INDEX(Checks!$J:$J,MATCH($A46,Checks!$A:$A,0)),0))</x:f>
      </x:c>
      <x:c r="K46" s="10" t="str">
        <x:f t="shared" si="2"/>
      </x:c>
    </x:row>
    <x:row r="47" ht="66.25" customHeight="1">
      <x:c r="A47" s="10" t="e">
        <x:f>IFERROR(INDEX(Dependencies!$C$2:$C$5000,_xludf.AGGREGATE(15,6,(ROW(Dependencies!$A$2:$A$5000)-ROW(Dependencies!$A$2)+1)/(Dependencies!$A$2:$A$5000=$B$3),ROWS($A$20:A47))),"")</x:f>
      </x:c>
      <x:c r="B47" s="10" t="e">
        <x:f>IF($A47="","",IFERROR(INDEX(Blueprint_Data!$F:$F,MATCH($A47,Blueprint_Data!$A:$A,0)),""))</x:f>
      </x:c>
      <x:c r="C47" s="10" t="e">
        <x:f>IF($A47="","",IFERROR(INDEX(Blueprint_Data!$G:$G,MATCH($A47,Blueprint_Data!$A:$A,0)),""))</x:f>
      </x:c>
      <x:c r="D47" s="10" t="e">
        <x:f>IF($A47="","",IFERROR(INDEX(Blueprint_Data!$W:$W,MATCH($A47,Blueprint_Data!$A:$A,0)),""))</x:f>
      </x:c>
      <x:c r="E47" s="10" t="str">
        <x:f t="shared" si="0"/>
      </x:c>
      <x:c r="F47" s="10" t="str">
        <x:f t="shared" si="1"/>
        <x:v>Missing Dependency; Out-of-Seq; Missing OM Fields</x:v>
      </x:c>
      <x:c r="G47" s="10" t="e">
        <x:f>IF($A47="","",IFERROR(INDEX(Checks!$D:$D,MATCH($A47,Checks!$A:$A,0)),0))</x:f>
      </x:c>
      <x:c r="H47" s="10" t="e">
        <x:f>IF($A47="","",IFERROR(INDEX(Checks!$F:$F,MATCH($A47,Checks!$A:$A,0)),0))</x:f>
      </x:c>
      <x:c r="I47" s="10" t="e">
        <x:f>IF($A47="","",IFERROR(INDEX(Checks!$H:$H,MATCH($A47,Checks!$A:$A,0)),"NO"))</x:f>
      </x:c>
      <x:c r="J47" s="10" t="e">
        <x:f>IF($A47="","",IFERROR(INDEX(Checks!$J:$J,MATCH($A47,Checks!$A:$A,0)),0))</x:f>
      </x:c>
      <x:c r="K47" s="10" t="str">
        <x:f t="shared" si="2"/>
      </x:c>
    </x:row>
    <x:row r="48" ht="66.25" customHeight="1">
      <x:c r="A48" s="10" t="e">
        <x:f>IFERROR(INDEX(Dependencies!$C$2:$C$5000,_xludf.AGGREGATE(15,6,(ROW(Dependencies!$A$2:$A$5000)-ROW(Dependencies!$A$2)+1)/(Dependencies!$A$2:$A$5000=$B$3),ROWS($A$20:A48))),"")</x:f>
      </x:c>
      <x:c r="B48" s="10" t="e">
        <x:f>IF($A48="","",IFERROR(INDEX(Blueprint_Data!$F:$F,MATCH($A48,Blueprint_Data!$A:$A,0)),""))</x:f>
      </x:c>
      <x:c r="C48" s="10" t="e">
        <x:f>IF($A48="","",IFERROR(INDEX(Blueprint_Data!$G:$G,MATCH($A48,Blueprint_Data!$A:$A,0)),""))</x:f>
      </x:c>
      <x:c r="D48" s="10" t="e">
        <x:f>IF($A48="","",IFERROR(INDEX(Blueprint_Data!$W:$W,MATCH($A48,Blueprint_Data!$A:$A,0)),""))</x:f>
      </x:c>
      <x:c r="E48" s="10" t="str">
        <x:f t="shared" si="0"/>
      </x:c>
      <x:c r="F48" s="10" t="str">
        <x:f t="shared" si="1"/>
        <x:v>Missing Dependency; Out-of-Seq; Missing OM Fields</x:v>
      </x:c>
      <x:c r="G48" s="10" t="e">
        <x:f>IF($A48="","",IFERROR(INDEX(Checks!$D:$D,MATCH($A48,Checks!$A:$A,0)),0))</x:f>
      </x:c>
      <x:c r="H48" s="10" t="e">
        <x:f>IF($A48="","",IFERROR(INDEX(Checks!$F:$F,MATCH($A48,Checks!$A:$A,0)),0))</x:f>
      </x:c>
      <x:c r="I48" s="10" t="e">
        <x:f>IF($A48="","",IFERROR(INDEX(Checks!$H:$H,MATCH($A48,Checks!$A:$A,0)),"NO"))</x:f>
      </x:c>
      <x:c r="J48" s="10" t="e">
        <x:f>IF($A48="","",IFERROR(INDEX(Checks!$J:$J,MATCH($A48,Checks!$A:$A,0)),0))</x:f>
      </x:c>
      <x:c r="K48" s="10" t="str">
        <x:f t="shared" si="2"/>
      </x:c>
    </x:row>
    <x:row r="49" ht="66.25" customHeight="1">
      <x:c r="A49" s="10" t="e">
        <x:f>IFERROR(INDEX(Dependencies!$C$2:$C$5000,_xludf.AGGREGATE(15,6,(ROW(Dependencies!$A$2:$A$5000)-ROW(Dependencies!$A$2)+1)/(Dependencies!$A$2:$A$5000=$B$3),ROWS($A$20:A49))),"")</x:f>
      </x:c>
      <x:c r="B49" s="10" t="e">
        <x:f>IF($A49="","",IFERROR(INDEX(Blueprint_Data!$F:$F,MATCH($A49,Blueprint_Data!$A:$A,0)),""))</x:f>
      </x:c>
      <x:c r="C49" s="10" t="e">
        <x:f>IF($A49="","",IFERROR(INDEX(Blueprint_Data!$G:$G,MATCH($A49,Blueprint_Data!$A:$A,0)),""))</x:f>
      </x:c>
      <x:c r="D49" s="10" t="e">
        <x:f>IF($A49="","",IFERROR(INDEX(Blueprint_Data!$W:$W,MATCH($A49,Blueprint_Data!$A:$A,0)),""))</x:f>
      </x:c>
      <x:c r="E49" s="10" t="str">
        <x:f t="shared" si="0"/>
      </x:c>
      <x:c r="F49" s="10" t="str">
        <x:f t="shared" si="1"/>
        <x:v>Missing Dependency; Out-of-Seq; Missing OM Fields</x:v>
      </x:c>
      <x:c r="G49" s="10" t="e">
        <x:f>IF($A49="","",IFERROR(INDEX(Checks!$D:$D,MATCH($A49,Checks!$A:$A,0)),0))</x:f>
      </x:c>
      <x:c r="H49" s="10" t="e">
        <x:f>IF($A49="","",IFERROR(INDEX(Checks!$F:$F,MATCH($A49,Checks!$A:$A,0)),0))</x:f>
      </x:c>
      <x:c r="I49" s="10" t="e">
        <x:f>IF($A49="","",IFERROR(INDEX(Checks!$H:$H,MATCH($A49,Checks!$A:$A,0)),"NO"))</x:f>
      </x:c>
      <x:c r="J49" s="10" t="e">
        <x:f>IF($A49="","",IFERROR(INDEX(Checks!$J:$J,MATCH($A49,Checks!$A:$A,0)),0))</x:f>
      </x:c>
      <x:c r="K49" s="10" t="str">
        <x:f t="shared" si="2"/>
      </x:c>
    </x:row>
    <x:row r="50" ht="66.25" customHeight="1">
      <x:c r="A50" s="10" t="e">
        <x:f>IFERROR(INDEX(Dependencies!$C$2:$C$5000,_xludf.AGGREGATE(15,6,(ROW(Dependencies!$A$2:$A$5000)-ROW(Dependencies!$A$2)+1)/(Dependencies!$A$2:$A$5000=$B$3),ROWS($A$20:A50))),"")</x:f>
      </x:c>
      <x:c r="B50" s="10" t="e">
        <x:f>IF($A50="","",IFERROR(INDEX(Blueprint_Data!$F:$F,MATCH($A50,Blueprint_Data!$A:$A,0)),""))</x:f>
      </x:c>
      <x:c r="C50" s="10" t="e">
        <x:f>IF($A50="","",IFERROR(INDEX(Blueprint_Data!$G:$G,MATCH($A50,Blueprint_Data!$A:$A,0)),""))</x:f>
      </x:c>
      <x:c r="D50" s="10" t="e">
        <x:f>IF($A50="","",IFERROR(INDEX(Blueprint_Data!$W:$W,MATCH($A50,Blueprint_Data!$A:$A,0)),""))</x:f>
      </x:c>
      <x:c r="E50" s="10" t="str">
        <x:f t="shared" si="0"/>
      </x:c>
      <x:c r="F50" s="10" t="str">
        <x:f t="shared" si="1"/>
        <x:v>Missing Dependency; Out-of-Seq; Missing OM Fields</x:v>
      </x:c>
      <x:c r="G50" s="10" t="e">
        <x:f>IF($A50="","",IFERROR(INDEX(Checks!$D:$D,MATCH($A50,Checks!$A:$A,0)),0))</x:f>
      </x:c>
      <x:c r="H50" s="10" t="e">
        <x:f>IF($A50="","",IFERROR(INDEX(Checks!$F:$F,MATCH($A50,Checks!$A:$A,0)),0))</x:f>
      </x:c>
      <x:c r="I50" s="10" t="e">
        <x:f>IF($A50="","",IFERROR(INDEX(Checks!$H:$H,MATCH($A50,Checks!$A:$A,0)),"NO"))</x:f>
      </x:c>
      <x:c r="J50" s="10" t="e">
        <x:f>IF($A50="","",IFERROR(INDEX(Checks!$J:$J,MATCH($A50,Checks!$A:$A,0)),0))</x:f>
      </x:c>
      <x:c r="K50" s="10" t="str">
        <x:f t="shared" si="2"/>
      </x:c>
    </x:row>
    <x:row r="51" ht="66.25" customHeight="1">
      <x:c r="A51" s="10" t="e">
        <x:f>IFERROR(INDEX(Dependencies!$C$2:$C$5000,_xludf.AGGREGATE(15,6,(ROW(Dependencies!$A$2:$A$5000)-ROW(Dependencies!$A$2)+1)/(Dependencies!$A$2:$A$5000=$B$3),ROWS($A$20:A51))),"")</x:f>
      </x:c>
      <x:c r="B51" s="10" t="e">
        <x:f>IF($A51="","",IFERROR(INDEX(Blueprint_Data!$F:$F,MATCH($A51,Blueprint_Data!$A:$A,0)),""))</x:f>
      </x:c>
      <x:c r="C51" s="10" t="e">
        <x:f>IF($A51="","",IFERROR(INDEX(Blueprint_Data!$G:$G,MATCH($A51,Blueprint_Data!$A:$A,0)),""))</x:f>
      </x:c>
      <x:c r="D51" s="10" t="e">
        <x:f>IF($A51="","",IFERROR(INDEX(Blueprint_Data!$W:$W,MATCH($A51,Blueprint_Data!$A:$A,0)),""))</x:f>
      </x:c>
      <x:c r="E51" s="10" t="str">
        <x:f t="shared" si="0"/>
      </x:c>
      <x:c r="F51" s="10" t="str">
        <x:f t="shared" si="1"/>
        <x:v>Missing Dependency; Out-of-Seq; Missing OM Fields</x:v>
      </x:c>
      <x:c r="G51" s="10" t="e">
        <x:f>IF($A51="","",IFERROR(INDEX(Checks!$D:$D,MATCH($A51,Checks!$A:$A,0)),0))</x:f>
      </x:c>
      <x:c r="H51" s="10" t="e">
        <x:f>IF($A51="","",IFERROR(INDEX(Checks!$F:$F,MATCH($A51,Checks!$A:$A,0)),0))</x:f>
      </x:c>
      <x:c r="I51" s="10" t="e">
        <x:f>IF($A51="","",IFERROR(INDEX(Checks!$H:$H,MATCH($A51,Checks!$A:$A,0)),"NO"))</x:f>
      </x:c>
      <x:c r="J51" s="10" t="e">
        <x:f>IF($A51="","",IFERROR(INDEX(Checks!$J:$J,MATCH($A51,Checks!$A:$A,0)),0))</x:f>
      </x:c>
      <x:c r="K51" s="10" t="str">
        <x:f t="shared" si="2"/>
      </x:c>
    </x:row>
    <x:row r="52" ht="66.25" customHeight="1">
      <x:c r="A52" s="10" t="e">
        <x:f>IFERROR(INDEX(Dependencies!$C$2:$C$5000,_xludf.AGGREGATE(15,6,(ROW(Dependencies!$A$2:$A$5000)-ROW(Dependencies!$A$2)+1)/(Dependencies!$A$2:$A$5000=$B$3),ROWS($A$20:A52))),"")</x:f>
      </x:c>
      <x:c r="B52" s="10" t="e">
        <x:f>IF($A52="","",IFERROR(INDEX(Blueprint_Data!$F:$F,MATCH($A52,Blueprint_Data!$A:$A,0)),""))</x:f>
      </x:c>
      <x:c r="C52" s="10" t="e">
        <x:f>IF($A52="","",IFERROR(INDEX(Blueprint_Data!$G:$G,MATCH($A52,Blueprint_Data!$A:$A,0)),""))</x:f>
      </x:c>
      <x:c r="D52" s="10" t="e">
        <x:f>IF($A52="","",IFERROR(INDEX(Blueprint_Data!$W:$W,MATCH($A52,Blueprint_Data!$A:$A,0)),""))</x:f>
      </x:c>
      <x:c r="E52" s="10" t="e">
        <x:f t="shared" ref="E52:E83" si="3">IF($A52="","",IF(OR(G52&gt;0,H52&gt;0,I52="YES",J52&gt;0),"YES","NO"))</x:f>
      </x:c>
      <x:c r="F52" s="10" t="e">
        <x:f t="shared" ref="F52:F83" si="4">IF((IF(G52&gt;0,"Missing Dependency; ","")&amp;IF(H52&gt;0,"Out-of-Seq; ","")&amp;IF(I52="YES","SoR Collision; ","")&amp;IF(J52&gt;0,"Missing OM Fields; ",""))="","",IF(RIGHT((IF(G52&gt;0,"Missing Dependency; ","")&amp;IF(H52&gt;0,"Out-of-Seq; ","")&amp;IF(I52="YES","SoR Collision; ","")&amp;IF(J52&gt;0,"Missing OM Fields; ","")),2)="; ",LEFT((IF(G52&gt;0,"Missing Dependency; ","")&amp;IF(H52&gt;0,"Out-of-Seq; ","")&amp;IF(I52="YES","SoR Collision; ","")&amp;IF(J52&gt;0,"Missing OM Fields; ","")),LEN((IF(G52&gt;0,"Missing Dependency; ","")&amp;IF(H52&gt;0,"Out-of-Seq; ","")&amp;IF(I52="YES","SoR Collision; ","")&amp;IF(J52&gt;0,"Missing OM Fields; ","")))-2),(IF(G52&gt;0,"Missing Dependency; ","")&amp;IF(H52&gt;0,"Out-of-Seq; ","")&amp;IF(I52="YES","SoR Collision; ","")&amp;IF(J52&gt;0,"Missing OM Fields; ",""))))</x:f>
      </x:c>
      <x:c r="G52" s="10" t="e">
        <x:f>IF($A52="","",IFERROR(INDEX(Checks!$D:$D,MATCH($A52,Checks!$A:$A,0)),0))</x:f>
      </x:c>
      <x:c r="H52" s="10" t="e">
        <x:f>IF($A52="","",IFERROR(INDEX(Checks!$F:$F,MATCH($A52,Checks!$A:$A,0)),0))</x:f>
      </x:c>
      <x:c r="I52" s="10" t="e">
        <x:f>IF($A52="","",IFERROR(INDEX(Checks!$H:$H,MATCH($A52,Checks!$A:$A,0)),"NO"))</x:f>
      </x:c>
      <x:c r="J52" s="10" t="e">
        <x:f>IF($A52="","",IFERROR(INDEX(Checks!$J:$J,MATCH($A52,Checks!$A:$A,0)),0))</x:f>
      </x:c>
      <x:c r="K52" s="10" t="e">
        <x:f t="shared" ref="K52:K83" si="5">IF($A52="","",IF(E52="NO","OK: dependency is clean",IF(I52="YES","Resolve SoR ownership (single SoR)",IF(G52&gt;0,"Close missing dependencies",IF(H52&gt;0,"Resequence waves",IF(J52&gt;0,"Populate Operating Model fields","Remediate blockers"))))))</x:f>
      </x:c>
    </x:row>
    <x:row r="53" ht="66.25" customHeight="1">
      <x:c r="A53" s="10" t="e">
        <x:f>IFERROR(INDEX(Dependencies!$C$2:$C$5000,_xludf.AGGREGATE(15,6,(ROW(Dependencies!$A$2:$A$5000)-ROW(Dependencies!$A$2)+1)/(Dependencies!$A$2:$A$5000=$B$3),ROWS($A$20:A53))),"")</x:f>
      </x:c>
      <x:c r="B53" s="10" t="e">
        <x:f>IF($A53="","",IFERROR(INDEX(Blueprint_Data!$F:$F,MATCH($A53,Blueprint_Data!$A:$A,0)),""))</x:f>
      </x:c>
      <x:c r="C53" s="10" t="e">
        <x:f>IF($A53="","",IFERROR(INDEX(Blueprint_Data!$G:$G,MATCH($A53,Blueprint_Data!$A:$A,0)),""))</x:f>
      </x:c>
      <x:c r="D53" s="10" t="e">
        <x:f>IF($A53="","",IFERROR(INDEX(Blueprint_Data!$W:$W,MATCH($A53,Blueprint_Data!$A:$A,0)),""))</x:f>
      </x:c>
      <x:c r="E53" s="10" t="str">
        <x:f t="shared" si="3"/>
      </x:c>
      <x:c r="F53" s="10" t="str">
        <x:f t="shared" si="4"/>
        <x:v>Missing Dependency; Out-of-Seq; Missing OM Fields</x:v>
      </x:c>
      <x:c r="G53" s="10" t="e">
        <x:f>IF($A53="","",IFERROR(INDEX(Checks!$D:$D,MATCH($A53,Checks!$A:$A,0)),0))</x:f>
      </x:c>
      <x:c r="H53" s="10" t="e">
        <x:f>IF($A53="","",IFERROR(INDEX(Checks!$F:$F,MATCH($A53,Checks!$A:$A,0)),0))</x:f>
      </x:c>
      <x:c r="I53" s="10" t="e">
        <x:f>IF($A53="","",IFERROR(INDEX(Checks!$H:$H,MATCH($A53,Checks!$A:$A,0)),"NO"))</x:f>
      </x:c>
      <x:c r="J53" s="10" t="e">
        <x:f>IF($A53="","",IFERROR(INDEX(Checks!$J:$J,MATCH($A53,Checks!$A:$A,0)),0))</x:f>
      </x:c>
      <x:c r="K53" s="10" t="str">
        <x:f t="shared" si="5"/>
      </x:c>
    </x:row>
    <x:row r="54" ht="66.25" customHeight="1">
      <x:c r="A54" s="10" t="e">
        <x:f>IFERROR(INDEX(Dependencies!$C$2:$C$5000,_xludf.AGGREGATE(15,6,(ROW(Dependencies!$A$2:$A$5000)-ROW(Dependencies!$A$2)+1)/(Dependencies!$A$2:$A$5000=$B$3),ROWS($A$20:A54))),"")</x:f>
      </x:c>
      <x:c r="B54" s="10" t="e">
        <x:f>IF($A54="","",IFERROR(INDEX(Blueprint_Data!$F:$F,MATCH($A54,Blueprint_Data!$A:$A,0)),""))</x:f>
      </x:c>
      <x:c r="C54" s="10" t="e">
        <x:f>IF($A54="","",IFERROR(INDEX(Blueprint_Data!$G:$G,MATCH($A54,Blueprint_Data!$A:$A,0)),""))</x:f>
      </x:c>
      <x:c r="D54" s="10" t="e">
        <x:f>IF($A54="","",IFERROR(INDEX(Blueprint_Data!$W:$W,MATCH($A54,Blueprint_Data!$A:$A,0)),""))</x:f>
      </x:c>
      <x:c r="E54" s="10" t="str">
        <x:f t="shared" si="3"/>
      </x:c>
      <x:c r="F54" s="10" t="str">
        <x:f t="shared" si="4"/>
        <x:v>Missing Dependency; Out-of-Seq; Missing OM Fields</x:v>
      </x:c>
      <x:c r="G54" s="10" t="e">
        <x:f>IF($A54="","",IFERROR(INDEX(Checks!$D:$D,MATCH($A54,Checks!$A:$A,0)),0))</x:f>
      </x:c>
      <x:c r="H54" s="10" t="e">
        <x:f>IF($A54="","",IFERROR(INDEX(Checks!$F:$F,MATCH($A54,Checks!$A:$A,0)),0))</x:f>
      </x:c>
      <x:c r="I54" s="10" t="e">
        <x:f>IF($A54="","",IFERROR(INDEX(Checks!$H:$H,MATCH($A54,Checks!$A:$A,0)),"NO"))</x:f>
      </x:c>
      <x:c r="J54" s="10" t="e">
        <x:f>IF($A54="","",IFERROR(INDEX(Checks!$J:$J,MATCH($A54,Checks!$A:$A,0)),0))</x:f>
      </x:c>
      <x:c r="K54" s="10" t="str">
        <x:f t="shared" si="5"/>
      </x:c>
    </x:row>
    <x:row r="55" ht="66.25" customHeight="1">
      <x:c r="A55" s="10" t="e">
        <x:f>IFERROR(INDEX(Dependencies!$C$2:$C$5000,_xludf.AGGREGATE(15,6,(ROW(Dependencies!$A$2:$A$5000)-ROW(Dependencies!$A$2)+1)/(Dependencies!$A$2:$A$5000=$B$3),ROWS($A$20:A55))),"")</x:f>
      </x:c>
      <x:c r="B55" s="10" t="e">
        <x:f>IF($A55="","",IFERROR(INDEX(Blueprint_Data!$F:$F,MATCH($A55,Blueprint_Data!$A:$A,0)),""))</x:f>
      </x:c>
      <x:c r="C55" s="10" t="e">
        <x:f>IF($A55="","",IFERROR(INDEX(Blueprint_Data!$G:$G,MATCH($A55,Blueprint_Data!$A:$A,0)),""))</x:f>
      </x:c>
      <x:c r="D55" s="10" t="e">
        <x:f>IF($A55="","",IFERROR(INDEX(Blueprint_Data!$W:$W,MATCH($A55,Blueprint_Data!$A:$A,0)),""))</x:f>
      </x:c>
      <x:c r="E55" s="10" t="str">
        <x:f t="shared" si="3"/>
      </x:c>
      <x:c r="F55" s="10" t="str">
        <x:f t="shared" si="4"/>
        <x:v>Missing Dependency; Out-of-Seq; Missing OM Fields</x:v>
      </x:c>
      <x:c r="G55" s="10" t="e">
        <x:f>IF($A55="","",IFERROR(INDEX(Checks!$D:$D,MATCH($A55,Checks!$A:$A,0)),0))</x:f>
      </x:c>
      <x:c r="H55" s="10" t="e">
        <x:f>IF($A55="","",IFERROR(INDEX(Checks!$F:$F,MATCH($A55,Checks!$A:$A,0)),0))</x:f>
      </x:c>
      <x:c r="I55" s="10" t="e">
        <x:f>IF($A55="","",IFERROR(INDEX(Checks!$H:$H,MATCH($A55,Checks!$A:$A,0)),"NO"))</x:f>
      </x:c>
      <x:c r="J55" s="10" t="e">
        <x:f>IF($A55="","",IFERROR(INDEX(Checks!$J:$J,MATCH($A55,Checks!$A:$A,0)),0))</x:f>
      </x:c>
      <x:c r="K55" s="10" t="str">
        <x:f t="shared" si="5"/>
      </x:c>
    </x:row>
    <x:row r="56" ht="66.25" customHeight="1">
      <x:c r="A56" s="10" t="e">
        <x:f>IFERROR(INDEX(Dependencies!$C$2:$C$5000,_xludf.AGGREGATE(15,6,(ROW(Dependencies!$A$2:$A$5000)-ROW(Dependencies!$A$2)+1)/(Dependencies!$A$2:$A$5000=$B$3),ROWS($A$20:A56))),"")</x:f>
      </x:c>
      <x:c r="B56" s="10" t="e">
        <x:f>IF($A56="","",IFERROR(INDEX(Blueprint_Data!$F:$F,MATCH($A56,Blueprint_Data!$A:$A,0)),""))</x:f>
      </x:c>
      <x:c r="C56" s="10" t="e">
        <x:f>IF($A56="","",IFERROR(INDEX(Blueprint_Data!$G:$G,MATCH($A56,Blueprint_Data!$A:$A,0)),""))</x:f>
      </x:c>
      <x:c r="D56" s="10" t="e">
        <x:f>IF($A56="","",IFERROR(INDEX(Blueprint_Data!$W:$W,MATCH($A56,Blueprint_Data!$A:$A,0)),""))</x:f>
      </x:c>
      <x:c r="E56" s="10" t="str">
        <x:f t="shared" si="3"/>
      </x:c>
      <x:c r="F56" s="10" t="str">
        <x:f t="shared" si="4"/>
        <x:v>Missing Dependency; Out-of-Seq; Missing OM Fields</x:v>
      </x:c>
      <x:c r="G56" s="10" t="e">
        <x:f>IF($A56="","",IFERROR(INDEX(Checks!$D:$D,MATCH($A56,Checks!$A:$A,0)),0))</x:f>
      </x:c>
      <x:c r="H56" s="10" t="e">
        <x:f>IF($A56="","",IFERROR(INDEX(Checks!$F:$F,MATCH($A56,Checks!$A:$A,0)),0))</x:f>
      </x:c>
      <x:c r="I56" s="10" t="e">
        <x:f>IF($A56="","",IFERROR(INDEX(Checks!$H:$H,MATCH($A56,Checks!$A:$A,0)),"NO"))</x:f>
      </x:c>
      <x:c r="J56" s="10" t="e">
        <x:f>IF($A56="","",IFERROR(INDEX(Checks!$J:$J,MATCH($A56,Checks!$A:$A,0)),0))</x:f>
      </x:c>
      <x:c r="K56" s="10" t="str">
        <x:f t="shared" si="5"/>
      </x:c>
    </x:row>
    <x:row r="57" ht="66.25" customHeight="1">
      <x:c r="A57" s="10" t="e">
        <x:f>IFERROR(INDEX(Dependencies!$C$2:$C$5000,_xludf.AGGREGATE(15,6,(ROW(Dependencies!$A$2:$A$5000)-ROW(Dependencies!$A$2)+1)/(Dependencies!$A$2:$A$5000=$B$3),ROWS($A$20:A57))),"")</x:f>
      </x:c>
      <x:c r="B57" s="10" t="e">
        <x:f>IF($A57="","",IFERROR(INDEX(Blueprint_Data!$F:$F,MATCH($A57,Blueprint_Data!$A:$A,0)),""))</x:f>
      </x:c>
      <x:c r="C57" s="10" t="e">
        <x:f>IF($A57="","",IFERROR(INDEX(Blueprint_Data!$G:$G,MATCH($A57,Blueprint_Data!$A:$A,0)),""))</x:f>
      </x:c>
      <x:c r="D57" s="10" t="e">
        <x:f>IF($A57="","",IFERROR(INDEX(Blueprint_Data!$W:$W,MATCH($A57,Blueprint_Data!$A:$A,0)),""))</x:f>
      </x:c>
      <x:c r="E57" s="10" t="str">
        <x:f t="shared" si="3"/>
      </x:c>
      <x:c r="F57" s="10" t="str">
        <x:f t="shared" si="4"/>
        <x:v>Missing Dependency; Out-of-Seq; Missing OM Fields</x:v>
      </x:c>
      <x:c r="G57" s="10" t="e">
        <x:f>IF($A57="","",IFERROR(INDEX(Checks!$D:$D,MATCH($A57,Checks!$A:$A,0)),0))</x:f>
      </x:c>
      <x:c r="H57" s="10" t="e">
        <x:f>IF($A57="","",IFERROR(INDEX(Checks!$F:$F,MATCH($A57,Checks!$A:$A,0)),0))</x:f>
      </x:c>
      <x:c r="I57" s="10" t="e">
        <x:f>IF($A57="","",IFERROR(INDEX(Checks!$H:$H,MATCH($A57,Checks!$A:$A,0)),"NO"))</x:f>
      </x:c>
      <x:c r="J57" s="10" t="e">
        <x:f>IF($A57="","",IFERROR(INDEX(Checks!$J:$J,MATCH($A57,Checks!$A:$A,0)),0))</x:f>
      </x:c>
      <x:c r="K57" s="10" t="str">
        <x:f t="shared" si="5"/>
      </x:c>
    </x:row>
    <x:row r="58" ht="66.25" customHeight="1">
      <x:c r="A58" s="10" t="e">
        <x:f>IFERROR(INDEX(Dependencies!$C$2:$C$5000,_xludf.AGGREGATE(15,6,(ROW(Dependencies!$A$2:$A$5000)-ROW(Dependencies!$A$2)+1)/(Dependencies!$A$2:$A$5000=$B$3),ROWS($A$20:A58))),"")</x:f>
      </x:c>
      <x:c r="B58" s="10" t="e">
        <x:f>IF($A58="","",IFERROR(INDEX(Blueprint_Data!$F:$F,MATCH($A58,Blueprint_Data!$A:$A,0)),""))</x:f>
      </x:c>
      <x:c r="C58" s="10" t="e">
        <x:f>IF($A58="","",IFERROR(INDEX(Blueprint_Data!$G:$G,MATCH($A58,Blueprint_Data!$A:$A,0)),""))</x:f>
      </x:c>
      <x:c r="D58" s="10" t="e">
        <x:f>IF($A58="","",IFERROR(INDEX(Blueprint_Data!$W:$W,MATCH($A58,Blueprint_Data!$A:$A,0)),""))</x:f>
      </x:c>
      <x:c r="E58" s="10" t="str">
        <x:f t="shared" si="3"/>
      </x:c>
      <x:c r="F58" s="10" t="str">
        <x:f t="shared" si="4"/>
        <x:v>Missing Dependency; Out-of-Seq; Missing OM Fields</x:v>
      </x:c>
      <x:c r="G58" s="10" t="e">
        <x:f>IF($A58="","",IFERROR(INDEX(Checks!$D:$D,MATCH($A58,Checks!$A:$A,0)),0))</x:f>
      </x:c>
      <x:c r="H58" s="10" t="e">
        <x:f>IF($A58="","",IFERROR(INDEX(Checks!$F:$F,MATCH($A58,Checks!$A:$A,0)),0))</x:f>
      </x:c>
      <x:c r="I58" s="10" t="e">
        <x:f>IF($A58="","",IFERROR(INDEX(Checks!$H:$H,MATCH($A58,Checks!$A:$A,0)),"NO"))</x:f>
      </x:c>
      <x:c r="J58" s="10" t="e">
        <x:f>IF($A58="","",IFERROR(INDEX(Checks!$J:$J,MATCH($A58,Checks!$A:$A,0)),0))</x:f>
      </x:c>
      <x:c r="K58" s="10" t="str">
        <x:f t="shared" si="5"/>
      </x:c>
    </x:row>
    <x:row r="59" ht="66.25" customHeight="1">
      <x:c r="A59" s="10" t="e">
        <x:f>IFERROR(INDEX(Dependencies!$C$2:$C$5000,_xludf.AGGREGATE(15,6,(ROW(Dependencies!$A$2:$A$5000)-ROW(Dependencies!$A$2)+1)/(Dependencies!$A$2:$A$5000=$B$3),ROWS($A$20:A59))),"")</x:f>
      </x:c>
      <x:c r="B59" s="10" t="e">
        <x:f>IF($A59="","",IFERROR(INDEX(Blueprint_Data!$F:$F,MATCH($A59,Blueprint_Data!$A:$A,0)),""))</x:f>
      </x:c>
      <x:c r="C59" s="10" t="e">
        <x:f>IF($A59="","",IFERROR(INDEX(Blueprint_Data!$G:$G,MATCH($A59,Blueprint_Data!$A:$A,0)),""))</x:f>
      </x:c>
      <x:c r="D59" s="10" t="e">
        <x:f>IF($A59="","",IFERROR(INDEX(Blueprint_Data!$W:$W,MATCH($A59,Blueprint_Data!$A:$A,0)),""))</x:f>
      </x:c>
      <x:c r="E59" s="10" t="str">
        <x:f t="shared" si="3"/>
      </x:c>
      <x:c r="F59" s="10" t="str">
        <x:f t="shared" si="4"/>
        <x:v>Missing Dependency; Out-of-Seq; Missing OM Fields</x:v>
      </x:c>
      <x:c r="G59" s="10" t="e">
        <x:f>IF($A59="","",IFERROR(INDEX(Checks!$D:$D,MATCH($A59,Checks!$A:$A,0)),0))</x:f>
      </x:c>
      <x:c r="H59" s="10" t="e">
        <x:f>IF($A59="","",IFERROR(INDEX(Checks!$F:$F,MATCH($A59,Checks!$A:$A,0)),0))</x:f>
      </x:c>
      <x:c r="I59" s="10" t="e">
        <x:f>IF($A59="","",IFERROR(INDEX(Checks!$H:$H,MATCH($A59,Checks!$A:$A,0)),"NO"))</x:f>
      </x:c>
      <x:c r="J59" s="10" t="e">
        <x:f>IF($A59="","",IFERROR(INDEX(Checks!$J:$J,MATCH($A59,Checks!$A:$A,0)),0))</x:f>
      </x:c>
      <x:c r="K59" s="10" t="str">
        <x:f t="shared" si="5"/>
      </x:c>
    </x:row>
    <x:row r="60" ht="66.25" customHeight="1">
      <x:c r="A60" s="10" t="e">
        <x:f>IFERROR(INDEX(Dependencies!$C$2:$C$5000,_xludf.AGGREGATE(15,6,(ROW(Dependencies!$A$2:$A$5000)-ROW(Dependencies!$A$2)+1)/(Dependencies!$A$2:$A$5000=$B$3),ROWS($A$20:A60))),"")</x:f>
      </x:c>
      <x:c r="B60" s="10" t="e">
        <x:f>IF($A60="","",IFERROR(INDEX(Blueprint_Data!$F:$F,MATCH($A60,Blueprint_Data!$A:$A,0)),""))</x:f>
      </x:c>
      <x:c r="C60" s="10" t="e">
        <x:f>IF($A60="","",IFERROR(INDEX(Blueprint_Data!$G:$G,MATCH($A60,Blueprint_Data!$A:$A,0)),""))</x:f>
      </x:c>
      <x:c r="D60" s="10" t="e">
        <x:f>IF($A60="","",IFERROR(INDEX(Blueprint_Data!$W:$W,MATCH($A60,Blueprint_Data!$A:$A,0)),""))</x:f>
      </x:c>
      <x:c r="E60" s="10" t="str">
        <x:f t="shared" si="3"/>
      </x:c>
      <x:c r="F60" s="10" t="str">
        <x:f t="shared" si="4"/>
        <x:v>Missing Dependency; Out-of-Seq; Missing OM Fields</x:v>
      </x:c>
      <x:c r="G60" s="10" t="e">
        <x:f>IF($A60="","",IFERROR(INDEX(Checks!$D:$D,MATCH($A60,Checks!$A:$A,0)),0))</x:f>
      </x:c>
      <x:c r="H60" s="10" t="e">
        <x:f>IF($A60="","",IFERROR(INDEX(Checks!$F:$F,MATCH($A60,Checks!$A:$A,0)),0))</x:f>
      </x:c>
      <x:c r="I60" s="10" t="e">
        <x:f>IF($A60="","",IFERROR(INDEX(Checks!$H:$H,MATCH($A60,Checks!$A:$A,0)),"NO"))</x:f>
      </x:c>
      <x:c r="J60" s="10" t="e">
        <x:f>IF($A60="","",IFERROR(INDEX(Checks!$J:$J,MATCH($A60,Checks!$A:$A,0)),0))</x:f>
      </x:c>
      <x:c r="K60" s="10" t="str">
        <x:f t="shared" si="5"/>
      </x:c>
    </x:row>
    <x:row r="61" ht="66.25" customHeight="1">
      <x:c r="A61" s="10" t="e">
        <x:f>IFERROR(INDEX(Dependencies!$C$2:$C$5000,_xludf.AGGREGATE(15,6,(ROW(Dependencies!$A$2:$A$5000)-ROW(Dependencies!$A$2)+1)/(Dependencies!$A$2:$A$5000=$B$3),ROWS($A$20:A61))),"")</x:f>
      </x:c>
      <x:c r="B61" s="10" t="e">
        <x:f>IF($A61="","",IFERROR(INDEX(Blueprint_Data!$F:$F,MATCH($A61,Blueprint_Data!$A:$A,0)),""))</x:f>
      </x:c>
      <x:c r="C61" s="10" t="e">
        <x:f>IF($A61="","",IFERROR(INDEX(Blueprint_Data!$G:$G,MATCH($A61,Blueprint_Data!$A:$A,0)),""))</x:f>
      </x:c>
      <x:c r="D61" s="10" t="e">
        <x:f>IF($A61="","",IFERROR(INDEX(Blueprint_Data!$W:$W,MATCH($A61,Blueprint_Data!$A:$A,0)),""))</x:f>
      </x:c>
      <x:c r="E61" s="10" t="str">
        <x:f t="shared" si="3"/>
      </x:c>
      <x:c r="F61" s="10" t="str">
        <x:f t="shared" si="4"/>
        <x:v>Missing Dependency; Out-of-Seq; Missing OM Fields</x:v>
      </x:c>
      <x:c r="G61" s="10" t="e">
        <x:f>IF($A61="","",IFERROR(INDEX(Checks!$D:$D,MATCH($A61,Checks!$A:$A,0)),0))</x:f>
      </x:c>
      <x:c r="H61" s="10" t="e">
        <x:f>IF($A61="","",IFERROR(INDEX(Checks!$F:$F,MATCH($A61,Checks!$A:$A,0)),0))</x:f>
      </x:c>
      <x:c r="I61" s="10" t="e">
        <x:f>IF($A61="","",IFERROR(INDEX(Checks!$H:$H,MATCH($A61,Checks!$A:$A,0)),"NO"))</x:f>
      </x:c>
      <x:c r="J61" s="10" t="e">
        <x:f>IF($A61="","",IFERROR(INDEX(Checks!$J:$J,MATCH($A61,Checks!$A:$A,0)),0))</x:f>
      </x:c>
      <x:c r="K61" s="10" t="str">
        <x:f t="shared" si="5"/>
      </x:c>
    </x:row>
    <x:row r="62" ht="66.25" customHeight="1">
      <x:c r="A62" s="10" t="e">
        <x:f>IFERROR(INDEX(Dependencies!$C$2:$C$5000,_xludf.AGGREGATE(15,6,(ROW(Dependencies!$A$2:$A$5000)-ROW(Dependencies!$A$2)+1)/(Dependencies!$A$2:$A$5000=$B$3),ROWS($A$20:A62))),"")</x:f>
      </x:c>
      <x:c r="B62" s="10" t="e">
        <x:f>IF($A62="","",IFERROR(INDEX(Blueprint_Data!$F:$F,MATCH($A62,Blueprint_Data!$A:$A,0)),""))</x:f>
      </x:c>
      <x:c r="C62" s="10" t="e">
        <x:f>IF($A62="","",IFERROR(INDEX(Blueprint_Data!$G:$G,MATCH($A62,Blueprint_Data!$A:$A,0)),""))</x:f>
      </x:c>
      <x:c r="D62" s="10" t="e">
        <x:f>IF($A62="","",IFERROR(INDEX(Blueprint_Data!$W:$W,MATCH($A62,Blueprint_Data!$A:$A,0)),""))</x:f>
      </x:c>
      <x:c r="E62" s="10" t="str">
        <x:f t="shared" si="3"/>
      </x:c>
      <x:c r="F62" s="10" t="str">
        <x:f t="shared" si="4"/>
        <x:v>Missing Dependency; Out-of-Seq; Missing OM Fields</x:v>
      </x:c>
      <x:c r="G62" s="10" t="e">
        <x:f>IF($A62="","",IFERROR(INDEX(Checks!$D:$D,MATCH($A62,Checks!$A:$A,0)),0))</x:f>
      </x:c>
      <x:c r="H62" s="10" t="e">
        <x:f>IF($A62="","",IFERROR(INDEX(Checks!$F:$F,MATCH($A62,Checks!$A:$A,0)),0))</x:f>
      </x:c>
      <x:c r="I62" s="10" t="e">
        <x:f>IF($A62="","",IFERROR(INDEX(Checks!$H:$H,MATCH($A62,Checks!$A:$A,0)),"NO"))</x:f>
      </x:c>
      <x:c r="J62" s="10" t="e">
        <x:f>IF($A62="","",IFERROR(INDEX(Checks!$J:$J,MATCH($A62,Checks!$A:$A,0)),0))</x:f>
      </x:c>
      <x:c r="K62" s="10" t="str">
        <x:f t="shared" si="5"/>
      </x:c>
    </x:row>
    <x:row r="63" ht="66.25" customHeight="1">
      <x:c r="A63" s="10" t="e">
        <x:f>IFERROR(INDEX(Dependencies!$C$2:$C$5000,_xludf.AGGREGATE(15,6,(ROW(Dependencies!$A$2:$A$5000)-ROW(Dependencies!$A$2)+1)/(Dependencies!$A$2:$A$5000=$B$3),ROWS($A$20:A63))),"")</x:f>
      </x:c>
      <x:c r="B63" s="10" t="e">
        <x:f>IF($A63="","",IFERROR(INDEX(Blueprint_Data!$F:$F,MATCH($A63,Blueprint_Data!$A:$A,0)),""))</x:f>
      </x:c>
      <x:c r="C63" s="10" t="e">
        <x:f>IF($A63="","",IFERROR(INDEX(Blueprint_Data!$G:$G,MATCH($A63,Blueprint_Data!$A:$A,0)),""))</x:f>
      </x:c>
      <x:c r="D63" s="10" t="e">
        <x:f>IF($A63="","",IFERROR(INDEX(Blueprint_Data!$W:$W,MATCH($A63,Blueprint_Data!$A:$A,0)),""))</x:f>
      </x:c>
      <x:c r="E63" s="10" t="str">
        <x:f t="shared" si="3"/>
      </x:c>
      <x:c r="F63" s="10" t="str">
        <x:f t="shared" si="4"/>
        <x:v>Missing Dependency; Out-of-Seq; Missing OM Fields</x:v>
      </x:c>
      <x:c r="G63" s="10" t="e">
        <x:f>IF($A63="","",IFERROR(INDEX(Checks!$D:$D,MATCH($A63,Checks!$A:$A,0)),0))</x:f>
      </x:c>
      <x:c r="H63" s="10" t="e">
        <x:f>IF($A63="","",IFERROR(INDEX(Checks!$F:$F,MATCH($A63,Checks!$A:$A,0)),0))</x:f>
      </x:c>
      <x:c r="I63" s="10" t="e">
        <x:f>IF($A63="","",IFERROR(INDEX(Checks!$H:$H,MATCH($A63,Checks!$A:$A,0)),"NO"))</x:f>
      </x:c>
      <x:c r="J63" s="10" t="e">
        <x:f>IF($A63="","",IFERROR(INDEX(Checks!$J:$J,MATCH($A63,Checks!$A:$A,0)),0))</x:f>
      </x:c>
      <x:c r="K63" s="10" t="str">
        <x:f t="shared" si="5"/>
      </x:c>
    </x:row>
    <x:row r="64" ht="66.25" customHeight="1">
      <x:c r="A64" s="10" t="e">
        <x:f>IFERROR(INDEX(Dependencies!$C$2:$C$5000,_xludf.AGGREGATE(15,6,(ROW(Dependencies!$A$2:$A$5000)-ROW(Dependencies!$A$2)+1)/(Dependencies!$A$2:$A$5000=$B$3),ROWS($A$20:A64))),"")</x:f>
      </x:c>
      <x:c r="B64" s="10" t="e">
        <x:f>IF($A64="","",IFERROR(INDEX(Blueprint_Data!$F:$F,MATCH($A64,Blueprint_Data!$A:$A,0)),""))</x:f>
      </x:c>
      <x:c r="C64" s="10" t="e">
        <x:f>IF($A64="","",IFERROR(INDEX(Blueprint_Data!$G:$G,MATCH($A64,Blueprint_Data!$A:$A,0)),""))</x:f>
      </x:c>
      <x:c r="D64" s="10" t="e">
        <x:f>IF($A64="","",IFERROR(INDEX(Blueprint_Data!$W:$W,MATCH($A64,Blueprint_Data!$A:$A,0)),""))</x:f>
      </x:c>
      <x:c r="E64" s="10" t="str">
        <x:f t="shared" si="3"/>
      </x:c>
      <x:c r="F64" s="10" t="str">
        <x:f t="shared" si="4"/>
        <x:v>Missing Dependency; Out-of-Seq; Missing OM Fields</x:v>
      </x:c>
      <x:c r="G64" s="10" t="e">
        <x:f>IF($A64="","",IFERROR(INDEX(Checks!$D:$D,MATCH($A64,Checks!$A:$A,0)),0))</x:f>
      </x:c>
      <x:c r="H64" s="10" t="e">
        <x:f>IF($A64="","",IFERROR(INDEX(Checks!$F:$F,MATCH($A64,Checks!$A:$A,0)),0))</x:f>
      </x:c>
      <x:c r="I64" s="10" t="e">
        <x:f>IF($A64="","",IFERROR(INDEX(Checks!$H:$H,MATCH($A64,Checks!$A:$A,0)),"NO"))</x:f>
      </x:c>
      <x:c r="J64" s="10" t="e">
        <x:f>IF($A64="","",IFERROR(INDEX(Checks!$J:$J,MATCH($A64,Checks!$A:$A,0)),0))</x:f>
      </x:c>
      <x:c r="K64" s="10" t="str">
        <x:f t="shared" si="5"/>
      </x:c>
    </x:row>
    <x:row r="65" ht="66.25" customHeight="1">
      <x:c r="A65" s="10" t="e">
        <x:f>IFERROR(INDEX(Dependencies!$C$2:$C$5000,_xludf.AGGREGATE(15,6,(ROW(Dependencies!$A$2:$A$5000)-ROW(Dependencies!$A$2)+1)/(Dependencies!$A$2:$A$5000=$B$3),ROWS($A$20:A65))),"")</x:f>
      </x:c>
      <x:c r="B65" s="10" t="e">
        <x:f>IF($A65="","",IFERROR(INDEX(Blueprint_Data!$F:$F,MATCH($A65,Blueprint_Data!$A:$A,0)),""))</x:f>
      </x:c>
      <x:c r="C65" s="10" t="e">
        <x:f>IF($A65="","",IFERROR(INDEX(Blueprint_Data!$G:$G,MATCH($A65,Blueprint_Data!$A:$A,0)),""))</x:f>
      </x:c>
      <x:c r="D65" s="10" t="e">
        <x:f>IF($A65="","",IFERROR(INDEX(Blueprint_Data!$W:$W,MATCH($A65,Blueprint_Data!$A:$A,0)),""))</x:f>
      </x:c>
      <x:c r="E65" s="10" t="str">
        <x:f t="shared" si="3"/>
      </x:c>
      <x:c r="F65" s="10" t="str">
        <x:f t="shared" si="4"/>
        <x:v>Missing Dependency; Out-of-Seq; Missing OM Fields</x:v>
      </x:c>
      <x:c r="G65" s="10" t="e">
        <x:f>IF($A65="","",IFERROR(INDEX(Checks!$D:$D,MATCH($A65,Checks!$A:$A,0)),0))</x:f>
      </x:c>
      <x:c r="H65" s="10" t="e">
        <x:f>IF($A65="","",IFERROR(INDEX(Checks!$F:$F,MATCH($A65,Checks!$A:$A,0)),0))</x:f>
      </x:c>
      <x:c r="I65" s="10" t="e">
        <x:f>IF($A65="","",IFERROR(INDEX(Checks!$H:$H,MATCH($A65,Checks!$A:$A,0)),"NO"))</x:f>
      </x:c>
      <x:c r="J65" s="10" t="e">
        <x:f>IF($A65="","",IFERROR(INDEX(Checks!$J:$J,MATCH($A65,Checks!$A:$A,0)),0))</x:f>
      </x:c>
      <x:c r="K65" s="10" t="str">
        <x:f t="shared" si="5"/>
      </x:c>
    </x:row>
    <x:row r="66" ht="66.25" customHeight="1">
      <x:c r="A66" s="10" t="e">
        <x:f>IFERROR(INDEX(Dependencies!$C$2:$C$5000,_xludf.AGGREGATE(15,6,(ROW(Dependencies!$A$2:$A$5000)-ROW(Dependencies!$A$2)+1)/(Dependencies!$A$2:$A$5000=$B$3),ROWS($A$20:A66))),"")</x:f>
      </x:c>
      <x:c r="B66" s="10" t="e">
        <x:f>IF($A66="","",IFERROR(INDEX(Blueprint_Data!$F:$F,MATCH($A66,Blueprint_Data!$A:$A,0)),""))</x:f>
      </x:c>
      <x:c r="C66" s="10" t="e">
        <x:f>IF($A66="","",IFERROR(INDEX(Blueprint_Data!$G:$G,MATCH($A66,Blueprint_Data!$A:$A,0)),""))</x:f>
      </x:c>
      <x:c r="D66" s="10" t="e">
        <x:f>IF($A66="","",IFERROR(INDEX(Blueprint_Data!$W:$W,MATCH($A66,Blueprint_Data!$A:$A,0)),""))</x:f>
      </x:c>
      <x:c r="E66" s="10" t="str">
        <x:f t="shared" si="3"/>
      </x:c>
      <x:c r="F66" s="10" t="str">
        <x:f t="shared" si="4"/>
        <x:v>Missing Dependency; Out-of-Seq; Missing OM Fields</x:v>
      </x:c>
      <x:c r="G66" s="10" t="e">
        <x:f>IF($A66="","",IFERROR(INDEX(Checks!$D:$D,MATCH($A66,Checks!$A:$A,0)),0))</x:f>
      </x:c>
      <x:c r="H66" s="10" t="e">
        <x:f>IF($A66="","",IFERROR(INDEX(Checks!$F:$F,MATCH($A66,Checks!$A:$A,0)),0))</x:f>
      </x:c>
      <x:c r="I66" s="10" t="e">
        <x:f>IF($A66="","",IFERROR(INDEX(Checks!$H:$H,MATCH($A66,Checks!$A:$A,0)),"NO"))</x:f>
      </x:c>
      <x:c r="J66" s="10" t="e">
        <x:f>IF($A66="","",IFERROR(INDEX(Checks!$J:$J,MATCH($A66,Checks!$A:$A,0)),0))</x:f>
      </x:c>
      <x:c r="K66" s="10" t="str">
        <x:f t="shared" si="5"/>
      </x:c>
    </x:row>
    <x:row r="67" ht="66.25" customHeight="1">
      <x:c r="A67" s="10" t="e">
        <x:f>IFERROR(INDEX(Dependencies!$C$2:$C$5000,_xludf.AGGREGATE(15,6,(ROW(Dependencies!$A$2:$A$5000)-ROW(Dependencies!$A$2)+1)/(Dependencies!$A$2:$A$5000=$B$3),ROWS($A$20:A67))),"")</x:f>
      </x:c>
      <x:c r="B67" s="10" t="e">
        <x:f>IF($A67="","",IFERROR(INDEX(Blueprint_Data!$F:$F,MATCH($A67,Blueprint_Data!$A:$A,0)),""))</x:f>
      </x:c>
      <x:c r="C67" s="10" t="e">
        <x:f>IF($A67="","",IFERROR(INDEX(Blueprint_Data!$G:$G,MATCH($A67,Blueprint_Data!$A:$A,0)),""))</x:f>
      </x:c>
      <x:c r="D67" s="10" t="e">
        <x:f>IF($A67="","",IFERROR(INDEX(Blueprint_Data!$W:$W,MATCH($A67,Blueprint_Data!$A:$A,0)),""))</x:f>
      </x:c>
      <x:c r="E67" s="10" t="str">
        <x:f t="shared" si="3"/>
      </x:c>
      <x:c r="F67" s="10" t="str">
        <x:f t="shared" si="4"/>
        <x:v>Missing Dependency; Out-of-Seq; Missing OM Fields</x:v>
      </x:c>
      <x:c r="G67" s="10" t="e">
        <x:f>IF($A67="","",IFERROR(INDEX(Checks!$D:$D,MATCH($A67,Checks!$A:$A,0)),0))</x:f>
      </x:c>
      <x:c r="H67" s="10" t="e">
        <x:f>IF($A67="","",IFERROR(INDEX(Checks!$F:$F,MATCH($A67,Checks!$A:$A,0)),0))</x:f>
      </x:c>
      <x:c r="I67" s="10" t="e">
        <x:f>IF($A67="","",IFERROR(INDEX(Checks!$H:$H,MATCH($A67,Checks!$A:$A,0)),"NO"))</x:f>
      </x:c>
      <x:c r="J67" s="10" t="e">
        <x:f>IF($A67="","",IFERROR(INDEX(Checks!$J:$J,MATCH($A67,Checks!$A:$A,0)),0))</x:f>
      </x:c>
      <x:c r="K67" s="10" t="str">
        <x:f t="shared" si="5"/>
      </x:c>
    </x:row>
    <x:row r="68" ht="66.25" customHeight="1">
      <x:c r="A68" s="10" t="e">
        <x:f>IFERROR(INDEX(Dependencies!$C$2:$C$5000,_xludf.AGGREGATE(15,6,(ROW(Dependencies!$A$2:$A$5000)-ROW(Dependencies!$A$2)+1)/(Dependencies!$A$2:$A$5000=$B$3),ROWS($A$20:A68))),"")</x:f>
      </x:c>
      <x:c r="B68" s="10" t="e">
        <x:f>IF($A68="","",IFERROR(INDEX(Blueprint_Data!$F:$F,MATCH($A68,Blueprint_Data!$A:$A,0)),""))</x:f>
      </x:c>
      <x:c r="C68" s="10" t="e">
        <x:f>IF($A68="","",IFERROR(INDEX(Blueprint_Data!$G:$G,MATCH($A68,Blueprint_Data!$A:$A,0)),""))</x:f>
      </x:c>
      <x:c r="D68" s="10" t="e">
        <x:f>IF($A68="","",IFERROR(INDEX(Blueprint_Data!$W:$W,MATCH($A68,Blueprint_Data!$A:$A,0)),""))</x:f>
      </x:c>
      <x:c r="E68" s="10" t="str">
        <x:f t="shared" si="3"/>
      </x:c>
      <x:c r="F68" s="10" t="str">
        <x:f t="shared" si="4"/>
        <x:v>Missing Dependency; Out-of-Seq; Missing OM Fields</x:v>
      </x:c>
      <x:c r="G68" s="10" t="e">
        <x:f>IF($A68="","",IFERROR(INDEX(Checks!$D:$D,MATCH($A68,Checks!$A:$A,0)),0))</x:f>
      </x:c>
      <x:c r="H68" s="10" t="e">
        <x:f>IF($A68="","",IFERROR(INDEX(Checks!$F:$F,MATCH($A68,Checks!$A:$A,0)),0))</x:f>
      </x:c>
      <x:c r="I68" s="10" t="e">
        <x:f>IF($A68="","",IFERROR(INDEX(Checks!$H:$H,MATCH($A68,Checks!$A:$A,0)),"NO"))</x:f>
      </x:c>
      <x:c r="J68" s="10" t="e">
        <x:f>IF($A68="","",IFERROR(INDEX(Checks!$J:$J,MATCH($A68,Checks!$A:$A,0)),0))</x:f>
      </x:c>
      <x:c r="K68" s="10" t="str">
        <x:f t="shared" si="5"/>
      </x:c>
    </x:row>
    <x:row r="69" ht="66.25" customHeight="1">
      <x:c r="A69" s="10" t="e">
        <x:f>IFERROR(INDEX(Dependencies!$C$2:$C$5000,_xludf.AGGREGATE(15,6,(ROW(Dependencies!$A$2:$A$5000)-ROW(Dependencies!$A$2)+1)/(Dependencies!$A$2:$A$5000=$B$3),ROWS($A$20:A69))),"")</x:f>
      </x:c>
      <x:c r="B69" s="10" t="e">
        <x:f>IF($A69="","",IFERROR(INDEX(Blueprint_Data!$F:$F,MATCH($A69,Blueprint_Data!$A:$A,0)),""))</x:f>
      </x:c>
      <x:c r="C69" s="10" t="e">
        <x:f>IF($A69="","",IFERROR(INDEX(Blueprint_Data!$G:$G,MATCH($A69,Blueprint_Data!$A:$A,0)),""))</x:f>
      </x:c>
      <x:c r="D69" s="10" t="e">
        <x:f>IF($A69="","",IFERROR(INDEX(Blueprint_Data!$W:$W,MATCH($A69,Blueprint_Data!$A:$A,0)),""))</x:f>
      </x:c>
      <x:c r="E69" s="10" t="str">
        <x:f t="shared" si="3"/>
      </x:c>
      <x:c r="F69" s="10" t="str">
        <x:f t="shared" si="4"/>
        <x:v>Missing Dependency; Out-of-Seq; Missing OM Fields</x:v>
      </x:c>
      <x:c r="G69" s="10" t="e">
        <x:f>IF($A69="","",IFERROR(INDEX(Checks!$D:$D,MATCH($A69,Checks!$A:$A,0)),0))</x:f>
      </x:c>
      <x:c r="H69" s="10" t="e">
        <x:f>IF($A69="","",IFERROR(INDEX(Checks!$F:$F,MATCH($A69,Checks!$A:$A,0)),0))</x:f>
      </x:c>
      <x:c r="I69" s="10" t="e">
        <x:f>IF($A69="","",IFERROR(INDEX(Checks!$H:$H,MATCH($A69,Checks!$A:$A,0)),"NO"))</x:f>
      </x:c>
      <x:c r="J69" s="10" t="e">
        <x:f>IF($A69="","",IFERROR(INDEX(Checks!$J:$J,MATCH($A69,Checks!$A:$A,0)),0))</x:f>
      </x:c>
      <x:c r="K69" s="10" t="str">
        <x:f t="shared" si="5"/>
      </x:c>
    </x:row>
    <x:row r="70" ht="66.25" customHeight="1">
      <x:c r="A70" s="10" t="e">
        <x:f>IFERROR(INDEX(Dependencies!$C$2:$C$5000,_xludf.AGGREGATE(15,6,(ROW(Dependencies!$A$2:$A$5000)-ROW(Dependencies!$A$2)+1)/(Dependencies!$A$2:$A$5000=$B$3),ROWS($A$20:A70))),"")</x:f>
      </x:c>
      <x:c r="B70" s="10" t="e">
        <x:f>IF($A70="","",IFERROR(INDEX(Blueprint_Data!$F:$F,MATCH($A70,Blueprint_Data!$A:$A,0)),""))</x:f>
      </x:c>
      <x:c r="C70" s="10" t="e">
        <x:f>IF($A70="","",IFERROR(INDEX(Blueprint_Data!$G:$G,MATCH($A70,Blueprint_Data!$A:$A,0)),""))</x:f>
      </x:c>
      <x:c r="D70" s="10" t="e">
        <x:f>IF($A70="","",IFERROR(INDEX(Blueprint_Data!$W:$W,MATCH($A70,Blueprint_Data!$A:$A,0)),""))</x:f>
      </x:c>
      <x:c r="E70" s="10" t="str">
        <x:f t="shared" si="3"/>
      </x:c>
      <x:c r="F70" s="10" t="str">
        <x:f t="shared" si="4"/>
        <x:v>Missing Dependency; Out-of-Seq; Missing OM Fields</x:v>
      </x:c>
      <x:c r="G70" s="10" t="e">
        <x:f>IF($A70="","",IFERROR(INDEX(Checks!$D:$D,MATCH($A70,Checks!$A:$A,0)),0))</x:f>
      </x:c>
      <x:c r="H70" s="10" t="e">
        <x:f>IF($A70="","",IFERROR(INDEX(Checks!$F:$F,MATCH($A70,Checks!$A:$A,0)),0))</x:f>
      </x:c>
      <x:c r="I70" s="10" t="e">
        <x:f>IF($A70="","",IFERROR(INDEX(Checks!$H:$H,MATCH($A70,Checks!$A:$A,0)),"NO"))</x:f>
      </x:c>
      <x:c r="J70" s="10" t="e">
        <x:f>IF($A70="","",IFERROR(INDEX(Checks!$J:$J,MATCH($A70,Checks!$A:$A,0)),0))</x:f>
      </x:c>
      <x:c r="K70" s="10" t="str">
        <x:f t="shared" si="5"/>
      </x:c>
    </x:row>
    <x:row r="71" ht="66.25" customHeight="1">
      <x:c r="A71" s="10" t="e">
        <x:f>IFERROR(INDEX(Dependencies!$C$2:$C$5000,_xludf.AGGREGATE(15,6,(ROW(Dependencies!$A$2:$A$5000)-ROW(Dependencies!$A$2)+1)/(Dependencies!$A$2:$A$5000=$B$3),ROWS($A$20:A71))),"")</x:f>
      </x:c>
      <x:c r="B71" s="10" t="e">
        <x:f>IF($A71="","",IFERROR(INDEX(Blueprint_Data!$F:$F,MATCH($A71,Blueprint_Data!$A:$A,0)),""))</x:f>
      </x:c>
      <x:c r="C71" s="10" t="e">
        <x:f>IF($A71="","",IFERROR(INDEX(Blueprint_Data!$G:$G,MATCH($A71,Blueprint_Data!$A:$A,0)),""))</x:f>
      </x:c>
      <x:c r="D71" s="10" t="e">
        <x:f>IF($A71="","",IFERROR(INDEX(Blueprint_Data!$W:$W,MATCH($A71,Blueprint_Data!$A:$A,0)),""))</x:f>
      </x:c>
      <x:c r="E71" s="10" t="str">
        <x:f t="shared" si="3"/>
      </x:c>
      <x:c r="F71" s="10" t="str">
        <x:f t="shared" si="4"/>
        <x:v>Missing Dependency; Out-of-Seq; Missing OM Fields</x:v>
      </x:c>
      <x:c r="G71" s="10" t="e">
        <x:f>IF($A71="","",IFERROR(INDEX(Checks!$D:$D,MATCH($A71,Checks!$A:$A,0)),0))</x:f>
      </x:c>
      <x:c r="H71" s="10" t="e">
        <x:f>IF($A71="","",IFERROR(INDEX(Checks!$F:$F,MATCH($A71,Checks!$A:$A,0)),0))</x:f>
      </x:c>
      <x:c r="I71" s="10" t="e">
        <x:f>IF($A71="","",IFERROR(INDEX(Checks!$H:$H,MATCH($A71,Checks!$A:$A,0)),"NO"))</x:f>
      </x:c>
      <x:c r="J71" s="10" t="e">
        <x:f>IF($A71="","",IFERROR(INDEX(Checks!$J:$J,MATCH($A71,Checks!$A:$A,0)),0))</x:f>
      </x:c>
      <x:c r="K71" s="10" t="str">
        <x:f t="shared" si="5"/>
      </x:c>
    </x:row>
    <x:row r="72" ht="66.25" customHeight="1">
      <x:c r="A72" s="10" t="e">
        <x:f>IFERROR(INDEX(Dependencies!$C$2:$C$5000,_xludf.AGGREGATE(15,6,(ROW(Dependencies!$A$2:$A$5000)-ROW(Dependencies!$A$2)+1)/(Dependencies!$A$2:$A$5000=$B$3),ROWS($A$20:A72))),"")</x:f>
      </x:c>
      <x:c r="B72" s="10" t="e">
        <x:f>IF($A72="","",IFERROR(INDEX(Blueprint_Data!$F:$F,MATCH($A72,Blueprint_Data!$A:$A,0)),""))</x:f>
      </x:c>
      <x:c r="C72" s="10" t="e">
        <x:f>IF($A72="","",IFERROR(INDEX(Blueprint_Data!$G:$G,MATCH($A72,Blueprint_Data!$A:$A,0)),""))</x:f>
      </x:c>
      <x:c r="D72" s="10" t="e">
        <x:f>IF($A72="","",IFERROR(INDEX(Blueprint_Data!$W:$W,MATCH($A72,Blueprint_Data!$A:$A,0)),""))</x:f>
      </x:c>
      <x:c r="E72" s="10" t="str">
        <x:f t="shared" si="3"/>
      </x:c>
      <x:c r="F72" s="10" t="str">
        <x:f t="shared" si="4"/>
        <x:v>Missing Dependency; Out-of-Seq; Missing OM Fields</x:v>
      </x:c>
      <x:c r="G72" s="10" t="e">
        <x:f>IF($A72="","",IFERROR(INDEX(Checks!$D:$D,MATCH($A72,Checks!$A:$A,0)),0))</x:f>
      </x:c>
      <x:c r="H72" s="10" t="e">
        <x:f>IF($A72="","",IFERROR(INDEX(Checks!$F:$F,MATCH($A72,Checks!$A:$A,0)),0))</x:f>
      </x:c>
      <x:c r="I72" s="10" t="e">
        <x:f>IF($A72="","",IFERROR(INDEX(Checks!$H:$H,MATCH($A72,Checks!$A:$A,0)),"NO"))</x:f>
      </x:c>
      <x:c r="J72" s="10" t="e">
        <x:f>IF($A72="","",IFERROR(INDEX(Checks!$J:$J,MATCH($A72,Checks!$A:$A,0)),0))</x:f>
      </x:c>
      <x:c r="K72" s="10" t="str">
        <x:f t="shared" si="5"/>
      </x:c>
    </x:row>
    <x:row r="73" ht="66.25" customHeight="1">
      <x:c r="A73" s="10" t="e">
        <x:f>IFERROR(INDEX(Dependencies!$C$2:$C$5000,_xludf.AGGREGATE(15,6,(ROW(Dependencies!$A$2:$A$5000)-ROW(Dependencies!$A$2)+1)/(Dependencies!$A$2:$A$5000=$B$3),ROWS($A$20:A73))),"")</x:f>
      </x:c>
      <x:c r="B73" s="10" t="e">
        <x:f>IF($A73="","",IFERROR(INDEX(Blueprint_Data!$F:$F,MATCH($A73,Blueprint_Data!$A:$A,0)),""))</x:f>
      </x:c>
      <x:c r="C73" s="10" t="e">
        <x:f>IF($A73="","",IFERROR(INDEX(Blueprint_Data!$G:$G,MATCH($A73,Blueprint_Data!$A:$A,0)),""))</x:f>
      </x:c>
      <x:c r="D73" s="10" t="e">
        <x:f>IF($A73="","",IFERROR(INDEX(Blueprint_Data!$W:$W,MATCH($A73,Blueprint_Data!$A:$A,0)),""))</x:f>
      </x:c>
      <x:c r="E73" s="10" t="str">
        <x:f t="shared" si="3"/>
      </x:c>
      <x:c r="F73" s="10" t="str">
        <x:f t="shared" si="4"/>
        <x:v>Missing Dependency; Out-of-Seq; Missing OM Fields</x:v>
      </x:c>
      <x:c r="G73" s="10" t="e">
        <x:f>IF($A73="","",IFERROR(INDEX(Checks!$D:$D,MATCH($A73,Checks!$A:$A,0)),0))</x:f>
      </x:c>
      <x:c r="H73" s="10" t="e">
        <x:f>IF($A73="","",IFERROR(INDEX(Checks!$F:$F,MATCH($A73,Checks!$A:$A,0)),0))</x:f>
      </x:c>
      <x:c r="I73" s="10" t="e">
        <x:f>IF($A73="","",IFERROR(INDEX(Checks!$H:$H,MATCH($A73,Checks!$A:$A,0)),"NO"))</x:f>
      </x:c>
      <x:c r="J73" s="10" t="e">
        <x:f>IF($A73="","",IFERROR(INDEX(Checks!$J:$J,MATCH($A73,Checks!$A:$A,0)),0))</x:f>
      </x:c>
      <x:c r="K73" s="10" t="str">
        <x:f t="shared" si="5"/>
      </x:c>
    </x:row>
    <x:row r="74" ht="66.25" customHeight="1">
      <x:c r="A74" s="10" t="e">
        <x:f>IFERROR(INDEX(Dependencies!$C$2:$C$5000,_xludf.AGGREGATE(15,6,(ROW(Dependencies!$A$2:$A$5000)-ROW(Dependencies!$A$2)+1)/(Dependencies!$A$2:$A$5000=$B$3),ROWS($A$20:A74))),"")</x:f>
      </x:c>
      <x:c r="B74" s="10" t="e">
        <x:f>IF($A74="","",IFERROR(INDEX(Blueprint_Data!$F:$F,MATCH($A74,Blueprint_Data!$A:$A,0)),""))</x:f>
      </x:c>
      <x:c r="C74" s="10" t="e">
        <x:f>IF($A74="","",IFERROR(INDEX(Blueprint_Data!$G:$G,MATCH($A74,Blueprint_Data!$A:$A,0)),""))</x:f>
      </x:c>
      <x:c r="D74" s="10" t="e">
        <x:f>IF($A74="","",IFERROR(INDEX(Blueprint_Data!$W:$W,MATCH($A74,Blueprint_Data!$A:$A,0)),""))</x:f>
      </x:c>
      <x:c r="E74" s="10" t="str">
        <x:f t="shared" si="3"/>
      </x:c>
      <x:c r="F74" s="10" t="str">
        <x:f t="shared" si="4"/>
        <x:v>Missing Dependency; Out-of-Seq; Missing OM Fields</x:v>
      </x:c>
      <x:c r="G74" s="10" t="e">
        <x:f>IF($A74="","",IFERROR(INDEX(Checks!$D:$D,MATCH($A74,Checks!$A:$A,0)),0))</x:f>
      </x:c>
      <x:c r="H74" s="10" t="e">
        <x:f>IF($A74="","",IFERROR(INDEX(Checks!$F:$F,MATCH($A74,Checks!$A:$A,0)),0))</x:f>
      </x:c>
      <x:c r="I74" s="10" t="e">
        <x:f>IF($A74="","",IFERROR(INDEX(Checks!$H:$H,MATCH($A74,Checks!$A:$A,0)),"NO"))</x:f>
      </x:c>
      <x:c r="J74" s="10" t="e">
        <x:f>IF($A74="","",IFERROR(INDEX(Checks!$J:$J,MATCH($A74,Checks!$A:$A,0)),0))</x:f>
      </x:c>
      <x:c r="K74" s="10" t="str">
        <x:f t="shared" si="5"/>
      </x:c>
    </x:row>
    <x:row r="75" ht="66.25" customHeight="1">
      <x:c r="A75" s="10" t="e">
        <x:f>IFERROR(INDEX(Dependencies!$C$2:$C$5000,_xludf.AGGREGATE(15,6,(ROW(Dependencies!$A$2:$A$5000)-ROW(Dependencies!$A$2)+1)/(Dependencies!$A$2:$A$5000=$B$3),ROWS($A$20:A75))),"")</x:f>
      </x:c>
      <x:c r="B75" s="10" t="e">
        <x:f>IF($A75="","",IFERROR(INDEX(Blueprint_Data!$F:$F,MATCH($A75,Blueprint_Data!$A:$A,0)),""))</x:f>
      </x:c>
      <x:c r="C75" s="10" t="e">
        <x:f>IF($A75="","",IFERROR(INDEX(Blueprint_Data!$G:$G,MATCH($A75,Blueprint_Data!$A:$A,0)),""))</x:f>
      </x:c>
      <x:c r="D75" s="10" t="e">
        <x:f>IF($A75="","",IFERROR(INDEX(Blueprint_Data!$W:$W,MATCH($A75,Blueprint_Data!$A:$A,0)),""))</x:f>
      </x:c>
      <x:c r="E75" s="10" t="str">
        <x:f t="shared" si="3"/>
      </x:c>
      <x:c r="F75" s="10" t="str">
        <x:f t="shared" si="4"/>
        <x:v>Missing Dependency; Out-of-Seq; Missing OM Fields</x:v>
      </x:c>
      <x:c r="G75" s="10" t="e">
        <x:f>IF($A75="","",IFERROR(INDEX(Checks!$D:$D,MATCH($A75,Checks!$A:$A,0)),0))</x:f>
      </x:c>
      <x:c r="H75" s="10" t="e">
        <x:f>IF($A75="","",IFERROR(INDEX(Checks!$F:$F,MATCH($A75,Checks!$A:$A,0)),0))</x:f>
      </x:c>
      <x:c r="I75" s="10" t="e">
        <x:f>IF($A75="","",IFERROR(INDEX(Checks!$H:$H,MATCH($A75,Checks!$A:$A,0)),"NO"))</x:f>
      </x:c>
      <x:c r="J75" s="10" t="e">
        <x:f>IF($A75="","",IFERROR(INDEX(Checks!$J:$J,MATCH($A75,Checks!$A:$A,0)),0))</x:f>
      </x:c>
      <x:c r="K75" s="10" t="str">
        <x:f t="shared" si="5"/>
      </x:c>
    </x:row>
    <x:row r="76" ht="66.25" customHeight="1">
      <x:c r="A76" s="10" t="e">
        <x:f>IFERROR(INDEX(Dependencies!$C$2:$C$5000,_xludf.AGGREGATE(15,6,(ROW(Dependencies!$A$2:$A$5000)-ROW(Dependencies!$A$2)+1)/(Dependencies!$A$2:$A$5000=$B$3),ROWS($A$20:A76))),"")</x:f>
      </x:c>
      <x:c r="B76" s="10" t="e">
        <x:f>IF($A76="","",IFERROR(INDEX(Blueprint_Data!$F:$F,MATCH($A76,Blueprint_Data!$A:$A,0)),""))</x:f>
      </x:c>
      <x:c r="C76" s="10" t="e">
        <x:f>IF($A76="","",IFERROR(INDEX(Blueprint_Data!$G:$G,MATCH($A76,Blueprint_Data!$A:$A,0)),""))</x:f>
      </x:c>
      <x:c r="D76" s="10" t="e">
        <x:f>IF($A76="","",IFERROR(INDEX(Blueprint_Data!$W:$W,MATCH($A76,Blueprint_Data!$A:$A,0)),""))</x:f>
      </x:c>
      <x:c r="E76" s="10" t="str">
        <x:f t="shared" si="3"/>
      </x:c>
      <x:c r="F76" s="10" t="str">
        <x:f t="shared" si="4"/>
        <x:v>Missing Dependency; Out-of-Seq; Missing OM Fields</x:v>
      </x:c>
      <x:c r="G76" s="10" t="e">
        <x:f>IF($A76="","",IFERROR(INDEX(Checks!$D:$D,MATCH($A76,Checks!$A:$A,0)),0))</x:f>
      </x:c>
      <x:c r="H76" s="10" t="e">
        <x:f>IF($A76="","",IFERROR(INDEX(Checks!$F:$F,MATCH($A76,Checks!$A:$A,0)),0))</x:f>
      </x:c>
      <x:c r="I76" s="10" t="e">
        <x:f>IF($A76="","",IFERROR(INDEX(Checks!$H:$H,MATCH($A76,Checks!$A:$A,0)),"NO"))</x:f>
      </x:c>
      <x:c r="J76" s="10" t="e">
        <x:f>IF($A76="","",IFERROR(INDEX(Checks!$J:$J,MATCH($A76,Checks!$A:$A,0)),0))</x:f>
      </x:c>
      <x:c r="K76" s="10" t="str">
        <x:f t="shared" si="5"/>
      </x:c>
    </x:row>
    <x:row r="77" ht="66.25" customHeight="1">
      <x:c r="A77" s="10" t="e">
        <x:f>IFERROR(INDEX(Dependencies!$C$2:$C$5000,_xludf.AGGREGATE(15,6,(ROW(Dependencies!$A$2:$A$5000)-ROW(Dependencies!$A$2)+1)/(Dependencies!$A$2:$A$5000=$B$3),ROWS($A$20:A77))),"")</x:f>
      </x:c>
      <x:c r="B77" s="10" t="e">
        <x:f>IF($A77="","",IFERROR(INDEX(Blueprint_Data!$F:$F,MATCH($A77,Blueprint_Data!$A:$A,0)),""))</x:f>
      </x:c>
      <x:c r="C77" s="10" t="e">
        <x:f>IF($A77="","",IFERROR(INDEX(Blueprint_Data!$G:$G,MATCH($A77,Blueprint_Data!$A:$A,0)),""))</x:f>
      </x:c>
      <x:c r="D77" s="10" t="e">
        <x:f>IF($A77="","",IFERROR(INDEX(Blueprint_Data!$W:$W,MATCH($A77,Blueprint_Data!$A:$A,0)),""))</x:f>
      </x:c>
      <x:c r="E77" s="10" t="str">
        <x:f t="shared" si="3"/>
      </x:c>
      <x:c r="F77" s="10" t="str">
        <x:f t="shared" si="4"/>
        <x:v>Missing Dependency; Out-of-Seq; Missing OM Fields</x:v>
      </x:c>
      <x:c r="G77" s="10" t="e">
        <x:f>IF($A77="","",IFERROR(INDEX(Checks!$D:$D,MATCH($A77,Checks!$A:$A,0)),0))</x:f>
      </x:c>
      <x:c r="H77" s="10" t="e">
        <x:f>IF($A77="","",IFERROR(INDEX(Checks!$F:$F,MATCH($A77,Checks!$A:$A,0)),0))</x:f>
      </x:c>
      <x:c r="I77" s="10" t="e">
        <x:f>IF($A77="","",IFERROR(INDEX(Checks!$H:$H,MATCH($A77,Checks!$A:$A,0)),"NO"))</x:f>
      </x:c>
      <x:c r="J77" s="10" t="e">
        <x:f>IF($A77="","",IFERROR(INDEX(Checks!$J:$J,MATCH($A77,Checks!$A:$A,0)),0))</x:f>
      </x:c>
      <x:c r="K77" s="10" t="str">
        <x:f t="shared" si="5"/>
      </x:c>
    </x:row>
    <x:row r="78" ht="66.25" customHeight="1">
      <x:c r="A78" s="10" t="e">
        <x:f>IFERROR(INDEX(Dependencies!$C$2:$C$5000,_xludf.AGGREGATE(15,6,(ROW(Dependencies!$A$2:$A$5000)-ROW(Dependencies!$A$2)+1)/(Dependencies!$A$2:$A$5000=$B$3),ROWS($A$20:A78))),"")</x:f>
      </x:c>
      <x:c r="B78" s="10" t="e">
        <x:f>IF($A78="","",IFERROR(INDEX(Blueprint_Data!$F:$F,MATCH($A78,Blueprint_Data!$A:$A,0)),""))</x:f>
      </x:c>
      <x:c r="C78" s="10" t="e">
        <x:f>IF($A78="","",IFERROR(INDEX(Blueprint_Data!$G:$G,MATCH($A78,Blueprint_Data!$A:$A,0)),""))</x:f>
      </x:c>
      <x:c r="D78" s="10" t="e">
        <x:f>IF($A78="","",IFERROR(INDEX(Blueprint_Data!$W:$W,MATCH($A78,Blueprint_Data!$A:$A,0)),""))</x:f>
      </x:c>
      <x:c r="E78" s="10" t="str">
        <x:f t="shared" si="3"/>
      </x:c>
      <x:c r="F78" s="10" t="str">
        <x:f t="shared" si="4"/>
        <x:v>Missing Dependency; Out-of-Seq; Missing OM Fields</x:v>
      </x:c>
      <x:c r="G78" s="10" t="e">
        <x:f>IF($A78="","",IFERROR(INDEX(Checks!$D:$D,MATCH($A78,Checks!$A:$A,0)),0))</x:f>
      </x:c>
      <x:c r="H78" s="10" t="e">
        <x:f>IF($A78="","",IFERROR(INDEX(Checks!$F:$F,MATCH($A78,Checks!$A:$A,0)),0))</x:f>
      </x:c>
      <x:c r="I78" s="10" t="e">
        <x:f>IF($A78="","",IFERROR(INDEX(Checks!$H:$H,MATCH($A78,Checks!$A:$A,0)),"NO"))</x:f>
      </x:c>
      <x:c r="J78" s="10" t="e">
        <x:f>IF($A78="","",IFERROR(INDEX(Checks!$J:$J,MATCH($A78,Checks!$A:$A,0)),0))</x:f>
      </x:c>
      <x:c r="K78" s="10" t="str">
        <x:f t="shared" si="5"/>
      </x:c>
    </x:row>
    <x:row r="79" ht="66.25" customHeight="1">
      <x:c r="A79" s="10" t="e">
        <x:f>IFERROR(INDEX(Dependencies!$C$2:$C$5000,_xludf.AGGREGATE(15,6,(ROW(Dependencies!$A$2:$A$5000)-ROW(Dependencies!$A$2)+1)/(Dependencies!$A$2:$A$5000=$B$3),ROWS($A$20:A79))),"")</x:f>
      </x:c>
      <x:c r="B79" s="10" t="e">
        <x:f>IF($A79="","",IFERROR(INDEX(Blueprint_Data!$F:$F,MATCH($A79,Blueprint_Data!$A:$A,0)),""))</x:f>
      </x:c>
      <x:c r="C79" s="10" t="e">
        <x:f>IF($A79="","",IFERROR(INDEX(Blueprint_Data!$G:$G,MATCH($A79,Blueprint_Data!$A:$A,0)),""))</x:f>
      </x:c>
      <x:c r="D79" s="10" t="e">
        <x:f>IF($A79="","",IFERROR(INDEX(Blueprint_Data!$W:$W,MATCH($A79,Blueprint_Data!$A:$A,0)),""))</x:f>
      </x:c>
      <x:c r="E79" s="10" t="str">
        <x:f t="shared" si="3"/>
      </x:c>
      <x:c r="F79" s="10" t="str">
        <x:f t="shared" si="4"/>
        <x:v>Missing Dependency; Out-of-Seq; Missing OM Fields</x:v>
      </x:c>
      <x:c r="G79" s="10" t="e">
        <x:f>IF($A79="","",IFERROR(INDEX(Checks!$D:$D,MATCH($A79,Checks!$A:$A,0)),0))</x:f>
      </x:c>
      <x:c r="H79" s="10" t="e">
        <x:f>IF($A79="","",IFERROR(INDEX(Checks!$F:$F,MATCH($A79,Checks!$A:$A,0)),0))</x:f>
      </x:c>
      <x:c r="I79" s="10" t="e">
        <x:f>IF($A79="","",IFERROR(INDEX(Checks!$H:$H,MATCH($A79,Checks!$A:$A,0)),"NO"))</x:f>
      </x:c>
      <x:c r="J79" s="10" t="e">
        <x:f>IF($A79="","",IFERROR(INDEX(Checks!$J:$J,MATCH($A79,Checks!$A:$A,0)),0))</x:f>
      </x:c>
      <x:c r="K79" s="10" t="str">
        <x:f t="shared" si="5"/>
      </x:c>
    </x:row>
    <x:row r="80" ht="66.25" customHeight="1">
      <x:c r="A80" s="10" t="e">
        <x:f>IFERROR(INDEX(Dependencies!$C$2:$C$5000,_xludf.AGGREGATE(15,6,(ROW(Dependencies!$A$2:$A$5000)-ROW(Dependencies!$A$2)+1)/(Dependencies!$A$2:$A$5000=$B$3),ROWS($A$20:A80))),"")</x:f>
      </x:c>
      <x:c r="B80" s="10" t="e">
        <x:f>IF($A80="","",IFERROR(INDEX(Blueprint_Data!$F:$F,MATCH($A80,Blueprint_Data!$A:$A,0)),""))</x:f>
      </x:c>
      <x:c r="C80" s="10" t="e">
        <x:f>IF($A80="","",IFERROR(INDEX(Blueprint_Data!$G:$G,MATCH($A80,Blueprint_Data!$A:$A,0)),""))</x:f>
      </x:c>
      <x:c r="D80" s="10" t="e">
        <x:f>IF($A80="","",IFERROR(INDEX(Blueprint_Data!$W:$W,MATCH($A80,Blueprint_Data!$A:$A,0)),""))</x:f>
      </x:c>
      <x:c r="E80" s="10" t="str">
        <x:f t="shared" si="3"/>
      </x:c>
      <x:c r="F80" s="10" t="str">
        <x:f t="shared" si="4"/>
        <x:v>Missing Dependency; Out-of-Seq; Missing OM Fields</x:v>
      </x:c>
      <x:c r="G80" s="10" t="e">
        <x:f>IF($A80="","",IFERROR(INDEX(Checks!$D:$D,MATCH($A80,Checks!$A:$A,0)),0))</x:f>
      </x:c>
      <x:c r="H80" s="10" t="e">
        <x:f>IF($A80="","",IFERROR(INDEX(Checks!$F:$F,MATCH($A80,Checks!$A:$A,0)),0))</x:f>
      </x:c>
      <x:c r="I80" s="10" t="e">
        <x:f>IF($A80="","",IFERROR(INDEX(Checks!$H:$H,MATCH($A80,Checks!$A:$A,0)),"NO"))</x:f>
      </x:c>
      <x:c r="J80" s="10" t="e">
        <x:f>IF($A80="","",IFERROR(INDEX(Checks!$J:$J,MATCH($A80,Checks!$A:$A,0)),0))</x:f>
      </x:c>
      <x:c r="K80" s="10" t="str">
        <x:f t="shared" si="5"/>
      </x:c>
    </x:row>
    <x:row r="81" ht="66.25" customHeight="1">
      <x:c r="A81" s="10" t="e">
        <x:f>IFERROR(INDEX(Dependencies!$C$2:$C$5000,_xludf.AGGREGATE(15,6,(ROW(Dependencies!$A$2:$A$5000)-ROW(Dependencies!$A$2)+1)/(Dependencies!$A$2:$A$5000=$B$3),ROWS($A$20:A81))),"")</x:f>
      </x:c>
      <x:c r="B81" s="10" t="e">
        <x:f>IF($A81="","",IFERROR(INDEX(Blueprint_Data!$F:$F,MATCH($A81,Blueprint_Data!$A:$A,0)),""))</x:f>
      </x:c>
      <x:c r="C81" s="10" t="e">
        <x:f>IF($A81="","",IFERROR(INDEX(Blueprint_Data!$G:$G,MATCH($A81,Blueprint_Data!$A:$A,0)),""))</x:f>
      </x:c>
      <x:c r="D81" s="10" t="e">
        <x:f>IF($A81="","",IFERROR(INDEX(Blueprint_Data!$W:$W,MATCH($A81,Blueprint_Data!$A:$A,0)),""))</x:f>
      </x:c>
      <x:c r="E81" s="10" t="str">
        <x:f t="shared" si="3"/>
      </x:c>
      <x:c r="F81" s="10" t="str">
        <x:f t="shared" si="4"/>
        <x:v>Missing Dependency; Out-of-Seq; Missing OM Fields</x:v>
      </x:c>
      <x:c r="G81" s="10" t="e">
        <x:f>IF($A81="","",IFERROR(INDEX(Checks!$D:$D,MATCH($A81,Checks!$A:$A,0)),0))</x:f>
      </x:c>
      <x:c r="H81" s="10" t="e">
        <x:f>IF($A81="","",IFERROR(INDEX(Checks!$F:$F,MATCH($A81,Checks!$A:$A,0)),0))</x:f>
      </x:c>
      <x:c r="I81" s="10" t="e">
        <x:f>IF($A81="","",IFERROR(INDEX(Checks!$H:$H,MATCH($A81,Checks!$A:$A,0)),"NO"))</x:f>
      </x:c>
      <x:c r="J81" s="10" t="e">
        <x:f>IF($A81="","",IFERROR(INDEX(Checks!$J:$J,MATCH($A81,Checks!$A:$A,0)),0))</x:f>
      </x:c>
      <x:c r="K81" s="10" t="str">
        <x:f t="shared" si="5"/>
      </x:c>
    </x:row>
    <x:row r="82" ht="66.25" customHeight="1">
      <x:c r="A82" s="10" t="e">
        <x:f>IFERROR(INDEX(Dependencies!$C$2:$C$5000,_xludf.AGGREGATE(15,6,(ROW(Dependencies!$A$2:$A$5000)-ROW(Dependencies!$A$2)+1)/(Dependencies!$A$2:$A$5000=$B$3),ROWS($A$20:A82))),"")</x:f>
      </x:c>
      <x:c r="B82" s="10" t="e">
        <x:f>IF($A82="","",IFERROR(INDEX(Blueprint_Data!$F:$F,MATCH($A82,Blueprint_Data!$A:$A,0)),""))</x:f>
      </x:c>
      <x:c r="C82" s="10" t="e">
        <x:f>IF($A82="","",IFERROR(INDEX(Blueprint_Data!$G:$G,MATCH($A82,Blueprint_Data!$A:$A,0)),""))</x:f>
      </x:c>
      <x:c r="D82" s="10" t="e">
        <x:f>IF($A82="","",IFERROR(INDEX(Blueprint_Data!$W:$W,MATCH($A82,Blueprint_Data!$A:$A,0)),""))</x:f>
      </x:c>
      <x:c r="E82" s="10" t="str">
        <x:f t="shared" si="3"/>
      </x:c>
      <x:c r="F82" s="10" t="str">
        <x:f t="shared" si="4"/>
        <x:v>Missing Dependency; Out-of-Seq; Missing OM Fields</x:v>
      </x:c>
      <x:c r="G82" s="10" t="e">
        <x:f>IF($A82="","",IFERROR(INDEX(Checks!$D:$D,MATCH($A82,Checks!$A:$A,0)),0))</x:f>
      </x:c>
      <x:c r="H82" s="10" t="e">
        <x:f>IF($A82="","",IFERROR(INDEX(Checks!$F:$F,MATCH($A82,Checks!$A:$A,0)),0))</x:f>
      </x:c>
      <x:c r="I82" s="10" t="e">
        <x:f>IF($A82="","",IFERROR(INDEX(Checks!$H:$H,MATCH($A82,Checks!$A:$A,0)),"NO"))</x:f>
      </x:c>
      <x:c r="J82" s="10" t="e">
        <x:f>IF($A82="","",IFERROR(INDEX(Checks!$J:$J,MATCH($A82,Checks!$A:$A,0)),0))</x:f>
      </x:c>
      <x:c r="K82" s="10" t="str">
        <x:f t="shared" si="5"/>
      </x:c>
    </x:row>
    <x:row r="83" ht="66.25" customHeight="1">
      <x:c r="A83" s="10" t="e">
        <x:f>IFERROR(INDEX(Dependencies!$C$2:$C$5000,_xludf.AGGREGATE(15,6,(ROW(Dependencies!$A$2:$A$5000)-ROW(Dependencies!$A$2)+1)/(Dependencies!$A$2:$A$5000=$B$3),ROWS($A$20:A83))),"")</x:f>
      </x:c>
      <x:c r="B83" s="10" t="e">
        <x:f>IF($A83="","",IFERROR(INDEX(Blueprint_Data!$F:$F,MATCH($A83,Blueprint_Data!$A:$A,0)),""))</x:f>
      </x:c>
      <x:c r="C83" s="10" t="e">
        <x:f>IF($A83="","",IFERROR(INDEX(Blueprint_Data!$G:$G,MATCH($A83,Blueprint_Data!$A:$A,0)),""))</x:f>
      </x:c>
      <x:c r="D83" s="10" t="e">
        <x:f>IF($A83="","",IFERROR(INDEX(Blueprint_Data!$W:$W,MATCH($A83,Blueprint_Data!$A:$A,0)),""))</x:f>
      </x:c>
      <x:c r="E83" s="10" t="str">
        <x:f t="shared" si="3"/>
      </x:c>
      <x:c r="F83" s="10" t="str">
        <x:f t="shared" si="4"/>
        <x:v>Missing Dependency; Out-of-Seq; Missing OM Fields</x:v>
      </x:c>
      <x:c r="G83" s="10" t="e">
        <x:f>IF($A83="","",IFERROR(INDEX(Checks!$D:$D,MATCH($A83,Checks!$A:$A,0)),0))</x:f>
      </x:c>
      <x:c r="H83" s="10" t="e">
        <x:f>IF($A83="","",IFERROR(INDEX(Checks!$F:$F,MATCH($A83,Checks!$A:$A,0)),0))</x:f>
      </x:c>
      <x:c r="I83" s="10" t="e">
        <x:f>IF($A83="","",IFERROR(INDEX(Checks!$H:$H,MATCH($A83,Checks!$A:$A,0)),"NO"))</x:f>
      </x:c>
      <x:c r="J83" s="10" t="e">
        <x:f>IF($A83="","",IFERROR(INDEX(Checks!$J:$J,MATCH($A83,Checks!$A:$A,0)),0))</x:f>
      </x:c>
      <x:c r="K83" s="10" t="str">
        <x:f t="shared" si="5"/>
      </x:c>
    </x:row>
    <x:row r="84" ht="66.25" customHeight="1">
      <x:c r="A84" s="10" t="e">
        <x:f>IFERROR(INDEX(Dependencies!$C$2:$C$5000,_xludf.AGGREGATE(15,6,(ROW(Dependencies!$A$2:$A$5000)-ROW(Dependencies!$A$2)+1)/(Dependencies!$A$2:$A$5000=$B$3),ROWS($A$20:A84))),"")</x:f>
      </x:c>
      <x:c r="B84" s="10" t="e">
        <x:f>IF($A84="","",IFERROR(INDEX(Blueprint_Data!$F:$F,MATCH($A84,Blueprint_Data!$A:$A,0)),""))</x:f>
      </x:c>
      <x:c r="C84" s="10" t="e">
        <x:f>IF($A84="","",IFERROR(INDEX(Blueprint_Data!$G:$G,MATCH($A84,Blueprint_Data!$A:$A,0)),""))</x:f>
      </x:c>
      <x:c r="D84" s="10" t="e">
        <x:f>IF($A84="","",IFERROR(INDEX(Blueprint_Data!$W:$W,MATCH($A84,Blueprint_Data!$A:$A,0)),""))</x:f>
      </x:c>
      <x:c r="E84" s="10" t="e">
        <x:f t="shared" ref="E84:E115" si="6">IF($A84="","",IF(OR(G84&gt;0,H84&gt;0,I84="YES",J84&gt;0),"YES","NO"))</x:f>
      </x:c>
      <x:c r="F84" s="10" t="e">
        <x:f t="shared" ref="F84:F115" si="7">IF((IF(G84&gt;0,"Missing Dependency; ","")&amp;IF(H84&gt;0,"Out-of-Seq; ","")&amp;IF(I84="YES","SoR Collision; ","")&amp;IF(J84&gt;0,"Missing OM Fields; ",""))="","",IF(RIGHT((IF(G84&gt;0,"Missing Dependency; ","")&amp;IF(H84&gt;0,"Out-of-Seq; ","")&amp;IF(I84="YES","SoR Collision; ","")&amp;IF(J84&gt;0,"Missing OM Fields; ","")),2)="; ",LEFT((IF(G84&gt;0,"Missing Dependency; ","")&amp;IF(H84&gt;0,"Out-of-Seq; ","")&amp;IF(I84="YES","SoR Collision; ","")&amp;IF(J84&gt;0,"Missing OM Fields; ","")),LEN((IF(G84&gt;0,"Missing Dependency; ","")&amp;IF(H84&gt;0,"Out-of-Seq; ","")&amp;IF(I84="YES","SoR Collision; ","")&amp;IF(J84&gt;0,"Missing OM Fields; ","")))-2),(IF(G84&gt;0,"Missing Dependency; ","")&amp;IF(H84&gt;0,"Out-of-Seq; ","")&amp;IF(I84="YES","SoR Collision; ","")&amp;IF(J84&gt;0,"Missing OM Fields; ",""))))</x:f>
      </x:c>
      <x:c r="G84" s="10" t="e">
        <x:f>IF($A84="","",IFERROR(INDEX(Checks!$D:$D,MATCH($A84,Checks!$A:$A,0)),0))</x:f>
      </x:c>
      <x:c r="H84" s="10" t="e">
        <x:f>IF($A84="","",IFERROR(INDEX(Checks!$F:$F,MATCH($A84,Checks!$A:$A,0)),0))</x:f>
      </x:c>
      <x:c r="I84" s="10" t="e">
        <x:f>IF($A84="","",IFERROR(INDEX(Checks!$H:$H,MATCH($A84,Checks!$A:$A,0)),"NO"))</x:f>
      </x:c>
      <x:c r="J84" s="10" t="e">
        <x:f>IF($A84="","",IFERROR(INDEX(Checks!$J:$J,MATCH($A84,Checks!$A:$A,0)),0))</x:f>
      </x:c>
      <x:c r="K84" s="10" t="e">
        <x:f t="shared" ref="K84:K115" si="8">IF($A84="","",IF(E84="NO","OK: dependency is clean",IF(I84="YES","Resolve SoR ownership (single SoR)",IF(G84&gt;0,"Close missing dependencies",IF(H84&gt;0,"Resequence waves",IF(J84&gt;0,"Populate Operating Model fields","Remediate blockers"))))))</x:f>
      </x:c>
    </x:row>
    <x:row r="85" ht="66.25" customHeight="1">
      <x:c r="A85" s="10" t="e">
        <x:f>IFERROR(INDEX(Dependencies!$C$2:$C$5000,_xludf.AGGREGATE(15,6,(ROW(Dependencies!$A$2:$A$5000)-ROW(Dependencies!$A$2)+1)/(Dependencies!$A$2:$A$5000=$B$3),ROWS($A$20:A85))),"")</x:f>
      </x:c>
      <x:c r="B85" s="10" t="e">
        <x:f>IF($A85="","",IFERROR(INDEX(Blueprint_Data!$F:$F,MATCH($A85,Blueprint_Data!$A:$A,0)),""))</x:f>
      </x:c>
      <x:c r="C85" s="10" t="e">
        <x:f>IF($A85="","",IFERROR(INDEX(Blueprint_Data!$G:$G,MATCH($A85,Blueprint_Data!$A:$A,0)),""))</x:f>
      </x:c>
      <x:c r="D85" s="10" t="e">
        <x:f>IF($A85="","",IFERROR(INDEX(Blueprint_Data!$W:$W,MATCH($A85,Blueprint_Data!$A:$A,0)),""))</x:f>
      </x:c>
      <x:c r="E85" s="10" t="str">
        <x:f t="shared" si="6"/>
      </x:c>
      <x:c r="F85" s="10" t="str">
        <x:f t="shared" si="7"/>
        <x:v>Missing Dependency; Out-of-Seq; Missing OM Fields</x:v>
      </x:c>
      <x:c r="G85" s="10" t="e">
        <x:f>IF($A85="","",IFERROR(INDEX(Checks!$D:$D,MATCH($A85,Checks!$A:$A,0)),0))</x:f>
      </x:c>
      <x:c r="H85" s="10" t="e">
        <x:f>IF($A85="","",IFERROR(INDEX(Checks!$F:$F,MATCH($A85,Checks!$A:$A,0)),0))</x:f>
      </x:c>
      <x:c r="I85" s="10" t="e">
        <x:f>IF($A85="","",IFERROR(INDEX(Checks!$H:$H,MATCH($A85,Checks!$A:$A,0)),"NO"))</x:f>
      </x:c>
      <x:c r="J85" s="10" t="e">
        <x:f>IF($A85="","",IFERROR(INDEX(Checks!$J:$J,MATCH($A85,Checks!$A:$A,0)),0))</x:f>
      </x:c>
      <x:c r="K85" s="10" t="str">
        <x:f t="shared" si="8"/>
      </x:c>
    </x:row>
    <x:row r="86" ht="66.25" customHeight="1">
      <x:c r="A86" s="10" t="e">
        <x:f>IFERROR(INDEX(Dependencies!$C$2:$C$5000,_xludf.AGGREGATE(15,6,(ROW(Dependencies!$A$2:$A$5000)-ROW(Dependencies!$A$2)+1)/(Dependencies!$A$2:$A$5000=$B$3),ROWS($A$20:A86))),"")</x:f>
      </x:c>
      <x:c r="B86" s="10" t="e">
        <x:f>IF($A86="","",IFERROR(INDEX(Blueprint_Data!$F:$F,MATCH($A86,Blueprint_Data!$A:$A,0)),""))</x:f>
      </x:c>
      <x:c r="C86" s="10" t="e">
        <x:f>IF($A86="","",IFERROR(INDEX(Blueprint_Data!$G:$G,MATCH($A86,Blueprint_Data!$A:$A,0)),""))</x:f>
      </x:c>
      <x:c r="D86" s="10" t="e">
        <x:f>IF($A86="","",IFERROR(INDEX(Blueprint_Data!$W:$W,MATCH($A86,Blueprint_Data!$A:$A,0)),""))</x:f>
      </x:c>
      <x:c r="E86" s="10" t="str">
        <x:f t="shared" si="6"/>
      </x:c>
      <x:c r="F86" s="10" t="str">
        <x:f t="shared" si="7"/>
        <x:v>Missing Dependency; Out-of-Seq; Missing OM Fields</x:v>
      </x:c>
      <x:c r="G86" s="10" t="e">
        <x:f>IF($A86="","",IFERROR(INDEX(Checks!$D:$D,MATCH($A86,Checks!$A:$A,0)),0))</x:f>
      </x:c>
      <x:c r="H86" s="10" t="e">
        <x:f>IF($A86="","",IFERROR(INDEX(Checks!$F:$F,MATCH($A86,Checks!$A:$A,0)),0))</x:f>
      </x:c>
      <x:c r="I86" s="10" t="e">
        <x:f>IF($A86="","",IFERROR(INDEX(Checks!$H:$H,MATCH($A86,Checks!$A:$A,0)),"NO"))</x:f>
      </x:c>
      <x:c r="J86" s="10" t="e">
        <x:f>IF($A86="","",IFERROR(INDEX(Checks!$J:$J,MATCH($A86,Checks!$A:$A,0)),0))</x:f>
      </x:c>
      <x:c r="K86" s="10" t="str">
        <x:f t="shared" si="8"/>
      </x:c>
    </x:row>
    <x:row r="87" ht="66.25" customHeight="1">
      <x:c r="A87" s="10" t="e">
        <x:f>IFERROR(INDEX(Dependencies!$C$2:$C$5000,_xludf.AGGREGATE(15,6,(ROW(Dependencies!$A$2:$A$5000)-ROW(Dependencies!$A$2)+1)/(Dependencies!$A$2:$A$5000=$B$3),ROWS($A$20:A87))),"")</x:f>
      </x:c>
      <x:c r="B87" s="10" t="e">
        <x:f>IF($A87="","",IFERROR(INDEX(Blueprint_Data!$F:$F,MATCH($A87,Blueprint_Data!$A:$A,0)),""))</x:f>
      </x:c>
      <x:c r="C87" s="10" t="e">
        <x:f>IF($A87="","",IFERROR(INDEX(Blueprint_Data!$G:$G,MATCH($A87,Blueprint_Data!$A:$A,0)),""))</x:f>
      </x:c>
      <x:c r="D87" s="10" t="e">
        <x:f>IF($A87="","",IFERROR(INDEX(Blueprint_Data!$W:$W,MATCH($A87,Blueprint_Data!$A:$A,0)),""))</x:f>
      </x:c>
      <x:c r="E87" s="10" t="str">
        <x:f t="shared" si="6"/>
      </x:c>
      <x:c r="F87" s="10" t="str">
        <x:f t="shared" si="7"/>
        <x:v>Missing Dependency; Out-of-Seq; Missing OM Fields</x:v>
      </x:c>
      <x:c r="G87" s="10" t="e">
        <x:f>IF($A87="","",IFERROR(INDEX(Checks!$D:$D,MATCH($A87,Checks!$A:$A,0)),0))</x:f>
      </x:c>
      <x:c r="H87" s="10" t="e">
        <x:f>IF($A87="","",IFERROR(INDEX(Checks!$F:$F,MATCH($A87,Checks!$A:$A,0)),0))</x:f>
      </x:c>
      <x:c r="I87" s="10" t="e">
        <x:f>IF($A87="","",IFERROR(INDEX(Checks!$H:$H,MATCH($A87,Checks!$A:$A,0)),"NO"))</x:f>
      </x:c>
      <x:c r="J87" s="10" t="e">
        <x:f>IF($A87="","",IFERROR(INDEX(Checks!$J:$J,MATCH($A87,Checks!$A:$A,0)),0))</x:f>
      </x:c>
      <x:c r="K87" s="10" t="str">
        <x:f t="shared" si="8"/>
      </x:c>
    </x:row>
    <x:row r="88" ht="66.25" customHeight="1">
      <x:c r="A88" s="10" t="e">
        <x:f>IFERROR(INDEX(Dependencies!$C$2:$C$5000,_xludf.AGGREGATE(15,6,(ROW(Dependencies!$A$2:$A$5000)-ROW(Dependencies!$A$2)+1)/(Dependencies!$A$2:$A$5000=$B$3),ROWS($A$20:A88))),"")</x:f>
      </x:c>
      <x:c r="B88" s="10" t="e">
        <x:f>IF($A88="","",IFERROR(INDEX(Blueprint_Data!$F:$F,MATCH($A88,Blueprint_Data!$A:$A,0)),""))</x:f>
      </x:c>
      <x:c r="C88" s="10" t="e">
        <x:f>IF($A88="","",IFERROR(INDEX(Blueprint_Data!$G:$G,MATCH($A88,Blueprint_Data!$A:$A,0)),""))</x:f>
      </x:c>
      <x:c r="D88" s="10" t="e">
        <x:f>IF($A88="","",IFERROR(INDEX(Blueprint_Data!$W:$W,MATCH($A88,Blueprint_Data!$A:$A,0)),""))</x:f>
      </x:c>
      <x:c r="E88" s="10" t="str">
        <x:f t="shared" si="6"/>
      </x:c>
      <x:c r="F88" s="10" t="str">
        <x:f t="shared" si="7"/>
        <x:v>Missing Dependency; Out-of-Seq; Missing OM Fields</x:v>
      </x:c>
      <x:c r="G88" s="10" t="e">
        <x:f>IF($A88="","",IFERROR(INDEX(Checks!$D:$D,MATCH($A88,Checks!$A:$A,0)),0))</x:f>
      </x:c>
      <x:c r="H88" s="10" t="e">
        <x:f>IF($A88="","",IFERROR(INDEX(Checks!$F:$F,MATCH($A88,Checks!$A:$A,0)),0))</x:f>
      </x:c>
      <x:c r="I88" s="10" t="e">
        <x:f>IF($A88="","",IFERROR(INDEX(Checks!$H:$H,MATCH($A88,Checks!$A:$A,0)),"NO"))</x:f>
      </x:c>
      <x:c r="J88" s="10" t="e">
        <x:f>IF($A88="","",IFERROR(INDEX(Checks!$J:$J,MATCH($A88,Checks!$A:$A,0)),0))</x:f>
      </x:c>
      <x:c r="K88" s="10" t="str">
        <x:f t="shared" si="8"/>
      </x:c>
    </x:row>
    <x:row r="89" ht="66.25" customHeight="1">
      <x:c r="A89" s="10" t="e">
        <x:f>IFERROR(INDEX(Dependencies!$C$2:$C$5000,_xludf.AGGREGATE(15,6,(ROW(Dependencies!$A$2:$A$5000)-ROW(Dependencies!$A$2)+1)/(Dependencies!$A$2:$A$5000=$B$3),ROWS($A$20:A89))),"")</x:f>
      </x:c>
      <x:c r="B89" s="10" t="e">
        <x:f>IF($A89="","",IFERROR(INDEX(Blueprint_Data!$F:$F,MATCH($A89,Blueprint_Data!$A:$A,0)),""))</x:f>
      </x:c>
      <x:c r="C89" s="10" t="e">
        <x:f>IF($A89="","",IFERROR(INDEX(Blueprint_Data!$G:$G,MATCH($A89,Blueprint_Data!$A:$A,0)),""))</x:f>
      </x:c>
      <x:c r="D89" s="10" t="e">
        <x:f>IF($A89="","",IFERROR(INDEX(Blueprint_Data!$W:$W,MATCH($A89,Blueprint_Data!$A:$A,0)),""))</x:f>
      </x:c>
      <x:c r="E89" s="10" t="str">
        <x:f t="shared" si="6"/>
      </x:c>
      <x:c r="F89" s="10" t="str">
        <x:f t="shared" si="7"/>
        <x:v>Missing Dependency; Out-of-Seq; Missing OM Fields</x:v>
      </x:c>
      <x:c r="G89" s="10" t="e">
        <x:f>IF($A89="","",IFERROR(INDEX(Checks!$D:$D,MATCH($A89,Checks!$A:$A,0)),0))</x:f>
      </x:c>
      <x:c r="H89" s="10" t="e">
        <x:f>IF($A89="","",IFERROR(INDEX(Checks!$F:$F,MATCH($A89,Checks!$A:$A,0)),0))</x:f>
      </x:c>
      <x:c r="I89" s="10" t="e">
        <x:f>IF($A89="","",IFERROR(INDEX(Checks!$H:$H,MATCH($A89,Checks!$A:$A,0)),"NO"))</x:f>
      </x:c>
      <x:c r="J89" s="10" t="e">
        <x:f>IF($A89="","",IFERROR(INDEX(Checks!$J:$J,MATCH($A89,Checks!$A:$A,0)),0))</x:f>
      </x:c>
      <x:c r="K89" s="10" t="str">
        <x:f t="shared" si="8"/>
      </x:c>
    </x:row>
    <x:row r="90" ht="66.25" customHeight="1">
      <x:c r="A90" s="10" t="e">
        <x:f>IFERROR(INDEX(Dependencies!$C$2:$C$5000,_xludf.AGGREGATE(15,6,(ROW(Dependencies!$A$2:$A$5000)-ROW(Dependencies!$A$2)+1)/(Dependencies!$A$2:$A$5000=$B$3),ROWS($A$20:A90))),"")</x:f>
      </x:c>
      <x:c r="B90" s="10" t="e">
        <x:f>IF($A90="","",IFERROR(INDEX(Blueprint_Data!$F:$F,MATCH($A90,Blueprint_Data!$A:$A,0)),""))</x:f>
      </x:c>
      <x:c r="C90" s="10" t="e">
        <x:f>IF($A90="","",IFERROR(INDEX(Blueprint_Data!$G:$G,MATCH($A90,Blueprint_Data!$A:$A,0)),""))</x:f>
      </x:c>
      <x:c r="D90" s="10" t="e">
        <x:f>IF($A90="","",IFERROR(INDEX(Blueprint_Data!$W:$W,MATCH($A90,Blueprint_Data!$A:$A,0)),""))</x:f>
      </x:c>
      <x:c r="E90" s="10" t="str">
        <x:f t="shared" si="6"/>
      </x:c>
      <x:c r="F90" s="10" t="str">
        <x:f t="shared" si="7"/>
        <x:v>Missing Dependency; Out-of-Seq; Missing OM Fields</x:v>
      </x:c>
      <x:c r="G90" s="10" t="e">
        <x:f>IF($A90="","",IFERROR(INDEX(Checks!$D:$D,MATCH($A90,Checks!$A:$A,0)),0))</x:f>
      </x:c>
      <x:c r="H90" s="10" t="e">
        <x:f>IF($A90="","",IFERROR(INDEX(Checks!$F:$F,MATCH($A90,Checks!$A:$A,0)),0))</x:f>
      </x:c>
      <x:c r="I90" s="10" t="e">
        <x:f>IF($A90="","",IFERROR(INDEX(Checks!$H:$H,MATCH($A90,Checks!$A:$A,0)),"NO"))</x:f>
      </x:c>
      <x:c r="J90" s="10" t="e">
        <x:f>IF($A90="","",IFERROR(INDEX(Checks!$J:$J,MATCH($A90,Checks!$A:$A,0)),0))</x:f>
      </x:c>
      <x:c r="K90" s="10" t="str">
        <x:f t="shared" si="8"/>
      </x:c>
    </x:row>
    <x:row r="91" ht="66.25" customHeight="1">
      <x:c r="A91" s="10" t="e">
        <x:f>IFERROR(INDEX(Dependencies!$C$2:$C$5000,_xludf.AGGREGATE(15,6,(ROW(Dependencies!$A$2:$A$5000)-ROW(Dependencies!$A$2)+1)/(Dependencies!$A$2:$A$5000=$B$3),ROWS($A$20:A91))),"")</x:f>
      </x:c>
      <x:c r="B91" s="10" t="e">
        <x:f>IF($A91="","",IFERROR(INDEX(Blueprint_Data!$F:$F,MATCH($A91,Blueprint_Data!$A:$A,0)),""))</x:f>
      </x:c>
      <x:c r="C91" s="10" t="e">
        <x:f>IF($A91="","",IFERROR(INDEX(Blueprint_Data!$G:$G,MATCH($A91,Blueprint_Data!$A:$A,0)),""))</x:f>
      </x:c>
      <x:c r="D91" s="10" t="e">
        <x:f>IF($A91="","",IFERROR(INDEX(Blueprint_Data!$W:$W,MATCH($A91,Blueprint_Data!$A:$A,0)),""))</x:f>
      </x:c>
      <x:c r="E91" s="10" t="str">
        <x:f t="shared" si="6"/>
      </x:c>
      <x:c r="F91" s="10" t="str">
        <x:f t="shared" si="7"/>
        <x:v>Missing Dependency; Out-of-Seq; Missing OM Fields</x:v>
      </x:c>
      <x:c r="G91" s="10" t="e">
        <x:f>IF($A91="","",IFERROR(INDEX(Checks!$D:$D,MATCH($A91,Checks!$A:$A,0)),0))</x:f>
      </x:c>
      <x:c r="H91" s="10" t="e">
        <x:f>IF($A91="","",IFERROR(INDEX(Checks!$F:$F,MATCH($A91,Checks!$A:$A,0)),0))</x:f>
      </x:c>
      <x:c r="I91" s="10" t="e">
        <x:f>IF($A91="","",IFERROR(INDEX(Checks!$H:$H,MATCH($A91,Checks!$A:$A,0)),"NO"))</x:f>
      </x:c>
      <x:c r="J91" s="10" t="e">
        <x:f>IF($A91="","",IFERROR(INDEX(Checks!$J:$J,MATCH($A91,Checks!$A:$A,0)),0))</x:f>
      </x:c>
      <x:c r="K91" s="10" t="str">
        <x:f t="shared" si="8"/>
      </x:c>
    </x:row>
    <x:row r="92" ht="66.25" customHeight="1">
      <x:c r="A92" s="10" t="e">
        <x:f>IFERROR(INDEX(Dependencies!$C$2:$C$5000,_xludf.AGGREGATE(15,6,(ROW(Dependencies!$A$2:$A$5000)-ROW(Dependencies!$A$2)+1)/(Dependencies!$A$2:$A$5000=$B$3),ROWS($A$20:A92))),"")</x:f>
      </x:c>
      <x:c r="B92" s="10" t="e">
        <x:f>IF($A92="","",IFERROR(INDEX(Blueprint_Data!$F:$F,MATCH($A92,Blueprint_Data!$A:$A,0)),""))</x:f>
      </x:c>
      <x:c r="C92" s="10" t="e">
        <x:f>IF($A92="","",IFERROR(INDEX(Blueprint_Data!$G:$G,MATCH($A92,Blueprint_Data!$A:$A,0)),""))</x:f>
      </x:c>
      <x:c r="D92" s="10" t="e">
        <x:f>IF($A92="","",IFERROR(INDEX(Blueprint_Data!$W:$W,MATCH($A92,Blueprint_Data!$A:$A,0)),""))</x:f>
      </x:c>
      <x:c r="E92" s="10" t="str">
        <x:f t="shared" si="6"/>
      </x:c>
      <x:c r="F92" s="10" t="str">
        <x:f t="shared" si="7"/>
        <x:v>Missing Dependency; Out-of-Seq; Missing OM Fields</x:v>
      </x:c>
      <x:c r="G92" s="10" t="e">
        <x:f>IF($A92="","",IFERROR(INDEX(Checks!$D:$D,MATCH($A92,Checks!$A:$A,0)),0))</x:f>
      </x:c>
      <x:c r="H92" s="10" t="e">
        <x:f>IF($A92="","",IFERROR(INDEX(Checks!$F:$F,MATCH($A92,Checks!$A:$A,0)),0))</x:f>
      </x:c>
      <x:c r="I92" s="10" t="e">
        <x:f>IF($A92="","",IFERROR(INDEX(Checks!$H:$H,MATCH($A92,Checks!$A:$A,0)),"NO"))</x:f>
      </x:c>
      <x:c r="J92" s="10" t="e">
        <x:f>IF($A92="","",IFERROR(INDEX(Checks!$J:$J,MATCH($A92,Checks!$A:$A,0)),0))</x:f>
      </x:c>
      <x:c r="K92" s="10" t="str">
        <x:f t="shared" si="8"/>
      </x:c>
    </x:row>
    <x:row r="93" ht="66.25" customHeight="1">
      <x:c r="A93" s="10" t="e">
        <x:f>IFERROR(INDEX(Dependencies!$C$2:$C$5000,_xludf.AGGREGATE(15,6,(ROW(Dependencies!$A$2:$A$5000)-ROW(Dependencies!$A$2)+1)/(Dependencies!$A$2:$A$5000=$B$3),ROWS($A$20:A93))),"")</x:f>
      </x:c>
      <x:c r="B93" s="10" t="e">
        <x:f>IF($A93="","",IFERROR(INDEX(Blueprint_Data!$F:$F,MATCH($A93,Blueprint_Data!$A:$A,0)),""))</x:f>
      </x:c>
      <x:c r="C93" s="10" t="e">
        <x:f>IF($A93="","",IFERROR(INDEX(Blueprint_Data!$G:$G,MATCH($A93,Blueprint_Data!$A:$A,0)),""))</x:f>
      </x:c>
      <x:c r="D93" s="10" t="e">
        <x:f>IF($A93="","",IFERROR(INDEX(Blueprint_Data!$W:$W,MATCH($A93,Blueprint_Data!$A:$A,0)),""))</x:f>
      </x:c>
      <x:c r="E93" s="10" t="str">
        <x:f t="shared" si="6"/>
      </x:c>
      <x:c r="F93" s="10" t="str">
        <x:f t="shared" si="7"/>
        <x:v>Missing Dependency; Out-of-Seq; Missing OM Fields</x:v>
      </x:c>
      <x:c r="G93" s="10" t="e">
        <x:f>IF($A93="","",IFERROR(INDEX(Checks!$D:$D,MATCH($A93,Checks!$A:$A,0)),0))</x:f>
      </x:c>
      <x:c r="H93" s="10" t="e">
        <x:f>IF($A93="","",IFERROR(INDEX(Checks!$F:$F,MATCH($A93,Checks!$A:$A,0)),0))</x:f>
      </x:c>
      <x:c r="I93" s="10" t="e">
        <x:f>IF($A93="","",IFERROR(INDEX(Checks!$H:$H,MATCH($A93,Checks!$A:$A,0)),"NO"))</x:f>
      </x:c>
      <x:c r="J93" s="10" t="e">
        <x:f>IF($A93="","",IFERROR(INDEX(Checks!$J:$J,MATCH($A93,Checks!$A:$A,0)),0))</x:f>
      </x:c>
      <x:c r="K93" s="10" t="str">
        <x:f t="shared" si="8"/>
      </x:c>
    </x:row>
    <x:row r="94" ht="66.25" customHeight="1">
      <x:c r="A94" s="10" t="e">
        <x:f>IFERROR(INDEX(Dependencies!$C$2:$C$5000,_xludf.AGGREGATE(15,6,(ROW(Dependencies!$A$2:$A$5000)-ROW(Dependencies!$A$2)+1)/(Dependencies!$A$2:$A$5000=$B$3),ROWS($A$20:A94))),"")</x:f>
      </x:c>
      <x:c r="B94" s="10" t="e">
        <x:f>IF($A94="","",IFERROR(INDEX(Blueprint_Data!$F:$F,MATCH($A94,Blueprint_Data!$A:$A,0)),""))</x:f>
      </x:c>
      <x:c r="C94" s="10" t="e">
        <x:f>IF($A94="","",IFERROR(INDEX(Blueprint_Data!$G:$G,MATCH($A94,Blueprint_Data!$A:$A,0)),""))</x:f>
      </x:c>
      <x:c r="D94" s="10" t="e">
        <x:f>IF($A94="","",IFERROR(INDEX(Blueprint_Data!$W:$W,MATCH($A94,Blueprint_Data!$A:$A,0)),""))</x:f>
      </x:c>
      <x:c r="E94" s="10" t="str">
        <x:f t="shared" si="6"/>
      </x:c>
      <x:c r="F94" s="10" t="str">
        <x:f t="shared" si="7"/>
        <x:v>Missing Dependency; Out-of-Seq; Missing OM Fields</x:v>
      </x:c>
      <x:c r="G94" s="10" t="e">
        <x:f>IF($A94="","",IFERROR(INDEX(Checks!$D:$D,MATCH($A94,Checks!$A:$A,0)),0))</x:f>
      </x:c>
      <x:c r="H94" s="10" t="e">
        <x:f>IF($A94="","",IFERROR(INDEX(Checks!$F:$F,MATCH($A94,Checks!$A:$A,0)),0))</x:f>
      </x:c>
      <x:c r="I94" s="10" t="e">
        <x:f>IF($A94="","",IFERROR(INDEX(Checks!$H:$H,MATCH($A94,Checks!$A:$A,0)),"NO"))</x:f>
      </x:c>
      <x:c r="J94" s="10" t="e">
        <x:f>IF($A94="","",IFERROR(INDEX(Checks!$J:$J,MATCH($A94,Checks!$A:$A,0)),0))</x:f>
      </x:c>
      <x:c r="K94" s="10" t="str">
        <x:f t="shared" si="8"/>
      </x:c>
    </x:row>
    <x:row r="95" ht="66.25" customHeight="1">
      <x:c r="A95" s="10" t="e">
        <x:f>IFERROR(INDEX(Dependencies!$C$2:$C$5000,_xludf.AGGREGATE(15,6,(ROW(Dependencies!$A$2:$A$5000)-ROW(Dependencies!$A$2)+1)/(Dependencies!$A$2:$A$5000=$B$3),ROWS($A$20:A95))),"")</x:f>
      </x:c>
      <x:c r="B95" s="10" t="e">
        <x:f>IF($A95="","",IFERROR(INDEX(Blueprint_Data!$F:$F,MATCH($A95,Blueprint_Data!$A:$A,0)),""))</x:f>
      </x:c>
      <x:c r="C95" s="10" t="e">
        <x:f>IF($A95="","",IFERROR(INDEX(Blueprint_Data!$G:$G,MATCH($A95,Blueprint_Data!$A:$A,0)),""))</x:f>
      </x:c>
      <x:c r="D95" s="10" t="e">
        <x:f>IF($A95="","",IFERROR(INDEX(Blueprint_Data!$W:$W,MATCH($A95,Blueprint_Data!$A:$A,0)),""))</x:f>
      </x:c>
      <x:c r="E95" s="10" t="str">
        <x:f t="shared" si="6"/>
      </x:c>
      <x:c r="F95" s="10" t="str">
        <x:f t="shared" si="7"/>
        <x:v>Missing Dependency; Out-of-Seq; Missing OM Fields</x:v>
      </x:c>
      <x:c r="G95" s="10" t="e">
        <x:f>IF($A95="","",IFERROR(INDEX(Checks!$D:$D,MATCH($A95,Checks!$A:$A,0)),0))</x:f>
      </x:c>
      <x:c r="H95" s="10" t="e">
        <x:f>IF($A95="","",IFERROR(INDEX(Checks!$F:$F,MATCH($A95,Checks!$A:$A,0)),0))</x:f>
      </x:c>
      <x:c r="I95" s="10" t="e">
        <x:f>IF($A95="","",IFERROR(INDEX(Checks!$H:$H,MATCH($A95,Checks!$A:$A,0)),"NO"))</x:f>
      </x:c>
      <x:c r="J95" s="10" t="e">
        <x:f>IF($A95="","",IFERROR(INDEX(Checks!$J:$J,MATCH($A95,Checks!$A:$A,0)),0))</x:f>
      </x:c>
      <x:c r="K95" s="10" t="str">
        <x:f t="shared" si="8"/>
      </x:c>
    </x:row>
    <x:row r="96" ht="66.25" customHeight="1">
      <x:c r="A96" s="10" t="e">
        <x:f>IFERROR(INDEX(Dependencies!$C$2:$C$5000,_xludf.AGGREGATE(15,6,(ROW(Dependencies!$A$2:$A$5000)-ROW(Dependencies!$A$2)+1)/(Dependencies!$A$2:$A$5000=$B$3),ROWS($A$20:A96))),"")</x:f>
      </x:c>
      <x:c r="B96" s="10" t="e">
        <x:f>IF($A96="","",IFERROR(INDEX(Blueprint_Data!$F:$F,MATCH($A96,Blueprint_Data!$A:$A,0)),""))</x:f>
      </x:c>
      <x:c r="C96" s="10" t="e">
        <x:f>IF($A96="","",IFERROR(INDEX(Blueprint_Data!$G:$G,MATCH($A96,Blueprint_Data!$A:$A,0)),""))</x:f>
      </x:c>
      <x:c r="D96" s="10" t="e">
        <x:f>IF($A96="","",IFERROR(INDEX(Blueprint_Data!$W:$W,MATCH($A96,Blueprint_Data!$A:$A,0)),""))</x:f>
      </x:c>
      <x:c r="E96" s="10" t="str">
        <x:f t="shared" si="6"/>
      </x:c>
      <x:c r="F96" s="10" t="str">
        <x:f t="shared" si="7"/>
        <x:v>Missing Dependency; Out-of-Seq; Missing OM Fields</x:v>
      </x:c>
      <x:c r="G96" s="10" t="e">
        <x:f>IF($A96="","",IFERROR(INDEX(Checks!$D:$D,MATCH($A96,Checks!$A:$A,0)),0))</x:f>
      </x:c>
      <x:c r="H96" s="10" t="e">
        <x:f>IF($A96="","",IFERROR(INDEX(Checks!$F:$F,MATCH($A96,Checks!$A:$A,0)),0))</x:f>
      </x:c>
      <x:c r="I96" s="10" t="e">
        <x:f>IF($A96="","",IFERROR(INDEX(Checks!$H:$H,MATCH($A96,Checks!$A:$A,0)),"NO"))</x:f>
      </x:c>
      <x:c r="J96" s="10" t="e">
        <x:f>IF($A96="","",IFERROR(INDEX(Checks!$J:$J,MATCH($A96,Checks!$A:$A,0)),0))</x:f>
      </x:c>
      <x:c r="K96" s="10" t="str">
        <x:f t="shared" si="8"/>
      </x:c>
    </x:row>
    <x:row r="97" ht="66.25" customHeight="1">
      <x:c r="A97" s="10" t="e">
        <x:f>IFERROR(INDEX(Dependencies!$C$2:$C$5000,_xludf.AGGREGATE(15,6,(ROW(Dependencies!$A$2:$A$5000)-ROW(Dependencies!$A$2)+1)/(Dependencies!$A$2:$A$5000=$B$3),ROWS($A$20:A97))),"")</x:f>
      </x:c>
      <x:c r="B97" s="10" t="e">
        <x:f>IF($A97="","",IFERROR(INDEX(Blueprint_Data!$F:$F,MATCH($A97,Blueprint_Data!$A:$A,0)),""))</x:f>
      </x:c>
      <x:c r="C97" s="10" t="e">
        <x:f>IF($A97="","",IFERROR(INDEX(Blueprint_Data!$G:$G,MATCH($A97,Blueprint_Data!$A:$A,0)),""))</x:f>
      </x:c>
      <x:c r="D97" s="10" t="e">
        <x:f>IF($A97="","",IFERROR(INDEX(Blueprint_Data!$W:$W,MATCH($A97,Blueprint_Data!$A:$A,0)),""))</x:f>
      </x:c>
      <x:c r="E97" s="10" t="str">
        <x:f t="shared" si="6"/>
      </x:c>
      <x:c r="F97" s="10" t="str">
        <x:f t="shared" si="7"/>
        <x:v>Missing Dependency; Out-of-Seq; Missing OM Fields</x:v>
      </x:c>
      <x:c r="G97" s="10" t="e">
        <x:f>IF($A97="","",IFERROR(INDEX(Checks!$D:$D,MATCH($A97,Checks!$A:$A,0)),0))</x:f>
      </x:c>
      <x:c r="H97" s="10" t="e">
        <x:f>IF($A97="","",IFERROR(INDEX(Checks!$F:$F,MATCH($A97,Checks!$A:$A,0)),0))</x:f>
      </x:c>
      <x:c r="I97" s="10" t="e">
        <x:f>IF($A97="","",IFERROR(INDEX(Checks!$H:$H,MATCH($A97,Checks!$A:$A,0)),"NO"))</x:f>
      </x:c>
      <x:c r="J97" s="10" t="e">
        <x:f>IF($A97="","",IFERROR(INDEX(Checks!$J:$J,MATCH($A97,Checks!$A:$A,0)),0))</x:f>
      </x:c>
      <x:c r="K97" s="10" t="str">
        <x:f t="shared" si="8"/>
      </x:c>
    </x:row>
    <x:row r="98" ht="66.25" customHeight="1">
      <x:c r="A98" s="10" t="e">
        <x:f>IFERROR(INDEX(Dependencies!$C$2:$C$5000,_xludf.AGGREGATE(15,6,(ROW(Dependencies!$A$2:$A$5000)-ROW(Dependencies!$A$2)+1)/(Dependencies!$A$2:$A$5000=$B$3),ROWS($A$20:A98))),"")</x:f>
      </x:c>
      <x:c r="B98" s="10" t="e">
        <x:f>IF($A98="","",IFERROR(INDEX(Blueprint_Data!$F:$F,MATCH($A98,Blueprint_Data!$A:$A,0)),""))</x:f>
      </x:c>
      <x:c r="C98" s="10" t="e">
        <x:f>IF($A98="","",IFERROR(INDEX(Blueprint_Data!$G:$G,MATCH($A98,Blueprint_Data!$A:$A,0)),""))</x:f>
      </x:c>
      <x:c r="D98" s="10" t="e">
        <x:f>IF($A98="","",IFERROR(INDEX(Blueprint_Data!$W:$W,MATCH($A98,Blueprint_Data!$A:$A,0)),""))</x:f>
      </x:c>
      <x:c r="E98" s="10" t="str">
        <x:f t="shared" si="6"/>
      </x:c>
      <x:c r="F98" s="10" t="str">
        <x:f t="shared" si="7"/>
        <x:v>Missing Dependency; Out-of-Seq; Missing OM Fields</x:v>
      </x:c>
      <x:c r="G98" s="10" t="e">
        <x:f>IF($A98="","",IFERROR(INDEX(Checks!$D:$D,MATCH($A98,Checks!$A:$A,0)),0))</x:f>
      </x:c>
      <x:c r="H98" s="10" t="e">
        <x:f>IF($A98="","",IFERROR(INDEX(Checks!$F:$F,MATCH($A98,Checks!$A:$A,0)),0))</x:f>
      </x:c>
      <x:c r="I98" s="10" t="e">
        <x:f>IF($A98="","",IFERROR(INDEX(Checks!$H:$H,MATCH($A98,Checks!$A:$A,0)),"NO"))</x:f>
      </x:c>
      <x:c r="J98" s="10" t="e">
        <x:f>IF($A98="","",IFERROR(INDEX(Checks!$J:$J,MATCH($A98,Checks!$A:$A,0)),0))</x:f>
      </x:c>
      <x:c r="K98" s="10" t="str">
        <x:f t="shared" si="8"/>
      </x:c>
    </x:row>
    <x:row r="99" ht="66.25" customHeight="1">
      <x:c r="A99" s="10" t="e">
        <x:f>IFERROR(INDEX(Dependencies!$C$2:$C$5000,_xludf.AGGREGATE(15,6,(ROW(Dependencies!$A$2:$A$5000)-ROW(Dependencies!$A$2)+1)/(Dependencies!$A$2:$A$5000=$B$3),ROWS($A$20:A99))),"")</x:f>
      </x:c>
      <x:c r="B99" s="10" t="e">
        <x:f>IF($A99="","",IFERROR(INDEX(Blueprint_Data!$F:$F,MATCH($A99,Blueprint_Data!$A:$A,0)),""))</x:f>
      </x:c>
      <x:c r="C99" s="10" t="e">
        <x:f>IF($A99="","",IFERROR(INDEX(Blueprint_Data!$G:$G,MATCH($A99,Blueprint_Data!$A:$A,0)),""))</x:f>
      </x:c>
      <x:c r="D99" s="10" t="e">
        <x:f>IF($A99="","",IFERROR(INDEX(Blueprint_Data!$W:$W,MATCH($A99,Blueprint_Data!$A:$A,0)),""))</x:f>
      </x:c>
      <x:c r="E99" s="10" t="str">
        <x:f t="shared" si="6"/>
      </x:c>
      <x:c r="F99" s="10" t="str">
        <x:f t="shared" si="7"/>
        <x:v>Missing Dependency; Out-of-Seq; Missing OM Fields</x:v>
      </x:c>
      <x:c r="G99" s="10" t="e">
        <x:f>IF($A99="","",IFERROR(INDEX(Checks!$D:$D,MATCH($A99,Checks!$A:$A,0)),0))</x:f>
      </x:c>
      <x:c r="H99" s="10" t="e">
        <x:f>IF($A99="","",IFERROR(INDEX(Checks!$F:$F,MATCH($A99,Checks!$A:$A,0)),0))</x:f>
      </x:c>
      <x:c r="I99" s="10" t="e">
        <x:f>IF($A99="","",IFERROR(INDEX(Checks!$H:$H,MATCH($A99,Checks!$A:$A,0)),"NO"))</x:f>
      </x:c>
      <x:c r="J99" s="10" t="e">
        <x:f>IF($A99="","",IFERROR(INDEX(Checks!$J:$J,MATCH($A99,Checks!$A:$A,0)),0))</x:f>
      </x:c>
      <x:c r="K99" s="10" t="str">
        <x:f t="shared" si="8"/>
      </x:c>
    </x:row>
    <x:row r="100" ht="66.25" customHeight="1">
      <x:c r="A100" s="10" t="e">
        <x:f>IFERROR(INDEX(Dependencies!$C$2:$C$5000,_xludf.AGGREGATE(15,6,(ROW(Dependencies!$A$2:$A$5000)-ROW(Dependencies!$A$2)+1)/(Dependencies!$A$2:$A$5000=$B$3),ROWS($A$20:A100))),"")</x:f>
      </x:c>
      <x:c r="B100" s="10" t="e">
        <x:f>IF($A100="","",IFERROR(INDEX(Blueprint_Data!$F:$F,MATCH($A100,Blueprint_Data!$A:$A,0)),""))</x:f>
      </x:c>
      <x:c r="C100" s="10" t="e">
        <x:f>IF($A100="","",IFERROR(INDEX(Blueprint_Data!$G:$G,MATCH($A100,Blueprint_Data!$A:$A,0)),""))</x:f>
      </x:c>
      <x:c r="D100" s="10" t="e">
        <x:f>IF($A100="","",IFERROR(INDEX(Blueprint_Data!$W:$W,MATCH($A100,Blueprint_Data!$A:$A,0)),""))</x:f>
      </x:c>
      <x:c r="E100" s="10" t="str">
        <x:f t="shared" si="6"/>
      </x:c>
      <x:c r="F100" s="10" t="str">
        <x:f t="shared" si="7"/>
        <x:v>Missing Dependency; Out-of-Seq; Missing OM Fields</x:v>
      </x:c>
      <x:c r="G100" s="10" t="e">
        <x:f>IF($A100="","",IFERROR(INDEX(Checks!$D:$D,MATCH($A100,Checks!$A:$A,0)),0))</x:f>
      </x:c>
      <x:c r="H100" s="10" t="e">
        <x:f>IF($A100="","",IFERROR(INDEX(Checks!$F:$F,MATCH($A100,Checks!$A:$A,0)),0))</x:f>
      </x:c>
      <x:c r="I100" s="10" t="e">
        <x:f>IF($A100="","",IFERROR(INDEX(Checks!$H:$H,MATCH($A100,Checks!$A:$A,0)),"NO"))</x:f>
      </x:c>
      <x:c r="J100" s="10" t="e">
        <x:f>IF($A100="","",IFERROR(INDEX(Checks!$J:$J,MATCH($A100,Checks!$A:$A,0)),0))</x:f>
      </x:c>
      <x:c r="K100" s="10" t="str">
        <x:f t="shared" si="8"/>
      </x:c>
    </x:row>
    <x:row r="101" ht="66.25" customHeight="1">
      <x:c r="A101" s="10" t="e">
        <x:f>IFERROR(INDEX(Dependencies!$C$2:$C$5000,_xludf.AGGREGATE(15,6,(ROW(Dependencies!$A$2:$A$5000)-ROW(Dependencies!$A$2)+1)/(Dependencies!$A$2:$A$5000=$B$3),ROWS($A$20:A101))),"")</x:f>
      </x:c>
      <x:c r="B101" s="10" t="e">
        <x:f>IF($A101="","",IFERROR(INDEX(Blueprint_Data!$F:$F,MATCH($A101,Blueprint_Data!$A:$A,0)),""))</x:f>
      </x:c>
      <x:c r="C101" s="10" t="e">
        <x:f>IF($A101="","",IFERROR(INDEX(Blueprint_Data!$G:$G,MATCH($A101,Blueprint_Data!$A:$A,0)),""))</x:f>
      </x:c>
      <x:c r="D101" s="10" t="e">
        <x:f>IF($A101="","",IFERROR(INDEX(Blueprint_Data!$W:$W,MATCH($A101,Blueprint_Data!$A:$A,0)),""))</x:f>
      </x:c>
      <x:c r="E101" s="10" t="str">
        <x:f t="shared" si="6"/>
      </x:c>
      <x:c r="F101" s="10" t="str">
        <x:f t="shared" si="7"/>
        <x:v>Missing Dependency; Out-of-Seq; Missing OM Fields</x:v>
      </x:c>
      <x:c r="G101" s="10" t="e">
        <x:f>IF($A101="","",IFERROR(INDEX(Checks!$D:$D,MATCH($A101,Checks!$A:$A,0)),0))</x:f>
      </x:c>
      <x:c r="H101" s="10" t="e">
        <x:f>IF($A101="","",IFERROR(INDEX(Checks!$F:$F,MATCH($A101,Checks!$A:$A,0)),0))</x:f>
      </x:c>
      <x:c r="I101" s="10" t="e">
        <x:f>IF($A101="","",IFERROR(INDEX(Checks!$H:$H,MATCH($A101,Checks!$A:$A,0)),"NO"))</x:f>
      </x:c>
      <x:c r="J101" s="10" t="e">
        <x:f>IF($A101="","",IFERROR(INDEX(Checks!$J:$J,MATCH($A101,Checks!$A:$A,0)),0))</x:f>
      </x:c>
      <x:c r="K101" s="10" t="str">
        <x:f t="shared" si="8"/>
      </x:c>
    </x:row>
    <x:row r="102" ht="66.25" customHeight="1">
      <x:c r="A102" s="10" t="e">
        <x:f>IFERROR(INDEX(Dependencies!$C$2:$C$5000,_xludf.AGGREGATE(15,6,(ROW(Dependencies!$A$2:$A$5000)-ROW(Dependencies!$A$2)+1)/(Dependencies!$A$2:$A$5000=$B$3),ROWS($A$20:A102))),"")</x:f>
      </x:c>
      <x:c r="B102" s="10" t="e">
        <x:f>IF($A102="","",IFERROR(INDEX(Blueprint_Data!$F:$F,MATCH($A102,Blueprint_Data!$A:$A,0)),""))</x:f>
      </x:c>
      <x:c r="C102" s="10" t="e">
        <x:f>IF($A102="","",IFERROR(INDEX(Blueprint_Data!$G:$G,MATCH($A102,Blueprint_Data!$A:$A,0)),""))</x:f>
      </x:c>
      <x:c r="D102" s="10" t="e">
        <x:f>IF($A102="","",IFERROR(INDEX(Blueprint_Data!$W:$W,MATCH($A102,Blueprint_Data!$A:$A,0)),""))</x:f>
      </x:c>
      <x:c r="E102" s="10" t="str">
        <x:f t="shared" si="6"/>
      </x:c>
      <x:c r="F102" s="10" t="str">
        <x:f t="shared" si="7"/>
        <x:v>Missing Dependency; Out-of-Seq; Missing OM Fields</x:v>
      </x:c>
      <x:c r="G102" s="10" t="e">
        <x:f>IF($A102="","",IFERROR(INDEX(Checks!$D:$D,MATCH($A102,Checks!$A:$A,0)),0))</x:f>
      </x:c>
      <x:c r="H102" s="10" t="e">
        <x:f>IF($A102="","",IFERROR(INDEX(Checks!$F:$F,MATCH($A102,Checks!$A:$A,0)),0))</x:f>
      </x:c>
      <x:c r="I102" s="10" t="e">
        <x:f>IF($A102="","",IFERROR(INDEX(Checks!$H:$H,MATCH($A102,Checks!$A:$A,0)),"NO"))</x:f>
      </x:c>
      <x:c r="J102" s="10" t="e">
        <x:f>IF($A102="","",IFERROR(INDEX(Checks!$J:$J,MATCH($A102,Checks!$A:$A,0)),0))</x:f>
      </x:c>
      <x:c r="K102" s="10" t="str">
        <x:f t="shared" si="8"/>
      </x:c>
    </x:row>
    <x:row r="103" ht="66.25" customHeight="1">
      <x:c r="A103" s="10" t="e">
        <x:f>IFERROR(INDEX(Dependencies!$C$2:$C$5000,_xludf.AGGREGATE(15,6,(ROW(Dependencies!$A$2:$A$5000)-ROW(Dependencies!$A$2)+1)/(Dependencies!$A$2:$A$5000=$B$3),ROWS($A$20:A103))),"")</x:f>
      </x:c>
      <x:c r="B103" s="10" t="e">
        <x:f>IF($A103="","",IFERROR(INDEX(Blueprint_Data!$F:$F,MATCH($A103,Blueprint_Data!$A:$A,0)),""))</x:f>
      </x:c>
      <x:c r="C103" s="10" t="e">
        <x:f>IF($A103="","",IFERROR(INDEX(Blueprint_Data!$G:$G,MATCH($A103,Blueprint_Data!$A:$A,0)),""))</x:f>
      </x:c>
      <x:c r="D103" s="10" t="e">
        <x:f>IF($A103="","",IFERROR(INDEX(Blueprint_Data!$W:$W,MATCH($A103,Blueprint_Data!$A:$A,0)),""))</x:f>
      </x:c>
      <x:c r="E103" s="10" t="str">
        <x:f t="shared" si="6"/>
      </x:c>
      <x:c r="F103" s="10" t="str">
        <x:f t="shared" si="7"/>
        <x:v>Missing Dependency; Out-of-Seq; Missing OM Fields</x:v>
      </x:c>
      <x:c r="G103" s="10" t="e">
        <x:f>IF($A103="","",IFERROR(INDEX(Checks!$D:$D,MATCH($A103,Checks!$A:$A,0)),0))</x:f>
      </x:c>
      <x:c r="H103" s="10" t="e">
        <x:f>IF($A103="","",IFERROR(INDEX(Checks!$F:$F,MATCH($A103,Checks!$A:$A,0)),0))</x:f>
      </x:c>
      <x:c r="I103" s="10" t="e">
        <x:f>IF($A103="","",IFERROR(INDEX(Checks!$H:$H,MATCH($A103,Checks!$A:$A,0)),"NO"))</x:f>
      </x:c>
      <x:c r="J103" s="10" t="e">
        <x:f>IF($A103="","",IFERROR(INDEX(Checks!$J:$J,MATCH($A103,Checks!$A:$A,0)),0))</x:f>
      </x:c>
      <x:c r="K103" s="10" t="str">
        <x:f t="shared" si="8"/>
      </x:c>
    </x:row>
    <x:row r="104" ht="66.25" customHeight="1">
      <x:c r="A104" s="10" t="e">
        <x:f>IFERROR(INDEX(Dependencies!$C$2:$C$5000,_xludf.AGGREGATE(15,6,(ROW(Dependencies!$A$2:$A$5000)-ROW(Dependencies!$A$2)+1)/(Dependencies!$A$2:$A$5000=$B$3),ROWS($A$20:A104))),"")</x:f>
      </x:c>
      <x:c r="B104" s="10" t="e">
        <x:f>IF($A104="","",IFERROR(INDEX(Blueprint_Data!$F:$F,MATCH($A104,Blueprint_Data!$A:$A,0)),""))</x:f>
      </x:c>
      <x:c r="C104" s="10" t="e">
        <x:f>IF($A104="","",IFERROR(INDEX(Blueprint_Data!$G:$G,MATCH($A104,Blueprint_Data!$A:$A,0)),""))</x:f>
      </x:c>
      <x:c r="D104" s="10" t="e">
        <x:f>IF($A104="","",IFERROR(INDEX(Blueprint_Data!$W:$W,MATCH($A104,Blueprint_Data!$A:$A,0)),""))</x:f>
      </x:c>
      <x:c r="E104" s="10" t="str">
        <x:f t="shared" si="6"/>
      </x:c>
      <x:c r="F104" s="10" t="str">
        <x:f t="shared" si="7"/>
        <x:v>Missing Dependency; Out-of-Seq; Missing OM Fields</x:v>
      </x:c>
      <x:c r="G104" s="10" t="e">
        <x:f>IF($A104="","",IFERROR(INDEX(Checks!$D:$D,MATCH($A104,Checks!$A:$A,0)),0))</x:f>
      </x:c>
      <x:c r="H104" s="10" t="e">
        <x:f>IF($A104="","",IFERROR(INDEX(Checks!$F:$F,MATCH($A104,Checks!$A:$A,0)),0))</x:f>
      </x:c>
      <x:c r="I104" s="10" t="e">
        <x:f>IF($A104="","",IFERROR(INDEX(Checks!$H:$H,MATCH($A104,Checks!$A:$A,0)),"NO"))</x:f>
      </x:c>
      <x:c r="J104" s="10" t="e">
        <x:f>IF($A104="","",IFERROR(INDEX(Checks!$J:$J,MATCH($A104,Checks!$A:$A,0)),0))</x:f>
      </x:c>
      <x:c r="K104" s="10" t="str">
        <x:f t="shared" si="8"/>
      </x:c>
    </x:row>
    <x:row r="105" ht="66.25" customHeight="1">
      <x:c r="A105" s="10" t="e">
        <x:f>IFERROR(INDEX(Dependencies!$C$2:$C$5000,_xludf.AGGREGATE(15,6,(ROW(Dependencies!$A$2:$A$5000)-ROW(Dependencies!$A$2)+1)/(Dependencies!$A$2:$A$5000=$B$3),ROWS($A$20:A105))),"")</x:f>
      </x:c>
      <x:c r="B105" s="10" t="e">
        <x:f>IF($A105="","",IFERROR(INDEX(Blueprint_Data!$F:$F,MATCH($A105,Blueprint_Data!$A:$A,0)),""))</x:f>
      </x:c>
      <x:c r="C105" s="10" t="e">
        <x:f>IF($A105="","",IFERROR(INDEX(Blueprint_Data!$G:$G,MATCH($A105,Blueprint_Data!$A:$A,0)),""))</x:f>
      </x:c>
      <x:c r="D105" s="10" t="e">
        <x:f>IF($A105="","",IFERROR(INDEX(Blueprint_Data!$W:$W,MATCH($A105,Blueprint_Data!$A:$A,0)),""))</x:f>
      </x:c>
      <x:c r="E105" s="10" t="str">
        <x:f t="shared" si="6"/>
      </x:c>
      <x:c r="F105" s="10" t="str">
        <x:f t="shared" si="7"/>
        <x:v>Missing Dependency; Out-of-Seq; Missing OM Fields</x:v>
      </x:c>
      <x:c r="G105" s="10" t="e">
        <x:f>IF($A105="","",IFERROR(INDEX(Checks!$D:$D,MATCH($A105,Checks!$A:$A,0)),0))</x:f>
      </x:c>
      <x:c r="H105" s="10" t="e">
        <x:f>IF($A105="","",IFERROR(INDEX(Checks!$F:$F,MATCH($A105,Checks!$A:$A,0)),0))</x:f>
      </x:c>
      <x:c r="I105" s="10" t="e">
        <x:f>IF($A105="","",IFERROR(INDEX(Checks!$H:$H,MATCH($A105,Checks!$A:$A,0)),"NO"))</x:f>
      </x:c>
      <x:c r="J105" s="10" t="e">
        <x:f>IF($A105="","",IFERROR(INDEX(Checks!$J:$J,MATCH($A105,Checks!$A:$A,0)),0))</x:f>
      </x:c>
      <x:c r="K105" s="10" t="str">
        <x:f t="shared" si="8"/>
      </x:c>
    </x:row>
    <x:row r="106" ht="66.25" customHeight="1">
      <x:c r="A106" s="10" t="e">
        <x:f>IFERROR(INDEX(Dependencies!$C$2:$C$5000,_xludf.AGGREGATE(15,6,(ROW(Dependencies!$A$2:$A$5000)-ROW(Dependencies!$A$2)+1)/(Dependencies!$A$2:$A$5000=$B$3),ROWS($A$20:A106))),"")</x:f>
      </x:c>
      <x:c r="B106" s="10" t="e">
        <x:f>IF($A106="","",IFERROR(INDEX(Blueprint_Data!$F:$F,MATCH($A106,Blueprint_Data!$A:$A,0)),""))</x:f>
      </x:c>
      <x:c r="C106" s="10" t="e">
        <x:f>IF($A106="","",IFERROR(INDEX(Blueprint_Data!$G:$G,MATCH($A106,Blueprint_Data!$A:$A,0)),""))</x:f>
      </x:c>
      <x:c r="D106" s="10" t="e">
        <x:f>IF($A106="","",IFERROR(INDEX(Blueprint_Data!$W:$W,MATCH($A106,Blueprint_Data!$A:$A,0)),""))</x:f>
      </x:c>
      <x:c r="E106" s="10" t="str">
        <x:f t="shared" si="6"/>
      </x:c>
      <x:c r="F106" s="10" t="str">
        <x:f t="shared" si="7"/>
        <x:v>Missing Dependency; Out-of-Seq; Missing OM Fields</x:v>
      </x:c>
      <x:c r="G106" s="10" t="e">
        <x:f>IF($A106="","",IFERROR(INDEX(Checks!$D:$D,MATCH($A106,Checks!$A:$A,0)),0))</x:f>
      </x:c>
      <x:c r="H106" s="10" t="e">
        <x:f>IF($A106="","",IFERROR(INDEX(Checks!$F:$F,MATCH($A106,Checks!$A:$A,0)),0))</x:f>
      </x:c>
      <x:c r="I106" s="10" t="e">
        <x:f>IF($A106="","",IFERROR(INDEX(Checks!$H:$H,MATCH($A106,Checks!$A:$A,0)),"NO"))</x:f>
      </x:c>
      <x:c r="J106" s="10" t="e">
        <x:f>IF($A106="","",IFERROR(INDEX(Checks!$J:$J,MATCH($A106,Checks!$A:$A,0)),0))</x:f>
      </x:c>
      <x:c r="K106" s="10" t="str">
        <x:f t="shared" si="8"/>
      </x:c>
    </x:row>
    <x:row r="107" ht="66.25" customHeight="1">
      <x:c r="A107" s="10" t="e">
        <x:f>IFERROR(INDEX(Dependencies!$C$2:$C$5000,_xludf.AGGREGATE(15,6,(ROW(Dependencies!$A$2:$A$5000)-ROW(Dependencies!$A$2)+1)/(Dependencies!$A$2:$A$5000=$B$3),ROWS($A$20:A107))),"")</x:f>
      </x:c>
      <x:c r="B107" s="10" t="e">
        <x:f>IF($A107="","",IFERROR(INDEX(Blueprint_Data!$F:$F,MATCH($A107,Blueprint_Data!$A:$A,0)),""))</x:f>
      </x:c>
      <x:c r="C107" s="10" t="e">
        <x:f>IF($A107="","",IFERROR(INDEX(Blueprint_Data!$G:$G,MATCH($A107,Blueprint_Data!$A:$A,0)),""))</x:f>
      </x:c>
      <x:c r="D107" s="10" t="e">
        <x:f>IF($A107="","",IFERROR(INDEX(Blueprint_Data!$W:$W,MATCH($A107,Blueprint_Data!$A:$A,0)),""))</x:f>
      </x:c>
      <x:c r="E107" s="10" t="str">
        <x:f t="shared" si="6"/>
      </x:c>
      <x:c r="F107" s="10" t="str">
        <x:f t="shared" si="7"/>
        <x:v>Missing Dependency; Out-of-Seq; Missing OM Fields</x:v>
      </x:c>
      <x:c r="G107" s="10" t="e">
        <x:f>IF($A107="","",IFERROR(INDEX(Checks!$D:$D,MATCH($A107,Checks!$A:$A,0)),0))</x:f>
      </x:c>
      <x:c r="H107" s="10" t="e">
        <x:f>IF($A107="","",IFERROR(INDEX(Checks!$F:$F,MATCH($A107,Checks!$A:$A,0)),0))</x:f>
      </x:c>
      <x:c r="I107" s="10" t="e">
        <x:f>IF($A107="","",IFERROR(INDEX(Checks!$H:$H,MATCH($A107,Checks!$A:$A,0)),"NO"))</x:f>
      </x:c>
      <x:c r="J107" s="10" t="e">
        <x:f>IF($A107="","",IFERROR(INDEX(Checks!$J:$J,MATCH($A107,Checks!$A:$A,0)),0))</x:f>
      </x:c>
      <x:c r="K107" s="10" t="str">
        <x:f t="shared" si="8"/>
      </x:c>
    </x:row>
    <x:row r="108" ht="66.25" customHeight="1">
      <x:c r="A108" s="10" t="e">
        <x:f>IFERROR(INDEX(Dependencies!$C$2:$C$5000,_xludf.AGGREGATE(15,6,(ROW(Dependencies!$A$2:$A$5000)-ROW(Dependencies!$A$2)+1)/(Dependencies!$A$2:$A$5000=$B$3),ROWS($A$20:A108))),"")</x:f>
      </x:c>
      <x:c r="B108" s="10" t="e">
        <x:f>IF($A108="","",IFERROR(INDEX(Blueprint_Data!$F:$F,MATCH($A108,Blueprint_Data!$A:$A,0)),""))</x:f>
      </x:c>
      <x:c r="C108" s="10" t="e">
        <x:f>IF($A108="","",IFERROR(INDEX(Blueprint_Data!$G:$G,MATCH($A108,Blueprint_Data!$A:$A,0)),""))</x:f>
      </x:c>
      <x:c r="D108" s="10" t="e">
        <x:f>IF($A108="","",IFERROR(INDEX(Blueprint_Data!$W:$W,MATCH($A108,Blueprint_Data!$A:$A,0)),""))</x:f>
      </x:c>
      <x:c r="E108" s="10" t="str">
        <x:f t="shared" si="6"/>
      </x:c>
      <x:c r="F108" s="10" t="str">
        <x:f t="shared" si="7"/>
        <x:v>Missing Dependency; Out-of-Seq; Missing OM Fields</x:v>
      </x:c>
      <x:c r="G108" s="10" t="e">
        <x:f>IF($A108="","",IFERROR(INDEX(Checks!$D:$D,MATCH($A108,Checks!$A:$A,0)),0))</x:f>
      </x:c>
      <x:c r="H108" s="10" t="e">
        <x:f>IF($A108="","",IFERROR(INDEX(Checks!$F:$F,MATCH($A108,Checks!$A:$A,0)),0))</x:f>
      </x:c>
      <x:c r="I108" s="10" t="e">
        <x:f>IF($A108="","",IFERROR(INDEX(Checks!$H:$H,MATCH($A108,Checks!$A:$A,0)),"NO"))</x:f>
      </x:c>
      <x:c r="J108" s="10" t="e">
        <x:f>IF($A108="","",IFERROR(INDEX(Checks!$J:$J,MATCH($A108,Checks!$A:$A,0)),0))</x:f>
      </x:c>
      <x:c r="K108" s="10" t="str">
        <x:f t="shared" si="8"/>
      </x:c>
    </x:row>
    <x:row r="109" ht="66.25" customHeight="1">
      <x:c r="A109" s="10" t="e">
        <x:f>IFERROR(INDEX(Dependencies!$C$2:$C$5000,_xludf.AGGREGATE(15,6,(ROW(Dependencies!$A$2:$A$5000)-ROW(Dependencies!$A$2)+1)/(Dependencies!$A$2:$A$5000=$B$3),ROWS($A$20:A109))),"")</x:f>
      </x:c>
      <x:c r="B109" s="10" t="e">
        <x:f>IF($A109="","",IFERROR(INDEX(Blueprint_Data!$F:$F,MATCH($A109,Blueprint_Data!$A:$A,0)),""))</x:f>
      </x:c>
      <x:c r="C109" s="10" t="e">
        <x:f>IF($A109="","",IFERROR(INDEX(Blueprint_Data!$G:$G,MATCH($A109,Blueprint_Data!$A:$A,0)),""))</x:f>
      </x:c>
      <x:c r="D109" s="10" t="e">
        <x:f>IF($A109="","",IFERROR(INDEX(Blueprint_Data!$W:$W,MATCH($A109,Blueprint_Data!$A:$A,0)),""))</x:f>
      </x:c>
      <x:c r="E109" s="10" t="str">
        <x:f t="shared" si="6"/>
      </x:c>
      <x:c r="F109" s="10" t="str">
        <x:f t="shared" si="7"/>
        <x:v>Missing Dependency; Out-of-Seq; Missing OM Fields</x:v>
      </x:c>
      <x:c r="G109" s="10" t="e">
        <x:f>IF($A109="","",IFERROR(INDEX(Checks!$D:$D,MATCH($A109,Checks!$A:$A,0)),0))</x:f>
      </x:c>
      <x:c r="H109" s="10" t="e">
        <x:f>IF($A109="","",IFERROR(INDEX(Checks!$F:$F,MATCH($A109,Checks!$A:$A,0)),0))</x:f>
      </x:c>
      <x:c r="I109" s="10" t="e">
        <x:f>IF($A109="","",IFERROR(INDEX(Checks!$H:$H,MATCH($A109,Checks!$A:$A,0)),"NO"))</x:f>
      </x:c>
      <x:c r="J109" s="10" t="e">
        <x:f>IF($A109="","",IFERROR(INDEX(Checks!$J:$J,MATCH($A109,Checks!$A:$A,0)),0))</x:f>
      </x:c>
      <x:c r="K109" s="10" t="str">
        <x:f t="shared" si="8"/>
      </x:c>
    </x:row>
    <x:row r="110" ht="66.25" customHeight="1">
      <x:c r="A110" s="10" t="e">
        <x:f>IFERROR(INDEX(Dependencies!$C$2:$C$5000,_xludf.AGGREGATE(15,6,(ROW(Dependencies!$A$2:$A$5000)-ROW(Dependencies!$A$2)+1)/(Dependencies!$A$2:$A$5000=$B$3),ROWS($A$20:A110))),"")</x:f>
      </x:c>
      <x:c r="B110" s="10" t="e">
        <x:f>IF($A110="","",IFERROR(INDEX(Blueprint_Data!$F:$F,MATCH($A110,Blueprint_Data!$A:$A,0)),""))</x:f>
      </x:c>
      <x:c r="C110" s="10" t="e">
        <x:f>IF($A110="","",IFERROR(INDEX(Blueprint_Data!$G:$G,MATCH($A110,Blueprint_Data!$A:$A,0)),""))</x:f>
      </x:c>
      <x:c r="D110" s="10" t="e">
        <x:f>IF($A110="","",IFERROR(INDEX(Blueprint_Data!$W:$W,MATCH($A110,Blueprint_Data!$A:$A,0)),""))</x:f>
      </x:c>
      <x:c r="E110" s="10" t="str">
        <x:f t="shared" si="6"/>
      </x:c>
      <x:c r="F110" s="10" t="str">
        <x:f t="shared" si="7"/>
        <x:v>Missing Dependency; Out-of-Seq; Missing OM Fields</x:v>
      </x:c>
      <x:c r="G110" s="10" t="e">
        <x:f>IF($A110="","",IFERROR(INDEX(Checks!$D:$D,MATCH($A110,Checks!$A:$A,0)),0))</x:f>
      </x:c>
      <x:c r="H110" s="10" t="e">
        <x:f>IF($A110="","",IFERROR(INDEX(Checks!$F:$F,MATCH($A110,Checks!$A:$A,0)),0))</x:f>
      </x:c>
      <x:c r="I110" s="10" t="e">
        <x:f>IF($A110="","",IFERROR(INDEX(Checks!$H:$H,MATCH($A110,Checks!$A:$A,0)),"NO"))</x:f>
      </x:c>
      <x:c r="J110" s="10" t="e">
        <x:f>IF($A110="","",IFERROR(INDEX(Checks!$J:$J,MATCH($A110,Checks!$A:$A,0)),0))</x:f>
      </x:c>
      <x:c r="K110" s="10" t="str">
        <x:f t="shared" si="8"/>
      </x:c>
    </x:row>
    <x:row r="111" ht="66.25" customHeight="1">
      <x:c r="A111" s="10" t="e">
        <x:f>IFERROR(INDEX(Dependencies!$C$2:$C$5000,_xludf.AGGREGATE(15,6,(ROW(Dependencies!$A$2:$A$5000)-ROW(Dependencies!$A$2)+1)/(Dependencies!$A$2:$A$5000=$B$3),ROWS($A$20:A111))),"")</x:f>
      </x:c>
      <x:c r="B111" s="10" t="e">
        <x:f>IF($A111="","",IFERROR(INDEX(Blueprint_Data!$F:$F,MATCH($A111,Blueprint_Data!$A:$A,0)),""))</x:f>
      </x:c>
      <x:c r="C111" s="10" t="e">
        <x:f>IF($A111="","",IFERROR(INDEX(Blueprint_Data!$G:$G,MATCH($A111,Blueprint_Data!$A:$A,0)),""))</x:f>
      </x:c>
      <x:c r="D111" s="10" t="e">
        <x:f>IF($A111="","",IFERROR(INDEX(Blueprint_Data!$W:$W,MATCH($A111,Blueprint_Data!$A:$A,0)),""))</x:f>
      </x:c>
      <x:c r="E111" s="10" t="str">
        <x:f t="shared" si="6"/>
      </x:c>
      <x:c r="F111" s="10" t="str">
        <x:f t="shared" si="7"/>
        <x:v>Missing Dependency; Out-of-Seq; Missing OM Fields</x:v>
      </x:c>
      <x:c r="G111" s="10" t="e">
        <x:f>IF($A111="","",IFERROR(INDEX(Checks!$D:$D,MATCH($A111,Checks!$A:$A,0)),0))</x:f>
      </x:c>
      <x:c r="H111" s="10" t="e">
        <x:f>IF($A111="","",IFERROR(INDEX(Checks!$F:$F,MATCH($A111,Checks!$A:$A,0)),0))</x:f>
      </x:c>
      <x:c r="I111" s="10" t="e">
        <x:f>IF($A111="","",IFERROR(INDEX(Checks!$H:$H,MATCH($A111,Checks!$A:$A,0)),"NO"))</x:f>
      </x:c>
      <x:c r="J111" s="10" t="e">
        <x:f>IF($A111="","",IFERROR(INDEX(Checks!$J:$J,MATCH($A111,Checks!$A:$A,0)),0))</x:f>
      </x:c>
      <x:c r="K111" s="10" t="str">
        <x:f t="shared" si="8"/>
      </x:c>
    </x:row>
    <x:row r="112" ht="66.25" customHeight="1">
      <x:c r="A112" s="10" t="e">
        <x:f>IFERROR(INDEX(Dependencies!$C$2:$C$5000,_xludf.AGGREGATE(15,6,(ROW(Dependencies!$A$2:$A$5000)-ROW(Dependencies!$A$2)+1)/(Dependencies!$A$2:$A$5000=$B$3),ROWS($A$20:A112))),"")</x:f>
      </x:c>
      <x:c r="B112" s="10" t="e">
        <x:f>IF($A112="","",IFERROR(INDEX(Blueprint_Data!$F:$F,MATCH($A112,Blueprint_Data!$A:$A,0)),""))</x:f>
      </x:c>
      <x:c r="C112" s="10" t="e">
        <x:f>IF($A112="","",IFERROR(INDEX(Blueprint_Data!$G:$G,MATCH($A112,Blueprint_Data!$A:$A,0)),""))</x:f>
      </x:c>
      <x:c r="D112" s="10" t="e">
        <x:f>IF($A112="","",IFERROR(INDEX(Blueprint_Data!$W:$W,MATCH($A112,Blueprint_Data!$A:$A,0)),""))</x:f>
      </x:c>
      <x:c r="E112" s="10" t="str">
        <x:f t="shared" si="6"/>
      </x:c>
      <x:c r="F112" s="10" t="str">
        <x:f t="shared" si="7"/>
        <x:v>Missing Dependency; Out-of-Seq; Missing OM Fields</x:v>
      </x:c>
      <x:c r="G112" s="10" t="e">
        <x:f>IF($A112="","",IFERROR(INDEX(Checks!$D:$D,MATCH($A112,Checks!$A:$A,0)),0))</x:f>
      </x:c>
      <x:c r="H112" s="10" t="e">
        <x:f>IF($A112="","",IFERROR(INDEX(Checks!$F:$F,MATCH($A112,Checks!$A:$A,0)),0))</x:f>
      </x:c>
      <x:c r="I112" s="10" t="e">
        <x:f>IF($A112="","",IFERROR(INDEX(Checks!$H:$H,MATCH($A112,Checks!$A:$A,0)),"NO"))</x:f>
      </x:c>
      <x:c r="J112" s="10" t="e">
        <x:f>IF($A112="","",IFERROR(INDEX(Checks!$J:$J,MATCH($A112,Checks!$A:$A,0)),0))</x:f>
      </x:c>
      <x:c r="K112" s="10" t="str">
        <x:f t="shared" si="8"/>
      </x:c>
    </x:row>
    <x:row r="113" ht="66.25" customHeight="1">
      <x:c r="A113" s="10" t="e">
        <x:f>IFERROR(INDEX(Dependencies!$C$2:$C$5000,_xludf.AGGREGATE(15,6,(ROW(Dependencies!$A$2:$A$5000)-ROW(Dependencies!$A$2)+1)/(Dependencies!$A$2:$A$5000=$B$3),ROWS($A$20:A113))),"")</x:f>
      </x:c>
      <x:c r="B113" s="10" t="e">
        <x:f>IF($A113="","",IFERROR(INDEX(Blueprint_Data!$F:$F,MATCH($A113,Blueprint_Data!$A:$A,0)),""))</x:f>
      </x:c>
      <x:c r="C113" s="10" t="e">
        <x:f>IF($A113="","",IFERROR(INDEX(Blueprint_Data!$G:$G,MATCH($A113,Blueprint_Data!$A:$A,0)),""))</x:f>
      </x:c>
      <x:c r="D113" s="10" t="e">
        <x:f>IF($A113="","",IFERROR(INDEX(Blueprint_Data!$W:$W,MATCH($A113,Blueprint_Data!$A:$A,0)),""))</x:f>
      </x:c>
      <x:c r="E113" s="10" t="str">
        <x:f t="shared" si="6"/>
      </x:c>
      <x:c r="F113" s="10" t="str">
        <x:f t="shared" si="7"/>
        <x:v>Missing Dependency; Out-of-Seq; Missing OM Fields</x:v>
      </x:c>
      <x:c r="G113" s="10" t="e">
        <x:f>IF($A113="","",IFERROR(INDEX(Checks!$D:$D,MATCH($A113,Checks!$A:$A,0)),0))</x:f>
      </x:c>
      <x:c r="H113" s="10" t="e">
        <x:f>IF($A113="","",IFERROR(INDEX(Checks!$F:$F,MATCH($A113,Checks!$A:$A,0)),0))</x:f>
      </x:c>
      <x:c r="I113" s="10" t="e">
        <x:f>IF($A113="","",IFERROR(INDEX(Checks!$H:$H,MATCH($A113,Checks!$A:$A,0)),"NO"))</x:f>
      </x:c>
      <x:c r="J113" s="10" t="e">
        <x:f>IF($A113="","",IFERROR(INDEX(Checks!$J:$J,MATCH($A113,Checks!$A:$A,0)),0))</x:f>
      </x:c>
      <x:c r="K113" s="10" t="str">
        <x:f t="shared" si="8"/>
      </x:c>
    </x:row>
    <x:row r="114" ht="66.25" customHeight="1">
      <x:c r="A114" s="10" t="e">
        <x:f>IFERROR(INDEX(Dependencies!$C$2:$C$5000,_xludf.AGGREGATE(15,6,(ROW(Dependencies!$A$2:$A$5000)-ROW(Dependencies!$A$2)+1)/(Dependencies!$A$2:$A$5000=$B$3),ROWS($A$20:A114))),"")</x:f>
      </x:c>
      <x:c r="B114" s="10" t="e">
        <x:f>IF($A114="","",IFERROR(INDEX(Blueprint_Data!$F:$F,MATCH($A114,Blueprint_Data!$A:$A,0)),""))</x:f>
      </x:c>
      <x:c r="C114" s="10" t="e">
        <x:f>IF($A114="","",IFERROR(INDEX(Blueprint_Data!$G:$G,MATCH($A114,Blueprint_Data!$A:$A,0)),""))</x:f>
      </x:c>
      <x:c r="D114" s="10" t="e">
        <x:f>IF($A114="","",IFERROR(INDEX(Blueprint_Data!$W:$W,MATCH($A114,Blueprint_Data!$A:$A,0)),""))</x:f>
      </x:c>
      <x:c r="E114" s="10" t="str">
        <x:f t="shared" si="6"/>
      </x:c>
      <x:c r="F114" s="10" t="str">
        <x:f t="shared" si="7"/>
        <x:v>Missing Dependency; Out-of-Seq; Missing OM Fields</x:v>
      </x:c>
      <x:c r="G114" s="10" t="e">
        <x:f>IF($A114="","",IFERROR(INDEX(Checks!$D:$D,MATCH($A114,Checks!$A:$A,0)),0))</x:f>
      </x:c>
      <x:c r="H114" s="10" t="e">
        <x:f>IF($A114="","",IFERROR(INDEX(Checks!$F:$F,MATCH($A114,Checks!$A:$A,0)),0))</x:f>
      </x:c>
      <x:c r="I114" s="10" t="e">
        <x:f>IF($A114="","",IFERROR(INDEX(Checks!$H:$H,MATCH($A114,Checks!$A:$A,0)),"NO"))</x:f>
      </x:c>
      <x:c r="J114" s="10" t="e">
        <x:f>IF($A114="","",IFERROR(INDEX(Checks!$J:$J,MATCH($A114,Checks!$A:$A,0)),0))</x:f>
      </x:c>
      <x:c r="K114" s="10" t="str">
        <x:f t="shared" si="8"/>
      </x:c>
    </x:row>
    <x:row r="115" ht="66.25" customHeight="1">
      <x:c r="A115" s="10" t="e">
        <x:f>IFERROR(INDEX(Dependencies!$C$2:$C$5000,_xludf.AGGREGATE(15,6,(ROW(Dependencies!$A$2:$A$5000)-ROW(Dependencies!$A$2)+1)/(Dependencies!$A$2:$A$5000=$B$3),ROWS($A$20:A115))),"")</x:f>
      </x:c>
      <x:c r="B115" s="10" t="e">
        <x:f>IF($A115="","",IFERROR(INDEX(Blueprint_Data!$F:$F,MATCH($A115,Blueprint_Data!$A:$A,0)),""))</x:f>
      </x:c>
      <x:c r="C115" s="10" t="e">
        <x:f>IF($A115="","",IFERROR(INDEX(Blueprint_Data!$G:$G,MATCH($A115,Blueprint_Data!$A:$A,0)),""))</x:f>
      </x:c>
      <x:c r="D115" s="10" t="e">
        <x:f>IF($A115="","",IFERROR(INDEX(Blueprint_Data!$W:$W,MATCH($A115,Blueprint_Data!$A:$A,0)),""))</x:f>
      </x:c>
      <x:c r="E115" s="10" t="str">
        <x:f t="shared" si="6"/>
      </x:c>
      <x:c r="F115" s="10" t="str">
        <x:f t="shared" si="7"/>
        <x:v>Missing Dependency; Out-of-Seq; Missing OM Fields</x:v>
      </x:c>
      <x:c r="G115" s="10" t="e">
        <x:f>IF($A115="","",IFERROR(INDEX(Checks!$D:$D,MATCH($A115,Checks!$A:$A,0)),0))</x:f>
      </x:c>
      <x:c r="H115" s="10" t="e">
        <x:f>IF($A115="","",IFERROR(INDEX(Checks!$F:$F,MATCH($A115,Checks!$A:$A,0)),0))</x:f>
      </x:c>
      <x:c r="I115" s="10" t="e">
        <x:f>IF($A115="","",IFERROR(INDEX(Checks!$H:$H,MATCH($A115,Checks!$A:$A,0)),"NO"))</x:f>
      </x:c>
      <x:c r="J115" s="10" t="e">
        <x:f>IF($A115="","",IFERROR(INDEX(Checks!$J:$J,MATCH($A115,Checks!$A:$A,0)),0))</x:f>
      </x:c>
      <x:c r="K115" s="10" t="str">
        <x:f t="shared" si="8"/>
      </x:c>
    </x:row>
    <x:row r="116" ht="66.25" customHeight="1">
      <x:c r="A116" s="10" t="e">
        <x:f>IFERROR(INDEX(Dependencies!$C$2:$C$5000,_xludf.AGGREGATE(15,6,(ROW(Dependencies!$A$2:$A$5000)-ROW(Dependencies!$A$2)+1)/(Dependencies!$A$2:$A$5000=$B$3),ROWS($A$20:A116))),"")</x:f>
      </x:c>
      <x:c r="B116" s="10" t="e">
        <x:f>IF($A116="","",IFERROR(INDEX(Blueprint_Data!$F:$F,MATCH($A116,Blueprint_Data!$A:$A,0)),""))</x:f>
      </x:c>
      <x:c r="C116" s="10" t="e">
        <x:f>IF($A116="","",IFERROR(INDEX(Blueprint_Data!$G:$G,MATCH($A116,Blueprint_Data!$A:$A,0)),""))</x:f>
      </x:c>
      <x:c r="D116" s="10" t="e">
        <x:f>IF($A116="","",IFERROR(INDEX(Blueprint_Data!$W:$W,MATCH($A116,Blueprint_Data!$A:$A,0)),""))</x:f>
      </x:c>
      <x:c r="E116" s="10" t="e">
        <x:f t="shared" ref="E116:E147" si="9">IF($A116="","",IF(OR(G116&gt;0,H116&gt;0,I116="YES",J116&gt;0),"YES","NO"))</x:f>
      </x:c>
      <x:c r="F116" s="10" t="e">
        <x:f t="shared" ref="F116:F147" si="10">IF((IF(G116&gt;0,"Missing Dependency; ","")&amp;IF(H116&gt;0,"Out-of-Seq; ","")&amp;IF(I116="YES","SoR Collision; ","")&amp;IF(J116&gt;0,"Missing OM Fields; ",""))="","",IF(RIGHT((IF(G116&gt;0,"Missing Dependency; ","")&amp;IF(H116&gt;0,"Out-of-Seq; ","")&amp;IF(I116="YES","SoR Collision; ","")&amp;IF(J116&gt;0,"Missing OM Fields; ","")),2)="; ",LEFT((IF(G116&gt;0,"Missing Dependency; ","")&amp;IF(H116&gt;0,"Out-of-Seq; ","")&amp;IF(I116="YES","SoR Collision; ","")&amp;IF(J116&gt;0,"Missing OM Fields; ","")),LEN((IF(G116&gt;0,"Missing Dependency; ","")&amp;IF(H116&gt;0,"Out-of-Seq; ","")&amp;IF(I116="YES","SoR Collision; ","")&amp;IF(J116&gt;0,"Missing OM Fields; ","")))-2),(IF(G116&gt;0,"Missing Dependency; ","")&amp;IF(H116&gt;0,"Out-of-Seq; ","")&amp;IF(I116="YES","SoR Collision; ","")&amp;IF(J116&gt;0,"Missing OM Fields; ",""))))</x:f>
      </x:c>
      <x:c r="G116" s="10" t="e">
        <x:f>IF($A116="","",IFERROR(INDEX(Checks!$D:$D,MATCH($A116,Checks!$A:$A,0)),0))</x:f>
      </x:c>
      <x:c r="H116" s="10" t="e">
        <x:f>IF($A116="","",IFERROR(INDEX(Checks!$F:$F,MATCH($A116,Checks!$A:$A,0)),0))</x:f>
      </x:c>
      <x:c r="I116" s="10" t="e">
        <x:f>IF($A116="","",IFERROR(INDEX(Checks!$H:$H,MATCH($A116,Checks!$A:$A,0)),"NO"))</x:f>
      </x:c>
      <x:c r="J116" s="10" t="e">
        <x:f>IF($A116="","",IFERROR(INDEX(Checks!$J:$J,MATCH($A116,Checks!$A:$A,0)),0))</x:f>
      </x:c>
      <x:c r="K116" s="10" t="e">
        <x:f t="shared" ref="K116:K147" si="11">IF($A116="","",IF(E116="NO","OK: dependency is clean",IF(I116="YES","Resolve SoR ownership (single SoR)",IF(G116&gt;0,"Close missing dependencies",IF(H116&gt;0,"Resequence waves",IF(J116&gt;0,"Populate Operating Model fields","Remediate blockers"))))))</x:f>
      </x:c>
    </x:row>
    <x:row r="117" ht="66.25" customHeight="1">
      <x:c r="A117" s="10" t="e">
        <x:f>IFERROR(INDEX(Dependencies!$C$2:$C$5000,_xludf.AGGREGATE(15,6,(ROW(Dependencies!$A$2:$A$5000)-ROW(Dependencies!$A$2)+1)/(Dependencies!$A$2:$A$5000=$B$3),ROWS($A$20:A117))),"")</x:f>
      </x:c>
      <x:c r="B117" s="10" t="e">
        <x:f>IF($A117="","",IFERROR(INDEX(Blueprint_Data!$F:$F,MATCH($A117,Blueprint_Data!$A:$A,0)),""))</x:f>
      </x:c>
      <x:c r="C117" s="10" t="e">
        <x:f>IF($A117="","",IFERROR(INDEX(Blueprint_Data!$G:$G,MATCH($A117,Blueprint_Data!$A:$A,0)),""))</x:f>
      </x:c>
      <x:c r="D117" s="10" t="e">
        <x:f>IF($A117="","",IFERROR(INDEX(Blueprint_Data!$W:$W,MATCH($A117,Blueprint_Data!$A:$A,0)),""))</x:f>
      </x:c>
      <x:c r="E117" s="10" t="str">
        <x:f t="shared" si="9"/>
      </x:c>
      <x:c r="F117" s="10" t="str">
        <x:f t="shared" si="10"/>
        <x:v>Missing Dependency; Out-of-Seq; Missing OM Fields</x:v>
      </x:c>
      <x:c r="G117" s="10" t="e">
        <x:f>IF($A117="","",IFERROR(INDEX(Checks!$D:$D,MATCH($A117,Checks!$A:$A,0)),0))</x:f>
      </x:c>
      <x:c r="H117" s="10" t="e">
        <x:f>IF($A117="","",IFERROR(INDEX(Checks!$F:$F,MATCH($A117,Checks!$A:$A,0)),0))</x:f>
      </x:c>
      <x:c r="I117" s="10" t="e">
        <x:f>IF($A117="","",IFERROR(INDEX(Checks!$H:$H,MATCH($A117,Checks!$A:$A,0)),"NO"))</x:f>
      </x:c>
      <x:c r="J117" s="10" t="e">
        <x:f>IF($A117="","",IFERROR(INDEX(Checks!$J:$J,MATCH($A117,Checks!$A:$A,0)),0))</x:f>
      </x:c>
      <x:c r="K117" s="10" t="str">
        <x:f t="shared" si="11"/>
      </x:c>
    </x:row>
    <x:row r="118" ht="66.25" customHeight="1">
      <x:c r="A118" s="10" t="e">
        <x:f>IFERROR(INDEX(Dependencies!$C$2:$C$5000,_xludf.AGGREGATE(15,6,(ROW(Dependencies!$A$2:$A$5000)-ROW(Dependencies!$A$2)+1)/(Dependencies!$A$2:$A$5000=$B$3),ROWS($A$20:A118))),"")</x:f>
      </x:c>
      <x:c r="B118" s="10" t="e">
        <x:f>IF($A118="","",IFERROR(INDEX(Blueprint_Data!$F:$F,MATCH($A118,Blueprint_Data!$A:$A,0)),""))</x:f>
      </x:c>
      <x:c r="C118" s="10" t="e">
        <x:f>IF($A118="","",IFERROR(INDEX(Blueprint_Data!$G:$G,MATCH($A118,Blueprint_Data!$A:$A,0)),""))</x:f>
      </x:c>
      <x:c r="D118" s="10" t="e">
        <x:f>IF($A118="","",IFERROR(INDEX(Blueprint_Data!$W:$W,MATCH($A118,Blueprint_Data!$A:$A,0)),""))</x:f>
      </x:c>
      <x:c r="E118" s="10" t="str">
        <x:f t="shared" si="9"/>
      </x:c>
      <x:c r="F118" s="10" t="str">
        <x:f t="shared" si="10"/>
        <x:v>Missing Dependency; Out-of-Seq; Missing OM Fields</x:v>
      </x:c>
      <x:c r="G118" s="10" t="e">
        <x:f>IF($A118="","",IFERROR(INDEX(Checks!$D:$D,MATCH($A118,Checks!$A:$A,0)),0))</x:f>
      </x:c>
      <x:c r="H118" s="10" t="e">
        <x:f>IF($A118="","",IFERROR(INDEX(Checks!$F:$F,MATCH($A118,Checks!$A:$A,0)),0))</x:f>
      </x:c>
      <x:c r="I118" s="10" t="e">
        <x:f>IF($A118="","",IFERROR(INDEX(Checks!$H:$H,MATCH($A118,Checks!$A:$A,0)),"NO"))</x:f>
      </x:c>
      <x:c r="J118" s="10" t="e">
        <x:f>IF($A118="","",IFERROR(INDEX(Checks!$J:$J,MATCH($A118,Checks!$A:$A,0)),0))</x:f>
      </x:c>
      <x:c r="K118" s="10" t="str">
        <x:f t="shared" si="11"/>
      </x:c>
    </x:row>
    <x:row r="119" ht="66.25" customHeight="1">
      <x:c r="A119" s="10" t="e">
        <x:f>IFERROR(INDEX(Dependencies!$C$2:$C$5000,_xludf.AGGREGATE(15,6,(ROW(Dependencies!$A$2:$A$5000)-ROW(Dependencies!$A$2)+1)/(Dependencies!$A$2:$A$5000=$B$3),ROWS($A$20:A119))),"")</x:f>
      </x:c>
      <x:c r="B119" s="10" t="e">
        <x:f>IF($A119="","",IFERROR(INDEX(Blueprint_Data!$F:$F,MATCH($A119,Blueprint_Data!$A:$A,0)),""))</x:f>
      </x:c>
      <x:c r="C119" s="10" t="e">
        <x:f>IF($A119="","",IFERROR(INDEX(Blueprint_Data!$G:$G,MATCH($A119,Blueprint_Data!$A:$A,0)),""))</x:f>
      </x:c>
      <x:c r="D119" s="10" t="e">
        <x:f>IF($A119="","",IFERROR(INDEX(Blueprint_Data!$W:$W,MATCH($A119,Blueprint_Data!$A:$A,0)),""))</x:f>
      </x:c>
      <x:c r="E119" s="10" t="str">
        <x:f t="shared" si="9"/>
      </x:c>
      <x:c r="F119" s="10" t="str">
        <x:f t="shared" si="10"/>
        <x:v>Missing Dependency; Out-of-Seq; Missing OM Fields</x:v>
      </x:c>
      <x:c r="G119" s="10" t="e">
        <x:f>IF($A119="","",IFERROR(INDEX(Checks!$D:$D,MATCH($A119,Checks!$A:$A,0)),0))</x:f>
      </x:c>
      <x:c r="H119" s="10" t="e">
        <x:f>IF($A119="","",IFERROR(INDEX(Checks!$F:$F,MATCH($A119,Checks!$A:$A,0)),0))</x:f>
      </x:c>
      <x:c r="I119" s="10" t="e">
        <x:f>IF($A119="","",IFERROR(INDEX(Checks!$H:$H,MATCH($A119,Checks!$A:$A,0)),"NO"))</x:f>
      </x:c>
      <x:c r="J119" s="10" t="e">
        <x:f>IF($A119="","",IFERROR(INDEX(Checks!$J:$J,MATCH($A119,Checks!$A:$A,0)),0))</x:f>
      </x:c>
      <x:c r="K119" s="10" t="str">
        <x:f t="shared" si="11"/>
      </x:c>
    </x:row>
    <x:row r="120" ht="66.25" customHeight="1">
      <x:c r="A120" s="10" t="e">
        <x:f>IFERROR(INDEX(Dependencies!$C$2:$C$5000,_xludf.AGGREGATE(15,6,(ROW(Dependencies!$A$2:$A$5000)-ROW(Dependencies!$A$2)+1)/(Dependencies!$A$2:$A$5000=$B$3),ROWS($A$20:A120))),"")</x:f>
      </x:c>
      <x:c r="B120" s="10" t="e">
        <x:f>IF($A120="","",IFERROR(INDEX(Blueprint_Data!$F:$F,MATCH($A120,Blueprint_Data!$A:$A,0)),""))</x:f>
      </x:c>
      <x:c r="C120" s="10" t="e">
        <x:f>IF($A120="","",IFERROR(INDEX(Blueprint_Data!$G:$G,MATCH($A120,Blueprint_Data!$A:$A,0)),""))</x:f>
      </x:c>
      <x:c r="D120" s="10" t="e">
        <x:f>IF($A120="","",IFERROR(INDEX(Blueprint_Data!$W:$W,MATCH($A120,Blueprint_Data!$A:$A,0)),""))</x:f>
      </x:c>
      <x:c r="E120" s="10" t="str">
        <x:f t="shared" si="9"/>
      </x:c>
      <x:c r="F120" s="10" t="str">
        <x:f t="shared" si="10"/>
        <x:v>Missing Dependency; Out-of-Seq; Missing OM Fields</x:v>
      </x:c>
      <x:c r="G120" s="10" t="e">
        <x:f>IF($A120="","",IFERROR(INDEX(Checks!$D:$D,MATCH($A120,Checks!$A:$A,0)),0))</x:f>
      </x:c>
      <x:c r="H120" s="10" t="e">
        <x:f>IF($A120="","",IFERROR(INDEX(Checks!$F:$F,MATCH($A120,Checks!$A:$A,0)),0))</x:f>
      </x:c>
      <x:c r="I120" s="10" t="e">
        <x:f>IF($A120="","",IFERROR(INDEX(Checks!$H:$H,MATCH($A120,Checks!$A:$A,0)),"NO"))</x:f>
      </x:c>
      <x:c r="J120" s="10" t="e">
        <x:f>IF($A120="","",IFERROR(INDEX(Checks!$J:$J,MATCH($A120,Checks!$A:$A,0)),0))</x:f>
      </x:c>
      <x:c r="K120" s="10" t="str">
        <x:f t="shared" si="11"/>
      </x:c>
    </x:row>
    <x:row r="121" ht="66.25" customHeight="1">
      <x:c r="A121" s="10" t="e">
        <x:f>IFERROR(INDEX(Dependencies!$C$2:$C$5000,_xludf.AGGREGATE(15,6,(ROW(Dependencies!$A$2:$A$5000)-ROW(Dependencies!$A$2)+1)/(Dependencies!$A$2:$A$5000=$B$3),ROWS($A$20:A121))),"")</x:f>
      </x:c>
      <x:c r="B121" s="10" t="e">
        <x:f>IF($A121="","",IFERROR(INDEX(Blueprint_Data!$F:$F,MATCH($A121,Blueprint_Data!$A:$A,0)),""))</x:f>
      </x:c>
      <x:c r="C121" s="10" t="e">
        <x:f>IF($A121="","",IFERROR(INDEX(Blueprint_Data!$G:$G,MATCH($A121,Blueprint_Data!$A:$A,0)),""))</x:f>
      </x:c>
      <x:c r="D121" s="10" t="e">
        <x:f>IF($A121="","",IFERROR(INDEX(Blueprint_Data!$W:$W,MATCH($A121,Blueprint_Data!$A:$A,0)),""))</x:f>
      </x:c>
      <x:c r="E121" s="10" t="str">
        <x:f t="shared" si="9"/>
      </x:c>
      <x:c r="F121" s="10" t="str">
        <x:f t="shared" si="10"/>
        <x:v>Missing Dependency; Out-of-Seq; Missing OM Fields</x:v>
      </x:c>
      <x:c r="G121" s="10" t="e">
        <x:f>IF($A121="","",IFERROR(INDEX(Checks!$D:$D,MATCH($A121,Checks!$A:$A,0)),0))</x:f>
      </x:c>
      <x:c r="H121" s="10" t="e">
        <x:f>IF($A121="","",IFERROR(INDEX(Checks!$F:$F,MATCH($A121,Checks!$A:$A,0)),0))</x:f>
      </x:c>
      <x:c r="I121" s="10" t="e">
        <x:f>IF($A121="","",IFERROR(INDEX(Checks!$H:$H,MATCH($A121,Checks!$A:$A,0)),"NO"))</x:f>
      </x:c>
      <x:c r="J121" s="10" t="e">
        <x:f>IF($A121="","",IFERROR(INDEX(Checks!$J:$J,MATCH($A121,Checks!$A:$A,0)),0))</x:f>
      </x:c>
      <x:c r="K121" s="10" t="str">
        <x:f t="shared" si="11"/>
      </x:c>
    </x:row>
    <x:row r="122" ht="66.25" customHeight="1">
      <x:c r="A122" s="10" t="e">
        <x:f>IFERROR(INDEX(Dependencies!$C$2:$C$5000,_xludf.AGGREGATE(15,6,(ROW(Dependencies!$A$2:$A$5000)-ROW(Dependencies!$A$2)+1)/(Dependencies!$A$2:$A$5000=$B$3),ROWS($A$20:A122))),"")</x:f>
      </x:c>
      <x:c r="B122" s="10" t="e">
        <x:f>IF($A122="","",IFERROR(INDEX(Blueprint_Data!$F:$F,MATCH($A122,Blueprint_Data!$A:$A,0)),""))</x:f>
      </x:c>
      <x:c r="C122" s="10" t="e">
        <x:f>IF($A122="","",IFERROR(INDEX(Blueprint_Data!$G:$G,MATCH($A122,Blueprint_Data!$A:$A,0)),""))</x:f>
      </x:c>
      <x:c r="D122" s="10" t="e">
        <x:f>IF($A122="","",IFERROR(INDEX(Blueprint_Data!$W:$W,MATCH($A122,Blueprint_Data!$A:$A,0)),""))</x:f>
      </x:c>
      <x:c r="E122" s="10" t="str">
        <x:f t="shared" si="9"/>
      </x:c>
      <x:c r="F122" s="10" t="str">
        <x:f t="shared" si="10"/>
        <x:v>Missing Dependency; Out-of-Seq; Missing OM Fields</x:v>
      </x:c>
      <x:c r="G122" s="10" t="e">
        <x:f>IF($A122="","",IFERROR(INDEX(Checks!$D:$D,MATCH($A122,Checks!$A:$A,0)),0))</x:f>
      </x:c>
      <x:c r="H122" s="10" t="e">
        <x:f>IF($A122="","",IFERROR(INDEX(Checks!$F:$F,MATCH($A122,Checks!$A:$A,0)),0))</x:f>
      </x:c>
      <x:c r="I122" s="10" t="e">
        <x:f>IF($A122="","",IFERROR(INDEX(Checks!$H:$H,MATCH($A122,Checks!$A:$A,0)),"NO"))</x:f>
      </x:c>
      <x:c r="J122" s="10" t="e">
        <x:f>IF($A122="","",IFERROR(INDEX(Checks!$J:$J,MATCH($A122,Checks!$A:$A,0)),0))</x:f>
      </x:c>
      <x:c r="K122" s="10" t="str">
        <x:f t="shared" si="11"/>
      </x:c>
    </x:row>
    <x:row r="123" ht="66.25" customHeight="1">
      <x:c r="A123" s="10" t="e">
        <x:f>IFERROR(INDEX(Dependencies!$C$2:$C$5000,_xludf.AGGREGATE(15,6,(ROW(Dependencies!$A$2:$A$5000)-ROW(Dependencies!$A$2)+1)/(Dependencies!$A$2:$A$5000=$B$3),ROWS($A$20:A123))),"")</x:f>
      </x:c>
      <x:c r="B123" s="10" t="e">
        <x:f>IF($A123="","",IFERROR(INDEX(Blueprint_Data!$F:$F,MATCH($A123,Blueprint_Data!$A:$A,0)),""))</x:f>
      </x:c>
      <x:c r="C123" s="10" t="e">
        <x:f>IF($A123="","",IFERROR(INDEX(Blueprint_Data!$G:$G,MATCH($A123,Blueprint_Data!$A:$A,0)),""))</x:f>
      </x:c>
      <x:c r="D123" s="10" t="e">
        <x:f>IF($A123="","",IFERROR(INDEX(Blueprint_Data!$W:$W,MATCH($A123,Blueprint_Data!$A:$A,0)),""))</x:f>
      </x:c>
      <x:c r="E123" s="10" t="str">
        <x:f t="shared" si="9"/>
      </x:c>
      <x:c r="F123" s="10" t="str">
        <x:f t="shared" si="10"/>
        <x:v>Missing Dependency; Out-of-Seq; Missing OM Fields</x:v>
      </x:c>
      <x:c r="G123" s="10" t="e">
        <x:f>IF($A123="","",IFERROR(INDEX(Checks!$D:$D,MATCH($A123,Checks!$A:$A,0)),0))</x:f>
      </x:c>
      <x:c r="H123" s="10" t="e">
        <x:f>IF($A123="","",IFERROR(INDEX(Checks!$F:$F,MATCH($A123,Checks!$A:$A,0)),0))</x:f>
      </x:c>
      <x:c r="I123" s="10" t="e">
        <x:f>IF($A123="","",IFERROR(INDEX(Checks!$H:$H,MATCH($A123,Checks!$A:$A,0)),"NO"))</x:f>
      </x:c>
      <x:c r="J123" s="10" t="e">
        <x:f>IF($A123="","",IFERROR(INDEX(Checks!$J:$J,MATCH($A123,Checks!$A:$A,0)),0))</x:f>
      </x:c>
      <x:c r="K123" s="10" t="str">
        <x:f t="shared" si="11"/>
      </x:c>
    </x:row>
    <x:row r="124" ht="66.25" customHeight="1">
      <x:c r="A124" s="10" t="e">
        <x:f>IFERROR(INDEX(Dependencies!$C$2:$C$5000,_xludf.AGGREGATE(15,6,(ROW(Dependencies!$A$2:$A$5000)-ROW(Dependencies!$A$2)+1)/(Dependencies!$A$2:$A$5000=$B$3),ROWS($A$20:A124))),"")</x:f>
      </x:c>
      <x:c r="B124" s="10" t="e">
        <x:f>IF($A124="","",IFERROR(INDEX(Blueprint_Data!$F:$F,MATCH($A124,Blueprint_Data!$A:$A,0)),""))</x:f>
      </x:c>
      <x:c r="C124" s="10" t="e">
        <x:f>IF($A124="","",IFERROR(INDEX(Blueprint_Data!$G:$G,MATCH($A124,Blueprint_Data!$A:$A,0)),""))</x:f>
      </x:c>
      <x:c r="D124" s="10" t="e">
        <x:f>IF($A124="","",IFERROR(INDEX(Blueprint_Data!$W:$W,MATCH($A124,Blueprint_Data!$A:$A,0)),""))</x:f>
      </x:c>
      <x:c r="E124" s="10" t="str">
        <x:f t="shared" si="9"/>
      </x:c>
      <x:c r="F124" s="10" t="str">
        <x:f t="shared" si="10"/>
        <x:v>Missing Dependency; Out-of-Seq; Missing OM Fields</x:v>
      </x:c>
      <x:c r="G124" s="10" t="e">
        <x:f>IF($A124="","",IFERROR(INDEX(Checks!$D:$D,MATCH($A124,Checks!$A:$A,0)),0))</x:f>
      </x:c>
      <x:c r="H124" s="10" t="e">
        <x:f>IF($A124="","",IFERROR(INDEX(Checks!$F:$F,MATCH($A124,Checks!$A:$A,0)),0))</x:f>
      </x:c>
      <x:c r="I124" s="10" t="e">
        <x:f>IF($A124="","",IFERROR(INDEX(Checks!$H:$H,MATCH($A124,Checks!$A:$A,0)),"NO"))</x:f>
      </x:c>
      <x:c r="J124" s="10" t="e">
        <x:f>IF($A124="","",IFERROR(INDEX(Checks!$J:$J,MATCH($A124,Checks!$A:$A,0)),0))</x:f>
      </x:c>
      <x:c r="K124" s="10" t="str">
        <x:f t="shared" si="11"/>
      </x:c>
    </x:row>
    <x:row r="125" ht="66.25" customHeight="1">
      <x:c r="A125" s="10" t="e">
        <x:f>IFERROR(INDEX(Dependencies!$C$2:$C$5000,_xludf.AGGREGATE(15,6,(ROW(Dependencies!$A$2:$A$5000)-ROW(Dependencies!$A$2)+1)/(Dependencies!$A$2:$A$5000=$B$3),ROWS($A$20:A125))),"")</x:f>
      </x:c>
      <x:c r="B125" s="10" t="e">
        <x:f>IF($A125="","",IFERROR(INDEX(Blueprint_Data!$F:$F,MATCH($A125,Blueprint_Data!$A:$A,0)),""))</x:f>
      </x:c>
      <x:c r="C125" s="10" t="e">
        <x:f>IF($A125="","",IFERROR(INDEX(Blueprint_Data!$G:$G,MATCH($A125,Blueprint_Data!$A:$A,0)),""))</x:f>
      </x:c>
      <x:c r="D125" s="10" t="e">
        <x:f>IF($A125="","",IFERROR(INDEX(Blueprint_Data!$W:$W,MATCH($A125,Blueprint_Data!$A:$A,0)),""))</x:f>
      </x:c>
      <x:c r="E125" s="10" t="str">
        <x:f t="shared" si="9"/>
      </x:c>
      <x:c r="F125" s="10" t="str">
        <x:f t="shared" si="10"/>
        <x:v>Missing Dependency; Out-of-Seq; Missing OM Fields</x:v>
      </x:c>
      <x:c r="G125" s="10" t="e">
        <x:f>IF($A125="","",IFERROR(INDEX(Checks!$D:$D,MATCH($A125,Checks!$A:$A,0)),0))</x:f>
      </x:c>
      <x:c r="H125" s="10" t="e">
        <x:f>IF($A125="","",IFERROR(INDEX(Checks!$F:$F,MATCH($A125,Checks!$A:$A,0)),0))</x:f>
      </x:c>
      <x:c r="I125" s="10" t="e">
        <x:f>IF($A125="","",IFERROR(INDEX(Checks!$H:$H,MATCH($A125,Checks!$A:$A,0)),"NO"))</x:f>
      </x:c>
      <x:c r="J125" s="10" t="e">
        <x:f>IF($A125="","",IFERROR(INDEX(Checks!$J:$J,MATCH($A125,Checks!$A:$A,0)),0))</x:f>
      </x:c>
      <x:c r="K125" s="10" t="str">
        <x:f t="shared" si="11"/>
      </x:c>
    </x:row>
    <x:row r="126" ht="66.25" customHeight="1">
      <x:c r="A126" s="10" t="e">
        <x:f>IFERROR(INDEX(Dependencies!$C$2:$C$5000,_xludf.AGGREGATE(15,6,(ROW(Dependencies!$A$2:$A$5000)-ROW(Dependencies!$A$2)+1)/(Dependencies!$A$2:$A$5000=$B$3),ROWS($A$20:A126))),"")</x:f>
      </x:c>
      <x:c r="B126" s="10" t="e">
        <x:f>IF($A126="","",IFERROR(INDEX(Blueprint_Data!$F:$F,MATCH($A126,Blueprint_Data!$A:$A,0)),""))</x:f>
      </x:c>
      <x:c r="C126" s="10" t="e">
        <x:f>IF($A126="","",IFERROR(INDEX(Blueprint_Data!$G:$G,MATCH($A126,Blueprint_Data!$A:$A,0)),""))</x:f>
      </x:c>
      <x:c r="D126" s="10" t="e">
        <x:f>IF($A126="","",IFERROR(INDEX(Blueprint_Data!$W:$W,MATCH($A126,Blueprint_Data!$A:$A,0)),""))</x:f>
      </x:c>
      <x:c r="E126" s="10" t="str">
        <x:f t="shared" si="9"/>
      </x:c>
      <x:c r="F126" s="10" t="str">
        <x:f t="shared" si="10"/>
        <x:v>Missing Dependency; Out-of-Seq; Missing OM Fields</x:v>
      </x:c>
      <x:c r="G126" s="10" t="e">
        <x:f>IF($A126="","",IFERROR(INDEX(Checks!$D:$D,MATCH($A126,Checks!$A:$A,0)),0))</x:f>
      </x:c>
      <x:c r="H126" s="10" t="e">
        <x:f>IF($A126="","",IFERROR(INDEX(Checks!$F:$F,MATCH($A126,Checks!$A:$A,0)),0))</x:f>
      </x:c>
      <x:c r="I126" s="10" t="e">
        <x:f>IF($A126="","",IFERROR(INDEX(Checks!$H:$H,MATCH($A126,Checks!$A:$A,0)),"NO"))</x:f>
      </x:c>
      <x:c r="J126" s="10" t="e">
        <x:f>IF($A126="","",IFERROR(INDEX(Checks!$J:$J,MATCH($A126,Checks!$A:$A,0)),0))</x:f>
      </x:c>
      <x:c r="K126" s="10" t="str">
        <x:f t="shared" si="11"/>
      </x:c>
    </x:row>
    <x:row r="127" ht="66.25" customHeight="1">
      <x:c r="A127" s="10" t="e">
        <x:f>IFERROR(INDEX(Dependencies!$C$2:$C$5000,_xludf.AGGREGATE(15,6,(ROW(Dependencies!$A$2:$A$5000)-ROW(Dependencies!$A$2)+1)/(Dependencies!$A$2:$A$5000=$B$3),ROWS($A$20:A127))),"")</x:f>
      </x:c>
      <x:c r="B127" s="10" t="e">
        <x:f>IF($A127="","",IFERROR(INDEX(Blueprint_Data!$F:$F,MATCH($A127,Blueprint_Data!$A:$A,0)),""))</x:f>
      </x:c>
      <x:c r="C127" s="10" t="e">
        <x:f>IF($A127="","",IFERROR(INDEX(Blueprint_Data!$G:$G,MATCH($A127,Blueprint_Data!$A:$A,0)),""))</x:f>
      </x:c>
      <x:c r="D127" s="10" t="e">
        <x:f>IF($A127="","",IFERROR(INDEX(Blueprint_Data!$W:$W,MATCH($A127,Blueprint_Data!$A:$A,0)),""))</x:f>
      </x:c>
      <x:c r="E127" s="10" t="str">
        <x:f t="shared" si="9"/>
      </x:c>
      <x:c r="F127" s="10" t="str">
        <x:f t="shared" si="10"/>
        <x:v>Missing Dependency; Out-of-Seq; Missing OM Fields</x:v>
      </x:c>
      <x:c r="G127" s="10" t="e">
        <x:f>IF($A127="","",IFERROR(INDEX(Checks!$D:$D,MATCH($A127,Checks!$A:$A,0)),0))</x:f>
      </x:c>
      <x:c r="H127" s="10" t="e">
        <x:f>IF($A127="","",IFERROR(INDEX(Checks!$F:$F,MATCH($A127,Checks!$A:$A,0)),0))</x:f>
      </x:c>
      <x:c r="I127" s="10" t="e">
        <x:f>IF($A127="","",IFERROR(INDEX(Checks!$H:$H,MATCH($A127,Checks!$A:$A,0)),"NO"))</x:f>
      </x:c>
      <x:c r="J127" s="10" t="e">
        <x:f>IF($A127="","",IFERROR(INDEX(Checks!$J:$J,MATCH($A127,Checks!$A:$A,0)),0))</x:f>
      </x:c>
      <x:c r="K127" s="10" t="str">
        <x:f t="shared" si="11"/>
      </x:c>
    </x:row>
    <x:row r="128" ht="66.25" customHeight="1">
      <x:c r="A128" s="10" t="e">
        <x:f>IFERROR(INDEX(Dependencies!$C$2:$C$5000,_xludf.AGGREGATE(15,6,(ROW(Dependencies!$A$2:$A$5000)-ROW(Dependencies!$A$2)+1)/(Dependencies!$A$2:$A$5000=$B$3),ROWS($A$20:A128))),"")</x:f>
      </x:c>
      <x:c r="B128" s="10" t="e">
        <x:f>IF($A128="","",IFERROR(INDEX(Blueprint_Data!$F:$F,MATCH($A128,Blueprint_Data!$A:$A,0)),""))</x:f>
      </x:c>
      <x:c r="C128" s="10" t="e">
        <x:f>IF($A128="","",IFERROR(INDEX(Blueprint_Data!$G:$G,MATCH($A128,Blueprint_Data!$A:$A,0)),""))</x:f>
      </x:c>
      <x:c r="D128" s="10" t="e">
        <x:f>IF($A128="","",IFERROR(INDEX(Blueprint_Data!$W:$W,MATCH($A128,Blueprint_Data!$A:$A,0)),""))</x:f>
      </x:c>
      <x:c r="E128" s="10" t="str">
        <x:f t="shared" si="9"/>
      </x:c>
      <x:c r="F128" s="10" t="str">
        <x:f t="shared" si="10"/>
        <x:v>Missing Dependency; Out-of-Seq; Missing OM Fields</x:v>
      </x:c>
      <x:c r="G128" s="10" t="e">
        <x:f>IF($A128="","",IFERROR(INDEX(Checks!$D:$D,MATCH($A128,Checks!$A:$A,0)),0))</x:f>
      </x:c>
      <x:c r="H128" s="10" t="e">
        <x:f>IF($A128="","",IFERROR(INDEX(Checks!$F:$F,MATCH($A128,Checks!$A:$A,0)),0))</x:f>
      </x:c>
      <x:c r="I128" s="10" t="e">
        <x:f>IF($A128="","",IFERROR(INDEX(Checks!$H:$H,MATCH($A128,Checks!$A:$A,0)),"NO"))</x:f>
      </x:c>
      <x:c r="J128" s="10" t="e">
        <x:f>IF($A128="","",IFERROR(INDEX(Checks!$J:$J,MATCH($A128,Checks!$A:$A,0)),0))</x:f>
      </x:c>
      <x:c r="K128" s="10" t="str">
        <x:f t="shared" si="11"/>
      </x:c>
    </x:row>
    <x:row r="129" ht="66.25" customHeight="1">
      <x:c r="A129" s="10" t="e">
        <x:f>IFERROR(INDEX(Dependencies!$C$2:$C$5000,_xludf.AGGREGATE(15,6,(ROW(Dependencies!$A$2:$A$5000)-ROW(Dependencies!$A$2)+1)/(Dependencies!$A$2:$A$5000=$B$3),ROWS($A$20:A129))),"")</x:f>
      </x:c>
      <x:c r="B129" s="10" t="e">
        <x:f>IF($A129="","",IFERROR(INDEX(Blueprint_Data!$F:$F,MATCH($A129,Blueprint_Data!$A:$A,0)),""))</x:f>
      </x:c>
      <x:c r="C129" s="10" t="e">
        <x:f>IF($A129="","",IFERROR(INDEX(Blueprint_Data!$G:$G,MATCH($A129,Blueprint_Data!$A:$A,0)),""))</x:f>
      </x:c>
      <x:c r="D129" s="10" t="e">
        <x:f>IF($A129="","",IFERROR(INDEX(Blueprint_Data!$W:$W,MATCH($A129,Blueprint_Data!$A:$A,0)),""))</x:f>
      </x:c>
      <x:c r="E129" s="10" t="str">
        <x:f t="shared" si="9"/>
      </x:c>
      <x:c r="F129" s="10" t="str">
        <x:f t="shared" si="10"/>
        <x:v>Missing Dependency; Out-of-Seq; Missing OM Fields</x:v>
      </x:c>
      <x:c r="G129" s="10" t="e">
        <x:f>IF($A129="","",IFERROR(INDEX(Checks!$D:$D,MATCH($A129,Checks!$A:$A,0)),0))</x:f>
      </x:c>
      <x:c r="H129" s="10" t="e">
        <x:f>IF($A129="","",IFERROR(INDEX(Checks!$F:$F,MATCH($A129,Checks!$A:$A,0)),0))</x:f>
      </x:c>
      <x:c r="I129" s="10" t="e">
        <x:f>IF($A129="","",IFERROR(INDEX(Checks!$H:$H,MATCH($A129,Checks!$A:$A,0)),"NO"))</x:f>
      </x:c>
      <x:c r="J129" s="10" t="e">
        <x:f>IF($A129="","",IFERROR(INDEX(Checks!$J:$J,MATCH($A129,Checks!$A:$A,0)),0))</x:f>
      </x:c>
      <x:c r="K129" s="10" t="str">
        <x:f t="shared" si="11"/>
      </x:c>
    </x:row>
    <x:row r="130" ht="66.25" customHeight="1">
      <x:c r="A130" s="10" t="e">
        <x:f>IFERROR(INDEX(Dependencies!$C$2:$C$5000,_xludf.AGGREGATE(15,6,(ROW(Dependencies!$A$2:$A$5000)-ROW(Dependencies!$A$2)+1)/(Dependencies!$A$2:$A$5000=$B$3),ROWS($A$20:A130))),"")</x:f>
      </x:c>
      <x:c r="B130" s="10" t="e">
        <x:f>IF($A130="","",IFERROR(INDEX(Blueprint_Data!$F:$F,MATCH($A130,Blueprint_Data!$A:$A,0)),""))</x:f>
      </x:c>
      <x:c r="C130" s="10" t="e">
        <x:f>IF($A130="","",IFERROR(INDEX(Blueprint_Data!$G:$G,MATCH($A130,Blueprint_Data!$A:$A,0)),""))</x:f>
      </x:c>
      <x:c r="D130" s="10" t="e">
        <x:f>IF($A130="","",IFERROR(INDEX(Blueprint_Data!$W:$W,MATCH($A130,Blueprint_Data!$A:$A,0)),""))</x:f>
      </x:c>
      <x:c r="E130" s="10" t="str">
        <x:f t="shared" si="9"/>
      </x:c>
      <x:c r="F130" s="10" t="str">
        <x:f t="shared" si="10"/>
        <x:v>Missing Dependency; Out-of-Seq; Missing OM Fields</x:v>
      </x:c>
      <x:c r="G130" s="10" t="e">
        <x:f>IF($A130="","",IFERROR(INDEX(Checks!$D:$D,MATCH($A130,Checks!$A:$A,0)),0))</x:f>
      </x:c>
      <x:c r="H130" s="10" t="e">
        <x:f>IF($A130="","",IFERROR(INDEX(Checks!$F:$F,MATCH($A130,Checks!$A:$A,0)),0))</x:f>
      </x:c>
      <x:c r="I130" s="10" t="e">
        <x:f>IF($A130="","",IFERROR(INDEX(Checks!$H:$H,MATCH($A130,Checks!$A:$A,0)),"NO"))</x:f>
      </x:c>
      <x:c r="J130" s="10" t="e">
        <x:f>IF($A130="","",IFERROR(INDEX(Checks!$J:$J,MATCH($A130,Checks!$A:$A,0)),0))</x:f>
      </x:c>
      <x:c r="K130" s="10" t="str">
        <x:f t="shared" si="11"/>
      </x:c>
    </x:row>
    <x:row r="131" ht="66.25" customHeight="1">
      <x:c r="A131" s="10" t="e">
        <x:f>IFERROR(INDEX(Dependencies!$C$2:$C$5000,_xludf.AGGREGATE(15,6,(ROW(Dependencies!$A$2:$A$5000)-ROW(Dependencies!$A$2)+1)/(Dependencies!$A$2:$A$5000=$B$3),ROWS($A$20:A131))),"")</x:f>
      </x:c>
      <x:c r="B131" s="10" t="e">
        <x:f>IF($A131="","",IFERROR(INDEX(Blueprint_Data!$F:$F,MATCH($A131,Blueprint_Data!$A:$A,0)),""))</x:f>
      </x:c>
      <x:c r="C131" s="10" t="e">
        <x:f>IF($A131="","",IFERROR(INDEX(Blueprint_Data!$G:$G,MATCH($A131,Blueprint_Data!$A:$A,0)),""))</x:f>
      </x:c>
      <x:c r="D131" s="10" t="e">
        <x:f>IF($A131="","",IFERROR(INDEX(Blueprint_Data!$W:$W,MATCH($A131,Blueprint_Data!$A:$A,0)),""))</x:f>
      </x:c>
      <x:c r="E131" s="10" t="str">
        <x:f t="shared" si="9"/>
      </x:c>
      <x:c r="F131" s="10" t="str">
        <x:f t="shared" si="10"/>
        <x:v>Missing Dependency; Out-of-Seq; Missing OM Fields</x:v>
      </x:c>
      <x:c r="G131" s="10" t="e">
        <x:f>IF($A131="","",IFERROR(INDEX(Checks!$D:$D,MATCH($A131,Checks!$A:$A,0)),0))</x:f>
      </x:c>
      <x:c r="H131" s="10" t="e">
        <x:f>IF($A131="","",IFERROR(INDEX(Checks!$F:$F,MATCH($A131,Checks!$A:$A,0)),0))</x:f>
      </x:c>
      <x:c r="I131" s="10" t="e">
        <x:f>IF($A131="","",IFERROR(INDEX(Checks!$H:$H,MATCH($A131,Checks!$A:$A,0)),"NO"))</x:f>
      </x:c>
      <x:c r="J131" s="10" t="e">
        <x:f>IF($A131="","",IFERROR(INDEX(Checks!$J:$J,MATCH($A131,Checks!$A:$A,0)),0))</x:f>
      </x:c>
      <x:c r="K131" s="10" t="str">
        <x:f t="shared" si="11"/>
      </x:c>
    </x:row>
    <x:row r="132" ht="66.25" customHeight="1">
      <x:c r="A132" s="10" t="e">
        <x:f>IFERROR(INDEX(Dependencies!$C$2:$C$5000,_xludf.AGGREGATE(15,6,(ROW(Dependencies!$A$2:$A$5000)-ROW(Dependencies!$A$2)+1)/(Dependencies!$A$2:$A$5000=$B$3),ROWS($A$20:A132))),"")</x:f>
      </x:c>
      <x:c r="B132" s="10" t="e">
        <x:f>IF($A132="","",IFERROR(INDEX(Blueprint_Data!$F:$F,MATCH($A132,Blueprint_Data!$A:$A,0)),""))</x:f>
      </x:c>
      <x:c r="C132" s="10" t="e">
        <x:f>IF($A132="","",IFERROR(INDEX(Blueprint_Data!$G:$G,MATCH($A132,Blueprint_Data!$A:$A,0)),""))</x:f>
      </x:c>
      <x:c r="D132" s="10" t="e">
        <x:f>IF($A132="","",IFERROR(INDEX(Blueprint_Data!$W:$W,MATCH($A132,Blueprint_Data!$A:$A,0)),""))</x:f>
      </x:c>
      <x:c r="E132" s="10" t="str">
        <x:f t="shared" si="9"/>
      </x:c>
      <x:c r="F132" s="10" t="str">
        <x:f t="shared" si="10"/>
        <x:v>Missing Dependency; Out-of-Seq; Missing OM Fields</x:v>
      </x:c>
      <x:c r="G132" s="10" t="e">
        <x:f>IF($A132="","",IFERROR(INDEX(Checks!$D:$D,MATCH($A132,Checks!$A:$A,0)),0))</x:f>
      </x:c>
      <x:c r="H132" s="10" t="e">
        <x:f>IF($A132="","",IFERROR(INDEX(Checks!$F:$F,MATCH($A132,Checks!$A:$A,0)),0))</x:f>
      </x:c>
      <x:c r="I132" s="10" t="e">
        <x:f>IF($A132="","",IFERROR(INDEX(Checks!$H:$H,MATCH($A132,Checks!$A:$A,0)),"NO"))</x:f>
      </x:c>
      <x:c r="J132" s="10" t="e">
        <x:f>IF($A132="","",IFERROR(INDEX(Checks!$J:$J,MATCH($A132,Checks!$A:$A,0)),0))</x:f>
      </x:c>
      <x:c r="K132" s="10" t="str">
        <x:f t="shared" si="11"/>
      </x:c>
    </x:row>
    <x:row r="133" ht="66.25" customHeight="1">
      <x:c r="A133" s="10" t="e">
        <x:f>IFERROR(INDEX(Dependencies!$C$2:$C$5000,_xludf.AGGREGATE(15,6,(ROW(Dependencies!$A$2:$A$5000)-ROW(Dependencies!$A$2)+1)/(Dependencies!$A$2:$A$5000=$B$3),ROWS($A$20:A133))),"")</x:f>
      </x:c>
      <x:c r="B133" s="10" t="e">
        <x:f>IF($A133="","",IFERROR(INDEX(Blueprint_Data!$F:$F,MATCH($A133,Blueprint_Data!$A:$A,0)),""))</x:f>
      </x:c>
      <x:c r="C133" s="10" t="e">
        <x:f>IF($A133="","",IFERROR(INDEX(Blueprint_Data!$G:$G,MATCH($A133,Blueprint_Data!$A:$A,0)),""))</x:f>
      </x:c>
      <x:c r="D133" s="10" t="e">
        <x:f>IF($A133="","",IFERROR(INDEX(Blueprint_Data!$W:$W,MATCH($A133,Blueprint_Data!$A:$A,0)),""))</x:f>
      </x:c>
      <x:c r="E133" s="10" t="str">
        <x:f t="shared" si="9"/>
      </x:c>
      <x:c r="F133" s="10" t="str">
        <x:f t="shared" si="10"/>
        <x:v>Missing Dependency; Out-of-Seq; Missing OM Fields</x:v>
      </x:c>
      <x:c r="G133" s="10" t="e">
        <x:f>IF($A133="","",IFERROR(INDEX(Checks!$D:$D,MATCH($A133,Checks!$A:$A,0)),0))</x:f>
      </x:c>
      <x:c r="H133" s="10" t="e">
        <x:f>IF($A133="","",IFERROR(INDEX(Checks!$F:$F,MATCH($A133,Checks!$A:$A,0)),0))</x:f>
      </x:c>
      <x:c r="I133" s="10" t="e">
        <x:f>IF($A133="","",IFERROR(INDEX(Checks!$H:$H,MATCH($A133,Checks!$A:$A,0)),"NO"))</x:f>
      </x:c>
      <x:c r="J133" s="10" t="e">
        <x:f>IF($A133="","",IFERROR(INDEX(Checks!$J:$J,MATCH($A133,Checks!$A:$A,0)),0))</x:f>
      </x:c>
      <x:c r="K133" s="10" t="str">
        <x:f t="shared" si="11"/>
      </x:c>
    </x:row>
    <x:row r="134" ht="66.25" customHeight="1">
      <x:c r="A134" s="10" t="e">
        <x:f>IFERROR(INDEX(Dependencies!$C$2:$C$5000,_xludf.AGGREGATE(15,6,(ROW(Dependencies!$A$2:$A$5000)-ROW(Dependencies!$A$2)+1)/(Dependencies!$A$2:$A$5000=$B$3),ROWS($A$20:A134))),"")</x:f>
      </x:c>
      <x:c r="B134" s="10" t="e">
        <x:f>IF($A134="","",IFERROR(INDEX(Blueprint_Data!$F:$F,MATCH($A134,Blueprint_Data!$A:$A,0)),""))</x:f>
      </x:c>
      <x:c r="C134" s="10" t="e">
        <x:f>IF($A134="","",IFERROR(INDEX(Blueprint_Data!$G:$G,MATCH($A134,Blueprint_Data!$A:$A,0)),""))</x:f>
      </x:c>
      <x:c r="D134" s="10" t="e">
        <x:f>IF($A134="","",IFERROR(INDEX(Blueprint_Data!$W:$W,MATCH($A134,Blueprint_Data!$A:$A,0)),""))</x:f>
      </x:c>
      <x:c r="E134" s="10" t="str">
        <x:f t="shared" si="9"/>
      </x:c>
      <x:c r="F134" s="10" t="str">
        <x:f t="shared" si="10"/>
        <x:v>Missing Dependency; Out-of-Seq; Missing OM Fields</x:v>
      </x:c>
      <x:c r="G134" s="10" t="e">
        <x:f>IF($A134="","",IFERROR(INDEX(Checks!$D:$D,MATCH($A134,Checks!$A:$A,0)),0))</x:f>
      </x:c>
      <x:c r="H134" s="10" t="e">
        <x:f>IF($A134="","",IFERROR(INDEX(Checks!$F:$F,MATCH($A134,Checks!$A:$A,0)),0))</x:f>
      </x:c>
      <x:c r="I134" s="10" t="e">
        <x:f>IF($A134="","",IFERROR(INDEX(Checks!$H:$H,MATCH($A134,Checks!$A:$A,0)),"NO"))</x:f>
      </x:c>
      <x:c r="J134" s="10" t="e">
        <x:f>IF($A134="","",IFERROR(INDEX(Checks!$J:$J,MATCH($A134,Checks!$A:$A,0)),0))</x:f>
      </x:c>
      <x:c r="K134" s="10" t="str">
        <x:f t="shared" si="11"/>
      </x:c>
    </x:row>
    <x:row r="135" ht="66.25" customHeight="1">
      <x:c r="A135" s="10" t="e">
        <x:f>IFERROR(INDEX(Dependencies!$C$2:$C$5000,_xludf.AGGREGATE(15,6,(ROW(Dependencies!$A$2:$A$5000)-ROW(Dependencies!$A$2)+1)/(Dependencies!$A$2:$A$5000=$B$3),ROWS($A$20:A135))),"")</x:f>
      </x:c>
      <x:c r="B135" s="10" t="e">
        <x:f>IF($A135="","",IFERROR(INDEX(Blueprint_Data!$F:$F,MATCH($A135,Blueprint_Data!$A:$A,0)),""))</x:f>
      </x:c>
      <x:c r="C135" s="10" t="e">
        <x:f>IF($A135="","",IFERROR(INDEX(Blueprint_Data!$G:$G,MATCH($A135,Blueprint_Data!$A:$A,0)),""))</x:f>
      </x:c>
      <x:c r="D135" s="10" t="e">
        <x:f>IF($A135="","",IFERROR(INDEX(Blueprint_Data!$W:$W,MATCH($A135,Blueprint_Data!$A:$A,0)),""))</x:f>
      </x:c>
      <x:c r="E135" s="10" t="str">
        <x:f t="shared" si="9"/>
      </x:c>
      <x:c r="F135" s="10" t="str">
        <x:f t="shared" si="10"/>
        <x:v>Missing Dependency; Out-of-Seq; Missing OM Fields</x:v>
      </x:c>
      <x:c r="G135" s="10" t="e">
        <x:f>IF($A135="","",IFERROR(INDEX(Checks!$D:$D,MATCH($A135,Checks!$A:$A,0)),0))</x:f>
      </x:c>
      <x:c r="H135" s="10" t="e">
        <x:f>IF($A135="","",IFERROR(INDEX(Checks!$F:$F,MATCH($A135,Checks!$A:$A,0)),0))</x:f>
      </x:c>
      <x:c r="I135" s="10" t="e">
        <x:f>IF($A135="","",IFERROR(INDEX(Checks!$H:$H,MATCH($A135,Checks!$A:$A,0)),"NO"))</x:f>
      </x:c>
      <x:c r="J135" s="10" t="e">
        <x:f>IF($A135="","",IFERROR(INDEX(Checks!$J:$J,MATCH($A135,Checks!$A:$A,0)),0))</x:f>
      </x:c>
      <x:c r="K135" s="10" t="str">
        <x:f t="shared" si="11"/>
      </x:c>
    </x:row>
    <x:row r="136" ht="66.25" customHeight="1">
      <x:c r="A136" s="10" t="e">
        <x:f>IFERROR(INDEX(Dependencies!$C$2:$C$5000,_xludf.AGGREGATE(15,6,(ROW(Dependencies!$A$2:$A$5000)-ROW(Dependencies!$A$2)+1)/(Dependencies!$A$2:$A$5000=$B$3),ROWS($A$20:A136))),"")</x:f>
      </x:c>
      <x:c r="B136" s="10" t="e">
        <x:f>IF($A136="","",IFERROR(INDEX(Blueprint_Data!$F:$F,MATCH($A136,Blueprint_Data!$A:$A,0)),""))</x:f>
      </x:c>
      <x:c r="C136" s="10" t="e">
        <x:f>IF($A136="","",IFERROR(INDEX(Blueprint_Data!$G:$G,MATCH($A136,Blueprint_Data!$A:$A,0)),""))</x:f>
      </x:c>
      <x:c r="D136" s="10" t="e">
        <x:f>IF($A136="","",IFERROR(INDEX(Blueprint_Data!$W:$W,MATCH($A136,Blueprint_Data!$A:$A,0)),""))</x:f>
      </x:c>
      <x:c r="E136" s="10" t="str">
        <x:f t="shared" si="9"/>
      </x:c>
      <x:c r="F136" s="10" t="str">
        <x:f t="shared" si="10"/>
        <x:v>Missing Dependency; Out-of-Seq; Missing OM Fields</x:v>
      </x:c>
      <x:c r="G136" s="10" t="e">
        <x:f>IF($A136="","",IFERROR(INDEX(Checks!$D:$D,MATCH($A136,Checks!$A:$A,0)),0))</x:f>
      </x:c>
      <x:c r="H136" s="10" t="e">
        <x:f>IF($A136="","",IFERROR(INDEX(Checks!$F:$F,MATCH($A136,Checks!$A:$A,0)),0))</x:f>
      </x:c>
      <x:c r="I136" s="10" t="e">
        <x:f>IF($A136="","",IFERROR(INDEX(Checks!$H:$H,MATCH($A136,Checks!$A:$A,0)),"NO"))</x:f>
      </x:c>
      <x:c r="J136" s="10" t="e">
        <x:f>IF($A136="","",IFERROR(INDEX(Checks!$J:$J,MATCH($A136,Checks!$A:$A,0)),0))</x:f>
      </x:c>
      <x:c r="K136" s="10" t="str">
        <x:f t="shared" si="11"/>
      </x:c>
    </x:row>
    <x:row r="137" ht="66.25" customHeight="1">
      <x:c r="A137" s="10" t="e">
        <x:f>IFERROR(INDEX(Dependencies!$C$2:$C$5000,_xludf.AGGREGATE(15,6,(ROW(Dependencies!$A$2:$A$5000)-ROW(Dependencies!$A$2)+1)/(Dependencies!$A$2:$A$5000=$B$3),ROWS($A$20:A137))),"")</x:f>
      </x:c>
      <x:c r="B137" s="10" t="e">
        <x:f>IF($A137="","",IFERROR(INDEX(Blueprint_Data!$F:$F,MATCH($A137,Blueprint_Data!$A:$A,0)),""))</x:f>
      </x:c>
      <x:c r="C137" s="10" t="e">
        <x:f>IF($A137="","",IFERROR(INDEX(Blueprint_Data!$G:$G,MATCH($A137,Blueprint_Data!$A:$A,0)),""))</x:f>
      </x:c>
      <x:c r="D137" s="10" t="e">
        <x:f>IF($A137="","",IFERROR(INDEX(Blueprint_Data!$W:$W,MATCH($A137,Blueprint_Data!$A:$A,0)),""))</x:f>
      </x:c>
      <x:c r="E137" s="10" t="str">
        <x:f t="shared" si="9"/>
      </x:c>
      <x:c r="F137" s="10" t="str">
        <x:f t="shared" si="10"/>
        <x:v>Missing Dependency; Out-of-Seq; Missing OM Fields</x:v>
      </x:c>
      <x:c r="G137" s="10" t="e">
        <x:f>IF($A137="","",IFERROR(INDEX(Checks!$D:$D,MATCH($A137,Checks!$A:$A,0)),0))</x:f>
      </x:c>
      <x:c r="H137" s="10" t="e">
        <x:f>IF($A137="","",IFERROR(INDEX(Checks!$F:$F,MATCH($A137,Checks!$A:$A,0)),0))</x:f>
      </x:c>
      <x:c r="I137" s="10" t="e">
        <x:f>IF($A137="","",IFERROR(INDEX(Checks!$H:$H,MATCH($A137,Checks!$A:$A,0)),"NO"))</x:f>
      </x:c>
      <x:c r="J137" s="10" t="e">
        <x:f>IF($A137="","",IFERROR(INDEX(Checks!$J:$J,MATCH($A137,Checks!$A:$A,0)),0))</x:f>
      </x:c>
      <x:c r="K137" s="10" t="str">
        <x:f t="shared" si="11"/>
      </x:c>
    </x:row>
    <x:row r="138" ht="66.25" customHeight="1">
      <x:c r="A138" s="10" t="e">
        <x:f>IFERROR(INDEX(Dependencies!$C$2:$C$5000,_xludf.AGGREGATE(15,6,(ROW(Dependencies!$A$2:$A$5000)-ROW(Dependencies!$A$2)+1)/(Dependencies!$A$2:$A$5000=$B$3),ROWS($A$20:A138))),"")</x:f>
      </x:c>
      <x:c r="B138" s="10" t="e">
        <x:f>IF($A138="","",IFERROR(INDEX(Blueprint_Data!$F:$F,MATCH($A138,Blueprint_Data!$A:$A,0)),""))</x:f>
      </x:c>
      <x:c r="C138" s="10" t="e">
        <x:f>IF($A138="","",IFERROR(INDEX(Blueprint_Data!$G:$G,MATCH($A138,Blueprint_Data!$A:$A,0)),""))</x:f>
      </x:c>
      <x:c r="D138" s="10" t="e">
        <x:f>IF($A138="","",IFERROR(INDEX(Blueprint_Data!$W:$W,MATCH($A138,Blueprint_Data!$A:$A,0)),""))</x:f>
      </x:c>
      <x:c r="E138" s="10" t="str">
        <x:f t="shared" si="9"/>
      </x:c>
      <x:c r="F138" s="10" t="str">
        <x:f t="shared" si="10"/>
        <x:v>Missing Dependency; Out-of-Seq; Missing OM Fields</x:v>
      </x:c>
      <x:c r="G138" s="10" t="e">
        <x:f>IF($A138="","",IFERROR(INDEX(Checks!$D:$D,MATCH($A138,Checks!$A:$A,0)),0))</x:f>
      </x:c>
      <x:c r="H138" s="10" t="e">
        <x:f>IF($A138="","",IFERROR(INDEX(Checks!$F:$F,MATCH($A138,Checks!$A:$A,0)),0))</x:f>
      </x:c>
      <x:c r="I138" s="10" t="e">
        <x:f>IF($A138="","",IFERROR(INDEX(Checks!$H:$H,MATCH($A138,Checks!$A:$A,0)),"NO"))</x:f>
      </x:c>
      <x:c r="J138" s="10" t="e">
        <x:f>IF($A138="","",IFERROR(INDEX(Checks!$J:$J,MATCH($A138,Checks!$A:$A,0)),0))</x:f>
      </x:c>
      <x:c r="K138" s="10" t="str">
        <x:f t="shared" si="11"/>
      </x:c>
    </x:row>
    <x:row r="139" ht="66.25" customHeight="1">
      <x:c r="A139" s="10" t="e">
        <x:f>IFERROR(INDEX(Dependencies!$C$2:$C$5000,_xludf.AGGREGATE(15,6,(ROW(Dependencies!$A$2:$A$5000)-ROW(Dependencies!$A$2)+1)/(Dependencies!$A$2:$A$5000=$B$3),ROWS($A$20:A139))),"")</x:f>
      </x:c>
      <x:c r="B139" s="10" t="e">
        <x:f>IF($A139="","",IFERROR(INDEX(Blueprint_Data!$F:$F,MATCH($A139,Blueprint_Data!$A:$A,0)),""))</x:f>
      </x:c>
      <x:c r="C139" s="10" t="e">
        <x:f>IF($A139="","",IFERROR(INDEX(Blueprint_Data!$G:$G,MATCH($A139,Blueprint_Data!$A:$A,0)),""))</x:f>
      </x:c>
      <x:c r="D139" s="10" t="e">
        <x:f>IF($A139="","",IFERROR(INDEX(Blueprint_Data!$W:$W,MATCH($A139,Blueprint_Data!$A:$A,0)),""))</x:f>
      </x:c>
      <x:c r="E139" s="10" t="str">
        <x:f t="shared" si="9"/>
      </x:c>
      <x:c r="F139" s="10" t="str">
        <x:f t="shared" si="10"/>
        <x:v>Missing Dependency; Out-of-Seq; Missing OM Fields</x:v>
      </x:c>
      <x:c r="G139" s="10" t="e">
        <x:f>IF($A139="","",IFERROR(INDEX(Checks!$D:$D,MATCH($A139,Checks!$A:$A,0)),0))</x:f>
      </x:c>
      <x:c r="H139" s="10" t="e">
        <x:f>IF($A139="","",IFERROR(INDEX(Checks!$F:$F,MATCH($A139,Checks!$A:$A,0)),0))</x:f>
      </x:c>
      <x:c r="I139" s="10" t="e">
        <x:f>IF($A139="","",IFERROR(INDEX(Checks!$H:$H,MATCH($A139,Checks!$A:$A,0)),"NO"))</x:f>
      </x:c>
      <x:c r="J139" s="10" t="e">
        <x:f>IF($A139="","",IFERROR(INDEX(Checks!$J:$J,MATCH($A139,Checks!$A:$A,0)),0))</x:f>
      </x:c>
      <x:c r="K139" s="10" t="str">
        <x:f t="shared" si="11"/>
      </x:c>
    </x:row>
    <x:row r="140" ht="66.25" customHeight="1">
      <x:c r="A140" s="10" t="e">
        <x:f>IFERROR(INDEX(Dependencies!$C$2:$C$5000,_xludf.AGGREGATE(15,6,(ROW(Dependencies!$A$2:$A$5000)-ROW(Dependencies!$A$2)+1)/(Dependencies!$A$2:$A$5000=$B$3),ROWS($A$20:A140))),"")</x:f>
      </x:c>
      <x:c r="B140" s="10" t="e">
        <x:f>IF($A140="","",IFERROR(INDEX(Blueprint_Data!$F:$F,MATCH($A140,Blueprint_Data!$A:$A,0)),""))</x:f>
      </x:c>
      <x:c r="C140" s="10" t="e">
        <x:f>IF($A140="","",IFERROR(INDEX(Blueprint_Data!$G:$G,MATCH($A140,Blueprint_Data!$A:$A,0)),""))</x:f>
      </x:c>
      <x:c r="D140" s="10" t="e">
        <x:f>IF($A140="","",IFERROR(INDEX(Blueprint_Data!$W:$W,MATCH($A140,Blueprint_Data!$A:$A,0)),""))</x:f>
      </x:c>
      <x:c r="E140" s="10" t="str">
        <x:f t="shared" si="9"/>
      </x:c>
      <x:c r="F140" s="10" t="str">
        <x:f t="shared" si="10"/>
        <x:v>Missing Dependency; Out-of-Seq; Missing OM Fields</x:v>
      </x:c>
      <x:c r="G140" s="10" t="e">
        <x:f>IF($A140="","",IFERROR(INDEX(Checks!$D:$D,MATCH($A140,Checks!$A:$A,0)),0))</x:f>
      </x:c>
      <x:c r="H140" s="10" t="e">
        <x:f>IF($A140="","",IFERROR(INDEX(Checks!$F:$F,MATCH($A140,Checks!$A:$A,0)),0))</x:f>
      </x:c>
      <x:c r="I140" s="10" t="e">
        <x:f>IF($A140="","",IFERROR(INDEX(Checks!$H:$H,MATCH($A140,Checks!$A:$A,0)),"NO"))</x:f>
      </x:c>
      <x:c r="J140" s="10" t="e">
        <x:f>IF($A140="","",IFERROR(INDEX(Checks!$J:$J,MATCH($A140,Checks!$A:$A,0)),0))</x:f>
      </x:c>
      <x:c r="K140" s="10" t="str">
        <x:f t="shared" si="11"/>
      </x:c>
    </x:row>
    <x:row r="141" ht="66.25" customHeight="1">
      <x:c r="A141" s="10" t="e">
        <x:f>IFERROR(INDEX(Dependencies!$C$2:$C$5000,_xludf.AGGREGATE(15,6,(ROW(Dependencies!$A$2:$A$5000)-ROW(Dependencies!$A$2)+1)/(Dependencies!$A$2:$A$5000=$B$3),ROWS($A$20:A141))),"")</x:f>
      </x:c>
      <x:c r="B141" s="10" t="e">
        <x:f>IF($A141="","",IFERROR(INDEX(Blueprint_Data!$F:$F,MATCH($A141,Blueprint_Data!$A:$A,0)),""))</x:f>
      </x:c>
      <x:c r="C141" s="10" t="e">
        <x:f>IF($A141="","",IFERROR(INDEX(Blueprint_Data!$G:$G,MATCH($A141,Blueprint_Data!$A:$A,0)),""))</x:f>
      </x:c>
      <x:c r="D141" s="10" t="e">
        <x:f>IF($A141="","",IFERROR(INDEX(Blueprint_Data!$W:$W,MATCH($A141,Blueprint_Data!$A:$A,0)),""))</x:f>
      </x:c>
      <x:c r="E141" s="10" t="str">
        <x:f t="shared" si="9"/>
      </x:c>
      <x:c r="F141" s="10" t="str">
        <x:f t="shared" si="10"/>
        <x:v>Missing Dependency; Out-of-Seq; Missing OM Fields</x:v>
      </x:c>
      <x:c r="G141" s="10" t="e">
        <x:f>IF($A141="","",IFERROR(INDEX(Checks!$D:$D,MATCH($A141,Checks!$A:$A,0)),0))</x:f>
      </x:c>
      <x:c r="H141" s="10" t="e">
        <x:f>IF($A141="","",IFERROR(INDEX(Checks!$F:$F,MATCH($A141,Checks!$A:$A,0)),0))</x:f>
      </x:c>
      <x:c r="I141" s="10" t="e">
        <x:f>IF($A141="","",IFERROR(INDEX(Checks!$H:$H,MATCH($A141,Checks!$A:$A,0)),"NO"))</x:f>
      </x:c>
      <x:c r="J141" s="10" t="e">
        <x:f>IF($A141="","",IFERROR(INDEX(Checks!$J:$J,MATCH($A141,Checks!$A:$A,0)),0))</x:f>
      </x:c>
      <x:c r="K141" s="10" t="str">
        <x:f t="shared" si="11"/>
      </x:c>
    </x:row>
    <x:row r="142" ht="66.25" customHeight="1">
      <x:c r="A142" s="10" t="e">
        <x:f>IFERROR(INDEX(Dependencies!$C$2:$C$5000,_xludf.AGGREGATE(15,6,(ROW(Dependencies!$A$2:$A$5000)-ROW(Dependencies!$A$2)+1)/(Dependencies!$A$2:$A$5000=$B$3),ROWS($A$20:A142))),"")</x:f>
      </x:c>
      <x:c r="B142" s="10" t="e">
        <x:f>IF($A142="","",IFERROR(INDEX(Blueprint_Data!$F:$F,MATCH($A142,Blueprint_Data!$A:$A,0)),""))</x:f>
      </x:c>
      <x:c r="C142" s="10" t="e">
        <x:f>IF($A142="","",IFERROR(INDEX(Blueprint_Data!$G:$G,MATCH($A142,Blueprint_Data!$A:$A,0)),""))</x:f>
      </x:c>
      <x:c r="D142" s="10" t="e">
        <x:f>IF($A142="","",IFERROR(INDEX(Blueprint_Data!$W:$W,MATCH($A142,Blueprint_Data!$A:$A,0)),""))</x:f>
      </x:c>
      <x:c r="E142" s="10" t="str">
        <x:f t="shared" si="9"/>
      </x:c>
      <x:c r="F142" s="10" t="str">
        <x:f t="shared" si="10"/>
        <x:v>Missing Dependency; Out-of-Seq; Missing OM Fields</x:v>
      </x:c>
      <x:c r="G142" s="10" t="e">
        <x:f>IF($A142="","",IFERROR(INDEX(Checks!$D:$D,MATCH($A142,Checks!$A:$A,0)),0))</x:f>
      </x:c>
      <x:c r="H142" s="10" t="e">
        <x:f>IF($A142="","",IFERROR(INDEX(Checks!$F:$F,MATCH($A142,Checks!$A:$A,0)),0))</x:f>
      </x:c>
      <x:c r="I142" s="10" t="e">
        <x:f>IF($A142="","",IFERROR(INDEX(Checks!$H:$H,MATCH($A142,Checks!$A:$A,0)),"NO"))</x:f>
      </x:c>
      <x:c r="J142" s="10" t="e">
        <x:f>IF($A142="","",IFERROR(INDEX(Checks!$J:$J,MATCH($A142,Checks!$A:$A,0)),0))</x:f>
      </x:c>
      <x:c r="K142" s="10" t="str">
        <x:f t="shared" si="11"/>
      </x:c>
    </x:row>
    <x:row r="143" ht="66.25" customHeight="1">
      <x:c r="A143" s="10" t="e">
        <x:f>IFERROR(INDEX(Dependencies!$C$2:$C$5000,_xludf.AGGREGATE(15,6,(ROW(Dependencies!$A$2:$A$5000)-ROW(Dependencies!$A$2)+1)/(Dependencies!$A$2:$A$5000=$B$3),ROWS($A$20:A143))),"")</x:f>
      </x:c>
      <x:c r="B143" s="10" t="e">
        <x:f>IF($A143="","",IFERROR(INDEX(Blueprint_Data!$F:$F,MATCH($A143,Blueprint_Data!$A:$A,0)),""))</x:f>
      </x:c>
      <x:c r="C143" s="10" t="e">
        <x:f>IF($A143="","",IFERROR(INDEX(Blueprint_Data!$G:$G,MATCH($A143,Blueprint_Data!$A:$A,0)),""))</x:f>
      </x:c>
      <x:c r="D143" s="10" t="e">
        <x:f>IF($A143="","",IFERROR(INDEX(Blueprint_Data!$W:$W,MATCH($A143,Blueprint_Data!$A:$A,0)),""))</x:f>
      </x:c>
      <x:c r="E143" s="10" t="str">
        <x:f t="shared" si="9"/>
      </x:c>
      <x:c r="F143" s="10" t="str">
        <x:f t="shared" si="10"/>
        <x:v>Missing Dependency; Out-of-Seq; Missing OM Fields</x:v>
      </x:c>
      <x:c r="G143" s="10" t="e">
        <x:f>IF($A143="","",IFERROR(INDEX(Checks!$D:$D,MATCH($A143,Checks!$A:$A,0)),0))</x:f>
      </x:c>
      <x:c r="H143" s="10" t="e">
        <x:f>IF($A143="","",IFERROR(INDEX(Checks!$F:$F,MATCH($A143,Checks!$A:$A,0)),0))</x:f>
      </x:c>
      <x:c r="I143" s="10" t="e">
        <x:f>IF($A143="","",IFERROR(INDEX(Checks!$H:$H,MATCH($A143,Checks!$A:$A,0)),"NO"))</x:f>
      </x:c>
      <x:c r="J143" s="10" t="e">
        <x:f>IF($A143="","",IFERROR(INDEX(Checks!$J:$J,MATCH($A143,Checks!$A:$A,0)),0))</x:f>
      </x:c>
      <x:c r="K143" s="10" t="str">
        <x:f t="shared" si="11"/>
      </x:c>
    </x:row>
    <x:row r="144" ht="66.25" customHeight="1">
      <x:c r="A144" s="10" t="e">
        <x:f>IFERROR(INDEX(Dependencies!$C$2:$C$5000,_xludf.AGGREGATE(15,6,(ROW(Dependencies!$A$2:$A$5000)-ROW(Dependencies!$A$2)+1)/(Dependencies!$A$2:$A$5000=$B$3),ROWS($A$20:A144))),"")</x:f>
      </x:c>
      <x:c r="B144" s="10" t="e">
        <x:f>IF($A144="","",IFERROR(INDEX(Blueprint_Data!$F:$F,MATCH($A144,Blueprint_Data!$A:$A,0)),""))</x:f>
      </x:c>
      <x:c r="C144" s="10" t="e">
        <x:f>IF($A144="","",IFERROR(INDEX(Blueprint_Data!$G:$G,MATCH($A144,Blueprint_Data!$A:$A,0)),""))</x:f>
      </x:c>
      <x:c r="D144" s="10" t="e">
        <x:f>IF($A144="","",IFERROR(INDEX(Blueprint_Data!$W:$W,MATCH($A144,Blueprint_Data!$A:$A,0)),""))</x:f>
      </x:c>
      <x:c r="E144" s="10" t="str">
        <x:f t="shared" si="9"/>
      </x:c>
      <x:c r="F144" s="10" t="str">
        <x:f t="shared" si="10"/>
        <x:v>Missing Dependency; Out-of-Seq; Missing OM Fields</x:v>
      </x:c>
      <x:c r="G144" s="10" t="e">
        <x:f>IF($A144="","",IFERROR(INDEX(Checks!$D:$D,MATCH($A144,Checks!$A:$A,0)),0))</x:f>
      </x:c>
      <x:c r="H144" s="10" t="e">
        <x:f>IF($A144="","",IFERROR(INDEX(Checks!$F:$F,MATCH($A144,Checks!$A:$A,0)),0))</x:f>
      </x:c>
      <x:c r="I144" s="10" t="e">
        <x:f>IF($A144="","",IFERROR(INDEX(Checks!$H:$H,MATCH($A144,Checks!$A:$A,0)),"NO"))</x:f>
      </x:c>
      <x:c r="J144" s="10" t="e">
        <x:f>IF($A144="","",IFERROR(INDEX(Checks!$J:$J,MATCH($A144,Checks!$A:$A,0)),0))</x:f>
      </x:c>
      <x:c r="K144" s="10" t="str">
        <x:f t="shared" si="11"/>
      </x:c>
    </x:row>
    <x:row r="145" ht="66.25" customHeight="1">
      <x:c r="A145" s="10" t="e">
        <x:f>IFERROR(INDEX(Dependencies!$C$2:$C$5000,_xludf.AGGREGATE(15,6,(ROW(Dependencies!$A$2:$A$5000)-ROW(Dependencies!$A$2)+1)/(Dependencies!$A$2:$A$5000=$B$3),ROWS($A$20:A145))),"")</x:f>
      </x:c>
      <x:c r="B145" s="10" t="e">
        <x:f>IF($A145="","",IFERROR(INDEX(Blueprint_Data!$F:$F,MATCH($A145,Blueprint_Data!$A:$A,0)),""))</x:f>
      </x:c>
      <x:c r="C145" s="10" t="e">
        <x:f>IF($A145="","",IFERROR(INDEX(Blueprint_Data!$G:$G,MATCH($A145,Blueprint_Data!$A:$A,0)),""))</x:f>
      </x:c>
      <x:c r="D145" s="10" t="e">
        <x:f>IF($A145="","",IFERROR(INDEX(Blueprint_Data!$W:$W,MATCH($A145,Blueprint_Data!$A:$A,0)),""))</x:f>
      </x:c>
      <x:c r="E145" s="10" t="str">
        <x:f t="shared" si="9"/>
      </x:c>
      <x:c r="F145" s="10" t="str">
        <x:f t="shared" si="10"/>
        <x:v>Missing Dependency; Out-of-Seq; Missing OM Fields</x:v>
      </x:c>
      <x:c r="G145" s="10" t="e">
        <x:f>IF($A145="","",IFERROR(INDEX(Checks!$D:$D,MATCH($A145,Checks!$A:$A,0)),0))</x:f>
      </x:c>
      <x:c r="H145" s="10" t="e">
        <x:f>IF($A145="","",IFERROR(INDEX(Checks!$F:$F,MATCH($A145,Checks!$A:$A,0)),0))</x:f>
      </x:c>
      <x:c r="I145" s="10" t="e">
        <x:f>IF($A145="","",IFERROR(INDEX(Checks!$H:$H,MATCH($A145,Checks!$A:$A,0)),"NO"))</x:f>
      </x:c>
      <x:c r="J145" s="10" t="e">
        <x:f>IF($A145="","",IFERROR(INDEX(Checks!$J:$J,MATCH($A145,Checks!$A:$A,0)),0))</x:f>
      </x:c>
      <x:c r="K145" s="10" t="str">
        <x:f t="shared" si="11"/>
      </x:c>
    </x:row>
    <x:row r="146" ht="66.25" customHeight="1">
      <x:c r="A146" s="10" t="e">
        <x:f>IFERROR(INDEX(Dependencies!$C$2:$C$5000,_xludf.AGGREGATE(15,6,(ROW(Dependencies!$A$2:$A$5000)-ROW(Dependencies!$A$2)+1)/(Dependencies!$A$2:$A$5000=$B$3),ROWS($A$20:A146))),"")</x:f>
      </x:c>
      <x:c r="B146" s="10" t="e">
        <x:f>IF($A146="","",IFERROR(INDEX(Blueprint_Data!$F:$F,MATCH($A146,Blueprint_Data!$A:$A,0)),""))</x:f>
      </x:c>
      <x:c r="C146" s="10" t="e">
        <x:f>IF($A146="","",IFERROR(INDEX(Blueprint_Data!$G:$G,MATCH($A146,Blueprint_Data!$A:$A,0)),""))</x:f>
      </x:c>
      <x:c r="D146" s="10" t="e">
        <x:f>IF($A146="","",IFERROR(INDEX(Blueprint_Data!$W:$W,MATCH($A146,Blueprint_Data!$A:$A,0)),""))</x:f>
      </x:c>
      <x:c r="E146" s="10" t="str">
        <x:f t="shared" si="9"/>
      </x:c>
      <x:c r="F146" s="10" t="str">
        <x:f t="shared" si="10"/>
        <x:v>Missing Dependency; Out-of-Seq; Missing OM Fields</x:v>
      </x:c>
      <x:c r="G146" s="10" t="e">
        <x:f>IF($A146="","",IFERROR(INDEX(Checks!$D:$D,MATCH($A146,Checks!$A:$A,0)),0))</x:f>
      </x:c>
      <x:c r="H146" s="10" t="e">
        <x:f>IF($A146="","",IFERROR(INDEX(Checks!$F:$F,MATCH($A146,Checks!$A:$A,0)),0))</x:f>
      </x:c>
      <x:c r="I146" s="10" t="e">
        <x:f>IF($A146="","",IFERROR(INDEX(Checks!$H:$H,MATCH($A146,Checks!$A:$A,0)),"NO"))</x:f>
      </x:c>
      <x:c r="J146" s="10" t="e">
        <x:f>IF($A146="","",IFERROR(INDEX(Checks!$J:$J,MATCH($A146,Checks!$A:$A,0)),0))</x:f>
      </x:c>
      <x:c r="K146" s="10" t="str">
        <x:f t="shared" si="11"/>
      </x:c>
    </x:row>
    <x:row r="147" ht="66.25" customHeight="1">
      <x:c r="A147" s="10" t="e">
        <x:f>IFERROR(INDEX(Dependencies!$C$2:$C$5000,_xludf.AGGREGATE(15,6,(ROW(Dependencies!$A$2:$A$5000)-ROW(Dependencies!$A$2)+1)/(Dependencies!$A$2:$A$5000=$B$3),ROWS($A$20:A147))),"")</x:f>
      </x:c>
      <x:c r="B147" s="10" t="e">
        <x:f>IF($A147="","",IFERROR(INDEX(Blueprint_Data!$F:$F,MATCH($A147,Blueprint_Data!$A:$A,0)),""))</x:f>
      </x:c>
      <x:c r="C147" s="10" t="e">
        <x:f>IF($A147="","",IFERROR(INDEX(Blueprint_Data!$G:$G,MATCH($A147,Blueprint_Data!$A:$A,0)),""))</x:f>
      </x:c>
      <x:c r="D147" s="10" t="e">
        <x:f>IF($A147="","",IFERROR(INDEX(Blueprint_Data!$W:$W,MATCH($A147,Blueprint_Data!$A:$A,0)),""))</x:f>
      </x:c>
      <x:c r="E147" s="10" t="str">
        <x:f t="shared" si="9"/>
      </x:c>
      <x:c r="F147" s="10" t="str">
        <x:f t="shared" si="10"/>
        <x:v>Missing Dependency; Out-of-Seq; Missing OM Fields</x:v>
      </x:c>
      <x:c r="G147" s="10" t="e">
        <x:f>IF($A147="","",IFERROR(INDEX(Checks!$D:$D,MATCH($A147,Checks!$A:$A,0)),0))</x:f>
      </x:c>
      <x:c r="H147" s="10" t="e">
        <x:f>IF($A147="","",IFERROR(INDEX(Checks!$F:$F,MATCH($A147,Checks!$A:$A,0)),0))</x:f>
      </x:c>
      <x:c r="I147" s="10" t="e">
        <x:f>IF($A147="","",IFERROR(INDEX(Checks!$H:$H,MATCH($A147,Checks!$A:$A,0)),"NO"))</x:f>
      </x:c>
      <x:c r="J147" s="10" t="e">
        <x:f>IF($A147="","",IFERROR(INDEX(Checks!$J:$J,MATCH($A147,Checks!$A:$A,0)),0))</x:f>
      </x:c>
      <x:c r="K147" s="10" t="str">
        <x:f t="shared" si="11"/>
      </x:c>
    </x:row>
    <x:row r="148" ht="66.25" customHeight="1">
      <x:c r="A148" s="10" t="e">
        <x:f>IFERROR(INDEX(Dependencies!$C$2:$C$5000,_xludf.AGGREGATE(15,6,(ROW(Dependencies!$A$2:$A$5000)-ROW(Dependencies!$A$2)+1)/(Dependencies!$A$2:$A$5000=$B$3),ROWS($A$20:A148))),"")</x:f>
      </x:c>
      <x:c r="B148" s="10" t="e">
        <x:f>IF($A148="","",IFERROR(INDEX(Blueprint_Data!$F:$F,MATCH($A148,Blueprint_Data!$A:$A,0)),""))</x:f>
      </x:c>
      <x:c r="C148" s="10" t="e">
        <x:f>IF($A148="","",IFERROR(INDEX(Blueprint_Data!$G:$G,MATCH($A148,Blueprint_Data!$A:$A,0)),""))</x:f>
      </x:c>
      <x:c r="D148" s="10" t="e">
        <x:f>IF($A148="","",IFERROR(INDEX(Blueprint_Data!$W:$W,MATCH($A148,Blueprint_Data!$A:$A,0)),""))</x:f>
      </x:c>
      <x:c r="E148" s="10" t="e">
        <x:f t="shared" ref="E148:E179" si="12">IF($A148="","",IF(OR(G148&gt;0,H148&gt;0,I148="YES",J148&gt;0),"YES","NO"))</x:f>
      </x:c>
      <x:c r="F148" s="10" t="e">
        <x:f t="shared" ref="F148:F179" si="13">IF((IF(G148&gt;0,"Missing Dependency; ","")&amp;IF(H148&gt;0,"Out-of-Seq; ","")&amp;IF(I148="YES","SoR Collision; ","")&amp;IF(J148&gt;0,"Missing OM Fields; ",""))="","",IF(RIGHT((IF(G148&gt;0,"Missing Dependency; ","")&amp;IF(H148&gt;0,"Out-of-Seq; ","")&amp;IF(I148="YES","SoR Collision; ","")&amp;IF(J148&gt;0,"Missing OM Fields; ","")),2)="; ",LEFT((IF(G148&gt;0,"Missing Dependency; ","")&amp;IF(H148&gt;0,"Out-of-Seq; ","")&amp;IF(I148="YES","SoR Collision; ","")&amp;IF(J148&gt;0,"Missing OM Fields; ","")),LEN((IF(G148&gt;0,"Missing Dependency; ","")&amp;IF(H148&gt;0,"Out-of-Seq; ","")&amp;IF(I148="YES","SoR Collision; ","")&amp;IF(J148&gt;0,"Missing OM Fields; ","")))-2),(IF(G148&gt;0,"Missing Dependency; ","")&amp;IF(H148&gt;0,"Out-of-Seq; ","")&amp;IF(I148="YES","SoR Collision; ","")&amp;IF(J148&gt;0,"Missing OM Fields; ",""))))</x:f>
      </x:c>
      <x:c r="G148" s="10" t="e">
        <x:f>IF($A148="","",IFERROR(INDEX(Checks!$D:$D,MATCH($A148,Checks!$A:$A,0)),0))</x:f>
      </x:c>
      <x:c r="H148" s="10" t="e">
        <x:f>IF($A148="","",IFERROR(INDEX(Checks!$F:$F,MATCH($A148,Checks!$A:$A,0)),0))</x:f>
      </x:c>
      <x:c r="I148" s="10" t="e">
        <x:f>IF($A148="","",IFERROR(INDEX(Checks!$H:$H,MATCH($A148,Checks!$A:$A,0)),"NO"))</x:f>
      </x:c>
      <x:c r="J148" s="10" t="e">
        <x:f>IF($A148="","",IFERROR(INDEX(Checks!$J:$J,MATCH($A148,Checks!$A:$A,0)),0))</x:f>
      </x:c>
      <x:c r="K148" s="10" t="e">
        <x:f t="shared" ref="K148:K179" si="14">IF($A148="","",IF(E148="NO","OK: dependency is clean",IF(I148="YES","Resolve SoR ownership (single SoR)",IF(G148&gt;0,"Close missing dependencies",IF(H148&gt;0,"Resequence waves",IF(J148&gt;0,"Populate Operating Model fields","Remediate blockers"))))))</x:f>
      </x:c>
    </x:row>
    <x:row r="149" ht="66.25" customHeight="1">
      <x:c r="A149" s="10" t="e">
        <x:f>IFERROR(INDEX(Dependencies!$C$2:$C$5000,_xludf.AGGREGATE(15,6,(ROW(Dependencies!$A$2:$A$5000)-ROW(Dependencies!$A$2)+1)/(Dependencies!$A$2:$A$5000=$B$3),ROWS($A$20:A149))),"")</x:f>
      </x:c>
      <x:c r="B149" s="10" t="e">
        <x:f>IF($A149="","",IFERROR(INDEX(Blueprint_Data!$F:$F,MATCH($A149,Blueprint_Data!$A:$A,0)),""))</x:f>
      </x:c>
      <x:c r="C149" s="10" t="e">
        <x:f>IF($A149="","",IFERROR(INDEX(Blueprint_Data!$G:$G,MATCH($A149,Blueprint_Data!$A:$A,0)),""))</x:f>
      </x:c>
      <x:c r="D149" s="10" t="e">
        <x:f>IF($A149="","",IFERROR(INDEX(Blueprint_Data!$W:$W,MATCH($A149,Blueprint_Data!$A:$A,0)),""))</x:f>
      </x:c>
      <x:c r="E149" s="10" t="str">
        <x:f t="shared" si="12"/>
      </x:c>
      <x:c r="F149" s="10" t="str">
        <x:f t="shared" si="13"/>
        <x:v>Missing Dependency; Out-of-Seq; Missing OM Fields</x:v>
      </x:c>
      <x:c r="G149" s="10" t="e">
        <x:f>IF($A149="","",IFERROR(INDEX(Checks!$D:$D,MATCH($A149,Checks!$A:$A,0)),0))</x:f>
      </x:c>
      <x:c r="H149" s="10" t="e">
        <x:f>IF($A149="","",IFERROR(INDEX(Checks!$F:$F,MATCH($A149,Checks!$A:$A,0)),0))</x:f>
      </x:c>
      <x:c r="I149" s="10" t="e">
        <x:f>IF($A149="","",IFERROR(INDEX(Checks!$H:$H,MATCH($A149,Checks!$A:$A,0)),"NO"))</x:f>
      </x:c>
      <x:c r="J149" s="10" t="e">
        <x:f>IF($A149="","",IFERROR(INDEX(Checks!$J:$J,MATCH($A149,Checks!$A:$A,0)),0))</x:f>
      </x:c>
      <x:c r="K149" s="10" t="str">
        <x:f t="shared" si="14"/>
      </x:c>
    </x:row>
    <x:row r="150" ht="66.25" customHeight="1">
      <x:c r="A150" s="10" t="e">
        <x:f>IFERROR(INDEX(Dependencies!$C$2:$C$5000,_xludf.AGGREGATE(15,6,(ROW(Dependencies!$A$2:$A$5000)-ROW(Dependencies!$A$2)+1)/(Dependencies!$A$2:$A$5000=$B$3),ROWS($A$20:A150))),"")</x:f>
      </x:c>
      <x:c r="B150" s="10" t="e">
        <x:f>IF($A150="","",IFERROR(INDEX(Blueprint_Data!$F:$F,MATCH($A150,Blueprint_Data!$A:$A,0)),""))</x:f>
      </x:c>
      <x:c r="C150" s="10" t="e">
        <x:f>IF($A150="","",IFERROR(INDEX(Blueprint_Data!$G:$G,MATCH($A150,Blueprint_Data!$A:$A,0)),""))</x:f>
      </x:c>
      <x:c r="D150" s="10" t="e">
        <x:f>IF($A150="","",IFERROR(INDEX(Blueprint_Data!$W:$W,MATCH($A150,Blueprint_Data!$A:$A,0)),""))</x:f>
      </x:c>
      <x:c r="E150" s="10" t="str">
        <x:f t="shared" si="12"/>
      </x:c>
      <x:c r="F150" s="10" t="str">
        <x:f t="shared" si="13"/>
        <x:v>Missing Dependency; Out-of-Seq; Missing OM Fields</x:v>
      </x:c>
      <x:c r="G150" s="10" t="e">
        <x:f>IF($A150="","",IFERROR(INDEX(Checks!$D:$D,MATCH($A150,Checks!$A:$A,0)),0))</x:f>
      </x:c>
      <x:c r="H150" s="10" t="e">
        <x:f>IF($A150="","",IFERROR(INDEX(Checks!$F:$F,MATCH($A150,Checks!$A:$A,0)),0))</x:f>
      </x:c>
      <x:c r="I150" s="10" t="e">
        <x:f>IF($A150="","",IFERROR(INDEX(Checks!$H:$H,MATCH($A150,Checks!$A:$A,0)),"NO"))</x:f>
      </x:c>
      <x:c r="J150" s="10" t="e">
        <x:f>IF($A150="","",IFERROR(INDEX(Checks!$J:$J,MATCH($A150,Checks!$A:$A,0)),0))</x:f>
      </x:c>
      <x:c r="K150" s="10" t="str">
        <x:f t="shared" si="14"/>
      </x:c>
    </x:row>
    <x:row r="151" ht="66.25" customHeight="1">
      <x:c r="A151" s="10" t="e">
        <x:f>IFERROR(INDEX(Dependencies!$C$2:$C$5000,_xludf.AGGREGATE(15,6,(ROW(Dependencies!$A$2:$A$5000)-ROW(Dependencies!$A$2)+1)/(Dependencies!$A$2:$A$5000=$B$3),ROWS($A$20:A151))),"")</x:f>
      </x:c>
      <x:c r="B151" s="10" t="e">
        <x:f>IF($A151="","",IFERROR(INDEX(Blueprint_Data!$F:$F,MATCH($A151,Blueprint_Data!$A:$A,0)),""))</x:f>
      </x:c>
      <x:c r="C151" s="10" t="e">
        <x:f>IF($A151="","",IFERROR(INDEX(Blueprint_Data!$G:$G,MATCH($A151,Blueprint_Data!$A:$A,0)),""))</x:f>
      </x:c>
      <x:c r="D151" s="10" t="e">
        <x:f>IF($A151="","",IFERROR(INDEX(Blueprint_Data!$W:$W,MATCH($A151,Blueprint_Data!$A:$A,0)),""))</x:f>
      </x:c>
      <x:c r="E151" s="10" t="str">
        <x:f t="shared" si="12"/>
      </x:c>
      <x:c r="F151" s="10" t="str">
        <x:f t="shared" si="13"/>
        <x:v>Missing Dependency; Out-of-Seq; Missing OM Fields</x:v>
      </x:c>
      <x:c r="G151" s="10" t="e">
        <x:f>IF($A151="","",IFERROR(INDEX(Checks!$D:$D,MATCH($A151,Checks!$A:$A,0)),0))</x:f>
      </x:c>
      <x:c r="H151" s="10" t="e">
        <x:f>IF($A151="","",IFERROR(INDEX(Checks!$F:$F,MATCH($A151,Checks!$A:$A,0)),0))</x:f>
      </x:c>
      <x:c r="I151" s="10" t="e">
        <x:f>IF($A151="","",IFERROR(INDEX(Checks!$H:$H,MATCH($A151,Checks!$A:$A,0)),"NO"))</x:f>
      </x:c>
      <x:c r="J151" s="10" t="e">
        <x:f>IF($A151="","",IFERROR(INDEX(Checks!$J:$J,MATCH($A151,Checks!$A:$A,0)),0))</x:f>
      </x:c>
      <x:c r="K151" s="10" t="str">
        <x:f t="shared" si="14"/>
      </x:c>
    </x:row>
    <x:row r="152" ht="66.25" customHeight="1">
      <x:c r="A152" s="10" t="e">
        <x:f>IFERROR(INDEX(Dependencies!$C$2:$C$5000,_xludf.AGGREGATE(15,6,(ROW(Dependencies!$A$2:$A$5000)-ROW(Dependencies!$A$2)+1)/(Dependencies!$A$2:$A$5000=$B$3),ROWS($A$20:A152))),"")</x:f>
      </x:c>
      <x:c r="B152" s="10" t="e">
        <x:f>IF($A152="","",IFERROR(INDEX(Blueprint_Data!$F:$F,MATCH($A152,Blueprint_Data!$A:$A,0)),""))</x:f>
      </x:c>
      <x:c r="C152" s="10" t="e">
        <x:f>IF($A152="","",IFERROR(INDEX(Blueprint_Data!$G:$G,MATCH($A152,Blueprint_Data!$A:$A,0)),""))</x:f>
      </x:c>
      <x:c r="D152" s="10" t="e">
        <x:f>IF($A152="","",IFERROR(INDEX(Blueprint_Data!$W:$W,MATCH($A152,Blueprint_Data!$A:$A,0)),""))</x:f>
      </x:c>
      <x:c r="E152" s="10" t="str">
        <x:f t="shared" si="12"/>
      </x:c>
      <x:c r="F152" s="10" t="str">
        <x:f t="shared" si="13"/>
        <x:v>Missing Dependency; Out-of-Seq; Missing OM Fields</x:v>
      </x:c>
      <x:c r="G152" s="10" t="e">
        <x:f>IF($A152="","",IFERROR(INDEX(Checks!$D:$D,MATCH($A152,Checks!$A:$A,0)),0))</x:f>
      </x:c>
      <x:c r="H152" s="10" t="e">
        <x:f>IF($A152="","",IFERROR(INDEX(Checks!$F:$F,MATCH($A152,Checks!$A:$A,0)),0))</x:f>
      </x:c>
      <x:c r="I152" s="10" t="e">
        <x:f>IF($A152="","",IFERROR(INDEX(Checks!$H:$H,MATCH($A152,Checks!$A:$A,0)),"NO"))</x:f>
      </x:c>
      <x:c r="J152" s="10" t="e">
        <x:f>IF($A152="","",IFERROR(INDEX(Checks!$J:$J,MATCH($A152,Checks!$A:$A,0)),0))</x:f>
      </x:c>
      <x:c r="K152" s="10" t="str">
        <x:f t="shared" si="14"/>
      </x:c>
    </x:row>
    <x:row r="153" ht="66.25" customHeight="1">
      <x:c r="A153" s="10" t="e">
        <x:f>IFERROR(INDEX(Dependencies!$C$2:$C$5000,_xludf.AGGREGATE(15,6,(ROW(Dependencies!$A$2:$A$5000)-ROW(Dependencies!$A$2)+1)/(Dependencies!$A$2:$A$5000=$B$3),ROWS($A$20:A153))),"")</x:f>
      </x:c>
      <x:c r="B153" s="10" t="e">
        <x:f>IF($A153="","",IFERROR(INDEX(Blueprint_Data!$F:$F,MATCH($A153,Blueprint_Data!$A:$A,0)),""))</x:f>
      </x:c>
      <x:c r="C153" s="10" t="e">
        <x:f>IF($A153="","",IFERROR(INDEX(Blueprint_Data!$G:$G,MATCH($A153,Blueprint_Data!$A:$A,0)),""))</x:f>
      </x:c>
      <x:c r="D153" s="10" t="e">
        <x:f>IF($A153="","",IFERROR(INDEX(Blueprint_Data!$W:$W,MATCH($A153,Blueprint_Data!$A:$A,0)),""))</x:f>
      </x:c>
      <x:c r="E153" s="10" t="str">
        <x:f t="shared" si="12"/>
      </x:c>
      <x:c r="F153" s="10" t="str">
        <x:f t="shared" si="13"/>
        <x:v>Missing Dependency; Out-of-Seq; Missing OM Fields</x:v>
      </x:c>
      <x:c r="G153" s="10" t="e">
        <x:f>IF($A153="","",IFERROR(INDEX(Checks!$D:$D,MATCH($A153,Checks!$A:$A,0)),0))</x:f>
      </x:c>
      <x:c r="H153" s="10" t="e">
        <x:f>IF($A153="","",IFERROR(INDEX(Checks!$F:$F,MATCH($A153,Checks!$A:$A,0)),0))</x:f>
      </x:c>
      <x:c r="I153" s="10" t="e">
        <x:f>IF($A153="","",IFERROR(INDEX(Checks!$H:$H,MATCH($A153,Checks!$A:$A,0)),"NO"))</x:f>
      </x:c>
      <x:c r="J153" s="10" t="e">
        <x:f>IF($A153="","",IFERROR(INDEX(Checks!$J:$J,MATCH($A153,Checks!$A:$A,0)),0))</x:f>
      </x:c>
      <x:c r="K153" s="10" t="str">
        <x:f t="shared" si="14"/>
      </x:c>
    </x:row>
    <x:row r="154" ht="66.25" customHeight="1">
      <x:c r="A154" s="10" t="e">
        <x:f>IFERROR(INDEX(Dependencies!$C$2:$C$5000,_xludf.AGGREGATE(15,6,(ROW(Dependencies!$A$2:$A$5000)-ROW(Dependencies!$A$2)+1)/(Dependencies!$A$2:$A$5000=$B$3),ROWS($A$20:A154))),"")</x:f>
      </x:c>
      <x:c r="B154" s="10" t="e">
        <x:f>IF($A154="","",IFERROR(INDEX(Blueprint_Data!$F:$F,MATCH($A154,Blueprint_Data!$A:$A,0)),""))</x:f>
      </x:c>
      <x:c r="C154" s="10" t="e">
        <x:f>IF($A154="","",IFERROR(INDEX(Blueprint_Data!$G:$G,MATCH($A154,Blueprint_Data!$A:$A,0)),""))</x:f>
      </x:c>
      <x:c r="D154" s="10" t="e">
        <x:f>IF($A154="","",IFERROR(INDEX(Blueprint_Data!$W:$W,MATCH($A154,Blueprint_Data!$A:$A,0)),""))</x:f>
      </x:c>
      <x:c r="E154" s="10" t="str">
        <x:f t="shared" si="12"/>
      </x:c>
      <x:c r="F154" s="10" t="str">
        <x:f t="shared" si="13"/>
        <x:v>Missing Dependency; Out-of-Seq; Missing OM Fields</x:v>
      </x:c>
      <x:c r="G154" s="10" t="e">
        <x:f>IF($A154="","",IFERROR(INDEX(Checks!$D:$D,MATCH($A154,Checks!$A:$A,0)),0))</x:f>
      </x:c>
      <x:c r="H154" s="10" t="e">
        <x:f>IF($A154="","",IFERROR(INDEX(Checks!$F:$F,MATCH($A154,Checks!$A:$A,0)),0))</x:f>
      </x:c>
      <x:c r="I154" s="10" t="e">
        <x:f>IF($A154="","",IFERROR(INDEX(Checks!$H:$H,MATCH($A154,Checks!$A:$A,0)),"NO"))</x:f>
      </x:c>
      <x:c r="J154" s="10" t="e">
        <x:f>IF($A154="","",IFERROR(INDEX(Checks!$J:$J,MATCH($A154,Checks!$A:$A,0)),0))</x:f>
      </x:c>
      <x:c r="K154" s="10" t="str">
        <x:f t="shared" si="14"/>
      </x:c>
    </x:row>
    <x:row r="155" ht="66.25" customHeight="1">
      <x:c r="A155" s="10" t="e">
        <x:f>IFERROR(INDEX(Dependencies!$C$2:$C$5000,_xludf.AGGREGATE(15,6,(ROW(Dependencies!$A$2:$A$5000)-ROW(Dependencies!$A$2)+1)/(Dependencies!$A$2:$A$5000=$B$3),ROWS($A$20:A155))),"")</x:f>
      </x:c>
      <x:c r="B155" s="10" t="e">
        <x:f>IF($A155="","",IFERROR(INDEX(Blueprint_Data!$F:$F,MATCH($A155,Blueprint_Data!$A:$A,0)),""))</x:f>
      </x:c>
      <x:c r="C155" s="10" t="e">
        <x:f>IF($A155="","",IFERROR(INDEX(Blueprint_Data!$G:$G,MATCH($A155,Blueprint_Data!$A:$A,0)),""))</x:f>
      </x:c>
      <x:c r="D155" s="10" t="e">
        <x:f>IF($A155="","",IFERROR(INDEX(Blueprint_Data!$W:$W,MATCH($A155,Blueprint_Data!$A:$A,0)),""))</x:f>
      </x:c>
      <x:c r="E155" s="10" t="str">
        <x:f t="shared" si="12"/>
      </x:c>
      <x:c r="F155" s="10" t="str">
        <x:f t="shared" si="13"/>
        <x:v>Missing Dependency; Out-of-Seq; Missing OM Fields</x:v>
      </x:c>
      <x:c r="G155" s="10" t="e">
        <x:f>IF($A155="","",IFERROR(INDEX(Checks!$D:$D,MATCH($A155,Checks!$A:$A,0)),0))</x:f>
      </x:c>
      <x:c r="H155" s="10" t="e">
        <x:f>IF($A155="","",IFERROR(INDEX(Checks!$F:$F,MATCH($A155,Checks!$A:$A,0)),0))</x:f>
      </x:c>
      <x:c r="I155" s="10" t="e">
        <x:f>IF($A155="","",IFERROR(INDEX(Checks!$H:$H,MATCH($A155,Checks!$A:$A,0)),"NO"))</x:f>
      </x:c>
      <x:c r="J155" s="10" t="e">
        <x:f>IF($A155="","",IFERROR(INDEX(Checks!$J:$J,MATCH($A155,Checks!$A:$A,0)),0))</x:f>
      </x:c>
      <x:c r="K155" s="10" t="str">
        <x:f t="shared" si="14"/>
      </x:c>
    </x:row>
    <x:row r="156" ht="66.25" customHeight="1">
      <x:c r="A156" s="10" t="e">
        <x:f>IFERROR(INDEX(Dependencies!$C$2:$C$5000,_xludf.AGGREGATE(15,6,(ROW(Dependencies!$A$2:$A$5000)-ROW(Dependencies!$A$2)+1)/(Dependencies!$A$2:$A$5000=$B$3),ROWS($A$20:A156))),"")</x:f>
      </x:c>
      <x:c r="B156" s="10" t="e">
        <x:f>IF($A156="","",IFERROR(INDEX(Blueprint_Data!$F:$F,MATCH($A156,Blueprint_Data!$A:$A,0)),""))</x:f>
      </x:c>
      <x:c r="C156" s="10" t="e">
        <x:f>IF($A156="","",IFERROR(INDEX(Blueprint_Data!$G:$G,MATCH($A156,Blueprint_Data!$A:$A,0)),""))</x:f>
      </x:c>
      <x:c r="D156" s="10" t="e">
        <x:f>IF($A156="","",IFERROR(INDEX(Blueprint_Data!$W:$W,MATCH($A156,Blueprint_Data!$A:$A,0)),""))</x:f>
      </x:c>
      <x:c r="E156" s="10" t="str">
        <x:f t="shared" si="12"/>
      </x:c>
      <x:c r="F156" s="10" t="str">
        <x:f t="shared" si="13"/>
        <x:v>Missing Dependency; Out-of-Seq; Missing OM Fields</x:v>
      </x:c>
      <x:c r="G156" s="10" t="e">
        <x:f>IF($A156="","",IFERROR(INDEX(Checks!$D:$D,MATCH($A156,Checks!$A:$A,0)),0))</x:f>
      </x:c>
      <x:c r="H156" s="10" t="e">
        <x:f>IF($A156="","",IFERROR(INDEX(Checks!$F:$F,MATCH($A156,Checks!$A:$A,0)),0))</x:f>
      </x:c>
      <x:c r="I156" s="10" t="e">
        <x:f>IF($A156="","",IFERROR(INDEX(Checks!$H:$H,MATCH($A156,Checks!$A:$A,0)),"NO"))</x:f>
      </x:c>
      <x:c r="J156" s="10" t="e">
        <x:f>IF($A156="","",IFERROR(INDEX(Checks!$J:$J,MATCH($A156,Checks!$A:$A,0)),0))</x:f>
      </x:c>
      <x:c r="K156" s="10" t="str">
        <x:f t="shared" si="14"/>
      </x:c>
    </x:row>
    <x:row r="157" ht="66.25" customHeight="1">
      <x:c r="A157" s="10" t="e">
        <x:f>IFERROR(INDEX(Dependencies!$C$2:$C$5000,_xludf.AGGREGATE(15,6,(ROW(Dependencies!$A$2:$A$5000)-ROW(Dependencies!$A$2)+1)/(Dependencies!$A$2:$A$5000=$B$3),ROWS($A$20:A157))),"")</x:f>
      </x:c>
      <x:c r="B157" s="10" t="e">
        <x:f>IF($A157="","",IFERROR(INDEX(Blueprint_Data!$F:$F,MATCH($A157,Blueprint_Data!$A:$A,0)),""))</x:f>
      </x:c>
      <x:c r="C157" s="10" t="e">
        <x:f>IF($A157="","",IFERROR(INDEX(Blueprint_Data!$G:$G,MATCH($A157,Blueprint_Data!$A:$A,0)),""))</x:f>
      </x:c>
      <x:c r="D157" s="10" t="e">
        <x:f>IF($A157="","",IFERROR(INDEX(Blueprint_Data!$W:$W,MATCH($A157,Blueprint_Data!$A:$A,0)),""))</x:f>
      </x:c>
      <x:c r="E157" s="10" t="str">
        <x:f t="shared" si="12"/>
      </x:c>
      <x:c r="F157" s="10" t="str">
        <x:f t="shared" si="13"/>
        <x:v>Missing Dependency; Out-of-Seq; Missing OM Fields</x:v>
      </x:c>
      <x:c r="G157" s="10" t="e">
        <x:f>IF($A157="","",IFERROR(INDEX(Checks!$D:$D,MATCH($A157,Checks!$A:$A,0)),0))</x:f>
      </x:c>
      <x:c r="H157" s="10" t="e">
        <x:f>IF($A157="","",IFERROR(INDEX(Checks!$F:$F,MATCH($A157,Checks!$A:$A,0)),0))</x:f>
      </x:c>
      <x:c r="I157" s="10" t="e">
        <x:f>IF($A157="","",IFERROR(INDEX(Checks!$H:$H,MATCH($A157,Checks!$A:$A,0)),"NO"))</x:f>
      </x:c>
      <x:c r="J157" s="10" t="e">
        <x:f>IF($A157="","",IFERROR(INDEX(Checks!$J:$J,MATCH($A157,Checks!$A:$A,0)),0))</x:f>
      </x:c>
      <x:c r="K157" s="10" t="str">
        <x:f t="shared" si="14"/>
      </x:c>
    </x:row>
    <x:row r="158" ht="66.25" customHeight="1">
      <x:c r="A158" s="10" t="e">
        <x:f>IFERROR(INDEX(Dependencies!$C$2:$C$5000,_xludf.AGGREGATE(15,6,(ROW(Dependencies!$A$2:$A$5000)-ROW(Dependencies!$A$2)+1)/(Dependencies!$A$2:$A$5000=$B$3),ROWS($A$20:A158))),"")</x:f>
      </x:c>
      <x:c r="B158" s="10" t="e">
        <x:f>IF($A158="","",IFERROR(INDEX(Blueprint_Data!$F:$F,MATCH($A158,Blueprint_Data!$A:$A,0)),""))</x:f>
      </x:c>
      <x:c r="C158" s="10" t="e">
        <x:f>IF($A158="","",IFERROR(INDEX(Blueprint_Data!$G:$G,MATCH($A158,Blueprint_Data!$A:$A,0)),""))</x:f>
      </x:c>
      <x:c r="D158" s="10" t="e">
        <x:f>IF($A158="","",IFERROR(INDEX(Blueprint_Data!$W:$W,MATCH($A158,Blueprint_Data!$A:$A,0)),""))</x:f>
      </x:c>
      <x:c r="E158" s="10" t="str">
        <x:f t="shared" si="12"/>
      </x:c>
      <x:c r="F158" s="10" t="str">
        <x:f t="shared" si="13"/>
        <x:v>Missing Dependency; Out-of-Seq; Missing OM Fields</x:v>
      </x:c>
      <x:c r="G158" s="10" t="e">
        <x:f>IF($A158="","",IFERROR(INDEX(Checks!$D:$D,MATCH($A158,Checks!$A:$A,0)),0))</x:f>
      </x:c>
      <x:c r="H158" s="10" t="e">
        <x:f>IF($A158="","",IFERROR(INDEX(Checks!$F:$F,MATCH($A158,Checks!$A:$A,0)),0))</x:f>
      </x:c>
      <x:c r="I158" s="10" t="e">
        <x:f>IF($A158="","",IFERROR(INDEX(Checks!$H:$H,MATCH($A158,Checks!$A:$A,0)),"NO"))</x:f>
      </x:c>
      <x:c r="J158" s="10" t="e">
        <x:f>IF($A158="","",IFERROR(INDEX(Checks!$J:$J,MATCH($A158,Checks!$A:$A,0)),0))</x:f>
      </x:c>
      <x:c r="K158" s="10" t="str">
        <x:f t="shared" si="14"/>
      </x:c>
    </x:row>
    <x:row r="159" ht="66.25" customHeight="1">
      <x:c r="A159" s="10" t="e">
        <x:f>IFERROR(INDEX(Dependencies!$C$2:$C$5000,_xludf.AGGREGATE(15,6,(ROW(Dependencies!$A$2:$A$5000)-ROW(Dependencies!$A$2)+1)/(Dependencies!$A$2:$A$5000=$B$3),ROWS($A$20:A159))),"")</x:f>
      </x:c>
      <x:c r="B159" s="10" t="e">
        <x:f>IF($A159="","",IFERROR(INDEX(Blueprint_Data!$F:$F,MATCH($A159,Blueprint_Data!$A:$A,0)),""))</x:f>
      </x:c>
      <x:c r="C159" s="10" t="e">
        <x:f>IF($A159="","",IFERROR(INDEX(Blueprint_Data!$G:$G,MATCH($A159,Blueprint_Data!$A:$A,0)),""))</x:f>
      </x:c>
      <x:c r="D159" s="10" t="e">
        <x:f>IF($A159="","",IFERROR(INDEX(Blueprint_Data!$W:$W,MATCH($A159,Blueprint_Data!$A:$A,0)),""))</x:f>
      </x:c>
      <x:c r="E159" s="10" t="str">
        <x:f t="shared" si="12"/>
      </x:c>
      <x:c r="F159" s="10" t="str">
        <x:f t="shared" si="13"/>
        <x:v>Missing Dependency; Out-of-Seq; Missing OM Fields</x:v>
      </x:c>
      <x:c r="G159" s="10" t="e">
        <x:f>IF($A159="","",IFERROR(INDEX(Checks!$D:$D,MATCH($A159,Checks!$A:$A,0)),0))</x:f>
      </x:c>
      <x:c r="H159" s="10" t="e">
        <x:f>IF($A159="","",IFERROR(INDEX(Checks!$F:$F,MATCH($A159,Checks!$A:$A,0)),0))</x:f>
      </x:c>
      <x:c r="I159" s="10" t="e">
        <x:f>IF($A159="","",IFERROR(INDEX(Checks!$H:$H,MATCH($A159,Checks!$A:$A,0)),"NO"))</x:f>
      </x:c>
      <x:c r="J159" s="10" t="e">
        <x:f>IF($A159="","",IFERROR(INDEX(Checks!$J:$J,MATCH($A159,Checks!$A:$A,0)),0))</x:f>
      </x:c>
      <x:c r="K159" s="10" t="str">
        <x:f t="shared" si="14"/>
      </x:c>
    </x:row>
    <x:row r="160" ht="66.25" customHeight="1">
      <x:c r="A160" s="10" t="e">
        <x:f>IFERROR(INDEX(Dependencies!$C$2:$C$5000,_xludf.AGGREGATE(15,6,(ROW(Dependencies!$A$2:$A$5000)-ROW(Dependencies!$A$2)+1)/(Dependencies!$A$2:$A$5000=$B$3),ROWS($A$20:A160))),"")</x:f>
      </x:c>
      <x:c r="B160" s="10" t="e">
        <x:f>IF($A160="","",IFERROR(INDEX(Blueprint_Data!$F:$F,MATCH($A160,Blueprint_Data!$A:$A,0)),""))</x:f>
      </x:c>
      <x:c r="C160" s="10" t="e">
        <x:f>IF($A160="","",IFERROR(INDEX(Blueprint_Data!$G:$G,MATCH($A160,Blueprint_Data!$A:$A,0)),""))</x:f>
      </x:c>
      <x:c r="D160" s="10" t="e">
        <x:f>IF($A160="","",IFERROR(INDEX(Blueprint_Data!$W:$W,MATCH($A160,Blueprint_Data!$A:$A,0)),""))</x:f>
      </x:c>
      <x:c r="E160" s="10" t="str">
        <x:f t="shared" si="12"/>
      </x:c>
      <x:c r="F160" s="10" t="str">
        <x:f t="shared" si="13"/>
        <x:v>Missing Dependency; Out-of-Seq; Missing OM Fields</x:v>
      </x:c>
      <x:c r="G160" s="10" t="e">
        <x:f>IF($A160="","",IFERROR(INDEX(Checks!$D:$D,MATCH($A160,Checks!$A:$A,0)),0))</x:f>
      </x:c>
      <x:c r="H160" s="10" t="e">
        <x:f>IF($A160="","",IFERROR(INDEX(Checks!$F:$F,MATCH($A160,Checks!$A:$A,0)),0))</x:f>
      </x:c>
      <x:c r="I160" s="10" t="e">
        <x:f>IF($A160="","",IFERROR(INDEX(Checks!$H:$H,MATCH($A160,Checks!$A:$A,0)),"NO"))</x:f>
      </x:c>
      <x:c r="J160" s="10" t="e">
        <x:f>IF($A160="","",IFERROR(INDEX(Checks!$J:$J,MATCH($A160,Checks!$A:$A,0)),0))</x:f>
      </x:c>
      <x:c r="K160" s="10" t="str">
        <x:f t="shared" si="14"/>
      </x:c>
    </x:row>
    <x:row r="161" ht="66.25" customHeight="1">
      <x:c r="A161" s="10" t="e">
        <x:f>IFERROR(INDEX(Dependencies!$C$2:$C$5000,_xludf.AGGREGATE(15,6,(ROW(Dependencies!$A$2:$A$5000)-ROW(Dependencies!$A$2)+1)/(Dependencies!$A$2:$A$5000=$B$3),ROWS($A$20:A161))),"")</x:f>
      </x:c>
      <x:c r="B161" s="10" t="e">
        <x:f>IF($A161="","",IFERROR(INDEX(Blueprint_Data!$F:$F,MATCH($A161,Blueprint_Data!$A:$A,0)),""))</x:f>
      </x:c>
      <x:c r="C161" s="10" t="e">
        <x:f>IF($A161="","",IFERROR(INDEX(Blueprint_Data!$G:$G,MATCH($A161,Blueprint_Data!$A:$A,0)),""))</x:f>
      </x:c>
      <x:c r="D161" s="10" t="e">
        <x:f>IF($A161="","",IFERROR(INDEX(Blueprint_Data!$W:$W,MATCH($A161,Blueprint_Data!$A:$A,0)),""))</x:f>
      </x:c>
      <x:c r="E161" s="10" t="str">
        <x:f t="shared" si="12"/>
      </x:c>
      <x:c r="F161" s="10" t="str">
        <x:f t="shared" si="13"/>
        <x:v>Missing Dependency; Out-of-Seq; Missing OM Fields</x:v>
      </x:c>
      <x:c r="G161" s="10" t="e">
        <x:f>IF($A161="","",IFERROR(INDEX(Checks!$D:$D,MATCH($A161,Checks!$A:$A,0)),0))</x:f>
      </x:c>
      <x:c r="H161" s="10" t="e">
        <x:f>IF($A161="","",IFERROR(INDEX(Checks!$F:$F,MATCH($A161,Checks!$A:$A,0)),0))</x:f>
      </x:c>
      <x:c r="I161" s="10" t="e">
        <x:f>IF($A161="","",IFERROR(INDEX(Checks!$H:$H,MATCH($A161,Checks!$A:$A,0)),"NO"))</x:f>
      </x:c>
      <x:c r="J161" s="10" t="e">
        <x:f>IF($A161="","",IFERROR(INDEX(Checks!$J:$J,MATCH($A161,Checks!$A:$A,0)),0))</x:f>
      </x:c>
      <x:c r="K161" s="10" t="str">
        <x:f t="shared" si="14"/>
      </x:c>
    </x:row>
    <x:row r="162" ht="66.25" customHeight="1">
      <x:c r="A162" s="10" t="e">
        <x:f>IFERROR(INDEX(Dependencies!$C$2:$C$5000,_xludf.AGGREGATE(15,6,(ROW(Dependencies!$A$2:$A$5000)-ROW(Dependencies!$A$2)+1)/(Dependencies!$A$2:$A$5000=$B$3),ROWS($A$20:A162))),"")</x:f>
      </x:c>
      <x:c r="B162" s="10" t="e">
        <x:f>IF($A162="","",IFERROR(INDEX(Blueprint_Data!$F:$F,MATCH($A162,Blueprint_Data!$A:$A,0)),""))</x:f>
      </x:c>
      <x:c r="C162" s="10" t="e">
        <x:f>IF($A162="","",IFERROR(INDEX(Blueprint_Data!$G:$G,MATCH($A162,Blueprint_Data!$A:$A,0)),""))</x:f>
      </x:c>
      <x:c r="D162" s="10" t="e">
        <x:f>IF($A162="","",IFERROR(INDEX(Blueprint_Data!$W:$W,MATCH($A162,Blueprint_Data!$A:$A,0)),""))</x:f>
      </x:c>
      <x:c r="E162" s="10" t="str">
        <x:f t="shared" si="12"/>
      </x:c>
      <x:c r="F162" s="10" t="str">
        <x:f t="shared" si="13"/>
        <x:v>Missing Dependency; Out-of-Seq; Missing OM Fields</x:v>
      </x:c>
      <x:c r="G162" s="10" t="e">
        <x:f>IF($A162="","",IFERROR(INDEX(Checks!$D:$D,MATCH($A162,Checks!$A:$A,0)),0))</x:f>
      </x:c>
      <x:c r="H162" s="10" t="e">
        <x:f>IF($A162="","",IFERROR(INDEX(Checks!$F:$F,MATCH($A162,Checks!$A:$A,0)),0))</x:f>
      </x:c>
      <x:c r="I162" s="10" t="e">
        <x:f>IF($A162="","",IFERROR(INDEX(Checks!$H:$H,MATCH($A162,Checks!$A:$A,0)),"NO"))</x:f>
      </x:c>
      <x:c r="J162" s="10" t="e">
        <x:f>IF($A162="","",IFERROR(INDEX(Checks!$J:$J,MATCH($A162,Checks!$A:$A,0)),0))</x:f>
      </x:c>
      <x:c r="K162" s="10" t="str">
        <x:f t="shared" si="14"/>
      </x:c>
    </x:row>
    <x:row r="163" ht="66.25" customHeight="1">
      <x:c r="A163" s="10" t="e">
        <x:f>IFERROR(INDEX(Dependencies!$C$2:$C$5000,_xludf.AGGREGATE(15,6,(ROW(Dependencies!$A$2:$A$5000)-ROW(Dependencies!$A$2)+1)/(Dependencies!$A$2:$A$5000=$B$3),ROWS($A$20:A163))),"")</x:f>
      </x:c>
      <x:c r="B163" s="10" t="e">
        <x:f>IF($A163="","",IFERROR(INDEX(Blueprint_Data!$F:$F,MATCH($A163,Blueprint_Data!$A:$A,0)),""))</x:f>
      </x:c>
      <x:c r="C163" s="10" t="e">
        <x:f>IF($A163="","",IFERROR(INDEX(Blueprint_Data!$G:$G,MATCH($A163,Blueprint_Data!$A:$A,0)),""))</x:f>
      </x:c>
      <x:c r="D163" s="10" t="e">
        <x:f>IF($A163="","",IFERROR(INDEX(Blueprint_Data!$W:$W,MATCH($A163,Blueprint_Data!$A:$A,0)),""))</x:f>
      </x:c>
      <x:c r="E163" s="10" t="str">
        <x:f t="shared" si="12"/>
      </x:c>
      <x:c r="F163" s="10" t="str">
        <x:f t="shared" si="13"/>
        <x:v>Missing Dependency; Out-of-Seq; Missing OM Fields</x:v>
      </x:c>
      <x:c r="G163" s="10" t="e">
        <x:f>IF($A163="","",IFERROR(INDEX(Checks!$D:$D,MATCH($A163,Checks!$A:$A,0)),0))</x:f>
      </x:c>
      <x:c r="H163" s="10" t="e">
        <x:f>IF($A163="","",IFERROR(INDEX(Checks!$F:$F,MATCH($A163,Checks!$A:$A,0)),0))</x:f>
      </x:c>
      <x:c r="I163" s="10" t="e">
        <x:f>IF($A163="","",IFERROR(INDEX(Checks!$H:$H,MATCH($A163,Checks!$A:$A,0)),"NO"))</x:f>
      </x:c>
      <x:c r="J163" s="10" t="e">
        <x:f>IF($A163="","",IFERROR(INDEX(Checks!$J:$J,MATCH($A163,Checks!$A:$A,0)),0))</x:f>
      </x:c>
      <x:c r="K163" s="10" t="str">
        <x:f t="shared" si="14"/>
      </x:c>
    </x:row>
    <x:row r="164" ht="66.25" customHeight="1">
      <x:c r="A164" s="10" t="e">
        <x:f>IFERROR(INDEX(Dependencies!$C$2:$C$5000,_xludf.AGGREGATE(15,6,(ROW(Dependencies!$A$2:$A$5000)-ROW(Dependencies!$A$2)+1)/(Dependencies!$A$2:$A$5000=$B$3),ROWS($A$20:A164))),"")</x:f>
      </x:c>
      <x:c r="B164" s="10" t="e">
        <x:f>IF($A164="","",IFERROR(INDEX(Blueprint_Data!$F:$F,MATCH($A164,Blueprint_Data!$A:$A,0)),""))</x:f>
      </x:c>
      <x:c r="C164" s="10" t="e">
        <x:f>IF($A164="","",IFERROR(INDEX(Blueprint_Data!$G:$G,MATCH($A164,Blueprint_Data!$A:$A,0)),""))</x:f>
      </x:c>
      <x:c r="D164" s="10" t="e">
        <x:f>IF($A164="","",IFERROR(INDEX(Blueprint_Data!$W:$W,MATCH($A164,Blueprint_Data!$A:$A,0)),""))</x:f>
      </x:c>
      <x:c r="E164" s="10" t="str">
        <x:f t="shared" si="12"/>
      </x:c>
      <x:c r="F164" s="10" t="str">
        <x:f t="shared" si="13"/>
        <x:v>Missing Dependency; Out-of-Seq; Missing OM Fields</x:v>
      </x:c>
      <x:c r="G164" s="10" t="e">
        <x:f>IF($A164="","",IFERROR(INDEX(Checks!$D:$D,MATCH($A164,Checks!$A:$A,0)),0))</x:f>
      </x:c>
      <x:c r="H164" s="10" t="e">
        <x:f>IF($A164="","",IFERROR(INDEX(Checks!$F:$F,MATCH($A164,Checks!$A:$A,0)),0))</x:f>
      </x:c>
      <x:c r="I164" s="10" t="e">
        <x:f>IF($A164="","",IFERROR(INDEX(Checks!$H:$H,MATCH($A164,Checks!$A:$A,0)),"NO"))</x:f>
      </x:c>
      <x:c r="J164" s="10" t="e">
        <x:f>IF($A164="","",IFERROR(INDEX(Checks!$J:$J,MATCH($A164,Checks!$A:$A,0)),0))</x:f>
      </x:c>
      <x:c r="K164" s="10" t="str">
        <x:f t="shared" si="14"/>
      </x:c>
    </x:row>
    <x:row r="165" ht="66.25" customHeight="1">
      <x:c r="A165" s="10" t="e">
        <x:f>IFERROR(INDEX(Dependencies!$C$2:$C$5000,_xludf.AGGREGATE(15,6,(ROW(Dependencies!$A$2:$A$5000)-ROW(Dependencies!$A$2)+1)/(Dependencies!$A$2:$A$5000=$B$3),ROWS($A$20:A165))),"")</x:f>
      </x:c>
      <x:c r="B165" s="10" t="e">
        <x:f>IF($A165="","",IFERROR(INDEX(Blueprint_Data!$F:$F,MATCH($A165,Blueprint_Data!$A:$A,0)),""))</x:f>
      </x:c>
      <x:c r="C165" s="10" t="e">
        <x:f>IF($A165="","",IFERROR(INDEX(Blueprint_Data!$G:$G,MATCH($A165,Blueprint_Data!$A:$A,0)),""))</x:f>
      </x:c>
      <x:c r="D165" s="10" t="e">
        <x:f>IF($A165="","",IFERROR(INDEX(Blueprint_Data!$W:$W,MATCH($A165,Blueprint_Data!$A:$A,0)),""))</x:f>
      </x:c>
      <x:c r="E165" s="10" t="str">
        <x:f t="shared" si="12"/>
      </x:c>
      <x:c r="F165" s="10" t="str">
        <x:f t="shared" si="13"/>
        <x:v>Missing Dependency; Out-of-Seq; Missing OM Fields</x:v>
      </x:c>
      <x:c r="G165" s="10" t="e">
        <x:f>IF($A165="","",IFERROR(INDEX(Checks!$D:$D,MATCH($A165,Checks!$A:$A,0)),0))</x:f>
      </x:c>
      <x:c r="H165" s="10" t="e">
        <x:f>IF($A165="","",IFERROR(INDEX(Checks!$F:$F,MATCH($A165,Checks!$A:$A,0)),0))</x:f>
      </x:c>
      <x:c r="I165" s="10" t="e">
        <x:f>IF($A165="","",IFERROR(INDEX(Checks!$H:$H,MATCH($A165,Checks!$A:$A,0)),"NO"))</x:f>
      </x:c>
      <x:c r="J165" s="10" t="e">
        <x:f>IF($A165="","",IFERROR(INDEX(Checks!$J:$J,MATCH($A165,Checks!$A:$A,0)),0))</x:f>
      </x:c>
      <x:c r="K165" s="10" t="str">
        <x:f t="shared" si="14"/>
      </x:c>
    </x:row>
    <x:row r="166" ht="66.25" customHeight="1">
      <x:c r="A166" s="10" t="e">
        <x:f>IFERROR(INDEX(Dependencies!$C$2:$C$5000,_xludf.AGGREGATE(15,6,(ROW(Dependencies!$A$2:$A$5000)-ROW(Dependencies!$A$2)+1)/(Dependencies!$A$2:$A$5000=$B$3),ROWS($A$20:A166))),"")</x:f>
      </x:c>
      <x:c r="B166" s="10" t="e">
        <x:f>IF($A166="","",IFERROR(INDEX(Blueprint_Data!$F:$F,MATCH($A166,Blueprint_Data!$A:$A,0)),""))</x:f>
      </x:c>
      <x:c r="C166" s="10" t="e">
        <x:f>IF($A166="","",IFERROR(INDEX(Blueprint_Data!$G:$G,MATCH($A166,Blueprint_Data!$A:$A,0)),""))</x:f>
      </x:c>
      <x:c r="D166" s="10" t="e">
        <x:f>IF($A166="","",IFERROR(INDEX(Blueprint_Data!$W:$W,MATCH($A166,Blueprint_Data!$A:$A,0)),""))</x:f>
      </x:c>
      <x:c r="E166" s="10" t="str">
        <x:f t="shared" si="12"/>
      </x:c>
      <x:c r="F166" s="10" t="str">
        <x:f t="shared" si="13"/>
        <x:v>Missing Dependency; Out-of-Seq; Missing OM Fields</x:v>
      </x:c>
      <x:c r="G166" s="10" t="e">
        <x:f>IF($A166="","",IFERROR(INDEX(Checks!$D:$D,MATCH($A166,Checks!$A:$A,0)),0))</x:f>
      </x:c>
      <x:c r="H166" s="10" t="e">
        <x:f>IF($A166="","",IFERROR(INDEX(Checks!$F:$F,MATCH($A166,Checks!$A:$A,0)),0))</x:f>
      </x:c>
      <x:c r="I166" s="10" t="e">
        <x:f>IF($A166="","",IFERROR(INDEX(Checks!$H:$H,MATCH($A166,Checks!$A:$A,0)),"NO"))</x:f>
      </x:c>
      <x:c r="J166" s="10" t="e">
        <x:f>IF($A166="","",IFERROR(INDEX(Checks!$J:$J,MATCH($A166,Checks!$A:$A,0)),0))</x:f>
      </x:c>
      <x:c r="K166" s="10" t="str">
        <x:f t="shared" si="14"/>
      </x:c>
    </x:row>
    <x:row r="167" ht="66.25" customHeight="1">
      <x:c r="A167" s="10" t="e">
        <x:f>IFERROR(INDEX(Dependencies!$C$2:$C$5000,_xludf.AGGREGATE(15,6,(ROW(Dependencies!$A$2:$A$5000)-ROW(Dependencies!$A$2)+1)/(Dependencies!$A$2:$A$5000=$B$3),ROWS($A$20:A167))),"")</x:f>
      </x:c>
      <x:c r="B167" s="10" t="e">
        <x:f>IF($A167="","",IFERROR(INDEX(Blueprint_Data!$F:$F,MATCH($A167,Blueprint_Data!$A:$A,0)),""))</x:f>
      </x:c>
      <x:c r="C167" s="10" t="e">
        <x:f>IF($A167="","",IFERROR(INDEX(Blueprint_Data!$G:$G,MATCH($A167,Blueprint_Data!$A:$A,0)),""))</x:f>
      </x:c>
      <x:c r="D167" s="10" t="e">
        <x:f>IF($A167="","",IFERROR(INDEX(Blueprint_Data!$W:$W,MATCH($A167,Blueprint_Data!$A:$A,0)),""))</x:f>
      </x:c>
      <x:c r="E167" s="10" t="str">
        <x:f t="shared" si="12"/>
      </x:c>
      <x:c r="F167" s="10" t="str">
        <x:f t="shared" si="13"/>
        <x:v>Missing Dependency; Out-of-Seq; Missing OM Fields</x:v>
      </x:c>
      <x:c r="G167" s="10" t="e">
        <x:f>IF($A167="","",IFERROR(INDEX(Checks!$D:$D,MATCH($A167,Checks!$A:$A,0)),0))</x:f>
      </x:c>
      <x:c r="H167" s="10" t="e">
        <x:f>IF($A167="","",IFERROR(INDEX(Checks!$F:$F,MATCH($A167,Checks!$A:$A,0)),0))</x:f>
      </x:c>
      <x:c r="I167" s="10" t="e">
        <x:f>IF($A167="","",IFERROR(INDEX(Checks!$H:$H,MATCH($A167,Checks!$A:$A,0)),"NO"))</x:f>
      </x:c>
      <x:c r="J167" s="10" t="e">
        <x:f>IF($A167="","",IFERROR(INDEX(Checks!$J:$J,MATCH($A167,Checks!$A:$A,0)),0))</x:f>
      </x:c>
      <x:c r="K167" s="10" t="str">
        <x:f t="shared" si="14"/>
      </x:c>
    </x:row>
    <x:row r="168" ht="66.25" customHeight="1">
      <x:c r="A168" s="10" t="e">
        <x:f>IFERROR(INDEX(Dependencies!$C$2:$C$5000,_xludf.AGGREGATE(15,6,(ROW(Dependencies!$A$2:$A$5000)-ROW(Dependencies!$A$2)+1)/(Dependencies!$A$2:$A$5000=$B$3),ROWS($A$20:A168))),"")</x:f>
      </x:c>
      <x:c r="B168" s="10" t="e">
        <x:f>IF($A168="","",IFERROR(INDEX(Blueprint_Data!$F:$F,MATCH($A168,Blueprint_Data!$A:$A,0)),""))</x:f>
      </x:c>
      <x:c r="C168" s="10" t="e">
        <x:f>IF($A168="","",IFERROR(INDEX(Blueprint_Data!$G:$G,MATCH($A168,Blueprint_Data!$A:$A,0)),""))</x:f>
      </x:c>
      <x:c r="D168" s="10" t="e">
        <x:f>IF($A168="","",IFERROR(INDEX(Blueprint_Data!$W:$W,MATCH($A168,Blueprint_Data!$A:$A,0)),""))</x:f>
      </x:c>
      <x:c r="E168" s="10" t="str">
        <x:f t="shared" si="12"/>
      </x:c>
      <x:c r="F168" s="10" t="str">
        <x:f t="shared" si="13"/>
        <x:v>Missing Dependency; Out-of-Seq; Missing OM Fields</x:v>
      </x:c>
      <x:c r="G168" s="10" t="e">
        <x:f>IF($A168="","",IFERROR(INDEX(Checks!$D:$D,MATCH($A168,Checks!$A:$A,0)),0))</x:f>
      </x:c>
      <x:c r="H168" s="10" t="e">
        <x:f>IF($A168="","",IFERROR(INDEX(Checks!$F:$F,MATCH($A168,Checks!$A:$A,0)),0))</x:f>
      </x:c>
      <x:c r="I168" s="10" t="e">
        <x:f>IF($A168="","",IFERROR(INDEX(Checks!$H:$H,MATCH($A168,Checks!$A:$A,0)),"NO"))</x:f>
      </x:c>
      <x:c r="J168" s="10" t="e">
        <x:f>IF($A168="","",IFERROR(INDEX(Checks!$J:$J,MATCH($A168,Checks!$A:$A,0)),0))</x:f>
      </x:c>
      <x:c r="K168" s="10" t="str">
        <x:f t="shared" si="14"/>
      </x:c>
    </x:row>
    <x:row r="169" ht="66.25" customHeight="1">
      <x:c r="A169" s="10" t="e">
        <x:f>IFERROR(INDEX(Dependencies!$C$2:$C$5000,_xludf.AGGREGATE(15,6,(ROW(Dependencies!$A$2:$A$5000)-ROW(Dependencies!$A$2)+1)/(Dependencies!$A$2:$A$5000=$B$3),ROWS($A$20:A169))),"")</x:f>
      </x:c>
      <x:c r="B169" s="10" t="e">
        <x:f>IF($A169="","",IFERROR(INDEX(Blueprint_Data!$F:$F,MATCH($A169,Blueprint_Data!$A:$A,0)),""))</x:f>
      </x:c>
      <x:c r="C169" s="10" t="e">
        <x:f>IF($A169="","",IFERROR(INDEX(Blueprint_Data!$G:$G,MATCH($A169,Blueprint_Data!$A:$A,0)),""))</x:f>
      </x:c>
      <x:c r="D169" s="10" t="e">
        <x:f>IF($A169="","",IFERROR(INDEX(Blueprint_Data!$W:$W,MATCH($A169,Blueprint_Data!$A:$A,0)),""))</x:f>
      </x:c>
      <x:c r="E169" s="10" t="str">
        <x:f t="shared" si="12"/>
      </x:c>
      <x:c r="F169" s="10" t="str">
        <x:f t="shared" si="13"/>
        <x:v>Missing Dependency; Out-of-Seq; Missing OM Fields</x:v>
      </x:c>
      <x:c r="G169" s="10" t="e">
        <x:f>IF($A169="","",IFERROR(INDEX(Checks!$D:$D,MATCH($A169,Checks!$A:$A,0)),0))</x:f>
      </x:c>
      <x:c r="H169" s="10" t="e">
        <x:f>IF($A169="","",IFERROR(INDEX(Checks!$F:$F,MATCH($A169,Checks!$A:$A,0)),0))</x:f>
      </x:c>
      <x:c r="I169" s="10" t="e">
        <x:f>IF($A169="","",IFERROR(INDEX(Checks!$H:$H,MATCH($A169,Checks!$A:$A,0)),"NO"))</x:f>
      </x:c>
      <x:c r="J169" s="10" t="e">
        <x:f>IF($A169="","",IFERROR(INDEX(Checks!$J:$J,MATCH($A169,Checks!$A:$A,0)),0))</x:f>
      </x:c>
      <x:c r="K169" s="10" t="str">
        <x:f t="shared" si="14"/>
      </x:c>
    </x:row>
    <x:row r="170" ht="66.25" customHeight="1">
      <x:c r="A170" s="10" t="e">
        <x:f>IFERROR(INDEX(Dependencies!$C$2:$C$5000,_xludf.AGGREGATE(15,6,(ROW(Dependencies!$A$2:$A$5000)-ROW(Dependencies!$A$2)+1)/(Dependencies!$A$2:$A$5000=$B$3),ROWS($A$20:A170))),"")</x:f>
      </x:c>
      <x:c r="B170" s="10" t="e">
        <x:f>IF($A170="","",IFERROR(INDEX(Blueprint_Data!$F:$F,MATCH($A170,Blueprint_Data!$A:$A,0)),""))</x:f>
      </x:c>
      <x:c r="C170" s="10" t="e">
        <x:f>IF($A170="","",IFERROR(INDEX(Blueprint_Data!$G:$G,MATCH($A170,Blueprint_Data!$A:$A,0)),""))</x:f>
      </x:c>
      <x:c r="D170" s="10" t="e">
        <x:f>IF($A170="","",IFERROR(INDEX(Blueprint_Data!$W:$W,MATCH($A170,Blueprint_Data!$A:$A,0)),""))</x:f>
      </x:c>
      <x:c r="E170" s="10" t="str">
        <x:f t="shared" si="12"/>
      </x:c>
      <x:c r="F170" s="10" t="str">
        <x:f t="shared" si="13"/>
        <x:v>Missing Dependency; Out-of-Seq; Missing OM Fields</x:v>
      </x:c>
      <x:c r="G170" s="10" t="e">
        <x:f>IF($A170="","",IFERROR(INDEX(Checks!$D:$D,MATCH($A170,Checks!$A:$A,0)),0))</x:f>
      </x:c>
      <x:c r="H170" s="10" t="e">
        <x:f>IF($A170="","",IFERROR(INDEX(Checks!$F:$F,MATCH($A170,Checks!$A:$A,0)),0))</x:f>
      </x:c>
      <x:c r="I170" s="10" t="e">
        <x:f>IF($A170="","",IFERROR(INDEX(Checks!$H:$H,MATCH($A170,Checks!$A:$A,0)),"NO"))</x:f>
      </x:c>
      <x:c r="J170" s="10" t="e">
        <x:f>IF($A170="","",IFERROR(INDEX(Checks!$J:$J,MATCH($A170,Checks!$A:$A,0)),0))</x:f>
      </x:c>
      <x:c r="K170" s="10" t="str">
        <x:f t="shared" si="14"/>
      </x:c>
    </x:row>
    <x:row r="171" ht="66.25" customHeight="1">
      <x:c r="A171" s="10" t="e">
        <x:f>IFERROR(INDEX(Dependencies!$C$2:$C$5000,_xludf.AGGREGATE(15,6,(ROW(Dependencies!$A$2:$A$5000)-ROW(Dependencies!$A$2)+1)/(Dependencies!$A$2:$A$5000=$B$3),ROWS($A$20:A171))),"")</x:f>
      </x:c>
      <x:c r="B171" s="10" t="e">
        <x:f>IF($A171="","",IFERROR(INDEX(Blueprint_Data!$F:$F,MATCH($A171,Blueprint_Data!$A:$A,0)),""))</x:f>
      </x:c>
      <x:c r="C171" s="10" t="e">
        <x:f>IF($A171="","",IFERROR(INDEX(Blueprint_Data!$G:$G,MATCH($A171,Blueprint_Data!$A:$A,0)),""))</x:f>
      </x:c>
      <x:c r="D171" s="10" t="e">
        <x:f>IF($A171="","",IFERROR(INDEX(Blueprint_Data!$W:$W,MATCH($A171,Blueprint_Data!$A:$A,0)),""))</x:f>
      </x:c>
      <x:c r="E171" s="10" t="str">
        <x:f t="shared" si="12"/>
      </x:c>
      <x:c r="F171" s="10" t="str">
        <x:f t="shared" si="13"/>
        <x:v>Missing Dependency; Out-of-Seq; Missing OM Fields</x:v>
      </x:c>
      <x:c r="G171" s="10" t="e">
        <x:f>IF($A171="","",IFERROR(INDEX(Checks!$D:$D,MATCH($A171,Checks!$A:$A,0)),0))</x:f>
      </x:c>
      <x:c r="H171" s="10" t="e">
        <x:f>IF($A171="","",IFERROR(INDEX(Checks!$F:$F,MATCH($A171,Checks!$A:$A,0)),0))</x:f>
      </x:c>
      <x:c r="I171" s="10" t="e">
        <x:f>IF($A171="","",IFERROR(INDEX(Checks!$H:$H,MATCH($A171,Checks!$A:$A,0)),"NO"))</x:f>
      </x:c>
      <x:c r="J171" s="10" t="e">
        <x:f>IF($A171="","",IFERROR(INDEX(Checks!$J:$J,MATCH($A171,Checks!$A:$A,0)),0))</x:f>
      </x:c>
      <x:c r="K171" s="10" t="str">
        <x:f t="shared" si="14"/>
      </x:c>
    </x:row>
    <x:row r="172" ht="66.25" customHeight="1">
      <x:c r="A172" s="10" t="e">
        <x:f>IFERROR(INDEX(Dependencies!$C$2:$C$5000,_xludf.AGGREGATE(15,6,(ROW(Dependencies!$A$2:$A$5000)-ROW(Dependencies!$A$2)+1)/(Dependencies!$A$2:$A$5000=$B$3),ROWS($A$20:A172))),"")</x:f>
      </x:c>
      <x:c r="B172" s="10" t="e">
        <x:f>IF($A172="","",IFERROR(INDEX(Blueprint_Data!$F:$F,MATCH($A172,Blueprint_Data!$A:$A,0)),""))</x:f>
      </x:c>
      <x:c r="C172" s="10" t="e">
        <x:f>IF($A172="","",IFERROR(INDEX(Blueprint_Data!$G:$G,MATCH($A172,Blueprint_Data!$A:$A,0)),""))</x:f>
      </x:c>
      <x:c r="D172" s="10" t="e">
        <x:f>IF($A172="","",IFERROR(INDEX(Blueprint_Data!$W:$W,MATCH($A172,Blueprint_Data!$A:$A,0)),""))</x:f>
      </x:c>
      <x:c r="E172" s="10" t="str">
        <x:f t="shared" si="12"/>
      </x:c>
      <x:c r="F172" s="10" t="str">
        <x:f t="shared" si="13"/>
        <x:v>Missing Dependency; Out-of-Seq; Missing OM Fields</x:v>
      </x:c>
      <x:c r="G172" s="10" t="e">
        <x:f>IF($A172="","",IFERROR(INDEX(Checks!$D:$D,MATCH($A172,Checks!$A:$A,0)),0))</x:f>
      </x:c>
      <x:c r="H172" s="10" t="e">
        <x:f>IF($A172="","",IFERROR(INDEX(Checks!$F:$F,MATCH($A172,Checks!$A:$A,0)),0))</x:f>
      </x:c>
      <x:c r="I172" s="10" t="e">
        <x:f>IF($A172="","",IFERROR(INDEX(Checks!$H:$H,MATCH($A172,Checks!$A:$A,0)),"NO"))</x:f>
      </x:c>
      <x:c r="J172" s="10" t="e">
        <x:f>IF($A172="","",IFERROR(INDEX(Checks!$J:$J,MATCH($A172,Checks!$A:$A,0)),0))</x:f>
      </x:c>
      <x:c r="K172" s="10" t="str">
        <x:f t="shared" si="14"/>
      </x:c>
    </x:row>
    <x:row r="173" ht="66.25" customHeight="1">
      <x:c r="A173" s="10" t="e">
        <x:f>IFERROR(INDEX(Dependencies!$C$2:$C$5000,_xludf.AGGREGATE(15,6,(ROW(Dependencies!$A$2:$A$5000)-ROW(Dependencies!$A$2)+1)/(Dependencies!$A$2:$A$5000=$B$3),ROWS($A$20:A173))),"")</x:f>
      </x:c>
      <x:c r="B173" s="10" t="e">
        <x:f>IF($A173="","",IFERROR(INDEX(Blueprint_Data!$F:$F,MATCH($A173,Blueprint_Data!$A:$A,0)),""))</x:f>
      </x:c>
      <x:c r="C173" s="10" t="e">
        <x:f>IF($A173="","",IFERROR(INDEX(Blueprint_Data!$G:$G,MATCH($A173,Blueprint_Data!$A:$A,0)),""))</x:f>
      </x:c>
      <x:c r="D173" s="10" t="e">
        <x:f>IF($A173="","",IFERROR(INDEX(Blueprint_Data!$W:$W,MATCH($A173,Blueprint_Data!$A:$A,0)),""))</x:f>
      </x:c>
      <x:c r="E173" s="10" t="str">
        <x:f t="shared" si="12"/>
      </x:c>
      <x:c r="F173" s="10" t="str">
        <x:f t="shared" si="13"/>
        <x:v>Missing Dependency; Out-of-Seq; Missing OM Fields</x:v>
      </x:c>
      <x:c r="G173" s="10" t="e">
        <x:f>IF($A173="","",IFERROR(INDEX(Checks!$D:$D,MATCH($A173,Checks!$A:$A,0)),0))</x:f>
      </x:c>
      <x:c r="H173" s="10" t="e">
        <x:f>IF($A173="","",IFERROR(INDEX(Checks!$F:$F,MATCH($A173,Checks!$A:$A,0)),0))</x:f>
      </x:c>
      <x:c r="I173" s="10" t="e">
        <x:f>IF($A173="","",IFERROR(INDEX(Checks!$H:$H,MATCH($A173,Checks!$A:$A,0)),"NO"))</x:f>
      </x:c>
      <x:c r="J173" s="10" t="e">
        <x:f>IF($A173="","",IFERROR(INDEX(Checks!$J:$J,MATCH($A173,Checks!$A:$A,0)),0))</x:f>
      </x:c>
      <x:c r="K173" s="10" t="str">
        <x:f t="shared" si="14"/>
      </x:c>
    </x:row>
    <x:row r="174" ht="66.25" customHeight="1">
      <x:c r="A174" s="10" t="e">
        <x:f>IFERROR(INDEX(Dependencies!$C$2:$C$5000,_xludf.AGGREGATE(15,6,(ROW(Dependencies!$A$2:$A$5000)-ROW(Dependencies!$A$2)+1)/(Dependencies!$A$2:$A$5000=$B$3),ROWS($A$20:A174))),"")</x:f>
      </x:c>
      <x:c r="B174" s="10" t="e">
        <x:f>IF($A174="","",IFERROR(INDEX(Blueprint_Data!$F:$F,MATCH($A174,Blueprint_Data!$A:$A,0)),""))</x:f>
      </x:c>
      <x:c r="C174" s="10" t="e">
        <x:f>IF($A174="","",IFERROR(INDEX(Blueprint_Data!$G:$G,MATCH($A174,Blueprint_Data!$A:$A,0)),""))</x:f>
      </x:c>
      <x:c r="D174" s="10" t="e">
        <x:f>IF($A174="","",IFERROR(INDEX(Blueprint_Data!$W:$W,MATCH($A174,Blueprint_Data!$A:$A,0)),""))</x:f>
      </x:c>
      <x:c r="E174" s="10" t="str">
        <x:f t="shared" si="12"/>
      </x:c>
      <x:c r="F174" s="10" t="str">
        <x:f t="shared" si="13"/>
        <x:v>Missing Dependency; Out-of-Seq; Missing OM Fields</x:v>
      </x:c>
      <x:c r="G174" s="10" t="e">
        <x:f>IF($A174="","",IFERROR(INDEX(Checks!$D:$D,MATCH($A174,Checks!$A:$A,0)),0))</x:f>
      </x:c>
      <x:c r="H174" s="10" t="e">
        <x:f>IF($A174="","",IFERROR(INDEX(Checks!$F:$F,MATCH($A174,Checks!$A:$A,0)),0))</x:f>
      </x:c>
      <x:c r="I174" s="10" t="e">
        <x:f>IF($A174="","",IFERROR(INDEX(Checks!$H:$H,MATCH($A174,Checks!$A:$A,0)),"NO"))</x:f>
      </x:c>
      <x:c r="J174" s="10" t="e">
        <x:f>IF($A174="","",IFERROR(INDEX(Checks!$J:$J,MATCH($A174,Checks!$A:$A,0)),0))</x:f>
      </x:c>
      <x:c r="K174" s="10" t="str">
        <x:f t="shared" si="14"/>
      </x:c>
    </x:row>
    <x:row r="175" ht="66.25" customHeight="1">
      <x:c r="A175" s="10" t="e">
        <x:f>IFERROR(INDEX(Dependencies!$C$2:$C$5000,_xludf.AGGREGATE(15,6,(ROW(Dependencies!$A$2:$A$5000)-ROW(Dependencies!$A$2)+1)/(Dependencies!$A$2:$A$5000=$B$3),ROWS($A$20:A175))),"")</x:f>
      </x:c>
      <x:c r="B175" s="10" t="e">
        <x:f>IF($A175="","",IFERROR(INDEX(Blueprint_Data!$F:$F,MATCH($A175,Blueprint_Data!$A:$A,0)),""))</x:f>
      </x:c>
      <x:c r="C175" s="10" t="e">
        <x:f>IF($A175="","",IFERROR(INDEX(Blueprint_Data!$G:$G,MATCH($A175,Blueprint_Data!$A:$A,0)),""))</x:f>
      </x:c>
      <x:c r="D175" s="10" t="e">
        <x:f>IF($A175="","",IFERROR(INDEX(Blueprint_Data!$W:$W,MATCH($A175,Blueprint_Data!$A:$A,0)),""))</x:f>
      </x:c>
      <x:c r="E175" s="10" t="str">
        <x:f t="shared" si="12"/>
      </x:c>
      <x:c r="F175" s="10" t="str">
        <x:f t="shared" si="13"/>
        <x:v>Missing Dependency; Out-of-Seq; Missing OM Fields</x:v>
      </x:c>
      <x:c r="G175" s="10" t="e">
        <x:f>IF($A175="","",IFERROR(INDEX(Checks!$D:$D,MATCH($A175,Checks!$A:$A,0)),0))</x:f>
      </x:c>
      <x:c r="H175" s="10" t="e">
        <x:f>IF($A175="","",IFERROR(INDEX(Checks!$F:$F,MATCH($A175,Checks!$A:$A,0)),0))</x:f>
      </x:c>
      <x:c r="I175" s="10" t="e">
        <x:f>IF($A175="","",IFERROR(INDEX(Checks!$H:$H,MATCH($A175,Checks!$A:$A,0)),"NO"))</x:f>
      </x:c>
      <x:c r="J175" s="10" t="e">
        <x:f>IF($A175="","",IFERROR(INDEX(Checks!$J:$J,MATCH($A175,Checks!$A:$A,0)),0))</x:f>
      </x:c>
      <x:c r="K175" s="10" t="str">
        <x:f t="shared" si="14"/>
      </x:c>
    </x:row>
    <x:row r="176" ht="66.25" customHeight="1">
      <x:c r="A176" s="10" t="e">
        <x:f>IFERROR(INDEX(Dependencies!$C$2:$C$5000,_xludf.AGGREGATE(15,6,(ROW(Dependencies!$A$2:$A$5000)-ROW(Dependencies!$A$2)+1)/(Dependencies!$A$2:$A$5000=$B$3),ROWS($A$20:A176))),"")</x:f>
      </x:c>
      <x:c r="B176" s="10" t="e">
        <x:f>IF($A176="","",IFERROR(INDEX(Blueprint_Data!$F:$F,MATCH($A176,Blueprint_Data!$A:$A,0)),""))</x:f>
      </x:c>
      <x:c r="C176" s="10" t="e">
        <x:f>IF($A176="","",IFERROR(INDEX(Blueprint_Data!$G:$G,MATCH($A176,Blueprint_Data!$A:$A,0)),""))</x:f>
      </x:c>
      <x:c r="D176" s="10" t="e">
        <x:f>IF($A176="","",IFERROR(INDEX(Blueprint_Data!$W:$W,MATCH($A176,Blueprint_Data!$A:$A,0)),""))</x:f>
      </x:c>
      <x:c r="E176" s="10" t="str">
        <x:f t="shared" si="12"/>
      </x:c>
      <x:c r="F176" s="10" t="str">
        <x:f t="shared" si="13"/>
        <x:v>Missing Dependency; Out-of-Seq; Missing OM Fields</x:v>
      </x:c>
      <x:c r="G176" s="10" t="e">
        <x:f>IF($A176="","",IFERROR(INDEX(Checks!$D:$D,MATCH($A176,Checks!$A:$A,0)),0))</x:f>
      </x:c>
      <x:c r="H176" s="10" t="e">
        <x:f>IF($A176="","",IFERROR(INDEX(Checks!$F:$F,MATCH($A176,Checks!$A:$A,0)),0))</x:f>
      </x:c>
      <x:c r="I176" s="10" t="e">
        <x:f>IF($A176="","",IFERROR(INDEX(Checks!$H:$H,MATCH($A176,Checks!$A:$A,0)),"NO"))</x:f>
      </x:c>
      <x:c r="J176" s="10" t="e">
        <x:f>IF($A176="","",IFERROR(INDEX(Checks!$J:$J,MATCH($A176,Checks!$A:$A,0)),0))</x:f>
      </x:c>
      <x:c r="K176" s="10" t="str">
        <x:f t="shared" si="14"/>
      </x:c>
    </x:row>
    <x:row r="177" ht="66.25" customHeight="1">
      <x:c r="A177" s="10" t="e">
        <x:f>IFERROR(INDEX(Dependencies!$C$2:$C$5000,_xludf.AGGREGATE(15,6,(ROW(Dependencies!$A$2:$A$5000)-ROW(Dependencies!$A$2)+1)/(Dependencies!$A$2:$A$5000=$B$3),ROWS($A$20:A177))),"")</x:f>
      </x:c>
      <x:c r="B177" s="10" t="e">
        <x:f>IF($A177="","",IFERROR(INDEX(Blueprint_Data!$F:$F,MATCH($A177,Blueprint_Data!$A:$A,0)),""))</x:f>
      </x:c>
      <x:c r="C177" s="10" t="e">
        <x:f>IF($A177="","",IFERROR(INDEX(Blueprint_Data!$G:$G,MATCH($A177,Blueprint_Data!$A:$A,0)),""))</x:f>
      </x:c>
      <x:c r="D177" s="10" t="e">
        <x:f>IF($A177="","",IFERROR(INDEX(Blueprint_Data!$W:$W,MATCH($A177,Blueprint_Data!$A:$A,0)),""))</x:f>
      </x:c>
      <x:c r="E177" s="10" t="str">
        <x:f t="shared" si="12"/>
      </x:c>
      <x:c r="F177" s="10" t="str">
        <x:f t="shared" si="13"/>
        <x:v>Missing Dependency; Out-of-Seq; Missing OM Fields</x:v>
      </x:c>
      <x:c r="G177" s="10" t="e">
        <x:f>IF($A177="","",IFERROR(INDEX(Checks!$D:$D,MATCH($A177,Checks!$A:$A,0)),0))</x:f>
      </x:c>
      <x:c r="H177" s="10" t="e">
        <x:f>IF($A177="","",IFERROR(INDEX(Checks!$F:$F,MATCH($A177,Checks!$A:$A,0)),0))</x:f>
      </x:c>
      <x:c r="I177" s="10" t="e">
        <x:f>IF($A177="","",IFERROR(INDEX(Checks!$H:$H,MATCH($A177,Checks!$A:$A,0)),"NO"))</x:f>
      </x:c>
      <x:c r="J177" s="10" t="e">
        <x:f>IF($A177="","",IFERROR(INDEX(Checks!$J:$J,MATCH($A177,Checks!$A:$A,0)),0))</x:f>
      </x:c>
      <x:c r="K177" s="10" t="str">
        <x:f t="shared" si="14"/>
      </x:c>
    </x:row>
    <x:row r="178" ht="66.25" customHeight="1">
      <x:c r="A178" s="10" t="e">
        <x:f>IFERROR(INDEX(Dependencies!$C$2:$C$5000,_xludf.AGGREGATE(15,6,(ROW(Dependencies!$A$2:$A$5000)-ROW(Dependencies!$A$2)+1)/(Dependencies!$A$2:$A$5000=$B$3),ROWS($A$20:A178))),"")</x:f>
      </x:c>
      <x:c r="B178" s="10" t="e">
        <x:f>IF($A178="","",IFERROR(INDEX(Blueprint_Data!$F:$F,MATCH($A178,Blueprint_Data!$A:$A,0)),""))</x:f>
      </x:c>
      <x:c r="C178" s="10" t="e">
        <x:f>IF($A178="","",IFERROR(INDEX(Blueprint_Data!$G:$G,MATCH($A178,Blueprint_Data!$A:$A,0)),""))</x:f>
      </x:c>
      <x:c r="D178" s="10" t="e">
        <x:f>IF($A178="","",IFERROR(INDEX(Blueprint_Data!$W:$W,MATCH($A178,Blueprint_Data!$A:$A,0)),""))</x:f>
      </x:c>
      <x:c r="E178" s="10" t="str">
        <x:f t="shared" si="12"/>
      </x:c>
      <x:c r="F178" s="10" t="str">
        <x:f t="shared" si="13"/>
        <x:v>Missing Dependency; Out-of-Seq; Missing OM Fields</x:v>
      </x:c>
      <x:c r="G178" s="10" t="e">
        <x:f>IF($A178="","",IFERROR(INDEX(Checks!$D:$D,MATCH($A178,Checks!$A:$A,0)),0))</x:f>
      </x:c>
      <x:c r="H178" s="10" t="e">
        <x:f>IF($A178="","",IFERROR(INDEX(Checks!$F:$F,MATCH($A178,Checks!$A:$A,0)),0))</x:f>
      </x:c>
      <x:c r="I178" s="10" t="e">
        <x:f>IF($A178="","",IFERROR(INDEX(Checks!$H:$H,MATCH($A178,Checks!$A:$A,0)),"NO"))</x:f>
      </x:c>
      <x:c r="J178" s="10" t="e">
        <x:f>IF($A178="","",IFERROR(INDEX(Checks!$J:$J,MATCH($A178,Checks!$A:$A,0)),0))</x:f>
      </x:c>
      <x:c r="K178" s="10" t="str">
        <x:f t="shared" si="14"/>
      </x:c>
    </x:row>
    <x:row r="179" ht="66.25" customHeight="1">
      <x:c r="A179" s="10" t="e">
        <x:f>IFERROR(INDEX(Dependencies!$C$2:$C$5000,_xludf.AGGREGATE(15,6,(ROW(Dependencies!$A$2:$A$5000)-ROW(Dependencies!$A$2)+1)/(Dependencies!$A$2:$A$5000=$B$3),ROWS($A$20:A179))),"")</x:f>
      </x:c>
      <x:c r="B179" s="10" t="e">
        <x:f>IF($A179="","",IFERROR(INDEX(Blueprint_Data!$F:$F,MATCH($A179,Blueprint_Data!$A:$A,0)),""))</x:f>
      </x:c>
      <x:c r="C179" s="10" t="e">
        <x:f>IF($A179="","",IFERROR(INDEX(Blueprint_Data!$G:$G,MATCH($A179,Blueprint_Data!$A:$A,0)),""))</x:f>
      </x:c>
      <x:c r="D179" s="10" t="e">
        <x:f>IF($A179="","",IFERROR(INDEX(Blueprint_Data!$W:$W,MATCH($A179,Blueprint_Data!$A:$A,0)),""))</x:f>
      </x:c>
      <x:c r="E179" s="10" t="str">
        <x:f t="shared" si="12"/>
      </x:c>
      <x:c r="F179" s="10" t="str">
        <x:f t="shared" si="13"/>
        <x:v>Missing Dependency; Out-of-Seq; Missing OM Fields</x:v>
      </x:c>
      <x:c r="G179" s="10" t="e">
        <x:f>IF($A179="","",IFERROR(INDEX(Checks!$D:$D,MATCH($A179,Checks!$A:$A,0)),0))</x:f>
      </x:c>
      <x:c r="H179" s="10" t="e">
        <x:f>IF($A179="","",IFERROR(INDEX(Checks!$F:$F,MATCH($A179,Checks!$A:$A,0)),0))</x:f>
      </x:c>
      <x:c r="I179" s="10" t="e">
        <x:f>IF($A179="","",IFERROR(INDEX(Checks!$H:$H,MATCH($A179,Checks!$A:$A,0)),"NO"))</x:f>
      </x:c>
      <x:c r="J179" s="10" t="e">
        <x:f>IF($A179="","",IFERROR(INDEX(Checks!$J:$J,MATCH($A179,Checks!$A:$A,0)),0))</x:f>
      </x:c>
      <x:c r="K179" s="10" t="str">
        <x:f t="shared" si="14"/>
      </x:c>
    </x:row>
    <x:row r="180" ht="66.25" customHeight="1">
      <x:c r="A180" s="10" t="e">
        <x:f>IFERROR(INDEX(Dependencies!$C$2:$C$5000,_xludf.AGGREGATE(15,6,(ROW(Dependencies!$A$2:$A$5000)-ROW(Dependencies!$A$2)+1)/(Dependencies!$A$2:$A$5000=$B$3),ROWS($A$20:A180))),"")</x:f>
      </x:c>
      <x:c r="B180" s="10" t="e">
        <x:f>IF($A180="","",IFERROR(INDEX(Blueprint_Data!$F:$F,MATCH($A180,Blueprint_Data!$A:$A,0)),""))</x:f>
      </x:c>
      <x:c r="C180" s="10" t="e">
        <x:f>IF($A180="","",IFERROR(INDEX(Blueprint_Data!$G:$G,MATCH($A180,Blueprint_Data!$A:$A,0)),""))</x:f>
      </x:c>
      <x:c r="D180" s="10" t="e">
        <x:f>IF($A180="","",IFERROR(INDEX(Blueprint_Data!$W:$W,MATCH($A180,Blueprint_Data!$A:$A,0)),""))</x:f>
      </x:c>
      <x:c r="E180" s="10" t="e">
        <x:f t="shared" ref="E180:E200" si="15">IF($A180="","",IF(OR(G180&gt;0,H180&gt;0,I180="YES",J180&gt;0),"YES","NO"))</x:f>
      </x:c>
      <x:c r="F180" s="10" t="e">
        <x:f t="shared" ref="F180:F200" si="16">IF((IF(G180&gt;0,"Missing Dependency; ","")&amp;IF(H180&gt;0,"Out-of-Seq; ","")&amp;IF(I180="YES","SoR Collision; ","")&amp;IF(J180&gt;0,"Missing OM Fields; ",""))="","",IF(RIGHT((IF(G180&gt;0,"Missing Dependency; ","")&amp;IF(H180&gt;0,"Out-of-Seq; ","")&amp;IF(I180="YES","SoR Collision; ","")&amp;IF(J180&gt;0,"Missing OM Fields; ","")),2)="; ",LEFT((IF(G180&gt;0,"Missing Dependency; ","")&amp;IF(H180&gt;0,"Out-of-Seq; ","")&amp;IF(I180="YES","SoR Collision; ","")&amp;IF(J180&gt;0,"Missing OM Fields; ","")),LEN((IF(G180&gt;0,"Missing Dependency; ","")&amp;IF(H180&gt;0,"Out-of-Seq; ","")&amp;IF(I180="YES","SoR Collision; ","")&amp;IF(J180&gt;0,"Missing OM Fields; ","")))-2),(IF(G180&gt;0,"Missing Dependency; ","")&amp;IF(H180&gt;0,"Out-of-Seq; ","")&amp;IF(I180="YES","SoR Collision; ","")&amp;IF(J180&gt;0,"Missing OM Fields; ",""))))</x:f>
      </x:c>
      <x:c r="G180" s="10" t="e">
        <x:f>IF($A180="","",IFERROR(INDEX(Checks!$D:$D,MATCH($A180,Checks!$A:$A,0)),0))</x:f>
      </x:c>
      <x:c r="H180" s="10" t="e">
        <x:f>IF($A180="","",IFERROR(INDEX(Checks!$F:$F,MATCH($A180,Checks!$A:$A,0)),0))</x:f>
      </x:c>
      <x:c r="I180" s="10" t="e">
        <x:f>IF($A180="","",IFERROR(INDEX(Checks!$H:$H,MATCH($A180,Checks!$A:$A,0)),"NO"))</x:f>
      </x:c>
      <x:c r="J180" s="10" t="e">
        <x:f>IF($A180="","",IFERROR(INDEX(Checks!$J:$J,MATCH($A180,Checks!$A:$A,0)),0))</x:f>
      </x:c>
      <x:c r="K180" s="10" t="e">
        <x:f t="shared" ref="K180:K200" si="17">IF($A180="","",IF(E180="NO","OK: dependency is clean",IF(I180="YES","Resolve SoR ownership (single SoR)",IF(G180&gt;0,"Close missing dependencies",IF(H180&gt;0,"Resequence waves",IF(J180&gt;0,"Populate Operating Model fields","Remediate blockers"))))))</x:f>
      </x:c>
    </x:row>
    <x:row r="181" ht="66.25" customHeight="1">
      <x:c r="A181" s="10" t="e">
        <x:f>IFERROR(INDEX(Dependencies!$C$2:$C$5000,_xludf.AGGREGATE(15,6,(ROW(Dependencies!$A$2:$A$5000)-ROW(Dependencies!$A$2)+1)/(Dependencies!$A$2:$A$5000=$B$3),ROWS($A$20:A181))),"")</x:f>
      </x:c>
      <x:c r="B181" s="10" t="e">
        <x:f>IF($A181="","",IFERROR(INDEX(Blueprint_Data!$F:$F,MATCH($A181,Blueprint_Data!$A:$A,0)),""))</x:f>
      </x:c>
      <x:c r="C181" s="10" t="e">
        <x:f>IF($A181="","",IFERROR(INDEX(Blueprint_Data!$G:$G,MATCH($A181,Blueprint_Data!$A:$A,0)),""))</x:f>
      </x:c>
      <x:c r="D181" s="10" t="e">
        <x:f>IF($A181="","",IFERROR(INDEX(Blueprint_Data!$W:$W,MATCH($A181,Blueprint_Data!$A:$A,0)),""))</x:f>
      </x:c>
      <x:c r="E181" s="10" t="str">
        <x:f t="shared" si="15"/>
      </x:c>
      <x:c r="F181" s="10" t="str">
        <x:f t="shared" si="16"/>
        <x:v>Missing Dependency; Out-of-Seq; Missing OM Fields</x:v>
      </x:c>
      <x:c r="G181" s="10" t="e">
        <x:f>IF($A181="","",IFERROR(INDEX(Checks!$D:$D,MATCH($A181,Checks!$A:$A,0)),0))</x:f>
      </x:c>
      <x:c r="H181" s="10" t="e">
        <x:f>IF($A181="","",IFERROR(INDEX(Checks!$F:$F,MATCH($A181,Checks!$A:$A,0)),0))</x:f>
      </x:c>
      <x:c r="I181" s="10" t="e">
        <x:f>IF($A181="","",IFERROR(INDEX(Checks!$H:$H,MATCH($A181,Checks!$A:$A,0)),"NO"))</x:f>
      </x:c>
      <x:c r="J181" s="10" t="e">
        <x:f>IF($A181="","",IFERROR(INDEX(Checks!$J:$J,MATCH($A181,Checks!$A:$A,0)),0))</x:f>
      </x:c>
      <x:c r="K181" s="10" t="str">
        <x:f t="shared" si="17"/>
      </x:c>
    </x:row>
    <x:row r="182" ht="66.25" customHeight="1">
      <x:c r="A182" s="10" t="e">
        <x:f>IFERROR(INDEX(Dependencies!$C$2:$C$5000,_xludf.AGGREGATE(15,6,(ROW(Dependencies!$A$2:$A$5000)-ROW(Dependencies!$A$2)+1)/(Dependencies!$A$2:$A$5000=$B$3),ROWS($A$20:A182))),"")</x:f>
      </x:c>
      <x:c r="B182" s="10" t="e">
        <x:f>IF($A182="","",IFERROR(INDEX(Blueprint_Data!$F:$F,MATCH($A182,Blueprint_Data!$A:$A,0)),""))</x:f>
      </x:c>
      <x:c r="C182" s="10" t="e">
        <x:f>IF($A182="","",IFERROR(INDEX(Blueprint_Data!$G:$G,MATCH($A182,Blueprint_Data!$A:$A,0)),""))</x:f>
      </x:c>
      <x:c r="D182" s="10" t="e">
        <x:f>IF($A182="","",IFERROR(INDEX(Blueprint_Data!$W:$W,MATCH($A182,Blueprint_Data!$A:$A,0)),""))</x:f>
      </x:c>
      <x:c r="E182" s="10" t="str">
        <x:f t="shared" si="15"/>
      </x:c>
      <x:c r="F182" s="10" t="str">
        <x:f t="shared" si="16"/>
        <x:v>Missing Dependency; Out-of-Seq; Missing OM Fields</x:v>
      </x:c>
      <x:c r="G182" s="10" t="e">
        <x:f>IF($A182="","",IFERROR(INDEX(Checks!$D:$D,MATCH($A182,Checks!$A:$A,0)),0))</x:f>
      </x:c>
      <x:c r="H182" s="10" t="e">
        <x:f>IF($A182="","",IFERROR(INDEX(Checks!$F:$F,MATCH($A182,Checks!$A:$A,0)),0))</x:f>
      </x:c>
      <x:c r="I182" s="10" t="e">
        <x:f>IF($A182="","",IFERROR(INDEX(Checks!$H:$H,MATCH($A182,Checks!$A:$A,0)),"NO"))</x:f>
      </x:c>
      <x:c r="J182" s="10" t="e">
        <x:f>IF($A182="","",IFERROR(INDEX(Checks!$J:$J,MATCH($A182,Checks!$A:$A,0)),0))</x:f>
      </x:c>
      <x:c r="K182" s="10" t="str">
        <x:f t="shared" si="17"/>
      </x:c>
    </x:row>
    <x:row r="183" ht="66.25" customHeight="1">
      <x:c r="A183" s="10" t="e">
        <x:f>IFERROR(INDEX(Dependencies!$C$2:$C$5000,_xludf.AGGREGATE(15,6,(ROW(Dependencies!$A$2:$A$5000)-ROW(Dependencies!$A$2)+1)/(Dependencies!$A$2:$A$5000=$B$3),ROWS($A$20:A183))),"")</x:f>
      </x:c>
      <x:c r="B183" s="10" t="e">
        <x:f>IF($A183="","",IFERROR(INDEX(Blueprint_Data!$F:$F,MATCH($A183,Blueprint_Data!$A:$A,0)),""))</x:f>
      </x:c>
      <x:c r="C183" s="10" t="e">
        <x:f>IF($A183="","",IFERROR(INDEX(Blueprint_Data!$G:$G,MATCH($A183,Blueprint_Data!$A:$A,0)),""))</x:f>
      </x:c>
      <x:c r="D183" s="10" t="e">
        <x:f>IF($A183="","",IFERROR(INDEX(Blueprint_Data!$W:$W,MATCH($A183,Blueprint_Data!$A:$A,0)),""))</x:f>
      </x:c>
      <x:c r="E183" s="10" t="str">
        <x:f t="shared" si="15"/>
      </x:c>
      <x:c r="F183" s="10" t="str">
        <x:f t="shared" si="16"/>
        <x:v>Missing Dependency; Out-of-Seq; Missing OM Fields</x:v>
      </x:c>
      <x:c r="G183" s="10" t="e">
        <x:f>IF($A183="","",IFERROR(INDEX(Checks!$D:$D,MATCH($A183,Checks!$A:$A,0)),0))</x:f>
      </x:c>
      <x:c r="H183" s="10" t="e">
        <x:f>IF($A183="","",IFERROR(INDEX(Checks!$F:$F,MATCH($A183,Checks!$A:$A,0)),0))</x:f>
      </x:c>
      <x:c r="I183" s="10" t="e">
        <x:f>IF($A183="","",IFERROR(INDEX(Checks!$H:$H,MATCH($A183,Checks!$A:$A,0)),"NO"))</x:f>
      </x:c>
      <x:c r="J183" s="10" t="e">
        <x:f>IF($A183="","",IFERROR(INDEX(Checks!$J:$J,MATCH($A183,Checks!$A:$A,0)),0))</x:f>
      </x:c>
      <x:c r="K183" s="10" t="str">
        <x:f t="shared" si="17"/>
      </x:c>
    </x:row>
    <x:row r="184" ht="66.25" customHeight="1">
      <x:c r="A184" s="10" t="e">
        <x:f>IFERROR(INDEX(Dependencies!$C$2:$C$5000,_xludf.AGGREGATE(15,6,(ROW(Dependencies!$A$2:$A$5000)-ROW(Dependencies!$A$2)+1)/(Dependencies!$A$2:$A$5000=$B$3),ROWS($A$20:A184))),"")</x:f>
      </x:c>
      <x:c r="B184" s="10" t="e">
        <x:f>IF($A184="","",IFERROR(INDEX(Blueprint_Data!$F:$F,MATCH($A184,Blueprint_Data!$A:$A,0)),""))</x:f>
      </x:c>
      <x:c r="C184" s="10" t="e">
        <x:f>IF($A184="","",IFERROR(INDEX(Blueprint_Data!$G:$G,MATCH($A184,Blueprint_Data!$A:$A,0)),""))</x:f>
      </x:c>
      <x:c r="D184" s="10" t="e">
        <x:f>IF($A184="","",IFERROR(INDEX(Blueprint_Data!$W:$W,MATCH($A184,Blueprint_Data!$A:$A,0)),""))</x:f>
      </x:c>
      <x:c r="E184" s="10" t="str">
        <x:f t="shared" si="15"/>
      </x:c>
      <x:c r="F184" s="10" t="str">
        <x:f t="shared" si="16"/>
        <x:v>Missing Dependency; Out-of-Seq; Missing OM Fields</x:v>
      </x:c>
      <x:c r="G184" s="10" t="e">
        <x:f>IF($A184="","",IFERROR(INDEX(Checks!$D:$D,MATCH($A184,Checks!$A:$A,0)),0))</x:f>
      </x:c>
      <x:c r="H184" s="10" t="e">
        <x:f>IF($A184="","",IFERROR(INDEX(Checks!$F:$F,MATCH($A184,Checks!$A:$A,0)),0))</x:f>
      </x:c>
      <x:c r="I184" s="10" t="e">
        <x:f>IF($A184="","",IFERROR(INDEX(Checks!$H:$H,MATCH($A184,Checks!$A:$A,0)),"NO"))</x:f>
      </x:c>
      <x:c r="J184" s="10" t="e">
        <x:f>IF($A184="","",IFERROR(INDEX(Checks!$J:$J,MATCH($A184,Checks!$A:$A,0)),0))</x:f>
      </x:c>
      <x:c r="K184" s="10" t="str">
        <x:f t="shared" si="17"/>
      </x:c>
    </x:row>
    <x:row r="185" ht="66.25" customHeight="1">
      <x:c r="A185" s="10" t="e">
        <x:f>IFERROR(INDEX(Dependencies!$C$2:$C$5000,_xludf.AGGREGATE(15,6,(ROW(Dependencies!$A$2:$A$5000)-ROW(Dependencies!$A$2)+1)/(Dependencies!$A$2:$A$5000=$B$3),ROWS($A$20:A185))),"")</x:f>
      </x:c>
      <x:c r="B185" s="10" t="e">
        <x:f>IF($A185="","",IFERROR(INDEX(Blueprint_Data!$F:$F,MATCH($A185,Blueprint_Data!$A:$A,0)),""))</x:f>
      </x:c>
      <x:c r="C185" s="10" t="e">
        <x:f>IF($A185="","",IFERROR(INDEX(Blueprint_Data!$G:$G,MATCH($A185,Blueprint_Data!$A:$A,0)),""))</x:f>
      </x:c>
      <x:c r="D185" s="10" t="e">
        <x:f>IF($A185="","",IFERROR(INDEX(Blueprint_Data!$W:$W,MATCH($A185,Blueprint_Data!$A:$A,0)),""))</x:f>
      </x:c>
      <x:c r="E185" s="10" t="str">
        <x:f t="shared" si="15"/>
      </x:c>
      <x:c r="F185" s="10" t="str">
        <x:f t="shared" si="16"/>
        <x:v>Missing Dependency; Out-of-Seq; Missing OM Fields</x:v>
      </x:c>
      <x:c r="G185" s="10" t="e">
        <x:f>IF($A185="","",IFERROR(INDEX(Checks!$D:$D,MATCH($A185,Checks!$A:$A,0)),0))</x:f>
      </x:c>
      <x:c r="H185" s="10" t="e">
        <x:f>IF($A185="","",IFERROR(INDEX(Checks!$F:$F,MATCH($A185,Checks!$A:$A,0)),0))</x:f>
      </x:c>
      <x:c r="I185" s="10" t="e">
        <x:f>IF($A185="","",IFERROR(INDEX(Checks!$H:$H,MATCH($A185,Checks!$A:$A,0)),"NO"))</x:f>
      </x:c>
      <x:c r="J185" s="10" t="e">
        <x:f>IF($A185="","",IFERROR(INDEX(Checks!$J:$J,MATCH($A185,Checks!$A:$A,0)),0))</x:f>
      </x:c>
      <x:c r="K185" s="10" t="str">
        <x:f t="shared" si="17"/>
      </x:c>
    </x:row>
    <x:row r="186" ht="66.25" customHeight="1">
      <x:c r="A186" s="10" t="e">
        <x:f>IFERROR(INDEX(Dependencies!$C$2:$C$5000,_xludf.AGGREGATE(15,6,(ROW(Dependencies!$A$2:$A$5000)-ROW(Dependencies!$A$2)+1)/(Dependencies!$A$2:$A$5000=$B$3),ROWS($A$20:A186))),"")</x:f>
      </x:c>
      <x:c r="B186" s="10" t="e">
        <x:f>IF($A186="","",IFERROR(INDEX(Blueprint_Data!$F:$F,MATCH($A186,Blueprint_Data!$A:$A,0)),""))</x:f>
      </x:c>
      <x:c r="C186" s="10" t="e">
        <x:f>IF($A186="","",IFERROR(INDEX(Blueprint_Data!$G:$G,MATCH($A186,Blueprint_Data!$A:$A,0)),""))</x:f>
      </x:c>
      <x:c r="D186" s="10" t="e">
        <x:f>IF($A186="","",IFERROR(INDEX(Blueprint_Data!$W:$W,MATCH($A186,Blueprint_Data!$A:$A,0)),""))</x:f>
      </x:c>
      <x:c r="E186" s="10" t="str">
        <x:f t="shared" si="15"/>
      </x:c>
      <x:c r="F186" s="10" t="str">
        <x:f t="shared" si="16"/>
        <x:v>Missing Dependency; Out-of-Seq; Missing OM Fields</x:v>
      </x:c>
      <x:c r="G186" s="10" t="e">
        <x:f>IF($A186="","",IFERROR(INDEX(Checks!$D:$D,MATCH($A186,Checks!$A:$A,0)),0))</x:f>
      </x:c>
      <x:c r="H186" s="10" t="e">
        <x:f>IF($A186="","",IFERROR(INDEX(Checks!$F:$F,MATCH($A186,Checks!$A:$A,0)),0))</x:f>
      </x:c>
      <x:c r="I186" s="10" t="e">
        <x:f>IF($A186="","",IFERROR(INDEX(Checks!$H:$H,MATCH($A186,Checks!$A:$A,0)),"NO"))</x:f>
      </x:c>
      <x:c r="J186" s="10" t="e">
        <x:f>IF($A186="","",IFERROR(INDEX(Checks!$J:$J,MATCH($A186,Checks!$A:$A,0)),0))</x:f>
      </x:c>
      <x:c r="K186" s="10" t="str">
        <x:f t="shared" si="17"/>
      </x:c>
    </x:row>
    <x:row r="187" ht="66.25" customHeight="1">
      <x:c r="A187" s="10" t="e">
        <x:f>IFERROR(INDEX(Dependencies!$C$2:$C$5000,_xludf.AGGREGATE(15,6,(ROW(Dependencies!$A$2:$A$5000)-ROW(Dependencies!$A$2)+1)/(Dependencies!$A$2:$A$5000=$B$3),ROWS($A$20:A187))),"")</x:f>
      </x:c>
      <x:c r="B187" s="10" t="e">
        <x:f>IF($A187="","",IFERROR(INDEX(Blueprint_Data!$F:$F,MATCH($A187,Blueprint_Data!$A:$A,0)),""))</x:f>
      </x:c>
      <x:c r="C187" s="10" t="e">
        <x:f>IF($A187="","",IFERROR(INDEX(Blueprint_Data!$G:$G,MATCH($A187,Blueprint_Data!$A:$A,0)),""))</x:f>
      </x:c>
      <x:c r="D187" s="10" t="e">
        <x:f>IF($A187="","",IFERROR(INDEX(Blueprint_Data!$W:$W,MATCH($A187,Blueprint_Data!$A:$A,0)),""))</x:f>
      </x:c>
      <x:c r="E187" s="10" t="str">
        <x:f t="shared" si="15"/>
      </x:c>
      <x:c r="F187" s="10" t="str">
        <x:f t="shared" si="16"/>
        <x:v>Missing Dependency; Out-of-Seq; Missing OM Fields</x:v>
      </x:c>
      <x:c r="G187" s="10" t="e">
        <x:f>IF($A187="","",IFERROR(INDEX(Checks!$D:$D,MATCH($A187,Checks!$A:$A,0)),0))</x:f>
      </x:c>
      <x:c r="H187" s="10" t="e">
        <x:f>IF($A187="","",IFERROR(INDEX(Checks!$F:$F,MATCH($A187,Checks!$A:$A,0)),0))</x:f>
      </x:c>
      <x:c r="I187" s="10" t="e">
        <x:f>IF($A187="","",IFERROR(INDEX(Checks!$H:$H,MATCH($A187,Checks!$A:$A,0)),"NO"))</x:f>
      </x:c>
      <x:c r="J187" s="10" t="e">
        <x:f>IF($A187="","",IFERROR(INDEX(Checks!$J:$J,MATCH($A187,Checks!$A:$A,0)),0))</x:f>
      </x:c>
      <x:c r="K187" s="10" t="str">
        <x:f t="shared" si="17"/>
      </x:c>
    </x:row>
    <x:row r="188" ht="66.25" customHeight="1">
      <x:c r="A188" s="10" t="e">
        <x:f>IFERROR(INDEX(Dependencies!$C$2:$C$5000,_xludf.AGGREGATE(15,6,(ROW(Dependencies!$A$2:$A$5000)-ROW(Dependencies!$A$2)+1)/(Dependencies!$A$2:$A$5000=$B$3),ROWS($A$20:A188))),"")</x:f>
      </x:c>
      <x:c r="B188" s="10" t="e">
        <x:f>IF($A188="","",IFERROR(INDEX(Blueprint_Data!$F:$F,MATCH($A188,Blueprint_Data!$A:$A,0)),""))</x:f>
      </x:c>
      <x:c r="C188" s="10" t="e">
        <x:f>IF($A188="","",IFERROR(INDEX(Blueprint_Data!$G:$G,MATCH($A188,Blueprint_Data!$A:$A,0)),""))</x:f>
      </x:c>
      <x:c r="D188" s="10" t="e">
        <x:f>IF($A188="","",IFERROR(INDEX(Blueprint_Data!$W:$W,MATCH($A188,Blueprint_Data!$A:$A,0)),""))</x:f>
      </x:c>
      <x:c r="E188" s="10" t="str">
        <x:f t="shared" si="15"/>
      </x:c>
      <x:c r="F188" s="10" t="str">
        <x:f t="shared" si="16"/>
        <x:v>Missing Dependency; Out-of-Seq; Missing OM Fields</x:v>
      </x:c>
      <x:c r="G188" s="10" t="e">
        <x:f>IF($A188="","",IFERROR(INDEX(Checks!$D:$D,MATCH($A188,Checks!$A:$A,0)),0))</x:f>
      </x:c>
      <x:c r="H188" s="10" t="e">
        <x:f>IF($A188="","",IFERROR(INDEX(Checks!$F:$F,MATCH($A188,Checks!$A:$A,0)),0))</x:f>
      </x:c>
      <x:c r="I188" s="10" t="e">
        <x:f>IF($A188="","",IFERROR(INDEX(Checks!$H:$H,MATCH($A188,Checks!$A:$A,0)),"NO"))</x:f>
      </x:c>
      <x:c r="J188" s="10" t="e">
        <x:f>IF($A188="","",IFERROR(INDEX(Checks!$J:$J,MATCH($A188,Checks!$A:$A,0)),0))</x:f>
      </x:c>
      <x:c r="K188" s="10" t="str">
        <x:f t="shared" si="17"/>
      </x:c>
    </x:row>
    <x:row r="189" ht="66.25" customHeight="1">
      <x:c r="A189" s="10" t="e">
        <x:f>IFERROR(INDEX(Dependencies!$C$2:$C$5000,_xludf.AGGREGATE(15,6,(ROW(Dependencies!$A$2:$A$5000)-ROW(Dependencies!$A$2)+1)/(Dependencies!$A$2:$A$5000=$B$3),ROWS($A$20:A189))),"")</x:f>
      </x:c>
      <x:c r="B189" s="10" t="e">
        <x:f>IF($A189="","",IFERROR(INDEX(Blueprint_Data!$F:$F,MATCH($A189,Blueprint_Data!$A:$A,0)),""))</x:f>
      </x:c>
      <x:c r="C189" s="10" t="e">
        <x:f>IF($A189="","",IFERROR(INDEX(Blueprint_Data!$G:$G,MATCH($A189,Blueprint_Data!$A:$A,0)),""))</x:f>
      </x:c>
      <x:c r="D189" s="10" t="e">
        <x:f>IF($A189="","",IFERROR(INDEX(Blueprint_Data!$W:$W,MATCH($A189,Blueprint_Data!$A:$A,0)),""))</x:f>
      </x:c>
      <x:c r="E189" s="10" t="str">
        <x:f t="shared" si="15"/>
      </x:c>
      <x:c r="F189" s="10" t="str">
        <x:f t="shared" si="16"/>
        <x:v>Missing Dependency; Out-of-Seq; Missing OM Fields</x:v>
      </x:c>
      <x:c r="G189" s="10" t="e">
        <x:f>IF($A189="","",IFERROR(INDEX(Checks!$D:$D,MATCH($A189,Checks!$A:$A,0)),0))</x:f>
      </x:c>
      <x:c r="H189" s="10" t="e">
        <x:f>IF($A189="","",IFERROR(INDEX(Checks!$F:$F,MATCH($A189,Checks!$A:$A,0)),0))</x:f>
      </x:c>
      <x:c r="I189" s="10" t="e">
        <x:f>IF($A189="","",IFERROR(INDEX(Checks!$H:$H,MATCH($A189,Checks!$A:$A,0)),"NO"))</x:f>
      </x:c>
      <x:c r="J189" s="10" t="e">
        <x:f>IF($A189="","",IFERROR(INDEX(Checks!$J:$J,MATCH($A189,Checks!$A:$A,0)),0))</x:f>
      </x:c>
      <x:c r="K189" s="10" t="str">
        <x:f t="shared" si="17"/>
      </x:c>
    </x:row>
    <x:row r="190" ht="66.25" customHeight="1">
      <x:c r="A190" s="10" t="e">
        <x:f>IFERROR(INDEX(Dependencies!$C$2:$C$5000,_xludf.AGGREGATE(15,6,(ROW(Dependencies!$A$2:$A$5000)-ROW(Dependencies!$A$2)+1)/(Dependencies!$A$2:$A$5000=$B$3),ROWS($A$20:A190))),"")</x:f>
      </x:c>
      <x:c r="B190" s="10" t="e">
        <x:f>IF($A190="","",IFERROR(INDEX(Blueprint_Data!$F:$F,MATCH($A190,Blueprint_Data!$A:$A,0)),""))</x:f>
      </x:c>
      <x:c r="C190" s="10" t="e">
        <x:f>IF($A190="","",IFERROR(INDEX(Blueprint_Data!$G:$G,MATCH($A190,Blueprint_Data!$A:$A,0)),""))</x:f>
      </x:c>
      <x:c r="D190" s="10" t="e">
        <x:f>IF($A190="","",IFERROR(INDEX(Blueprint_Data!$W:$W,MATCH($A190,Blueprint_Data!$A:$A,0)),""))</x:f>
      </x:c>
      <x:c r="E190" s="10" t="str">
        <x:f t="shared" si="15"/>
      </x:c>
      <x:c r="F190" s="10" t="str">
        <x:f t="shared" si="16"/>
        <x:v>Missing Dependency; Out-of-Seq; Missing OM Fields</x:v>
      </x:c>
      <x:c r="G190" s="10" t="e">
        <x:f>IF($A190="","",IFERROR(INDEX(Checks!$D:$D,MATCH($A190,Checks!$A:$A,0)),0))</x:f>
      </x:c>
      <x:c r="H190" s="10" t="e">
        <x:f>IF($A190="","",IFERROR(INDEX(Checks!$F:$F,MATCH($A190,Checks!$A:$A,0)),0))</x:f>
      </x:c>
      <x:c r="I190" s="10" t="e">
        <x:f>IF($A190="","",IFERROR(INDEX(Checks!$H:$H,MATCH($A190,Checks!$A:$A,0)),"NO"))</x:f>
      </x:c>
      <x:c r="J190" s="10" t="e">
        <x:f>IF($A190="","",IFERROR(INDEX(Checks!$J:$J,MATCH($A190,Checks!$A:$A,0)),0))</x:f>
      </x:c>
      <x:c r="K190" s="10" t="str">
        <x:f t="shared" si="17"/>
      </x:c>
    </x:row>
    <x:row r="191" ht="66.25" customHeight="1">
      <x:c r="A191" s="10" t="e">
        <x:f>IFERROR(INDEX(Dependencies!$C$2:$C$5000,_xludf.AGGREGATE(15,6,(ROW(Dependencies!$A$2:$A$5000)-ROW(Dependencies!$A$2)+1)/(Dependencies!$A$2:$A$5000=$B$3),ROWS($A$20:A191))),"")</x:f>
      </x:c>
      <x:c r="B191" s="10" t="e">
        <x:f>IF($A191="","",IFERROR(INDEX(Blueprint_Data!$F:$F,MATCH($A191,Blueprint_Data!$A:$A,0)),""))</x:f>
      </x:c>
      <x:c r="C191" s="10" t="e">
        <x:f>IF($A191="","",IFERROR(INDEX(Blueprint_Data!$G:$G,MATCH($A191,Blueprint_Data!$A:$A,0)),""))</x:f>
      </x:c>
      <x:c r="D191" s="10" t="e">
        <x:f>IF($A191="","",IFERROR(INDEX(Blueprint_Data!$W:$W,MATCH($A191,Blueprint_Data!$A:$A,0)),""))</x:f>
      </x:c>
      <x:c r="E191" s="10" t="str">
        <x:f t="shared" si="15"/>
      </x:c>
      <x:c r="F191" s="10" t="str">
        <x:f t="shared" si="16"/>
        <x:v>Missing Dependency; Out-of-Seq; Missing OM Fields</x:v>
      </x:c>
      <x:c r="G191" s="10" t="e">
        <x:f>IF($A191="","",IFERROR(INDEX(Checks!$D:$D,MATCH($A191,Checks!$A:$A,0)),0))</x:f>
      </x:c>
      <x:c r="H191" s="10" t="e">
        <x:f>IF($A191="","",IFERROR(INDEX(Checks!$F:$F,MATCH($A191,Checks!$A:$A,0)),0))</x:f>
      </x:c>
      <x:c r="I191" s="10" t="e">
        <x:f>IF($A191="","",IFERROR(INDEX(Checks!$H:$H,MATCH($A191,Checks!$A:$A,0)),"NO"))</x:f>
      </x:c>
      <x:c r="J191" s="10" t="e">
        <x:f>IF($A191="","",IFERROR(INDEX(Checks!$J:$J,MATCH($A191,Checks!$A:$A,0)),0))</x:f>
      </x:c>
      <x:c r="K191" s="10" t="str">
        <x:f t="shared" si="17"/>
      </x:c>
    </x:row>
    <x:row r="192" ht="66.25" customHeight="1">
      <x:c r="A192" s="10" t="e">
        <x:f>IFERROR(INDEX(Dependencies!$C$2:$C$5000,_xludf.AGGREGATE(15,6,(ROW(Dependencies!$A$2:$A$5000)-ROW(Dependencies!$A$2)+1)/(Dependencies!$A$2:$A$5000=$B$3),ROWS($A$20:A192))),"")</x:f>
      </x:c>
      <x:c r="B192" s="10" t="e">
        <x:f>IF($A192="","",IFERROR(INDEX(Blueprint_Data!$F:$F,MATCH($A192,Blueprint_Data!$A:$A,0)),""))</x:f>
      </x:c>
      <x:c r="C192" s="10" t="e">
        <x:f>IF($A192="","",IFERROR(INDEX(Blueprint_Data!$G:$G,MATCH($A192,Blueprint_Data!$A:$A,0)),""))</x:f>
      </x:c>
      <x:c r="D192" s="10" t="e">
        <x:f>IF($A192="","",IFERROR(INDEX(Blueprint_Data!$W:$W,MATCH($A192,Blueprint_Data!$A:$A,0)),""))</x:f>
      </x:c>
      <x:c r="E192" s="10" t="str">
        <x:f t="shared" si="15"/>
      </x:c>
      <x:c r="F192" s="10" t="str">
        <x:f t="shared" si="16"/>
        <x:v>Missing Dependency; Out-of-Seq; Missing OM Fields</x:v>
      </x:c>
      <x:c r="G192" s="10" t="e">
        <x:f>IF($A192="","",IFERROR(INDEX(Checks!$D:$D,MATCH($A192,Checks!$A:$A,0)),0))</x:f>
      </x:c>
      <x:c r="H192" s="10" t="e">
        <x:f>IF($A192="","",IFERROR(INDEX(Checks!$F:$F,MATCH($A192,Checks!$A:$A,0)),0))</x:f>
      </x:c>
      <x:c r="I192" s="10" t="e">
        <x:f>IF($A192="","",IFERROR(INDEX(Checks!$H:$H,MATCH($A192,Checks!$A:$A,0)),"NO"))</x:f>
      </x:c>
      <x:c r="J192" s="10" t="e">
        <x:f>IF($A192="","",IFERROR(INDEX(Checks!$J:$J,MATCH($A192,Checks!$A:$A,0)),0))</x:f>
      </x:c>
      <x:c r="K192" s="10" t="str">
        <x:f t="shared" si="17"/>
      </x:c>
    </x:row>
    <x:row r="193" ht="66.25" customHeight="1">
      <x:c r="A193" s="10" t="e">
        <x:f>IFERROR(INDEX(Dependencies!$C$2:$C$5000,_xludf.AGGREGATE(15,6,(ROW(Dependencies!$A$2:$A$5000)-ROW(Dependencies!$A$2)+1)/(Dependencies!$A$2:$A$5000=$B$3),ROWS($A$20:A193))),"")</x:f>
      </x:c>
      <x:c r="B193" s="10" t="e">
        <x:f>IF($A193="","",IFERROR(INDEX(Blueprint_Data!$F:$F,MATCH($A193,Blueprint_Data!$A:$A,0)),""))</x:f>
      </x:c>
      <x:c r="C193" s="10" t="e">
        <x:f>IF($A193="","",IFERROR(INDEX(Blueprint_Data!$G:$G,MATCH($A193,Blueprint_Data!$A:$A,0)),""))</x:f>
      </x:c>
      <x:c r="D193" s="10" t="e">
        <x:f>IF($A193="","",IFERROR(INDEX(Blueprint_Data!$W:$W,MATCH($A193,Blueprint_Data!$A:$A,0)),""))</x:f>
      </x:c>
      <x:c r="E193" s="10" t="str">
        <x:f t="shared" si="15"/>
      </x:c>
      <x:c r="F193" s="10" t="str">
        <x:f t="shared" si="16"/>
        <x:v>Missing Dependency; Out-of-Seq; Missing OM Fields</x:v>
      </x:c>
      <x:c r="G193" s="10" t="e">
        <x:f>IF($A193="","",IFERROR(INDEX(Checks!$D:$D,MATCH($A193,Checks!$A:$A,0)),0))</x:f>
      </x:c>
      <x:c r="H193" s="10" t="e">
        <x:f>IF($A193="","",IFERROR(INDEX(Checks!$F:$F,MATCH($A193,Checks!$A:$A,0)),0))</x:f>
      </x:c>
      <x:c r="I193" s="10" t="e">
        <x:f>IF($A193="","",IFERROR(INDEX(Checks!$H:$H,MATCH($A193,Checks!$A:$A,0)),"NO"))</x:f>
      </x:c>
      <x:c r="J193" s="10" t="e">
        <x:f>IF($A193="","",IFERROR(INDEX(Checks!$J:$J,MATCH($A193,Checks!$A:$A,0)),0))</x:f>
      </x:c>
      <x:c r="K193" s="10" t="str">
        <x:f t="shared" si="17"/>
      </x:c>
    </x:row>
    <x:row r="194" ht="66.25" customHeight="1">
      <x:c r="A194" s="10" t="e">
        <x:f>IFERROR(INDEX(Dependencies!$C$2:$C$5000,_xludf.AGGREGATE(15,6,(ROW(Dependencies!$A$2:$A$5000)-ROW(Dependencies!$A$2)+1)/(Dependencies!$A$2:$A$5000=$B$3),ROWS($A$20:A194))),"")</x:f>
      </x:c>
      <x:c r="B194" s="10" t="e">
        <x:f>IF($A194="","",IFERROR(INDEX(Blueprint_Data!$F:$F,MATCH($A194,Blueprint_Data!$A:$A,0)),""))</x:f>
      </x:c>
      <x:c r="C194" s="10" t="e">
        <x:f>IF($A194="","",IFERROR(INDEX(Blueprint_Data!$G:$G,MATCH($A194,Blueprint_Data!$A:$A,0)),""))</x:f>
      </x:c>
      <x:c r="D194" s="10" t="e">
        <x:f>IF($A194="","",IFERROR(INDEX(Blueprint_Data!$W:$W,MATCH($A194,Blueprint_Data!$A:$A,0)),""))</x:f>
      </x:c>
      <x:c r="E194" s="10" t="str">
        <x:f t="shared" si="15"/>
      </x:c>
      <x:c r="F194" s="10" t="str">
        <x:f t="shared" si="16"/>
        <x:v>Missing Dependency; Out-of-Seq; Missing OM Fields</x:v>
      </x:c>
      <x:c r="G194" s="10" t="e">
        <x:f>IF($A194="","",IFERROR(INDEX(Checks!$D:$D,MATCH($A194,Checks!$A:$A,0)),0))</x:f>
      </x:c>
      <x:c r="H194" s="10" t="e">
        <x:f>IF($A194="","",IFERROR(INDEX(Checks!$F:$F,MATCH($A194,Checks!$A:$A,0)),0))</x:f>
      </x:c>
      <x:c r="I194" s="10" t="e">
        <x:f>IF($A194="","",IFERROR(INDEX(Checks!$H:$H,MATCH($A194,Checks!$A:$A,0)),"NO"))</x:f>
      </x:c>
      <x:c r="J194" s="10" t="e">
        <x:f>IF($A194="","",IFERROR(INDEX(Checks!$J:$J,MATCH($A194,Checks!$A:$A,0)),0))</x:f>
      </x:c>
      <x:c r="K194" s="10" t="str">
        <x:f t="shared" si="17"/>
      </x:c>
    </x:row>
    <x:row r="195" ht="66.25" customHeight="1">
      <x:c r="A195" s="10" t="e">
        <x:f>IFERROR(INDEX(Dependencies!$C$2:$C$5000,_xludf.AGGREGATE(15,6,(ROW(Dependencies!$A$2:$A$5000)-ROW(Dependencies!$A$2)+1)/(Dependencies!$A$2:$A$5000=$B$3),ROWS($A$20:A195))),"")</x:f>
      </x:c>
      <x:c r="B195" s="10" t="e">
        <x:f>IF($A195="","",IFERROR(INDEX(Blueprint_Data!$F:$F,MATCH($A195,Blueprint_Data!$A:$A,0)),""))</x:f>
      </x:c>
      <x:c r="C195" s="10" t="e">
        <x:f>IF($A195="","",IFERROR(INDEX(Blueprint_Data!$G:$G,MATCH($A195,Blueprint_Data!$A:$A,0)),""))</x:f>
      </x:c>
      <x:c r="D195" s="10" t="e">
        <x:f>IF($A195="","",IFERROR(INDEX(Blueprint_Data!$W:$W,MATCH($A195,Blueprint_Data!$A:$A,0)),""))</x:f>
      </x:c>
      <x:c r="E195" s="10" t="str">
        <x:f t="shared" si="15"/>
      </x:c>
      <x:c r="F195" s="10" t="str">
        <x:f t="shared" si="16"/>
        <x:v>Missing Dependency; Out-of-Seq; Missing OM Fields</x:v>
      </x:c>
      <x:c r="G195" s="10" t="e">
        <x:f>IF($A195="","",IFERROR(INDEX(Checks!$D:$D,MATCH($A195,Checks!$A:$A,0)),0))</x:f>
      </x:c>
      <x:c r="H195" s="10" t="e">
        <x:f>IF($A195="","",IFERROR(INDEX(Checks!$F:$F,MATCH($A195,Checks!$A:$A,0)),0))</x:f>
      </x:c>
      <x:c r="I195" s="10" t="e">
        <x:f>IF($A195="","",IFERROR(INDEX(Checks!$H:$H,MATCH($A195,Checks!$A:$A,0)),"NO"))</x:f>
      </x:c>
      <x:c r="J195" s="10" t="e">
        <x:f>IF($A195="","",IFERROR(INDEX(Checks!$J:$J,MATCH($A195,Checks!$A:$A,0)),0))</x:f>
      </x:c>
      <x:c r="K195" s="10" t="str">
        <x:f t="shared" si="17"/>
      </x:c>
    </x:row>
    <x:row r="196" ht="66.25" customHeight="1">
      <x:c r="A196" s="10" t="e">
        <x:f>IFERROR(INDEX(Dependencies!$C$2:$C$5000,_xludf.AGGREGATE(15,6,(ROW(Dependencies!$A$2:$A$5000)-ROW(Dependencies!$A$2)+1)/(Dependencies!$A$2:$A$5000=$B$3),ROWS($A$20:A196))),"")</x:f>
      </x:c>
      <x:c r="B196" s="10" t="e">
        <x:f>IF($A196="","",IFERROR(INDEX(Blueprint_Data!$F:$F,MATCH($A196,Blueprint_Data!$A:$A,0)),""))</x:f>
      </x:c>
      <x:c r="C196" s="10" t="e">
        <x:f>IF($A196="","",IFERROR(INDEX(Blueprint_Data!$G:$G,MATCH($A196,Blueprint_Data!$A:$A,0)),""))</x:f>
      </x:c>
      <x:c r="D196" s="10" t="e">
        <x:f>IF($A196="","",IFERROR(INDEX(Blueprint_Data!$W:$W,MATCH($A196,Blueprint_Data!$A:$A,0)),""))</x:f>
      </x:c>
      <x:c r="E196" s="10" t="str">
        <x:f t="shared" si="15"/>
      </x:c>
      <x:c r="F196" s="10" t="str">
        <x:f t="shared" si="16"/>
        <x:v>Missing Dependency; Out-of-Seq; Missing OM Fields</x:v>
      </x:c>
      <x:c r="G196" s="10" t="e">
        <x:f>IF($A196="","",IFERROR(INDEX(Checks!$D:$D,MATCH($A196,Checks!$A:$A,0)),0))</x:f>
      </x:c>
      <x:c r="H196" s="10" t="e">
        <x:f>IF($A196="","",IFERROR(INDEX(Checks!$F:$F,MATCH($A196,Checks!$A:$A,0)),0))</x:f>
      </x:c>
      <x:c r="I196" s="10" t="e">
        <x:f>IF($A196="","",IFERROR(INDEX(Checks!$H:$H,MATCH($A196,Checks!$A:$A,0)),"NO"))</x:f>
      </x:c>
      <x:c r="J196" s="10" t="e">
        <x:f>IF($A196="","",IFERROR(INDEX(Checks!$J:$J,MATCH($A196,Checks!$A:$A,0)),0))</x:f>
      </x:c>
      <x:c r="K196" s="10" t="str">
        <x:f t="shared" si="17"/>
      </x:c>
    </x:row>
    <x:row r="197" ht="66.25" customHeight="1">
      <x:c r="A197" s="10" t="e">
        <x:f>IFERROR(INDEX(Dependencies!$C$2:$C$5000,_xludf.AGGREGATE(15,6,(ROW(Dependencies!$A$2:$A$5000)-ROW(Dependencies!$A$2)+1)/(Dependencies!$A$2:$A$5000=$B$3),ROWS($A$20:A197))),"")</x:f>
      </x:c>
      <x:c r="B197" s="10" t="e">
        <x:f>IF($A197="","",IFERROR(INDEX(Blueprint_Data!$F:$F,MATCH($A197,Blueprint_Data!$A:$A,0)),""))</x:f>
      </x:c>
      <x:c r="C197" s="10" t="e">
        <x:f>IF($A197="","",IFERROR(INDEX(Blueprint_Data!$G:$G,MATCH($A197,Blueprint_Data!$A:$A,0)),""))</x:f>
      </x:c>
      <x:c r="D197" s="10" t="e">
        <x:f>IF($A197="","",IFERROR(INDEX(Blueprint_Data!$W:$W,MATCH($A197,Blueprint_Data!$A:$A,0)),""))</x:f>
      </x:c>
      <x:c r="E197" s="10" t="str">
        <x:f t="shared" si="15"/>
      </x:c>
      <x:c r="F197" s="10" t="str">
        <x:f t="shared" si="16"/>
        <x:v>Missing Dependency; Out-of-Seq; Missing OM Fields</x:v>
      </x:c>
      <x:c r="G197" s="10" t="e">
        <x:f>IF($A197="","",IFERROR(INDEX(Checks!$D:$D,MATCH($A197,Checks!$A:$A,0)),0))</x:f>
      </x:c>
      <x:c r="H197" s="10" t="e">
        <x:f>IF($A197="","",IFERROR(INDEX(Checks!$F:$F,MATCH($A197,Checks!$A:$A,0)),0))</x:f>
      </x:c>
      <x:c r="I197" s="10" t="e">
        <x:f>IF($A197="","",IFERROR(INDEX(Checks!$H:$H,MATCH($A197,Checks!$A:$A,0)),"NO"))</x:f>
      </x:c>
      <x:c r="J197" s="10" t="e">
        <x:f>IF($A197="","",IFERROR(INDEX(Checks!$J:$J,MATCH($A197,Checks!$A:$A,0)),0))</x:f>
      </x:c>
      <x:c r="K197" s="10" t="str">
        <x:f t="shared" si="17"/>
      </x:c>
    </x:row>
    <x:row r="198" ht="66.25" customHeight="1">
      <x:c r="A198" s="10" t="e">
        <x:f>IFERROR(INDEX(Dependencies!$C$2:$C$5000,_xludf.AGGREGATE(15,6,(ROW(Dependencies!$A$2:$A$5000)-ROW(Dependencies!$A$2)+1)/(Dependencies!$A$2:$A$5000=$B$3),ROWS($A$20:A198))),"")</x:f>
      </x:c>
      <x:c r="B198" s="10" t="e">
        <x:f>IF($A198="","",IFERROR(INDEX(Blueprint_Data!$F:$F,MATCH($A198,Blueprint_Data!$A:$A,0)),""))</x:f>
      </x:c>
      <x:c r="C198" s="10" t="e">
        <x:f>IF($A198="","",IFERROR(INDEX(Blueprint_Data!$G:$G,MATCH($A198,Blueprint_Data!$A:$A,0)),""))</x:f>
      </x:c>
      <x:c r="D198" s="10" t="e">
        <x:f>IF($A198="","",IFERROR(INDEX(Blueprint_Data!$W:$W,MATCH($A198,Blueprint_Data!$A:$A,0)),""))</x:f>
      </x:c>
      <x:c r="E198" s="10" t="str">
        <x:f t="shared" si="15"/>
      </x:c>
      <x:c r="F198" s="10" t="str">
        <x:f t="shared" si="16"/>
        <x:v>Missing Dependency; Out-of-Seq; Missing OM Fields</x:v>
      </x:c>
      <x:c r="G198" s="10" t="e">
        <x:f>IF($A198="","",IFERROR(INDEX(Checks!$D:$D,MATCH($A198,Checks!$A:$A,0)),0))</x:f>
      </x:c>
      <x:c r="H198" s="10" t="e">
        <x:f>IF($A198="","",IFERROR(INDEX(Checks!$F:$F,MATCH($A198,Checks!$A:$A,0)),0))</x:f>
      </x:c>
      <x:c r="I198" s="10" t="e">
        <x:f>IF($A198="","",IFERROR(INDEX(Checks!$H:$H,MATCH($A198,Checks!$A:$A,0)),"NO"))</x:f>
      </x:c>
      <x:c r="J198" s="10" t="e">
        <x:f>IF($A198="","",IFERROR(INDEX(Checks!$J:$J,MATCH($A198,Checks!$A:$A,0)),0))</x:f>
      </x:c>
      <x:c r="K198" s="10" t="str">
        <x:f t="shared" si="17"/>
      </x:c>
    </x:row>
    <x:row r="199" ht="66.25" customHeight="1">
      <x:c r="A199" s="10" t="e">
        <x:f>IFERROR(INDEX(Dependencies!$C$2:$C$5000,_xludf.AGGREGATE(15,6,(ROW(Dependencies!$A$2:$A$5000)-ROW(Dependencies!$A$2)+1)/(Dependencies!$A$2:$A$5000=$B$3),ROWS($A$20:A199))),"")</x:f>
      </x:c>
      <x:c r="B199" s="10" t="e">
        <x:f>IF($A199="","",IFERROR(INDEX(Blueprint_Data!$F:$F,MATCH($A199,Blueprint_Data!$A:$A,0)),""))</x:f>
      </x:c>
      <x:c r="C199" s="10" t="e">
        <x:f>IF($A199="","",IFERROR(INDEX(Blueprint_Data!$G:$G,MATCH($A199,Blueprint_Data!$A:$A,0)),""))</x:f>
      </x:c>
      <x:c r="D199" s="10" t="e">
        <x:f>IF($A199="","",IFERROR(INDEX(Blueprint_Data!$W:$W,MATCH($A199,Blueprint_Data!$A:$A,0)),""))</x:f>
      </x:c>
      <x:c r="E199" s="10" t="str">
        <x:f t="shared" si="15"/>
      </x:c>
      <x:c r="F199" s="10" t="str">
        <x:f t="shared" si="16"/>
        <x:v>Missing Dependency; Out-of-Seq; Missing OM Fields</x:v>
      </x:c>
      <x:c r="G199" s="10" t="e">
        <x:f>IF($A199="","",IFERROR(INDEX(Checks!$D:$D,MATCH($A199,Checks!$A:$A,0)),0))</x:f>
      </x:c>
      <x:c r="H199" s="10" t="e">
        <x:f>IF($A199="","",IFERROR(INDEX(Checks!$F:$F,MATCH($A199,Checks!$A:$A,0)),0))</x:f>
      </x:c>
      <x:c r="I199" s="10" t="e">
        <x:f>IF($A199="","",IFERROR(INDEX(Checks!$H:$H,MATCH($A199,Checks!$A:$A,0)),"NO"))</x:f>
      </x:c>
      <x:c r="J199" s="10" t="e">
        <x:f>IF($A199="","",IFERROR(INDEX(Checks!$J:$J,MATCH($A199,Checks!$A:$A,0)),0))</x:f>
      </x:c>
      <x:c r="K199" s="10" t="str">
        <x:f t="shared" si="17"/>
      </x:c>
    </x:row>
    <x:row r="200" ht="66.25" customHeight="1">
      <x:c r="A200" s="10" t="e">
        <x:f>IFERROR(INDEX(Dependencies!$C$2:$C$5000,_xludf.AGGREGATE(15,6,(ROW(Dependencies!$A$2:$A$5000)-ROW(Dependencies!$A$2)+1)/(Dependencies!$A$2:$A$5000=$B$3),ROWS($A$20:A200))),"")</x:f>
      </x:c>
      <x:c r="B200" s="10" t="e">
        <x:f>IF($A200="","",IFERROR(INDEX(Blueprint_Data!$F:$F,MATCH($A200,Blueprint_Data!$A:$A,0)),""))</x:f>
      </x:c>
      <x:c r="C200" s="10" t="e">
        <x:f>IF($A200="","",IFERROR(INDEX(Blueprint_Data!$G:$G,MATCH($A200,Blueprint_Data!$A:$A,0)),""))</x:f>
      </x:c>
      <x:c r="D200" s="10" t="e">
        <x:f>IF($A200="","",IFERROR(INDEX(Blueprint_Data!$W:$W,MATCH($A200,Blueprint_Data!$A:$A,0)),""))</x:f>
      </x:c>
      <x:c r="E200" s="10" t="str">
        <x:f t="shared" si="15"/>
      </x:c>
      <x:c r="F200" s="10" t="str">
        <x:f t="shared" si="16"/>
        <x:v>Missing Dependency; Out-of-Seq; Missing OM Fields</x:v>
      </x:c>
      <x:c r="G200" s="10" t="e">
        <x:f>IF($A200="","",IFERROR(INDEX(Checks!$D:$D,MATCH($A200,Checks!$A:$A,0)),0))</x:f>
      </x:c>
      <x:c r="H200" s="10" t="e">
        <x:f>IF($A200="","",IFERROR(INDEX(Checks!$F:$F,MATCH($A200,Checks!$A:$A,0)),0))</x:f>
      </x:c>
      <x:c r="I200" s="10" t="e">
        <x:f>IF($A200="","",IFERROR(INDEX(Checks!$H:$H,MATCH($A200,Checks!$A:$A,0)),"NO"))</x:f>
      </x:c>
      <x:c r="J200" s="10" t="e">
        <x:f>IF($A200="","",IFERROR(INDEX(Checks!$J:$J,MATCH($A200,Checks!$A:$A,0)),0))</x:f>
      </x:c>
      <x:c r="K200" s="10" t="str">
        <x:f t="shared" si="17"/>
      </x:c>
    </x:row>
    <x:row r="201" ht="33.25" customHeight="1">
      <x:c r="A201" s="10" t="e">
        <x:f>IFERROR(INDEX(Dependencies!$C$2:$C$5000,_xludf.AGGREGATE(15,6,(ROW(Dependencies!$A$2:$A$5000)-ROW(Dependencies!$A$2)+1)/(Dependencies!$A$2:$A$5000=$B$3),ROWS($A$20:A201))),"")</x:f>
      </x:c>
      <x:c r="B201" s="10" t="e">
        <x:f>IF($A201="","",IFERROR(INDEX(Blueprint_Data!$F:$F,MATCH($A201,Blueprint_Data!$A:$A,0)),""))</x:f>
      </x:c>
      <x:c r="C201" s="10" t="e">
        <x:f>IF($A201="","",IFERROR(INDEX(Blueprint_Data!$G:$G,MATCH($A201,Blueprint_Data!$A:$A,0)),""))</x:f>
      </x:c>
      <x:c r="D201" s="10" t="e">
        <x:f>IF($A201="","",IFERROR(INDEX(Blueprint_Data!$W:$W,MATCH($A201,Blueprint_Data!$A:$A,0)),""))</x:f>
      </x:c>
      <x:c r="E201" s="10" t="s">
        <x:v>77</x:v>
      </x:c>
      <x:c r="F201" s="10" t="s">
        <x:v>78</x:v>
      </x:c>
      <x:c r="G201" s="10">
        <x:v>1</x:v>
      </x:c>
      <x:c r="H201" s="10">
        <x:v>0</x:v>
      </x:c>
      <x:c r="I201" s="10" t="s">
        <x:v>77</x:v>
      </x:c>
      <x:c r="J201" s="10">
        <x:v>0</x:v>
      </x:c>
      <x:c r="K201" s="10"/>
    </x:row>
    <x:row r="202" ht="33.25" customHeight="1">
      <x:c r="A202" s="10" t="e">
        <x:f>IFERROR(INDEX(Dependencies!$C$2:$C$5000,_xludf.AGGREGATE(15,6,(ROW(Dependencies!$A$2:$A$5000)-ROW(Dependencies!$A$2)+1)/(Dependencies!$A$2:$A$5000=$B$3),ROWS($A$20:A202))),"")</x:f>
      </x:c>
      <x:c r="B202" s="10" t="e">
        <x:f>IF($A202="","",IFERROR(INDEX(Blueprint_Data!$F:$F,MATCH($A202,Blueprint_Data!$A:$A,0)),""))</x:f>
      </x:c>
      <x:c r="C202" s="10" t="e">
        <x:f>IF($A202="","",IFERROR(INDEX(Blueprint_Data!$G:$G,MATCH($A202,Blueprint_Data!$A:$A,0)),""))</x:f>
      </x:c>
      <x:c r="D202" s="10" t="e">
        <x:f>IF($A202="","",IFERROR(INDEX(Blueprint_Data!$W:$W,MATCH($A202,Blueprint_Data!$A:$A,0)),""))</x:f>
      </x:c>
      <x:c r="E202" s="10" t="s">
        <x:v>77</x:v>
      </x:c>
      <x:c r="F202" s="10"/>
      <x:c r="G202" s="10">
        <x:v>0</x:v>
      </x:c>
      <x:c r="H202" s="10">
        <x:v>0</x:v>
      </x:c>
      <x:c r="I202" s="10" t="s">
        <x:v>77</x:v>
      </x:c>
      <x:c r="J202" s="10">
        <x:v>0</x:v>
      </x:c>
      <x:c r="K202" s="10"/>
    </x:row>
    <x:row r="203" ht="33.25" customHeight="1">
      <x:c r="A203" s="10" t="e">
        <x:f>IFERROR(INDEX(Dependencies!$C$2:$C$5000,_xludf.AGGREGATE(15,6,(ROW(Dependencies!$A$2:$A$5000)-ROW(Dependencies!$A$2)+1)/(Dependencies!$A$2:$A$5000=$B$3),ROWS($A$20:A203))),"")</x:f>
      </x:c>
      <x:c r="B203" s="10" t="e">
        <x:f>IF($A203="","",IFERROR(INDEX(Blueprint_Data!$F:$F,MATCH($A203,Blueprint_Data!$A:$A,0)),""))</x:f>
      </x:c>
      <x:c r="C203" s="10" t="e">
        <x:f>IF($A203="","",IFERROR(INDEX(Blueprint_Data!$G:$G,MATCH($A203,Blueprint_Data!$A:$A,0)),""))</x:f>
      </x:c>
      <x:c r="D203" s="10" t="e">
        <x:f>IF($A203="","",IFERROR(INDEX(Blueprint_Data!$W:$W,MATCH($A203,Blueprint_Data!$A:$A,0)),""))</x:f>
      </x:c>
      <x:c r="E203" s="10" t="s">
        <x:v>77</x:v>
      </x:c>
      <x:c r="F203" s="10"/>
      <x:c r="G203" s="10">
        <x:v>0</x:v>
      </x:c>
      <x:c r="H203" s="10">
        <x:v>0</x:v>
      </x:c>
      <x:c r="I203" s="10" t="s">
        <x:v>77</x:v>
      </x:c>
      <x:c r="J203" s="10">
        <x:v>0</x:v>
      </x:c>
      <x:c r="K203" s="10"/>
    </x:row>
    <x:row r="204" ht="33.25" customHeight="1">
      <x:c r="A204" s="10" t="e">
        <x:f>IFERROR(INDEX(Dependencies!$C$2:$C$5000,_xludf.AGGREGATE(15,6,(ROW(Dependencies!$A$2:$A$5000)-ROW(Dependencies!$A$2)+1)/(Dependencies!$A$2:$A$5000=$B$3),ROWS($A$20:A204))),"")</x:f>
      </x:c>
      <x:c r="B204" s="10" t="e">
        <x:f>IF($A204="","",IFERROR(INDEX(Blueprint_Data!$F:$F,MATCH($A204,Blueprint_Data!$A:$A,0)),""))</x:f>
      </x:c>
      <x:c r="C204" s="10" t="e">
        <x:f>IF($A204="","",IFERROR(INDEX(Blueprint_Data!$G:$G,MATCH($A204,Blueprint_Data!$A:$A,0)),""))</x:f>
      </x:c>
      <x:c r="D204" s="10" t="e">
        <x:f>IF($A204="","",IFERROR(INDEX(Blueprint_Data!$W:$W,MATCH($A204,Blueprint_Data!$A:$A,0)),""))</x:f>
      </x:c>
      <x:c r="E204" s="10" t="s">
        <x:v>77</x:v>
      </x:c>
      <x:c r="F204" s="10"/>
      <x:c r="G204" s="10">
        <x:v>0</x:v>
      </x:c>
      <x:c r="H204" s="10">
        <x:v>0</x:v>
      </x:c>
      <x:c r="I204" s="10" t="s">
        <x:v>77</x:v>
      </x:c>
      <x:c r="J204" s="10">
        <x:v>0</x:v>
      </x:c>
      <x:c r="K204" s="10"/>
    </x:row>
    <x:row r="205" ht="33.25" customHeight="1">
      <x:c r="A205" s="10" t="e">
        <x:f>IFERROR(INDEX(Dependencies!$C$2:$C$5000,_xludf.AGGREGATE(15,6,(ROW(Dependencies!$A$2:$A$5000)-ROW(Dependencies!$A$2)+1)/(Dependencies!$A$2:$A$5000=$B$3),ROWS($A$20:A205))),"")</x:f>
      </x:c>
      <x:c r="B205" s="10" t="e">
        <x:f>IF($A205="","",IFERROR(INDEX(Blueprint_Data!$F:$F,MATCH($A205,Blueprint_Data!$A:$A,0)),""))</x:f>
      </x:c>
      <x:c r="C205" s="10" t="e">
        <x:f>IF($A205="","",IFERROR(INDEX(Blueprint_Data!$G:$G,MATCH($A205,Blueprint_Data!$A:$A,0)),""))</x:f>
      </x:c>
      <x:c r="D205" s="10" t="e">
        <x:f>IF($A205="","",IFERROR(INDEX(Blueprint_Data!$W:$W,MATCH($A205,Blueprint_Data!$A:$A,0)),""))</x:f>
      </x:c>
      <x:c r="E205" s="10" t="s">
        <x:v>77</x:v>
      </x:c>
      <x:c r="F205" s="10"/>
      <x:c r="G205" s="10">
        <x:v>0</x:v>
      </x:c>
      <x:c r="H205" s="10">
        <x:v>0</x:v>
      </x:c>
      <x:c r="I205" s="10" t="s">
        <x:v>77</x:v>
      </x:c>
      <x:c r="J205" s="10">
        <x:v>0</x:v>
      </x:c>
      <x:c r="K205" s="10"/>
    </x:row>
    <x:row r="206" ht="33.25" customHeight="1">
      <x:c r="A206" s="10" t="e">
        <x:f>IFERROR(INDEX(Dependencies!$C$2:$C$5000,_xludf.AGGREGATE(15,6,(ROW(Dependencies!$A$2:$A$5000)-ROW(Dependencies!$A$2)+1)/(Dependencies!$A$2:$A$5000=$B$3),ROWS($A$20:A206))),"")</x:f>
      </x:c>
      <x:c r="B206" s="10" t="e">
        <x:f>IF($A206="","",IFERROR(INDEX(Blueprint_Data!$F:$F,MATCH($A206,Blueprint_Data!$A:$A,0)),""))</x:f>
      </x:c>
      <x:c r="C206" s="10" t="e">
        <x:f>IF($A206="","",IFERROR(INDEX(Blueprint_Data!$G:$G,MATCH($A206,Blueprint_Data!$A:$A,0)),""))</x:f>
      </x:c>
      <x:c r="D206" s="10" t="e">
        <x:f>IF($A206="","",IFERROR(INDEX(Blueprint_Data!$W:$W,MATCH($A206,Blueprint_Data!$A:$A,0)),""))</x:f>
      </x:c>
      <x:c r="E206" s="10" t="s">
        <x:v>77</x:v>
      </x:c>
      <x:c r="F206" s="10" t="s">
        <x:v>78</x:v>
      </x:c>
      <x:c r="G206" s="10">
        <x:v>1</x:v>
      </x:c>
      <x:c r="H206" s="10">
        <x:v>0</x:v>
      </x:c>
      <x:c r="I206" s="10" t="s">
        <x:v>77</x:v>
      </x:c>
      <x:c r="J206" s="10">
        <x:v>0</x:v>
      </x:c>
      <x:c r="K206" s="10"/>
    </x:row>
    <x:row r="207" ht="33.25" customHeight="1">
      <x:c r="A207" s="10" t="e">
        <x:f>IFERROR(INDEX(Dependencies!$C$2:$C$5000,_xludf.AGGREGATE(15,6,(ROW(Dependencies!$A$2:$A$5000)-ROW(Dependencies!$A$2)+1)/(Dependencies!$A$2:$A$5000=$B$3),ROWS($A$20:A207))),"")</x:f>
      </x:c>
      <x:c r="B207" s="10" t="e">
        <x:f>IF($A207="","",IFERROR(INDEX(Blueprint_Data!$F:$F,MATCH($A207,Blueprint_Data!$A:$A,0)),""))</x:f>
      </x:c>
      <x:c r="C207" s="10" t="e">
        <x:f>IF($A207="","",IFERROR(INDEX(Blueprint_Data!$G:$G,MATCH($A207,Blueprint_Data!$A:$A,0)),""))</x:f>
      </x:c>
      <x:c r="D207" s="10" t="e">
        <x:f>IF($A207="","",IFERROR(INDEX(Blueprint_Data!$W:$W,MATCH($A207,Blueprint_Data!$A:$A,0)),""))</x:f>
      </x:c>
      <x:c r="E207" s="10" t="s">
        <x:v>77</x:v>
      </x:c>
      <x:c r="F207" s="10"/>
      <x:c r="G207" s="10">
        <x:v>0</x:v>
      </x:c>
      <x:c r="H207" s="10">
        <x:v>0</x:v>
      </x:c>
      <x:c r="I207" s="10" t="s">
        <x:v>77</x:v>
      </x:c>
      <x:c r="J207" s="10">
        <x:v>0</x:v>
      </x:c>
      <x:c r="K207" s="10"/>
    </x:row>
    <x:row r="208" ht="33.25" customHeight="1">
      <x:c r="A208" s="10" t="e">
        <x:f>IFERROR(INDEX(Dependencies!$C$2:$C$5000,_xludf.AGGREGATE(15,6,(ROW(Dependencies!$A$2:$A$5000)-ROW(Dependencies!$A$2)+1)/(Dependencies!$A$2:$A$5000=$B$3),ROWS($A$20:A208))),"")</x:f>
      </x:c>
      <x:c r="B208" s="10" t="e">
        <x:f>IF($A208="","",IFERROR(INDEX(Blueprint_Data!$F:$F,MATCH($A208,Blueprint_Data!$A:$A,0)),""))</x:f>
      </x:c>
      <x:c r="C208" s="10" t="e">
        <x:f>IF($A208="","",IFERROR(INDEX(Blueprint_Data!$G:$G,MATCH($A208,Blueprint_Data!$A:$A,0)),""))</x:f>
      </x:c>
      <x:c r="D208" s="10" t="e">
        <x:f>IF($A208="","",IFERROR(INDEX(Blueprint_Data!$W:$W,MATCH($A208,Blueprint_Data!$A:$A,0)),""))</x:f>
      </x:c>
      <x:c r="E208" s="10" t="s">
        <x:v>77</x:v>
      </x:c>
      <x:c r="F208" s="10"/>
      <x:c r="G208" s="10">
        <x:v>0</x:v>
      </x:c>
      <x:c r="H208" s="10">
        <x:v>0</x:v>
      </x:c>
      <x:c r="I208" s="10" t="s">
        <x:v>77</x:v>
      </x:c>
      <x:c r="J208" s="10">
        <x:v>0</x:v>
      </x:c>
      <x:c r="K208" s="10"/>
    </x:row>
    <x:row r="209" ht="33.25" customHeight="1">
      <x:c r="A209" s="10" t="e">
        <x:f>IFERROR(INDEX(Dependencies!$C$2:$C$5000,_xludf.AGGREGATE(15,6,(ROW(Dependencies!$A$2:$A$5000)-ROW(Dependencies!$A$2)+1)/(Dependencies!$A$2:$A$5000=$B$3),ROWS($A$20:A209))),"")</x:f>
      </x:c>
      <x:c r="B209" s="10" t="e">
        <x:f>IF($A209="","",IFERROR(INDEX(Blueprint_Data!$F:$F,MATCH($A209,Blueprint_Data!$A:$A,0)),""))</x:f>
      </x:c>
      <x:c r="C209" s="10" t="e">
        <x:f>IF($A209="","",IFERROR(INDEX(Blueprint_Data!$G:$G,MATCH($A209,Blueprint_Data!$A:$A,0)),""))</x:f>
      </x:c>
      <x:c r="D209" s="10" t="e">
        <x:f>IF($A209="","",IFERROR(INDEX(Blueprint_Data!$W:$W,MATCH($A209,Blueprint_Data!$A:$A,0)),""))</x:f>
      </x:c>
      <x:c r="E209" s="10" t="s">
        <x:v>77</x:v>
      </x:c>
      <x:c r="F209" s="10" t="s">
        <x:v>78</x:v>
      </x:c>
      <x:c r="G209" s="10">
        <x:v>1</x:v>
      </x:c>
      <x:c r="H209" s="10">
        <x:v>0</x:v>
      </x:c>
      <x:c r="I209" s="10" t="s">
        <x:v>77</x:v>
      </x:c>
      <x:c r="J209" s="10">
        <x:v>0</x:v>
      </x:c>
      <x:c r="K209" s="10"/>
    </x:row>
    <x:row r="210" ht="33.25" customHeight="1">
      <x:c r="A210" s="10" t="e">
        <x:f>IFERROR(INDEX(Dependencies!$C$2:$C$5000,_xludf.AGGREGATE(15,6,(ROW(Dependencies!$A$2:$A$5000)-ROW(Dependencies!$A$2)+1)/(Dependencies!$A$2:$A$5000=$B$3),ROWS($A$20:A210))),"")</x:f>
      </x:c>
      <x:c r="B210" s="10" t="e">
        <x:f>IF($A210="","",IFERROR(INDEX(Blueprint_Data!$F:$F,MATCH($A210,Blueprint_Data!$A:$A,0)),""))</x:f>
      </x:c>
      <x:c r="C210" s="10" t="e">
        <x:f>IF($A210="","",IFERROR(INDEX(Blueprint_Data!$G:$G,MATCH($A210,Blueprint_Data!$A:$A,0)),""))</x:f>
      </x:c>
      <x:c r="D210" s="10" t="e">
        <x:f>IF($A210="","",IFERROR(INDEX(Blueprint_Data!$W:$W,MATCH($A210,Blueprint_Data!$A:$A,0)),""))</x:f>
      </x:c>
      <x:c r="E210" s="10" t="s">
        <x:v>77</x:v>
      </x:c>
      <x:c r="F210" s="10" t="s">
        <x:v>78</x:v>
      </x:c>
      <x:c r="G210" s="10">
        <x:v>1</x:v>
      </x:c>
      <x:c r="H210" s="10">
        <x:v>0</x:v>
      </x:c>
      <x:c r="I210" s="10" t="s">
        <x:v>77</x:v>
      </x:c>
      <x:c r="J210" s="10">
        <x:v>0</x:v>
      </x:c>
      <x:c r="K210" s="10"/>
    </x:row>
    <x:row r="211" ht="33.25" customHeight="1">
      <x:c r="A211" s="10" t="e">
        <x:f>IFERROR(INDEX(Dependencies!$C$2:$C$5000,_xludf.AGGREGATE(15,6,(ROW(Dependencies!$A$2:$A$5000)-ROW(Dependencies!$A$2)+1)/(Dependencies!$A$2:$A$5000=$B$3),ROWS($A$20:A211))),"")</x:f>
      </x:c>
      <x:c r="B211" s="10" t="e">
        <x:f>IF($A211="","",IFERROR(INDEX(Blueprint_Data!$F:$F,MATCH($A211,Blueprint_Data!$A:$A,0)),""))</x:f>
      </x:c>
      <x:c r="C211" s="10" t="e">
        <x:f>IF($A211="","",IFERROR(INDEX(Blueprint_Data!$G:$G,MATCH($A211,Blueprint_Data!$A:$A,0)),""))</x:f>
      </x:c>
      <x:c r="D211" s="10" t="e">
        <x:f>IF($A211="","",IFERROR(INDEX(Blueprint_Data!$W:$W,MATCH($A211,Blueprint_Data!$A:$A,0)),""))</x:f>
      </x:c>
      <x:c r="E211" s="10" t="s">
        <x:v>77</x:v>
      </x:c>
      <x:c r="F211" s="10"/>
      <x:c r="G211" s="10">
        <x:v>0</x:v>
      </x:c>
      <x:c r="H211" s="10">
        <x:v>0</x:v>
      </x:c>
      <x:c r="I211" s="10" t="s">
        <x:v>77</x:v>
      </x:c>
      <x:c r="J211" s="10">
        <x:v>0</x:v>
      </x:c>
      <x:c r="K211" s="10"/>
    </x:row>
    <x:row r="212" ht="33.25" customHeight="1">
      <x:c r="A212" s="10" t="e">
        <x:f>IFERROR(INDEX(Dependencies!$C$2:$C$5000,_xludf.AGGREGATE(15,6,(ROW(Dependencies!$A$2:$A$5000)-ROW(Dependencies!$A$2)+1)/(Dependencies!$A$2:$A$5000=$B$3),ROWS($A$20:A212))),"")</x:f>
      </x:c>
      <x:c r="B212" s="10" t="e">
        <x:f>IF($A212="","",IFERROR(INDEX(Blueprint_Data!$F:$F,MATCH($A212,Blueprint_Data!$A:$A,0)),""))</x:f>
      </x:c>
      <x:c r="C212" s="10" t="e">
        <x:f>IF($A212="","",IFERROR(INDEX(Blueprint_Data!$G:$G,MATCH($A212,Blueprint_Data!$A:$A,0)),""))</x:f>
      </x:c>
      <x:c r="D212" s="10" t="e">
        <x:f>IF($A212="","",IFERROR(INDEX(Blueprint_Data!$W:$W,MATCH($A212,Blueprint_Data!$A:$A,0)),""))</x:f>
      </x:c>
      <x:c r="E212" s="10" t="s">
        <x:v>77</x:v>
      </x:c>
      <x:c r="F212" s="10"/>
      <x:c r="G212" s="10">
        <x:v>0</x:v>
      </x:c>
      <x:c r="H212" s="10">
        <x:v>0</x:v>
      </x:c>
      <x:c r="I212" s="10" t="s">
        <x:v>77</x:v>
      </x:c>
      <x:c r="J212" s="10">
        <x:v>0</x:v>
      </x:c>
      <x:c r="K212" s="10"/>
    </x:row>
    <x:row r="213" ht="33.25" customHeight="1">
      <x:c r="A213" s="10" t="e">
        <x:f>IFERROR(INDEX(Dependencies!$C$2:$C$5000,_xludf.AGGREGATE(15,6,(ROW(Dependencies!$A$2:$A$5000)-ROW(Dependencies!$A$2)+1)/(Dependencies!$A$2:$A$5000=$B$3),ROWS($A$20:A213))),"")</x:f>
      </x:c>
      <x:c r="B213" s="10" t="e">
        <x:f>IF($A213="","",IFERROR(INDEX(Blueprint_Data!$F:$F,MATCH($A213,Blueprint_Data!$A:$A,0)),""))</x:f>
      </x:c>
      <x:c r="C213" s="10" t="e">
        <x:f>IF($A213="","",IFERROR(INDEX(Blueprint_Data!$G:$G,MATCH($A213,Blueprint_Data!$A:$A,0)),""))</x:f>
      </x:c>
      <x:c r="D213" s="10" t="e">
        <x:f>IF($A213="","",IFERROR(INDEX(Blueprint_Data!$W:$W,MATCH($A213,Blueprint_Data!$A:$A,0)),""))</x:f>
      </x:c>
      <x:c r="E213" s="10" t="s">
        <x:v>77</x:v>
      </x:c>
      <x:c r="F213" s="10"/>
      <x:c r="G213" s="10">
        <x:v>0</x:v>
      </x:c>
      <x:c r="H213" s="10">
        <x:v>0</x:v>
      </x:c>
      <x:c r="I213" s="10" t="s">
        <x:v>77</x:v>
      </x:c>
      <x:c r="J213" s="10">
        <x:v>0</x:v>
      </x:c>
      <x:c r="K213" s="10"/>
    </x:row>
    <x:row r="214" ht="33.25" customHeight="1">
      <x:c r="A214" s="10" t="e">
        <x:f>IFERROR(INDEX(Dependencies!$C$2:$C$5000,_xludf.AGGREGATE(15,6,(ROW(Dependencies!$A$2:$A$5000)-ROW(Dependencies!$A$2)+1)/(Dependencies!$A$2:$A$5000=$B$3),ROWS($A$20:A214))),"")</x:f>
      </x:c>
      <x:c r="B214" s="10" t="e">
        <x:f>IF($A214="","",IFERROR(INDEX(Blueprint_Data!$F:$F,MATCH($A214,Blueprint_Data!$A:$A,0)),""))</x:f>
      </x:c>
      <x:c r="C214" s="10" t="e">
        <x:f>IF($A214="","",IFERROR(INDEX(Blueprint_Data!$G:$G,MATCH($A214,Blueprint_Data!$A:$A,0)),""))</x:f>
      </x:c>
      <x:c r="D214" s="10" t="e">
        <x:f>IF($A214="","",IFERROR(INDEX(Blueprint_Data!$W:$W,MATCH($A214,Blueprint_Data!$A:$A,0)),""))</x:f>
      </x:c>
      <x:c r="E214" s="10" t="s">
        <x:v>77</x:v>
      </x:c>
      <x:c r="F214" s="10" t="s">
        <x:v>78</x:v>
      </x:c>
      <x:c r="G214" s="10">
        <x:v>1</x:v>
      </x:c>
      <x:c r="H214" s="10">
        <x:v>0</x:v>
      </x:c>
      <x:c r="I214" s="10" t="s">
        <x:v>77</x:v>
      </x:c>
      <x:c r="J214" s="10">
        <x:v>0</x:v>
      </x:c>
      <x:c r="K214" s="10"/>
    </x:row>
    <x:row r="215" ht="33.25" customHeight="1">
      <x:c r="A215" s="10" t="e">
        <x:f>IFERROR(INDEX(Dependencies!$C$2:$C$5000,_xludf.AGGREGATE(15,6,(ROW(Dependencies!$A$2:$A$5000)-ROW(Dependencies!$A$2)+1)/(Dependencies!$A$2:$A$5000=$B$3),ROWS($A$20:A215))),"")</x:f>
      </x:c>
      <x:c r="B215" s="10" t="e">
        <x:f>IF($A215="","",IFERROR(INDEX(Blueprint_Data!$F:$F,MATCH($A215,Blueprint_Data!$A:$A,0)),""))</x:f>
      </x:c>
      <x:c r="C215" s="10" t="e">
        <x:f>IF($A215="","",IFERROR(INDEX(Blueprint_Data!$G:$G,MATCH($A215,Blueprint_Data!$A:$A,0)),""))</x:f>
      </x:c>
      <x:c r="D215" s="10" t="e">
        <x:f>IF($A215="","",IFERROR(INDEX(Blueprint_Data!$W:$W,MATCH($A215,Blueprint_Data!$A:$A,0)),""))</x:f>
      </x:c>
      <x:c r="E215" s="10" t="s">
        <x:v>77</x:v>
      </x:c>
      <x:c r="F215" s="10" t="s">
        <x:v>78</x:v>
      </x:c>
      <x:c r="G215" s="10">
        <x:v>1</x:v>
      </x:c>
      <x:c r="H215" s="10">
        <x:v>0</x:v>
      </x:c>
      <x:c r="I215" s="10" t="s">
        <x:v>77</x:v>
      </x:c>
      <x:c r="J215" s="10">
        <x:v>0</x:v>
      </x:c>
      <x:c r="K215" s="10"/>
    </x:row>
    <x:row r="216" ht="33.25" customHeight="1">
      <x:c r="A216" s="10" t="e">
        <x:f>IFERROR(INDEX(Dependencies!$C$2:$C$5000,_xludf.AGGREGATE(15,6,(ROW(Dependencies!$A$2:$A$5000)-ROW(Dependencies!$A$2)+1)/(Dependencies!$A$2:$A$5000=$B$3),ROWS($A$20:A216))),"")</x:f>
      </x:c>
      <x:c r="B216" s="10" t="e">
        <x:f>IF($A216="","",IFERROR(INDEX(Blueprint_Data!$F:$F,MATCH($A216,Blueprint_Data!$A:$A,0)),""))</x:f>
      </x:c>
      <x:c r="C216" s="10" t="e">
        <x:f>IF($A216="","",IFERROR(INDEX(Blueprint_Data!$G:$G,MATCH($A216,Blueprint_Data!$A:$A,0)),""))</x:f>
      </x:c>
      <x:c r="D216" s="10" t="e">
        <x:f>IF($A216="","",IFERROR(INDEX(Blueprint_Data!$W:$W,MATCH($A216,Blueprint_Data!$A:$A,0)),""))</x:f>
      </x:c>
      <x:c r="E216" s="10" t="s">
        <x:v>77</x:v>
      </x:c>
      <x:c r="F216" s="10" t="s">
        <x:v>78</x:v>
      </x:c>
      <x:c r="G216" s="10">
        <x:v>1</x:v>
      </x:c>
      <x:c r="H216" s="10">
        <x:v>0</x:v>
      </x:c>
      <x:c r="I216" s="10" t="s">
        <x:v>77</x:v>
      </x:c>
      <x:c r="J216" s="10">
        <x:v>0</x:v>
      </x:c>
      <x:c r="K216" s="10"/>
    </x:row>
    <x:row r="217" ht="33.25" customHeight="1">
      <x:c r="A217" s="10" t="e">
        <x:f>IFERROR(INDEX(Dependencies!$C$2:$C$5000,_xludf.AGGREGATE(15,6,(ROW(Dependencies!$A$2:$A$5000)-ROW(Dependencies!$A$2)+1)/(Dependencies!$A$2:$A$5000=$B$3),ROWS($A$20:A217))),"")</x:f>
      </x:c>
      <x:c r="B217" s="10" t="e">
        <x:f>IF($A217="","",IFERROR(INDEX(Blueprint_Data!$F:$F,MATCH($A217,Blueprint_Data!$A:$A,0)),""))</x:f>
      </x:c>
      <x:c r="C217" s="10" t="e">
        <x:f>IF($A217="","",IFERROR(INDEX(Blueprint_Data!$G:$G,MATCH($A217,Blueprint_Data!$A:$A,0)),""))</x:f>
      </x:c>
      <x:c r="D217" s="10" t="e">
        <x:f>IF($A217="","",IFERROR(INDEX(Blueprint_Data!$W:$W,MATCH($A217,Blueprint_Data!$A:$A,0)),""))</x:f>
      </x:c>
      <x:c r="E217" s="10" t="s">
        <x:v>77</x:v>
      </x:c>
      <x:c r="F217" s="10" t="s">
        <x:v>78</x:v>
      </x:c>
      <x:c r="G217" s="10">
        <x:v>1</x:v>
      </x:c>
      <x:c r="H217" s="10">
        <x:v>0</x:v>
      </x:c>
      <x:c r="I217" s="10" t="s">
        <x:v>77</x:v>
      </x:c>
      <x:c r="J217" s="10">
        <x:v>0</x:v>
      </x:c>
      <x:c r="K217" s="10"/>
    </x:row>
    <x:row r="218" ht="33.25" customHeight="1">
      <x:c r="A218" s="10" t="e">
        <x:f>IFERROR(INDEX(Dependencies!$C$2:$C$5000,_xludf.AGGREGATE(15,6,(ROW(Dependencies!$A$2:$A$5000)-ROW(Dependencies!$A$2)+1)/(Dependencies!$A$2:$A$5000=$B$3),ROWS($A$20:A218))),"")</x:f>
      </x:c>
      <x:c r="B218" s="10" t="e">
        <x:f>IF($A218="","",IFERROR(INDEX(Blueprint_Data!$F:$F,MATCH($A218,Blueprint_Data!$A:$A,0)),""))</x:f>
      </x:c>
      <x:c r="C218" s="10" t="e">
        <x:f>IF($A218="","",IFERROR(INDEX(Blueprint_Data!$G:$G,MATCH($A218,Blueprint_Data!$A:$A,0)),""))</x:f>
      </x:c>
      <x:c r="D218" s="10" t="e">
        <x:f>IF($A218="","",IFERROR(INDEX(Blueprint_Data!$W:$W,MATCH($A218,Blueprint_Data!$A:$A,0)),""))</x:f>
      </x:c>
      <x:c r="E218" s="10" t="s">
        <x:v>77</x:v>
      </x:c>
      <x:c r="F218" s="10" t="s">
        <x:v>78</x:v>
      </x:c>
      <x:c r="G218" s="10">
        <x:v>2</x:v>
      </x:c>
      <x:c r="H218" s="10">
        <x:v>0</x:v>
      </x:c>
      <x:c r="I218" s="10" t="s">
        <x:v>77</x:v>
      </x:c>
      <x:c r="J218" s="10">
        <x:v>0</x:v>
      </x:c>
      <x:c r="K218" s="10"/>
    </x:row>
    <x:row r="219" ht="33.25" customHeight="1">
      <x:c r="A219" s="10" t="e">
        <x:f>IFERROR(INDEX(Dependencies!$C$2:$C$5000,_xludf.AGGREGATE(15,6,(ROW(Dependencies!$A$2:$A$5000)-ROW(Dependencies!$A$2)+1)/(Dependencies!$A$2:$A$5000=$B$3),ROWS($A$20:A219))),"")</x:f>
      </x:c>
      <x:c r="B219" s="10" t="e">
        <x:f>IF($A219="","",IFERROR(INDEX(Blueprint_Data!$F:$F,MATCH($A219,Blueprint_Data!$A:$A,0)),""))</x:f>
      </x:c>
      <x:c r="C219" s="10" t="e">
        <x:f>IF($A219="","",IFERROR(INDEX(Blueprint_Data!$G:$G,MATCH($A219,Blueprint_Data!$A:$A,0)),""))</x:f>
      </x:c>
      <x:c r="D219" s="10" t="e">
        <x:f>IF($A219="","",IFERROR(INDEX(Blueprint_Data!$W:$W,MATCH($A219,Blueprint_Data!$A:$A,0)),""))</x:f>
      </x:c>
      <x:c r="E219" s="10" t="s">
        <x:v>77</x:v>
      </x:c>
      <x:c r="F219" s="10"/>
      <x:c r="G219" s="10">
        <x:v>0</x:v>
      </x:c>
      <x:c r="H219" s="10">
        <x:v>0</x:v>
      </x:c>
      <x:c r="I219" s="10" t="s">
        <x:v>77</x:v>
      </x:c>
      <x:c r="J219" s="10">
        <x:v>0</x:v>
      </x:c>
      <x:c r="K219" s="10"/>
    </x:row>
    <x:row r="220" ht="33.25" customHeight="1">
      <x:c r="A220" s="10" t="e">
        <x:f>IFERROR(INDEX(Dependencies!$C$2:$C$5000,_xludf.AGGREGATE(15,6,(ROW(Dependencies!$A$2:$A$5000)-ROW(Dependencies!$A$2)+1)/(Dependencies!$A$2:$A$5000=$B$3),ROWS($A$20:A220))),"")</x:f>
      </x:c>
      <x:c r="B220" s="10" t="e">
        <x:f>IF($A220="","",IFERROR(INDEX(Blueprint_Data!$F:$F,MATCH($A220,Blueprint_Data!$A:$A,0)),""))</x:f>
      </x:c>
      <x:c r="C220" s="10" t="e">
        <x:f>IF($A220="","",IFERROR(INDEX(Blueprint_Data!$G:$G,MATCH($A220,Blueprint_Data!$A:$A,0)),""))</x:f>
      </x:c>
      <x:c r="D220" s="10" t="e">
        <x:f>IF($A220="","",IFERROR(INDEX(Blueprint_Data!$W:$W,MATCH($A220,Blueprint_Data!$A:$A,0)),""))</x:f>
      </x:c>
      <x:c r="E220" s="10" t="s">
        <x:v>77</x:v>
      </x:c>
      <x:c r="F220" s="10"/>
      <x:c r="G220" s="10">
        <x:v>0</x:v>
      </x:c>
      <x:c r="H220" s="10">
        <x:v>0</x:v>
      </x:c>
      <x:c r="I220" s="10" t="s">
        <x:v>77</x:v>
      </x:c>
      <x:c r="J220" s="10">
        <x:v>0</x:v>
      </x:c>
      <x:c r="K220" s="10"/>
    </x:row>
    <x:row r="221" ht="33.25" customHeight="1">
      <x:c r="A221" s="10" t="e">
        <x:f>IFERROR(INDEX(Dependencies!$C$2:$C$5000,_xludf.AGGREGATE(15,6,(ROW(Dependencies!$A$2:$A$5000)-ROW(Dependencies!$A$2)+1)/(Dependencies!$A$2:$A$5000=$B$3),ROWS($A$20:A221))),"")</x:f>
      </x:c>
      <x:c r="B221" s="10" t="e">
        <x:f>IF($A221="","",IFERROR(INDEX(Blueprint_Data!$F:$F,MATCH($A221,Blueprint_Data!$A:$A,0)),""))</x:f>
      </x:c>
      <x:c r="C221" s="10" t="e">
        <x:f>IF($A221="","",IFERROR(INDEX(Blueprint_Data!$G:$G,MATCH($A221,Blueprint_Data!$A:$A,0)),""))</x:f>
      </x:c>
      <x:c r="D221" s="10" t="e">
        <x:f>IF($A221="","",IFERROR(INDEX(Blueprint_Data!$W:$W,MATCH($A221,Blueprint_Data!$A:$A,0)),""))</x:f>
      </x:c>
      <x:c r="E221" s="10" t="s">
        <x:v>77</x:v>
      </x:c>
      <x:c r="F221" s="10" t="s">
        <x:v>78</x:v>
      </x:c>
      <x:c r="G221" s="10">
        <x:v>1</x:v>
      </x:c>
      <x:c r="H221" s="10">
        <x:v>0</x:v>
      </x:c>
      <x:c r="I221" s="10" t="s">
        <x:v>77</x:v>
      </x:c>
      <x:c r="J221" s="10">
        <x:v>0</x:v>
      </x:c>
      <x:c r="K221" s="10"/>
    </x:row>
    <x:row r="222" ht="33.25" customHeight="1">
      <x:c r="A222" s="10" t="e">
        <x:f>IFERROR(INDEX(Dependencies!$C$2:$C$5000,_xludf.AGGREGATE(15,6,(ROW(Dependencies!$A$2:$A$5000)-ROW(Dependencies!$A$2)+1)/(Dependencies!$A$2:$A$5000=$B$3),ROWS($A$20:A222))),"")</x:f>
      </x:c>
      <x:c r="B222" s="10" t="e">
        <x:f>IF($A222="","",IFERROR(INDEX(Blueprint_Data!$F:$F,MATCH($A222,Blueprint_Data!$A:$A,0)),""))</x:f>
      </x:c>
      <x:c r="C222" s="10" t="e">
        <x:f>IF($A222="","",IFERROR(INDEX(Blueprint_Data!$G:$G,MATCH($A222,Blueprint_Data!$A:$A,0)),""))</x:f>
      </x:c>
      <x:c r="D222" s="10" t="e">
        <x:f>IF($A222="","",IFERROR(INDEX(Blueprint_Data!$W:$W,MATCH($A222,Blueprint_Data!$A:$A,0)),""))</x:f>
      </x:c>
      <x:c r="E222" s="10" t="s">
        <x:v>77</x:v>
      </x:c>
      <x:c r="F222" s="10" t="s">
        <x:v>78</x:v>
      </x:c>
      <x:c r="G222" s="10">
        <x:v>1</x:v>
      </x:c>
      <x:c r="H222" s="10">
        <x:v>0</x:v>
      </x:c>
      <x:c r="I222" s="10" t="s">
        <x:v>77</x:v>
      </x:c>
      <x:c r="J222" s="10">
        <x:v>0</x:v>
      </x:c>
      <x:c r="K222" s="10"/>
    </x:row>
    <x:row r="223" ht="33.25" customHeight="1">
      <x:c r="A223" s="10" t="e">
        <x:f>IFERROR(INDEX(Dependencies!$C$2:$C$5000,_xludf.AGGREGATE(15,6,(ROW(Dependencies!$A$2:$A$5000)-ROW(Dependencies!$A$2)+1)/(Dependencies!$A$2:$A$5000=$B$3),ROWS($A$20:A223))),"")</x:f>
      </x:c>
      <x:c r="B223" s="10" t="e">
        <x:f>IF($A223="","",IFERROR(INDEX(Blueprint_Data!$F:$F,MATCH($A223,Blueprint_Data!$A:$A,0)),""))</x:f>
      </x:c>
      <x:c r="C223" s="10" t="e">
        <x:f>IF($A223="","",IFERROR(INDEX(Blueprint_Data!$G:$G,MATCH($A223,Blueprint_Data!$A:$A,0)),""))</x:f>
      </x:c>
      <x:c r="D223" s="10" t="e">
        <x:f>IF($A223="","",IFERROR(INDEX(Blueprint_Data!$W:$W,MATCH($A223,Blueprint_Data!$A:$A,0)),""))</x:f>
      </x:c>
      <x:c r="E223" s="10" t="s">
        <x:v>77</x:v>
      </x:c>
      <x:c r="F223" s="10" t="s">
        <x:v>78</x:v>
      </x:c>
      <x:c r="G223" s="10">
        <x:v>1</x:v>
      </x:c>
      <x:c r="H223" s="10">
        <x:v>0</x:v>
      </x:c>
      <x:c r="I223" s="10" t="s">
        <x:v>77</x:v>
      </x:c>
      <x:c r="J223" s="10">
        <x:v>0</x:v>
      </x:c>
      <x:c r="K223" s="10"/>
    </x:row>
    <x:row r="224" ht="33.25" customHeight="1">
      <x:c r="A224" s="10" t="e">
        <x:f>IFERROR(INDEX(Dependencies!$C$2:$C$5000,_xludf.AGGREGATE(15,6,(ROW(Dependencies!$A$2:$A$5000)-ROW(Dependencies!$A$2)+1)/(Dependencies!$A$2:$A$5000=$B$3),ROWS($A$20:A224))),"")</x:f>
      </x:c>
      <x:c r="B224" s="10" t="e">
        <x:f>IF($A224="","",IFERROR(INDEX(Blueprint_Data!$F:$F,MATCH($A224,Blueprint_Data!$A:$A,0)),""))</x:f>
      </x:c>
      <x:c r="C224" s="10" t="e">
        <x:f>IF($A224="","",IFERROR(INDEX(Blueprint_Data!$G:$G,MATCH($A224,Blueprint_Data!$A:$A,0)),""))</x:f>
      </x:c>
      <x:c r="D224" s="10" t="e">
        <x:f>IF($A224="","",IFERROR(INDEX(Blueprint_Data!$W:$W,MATCH($A224,Blueprint_Data!$A:$A,0)),""))</x:f>
      </x:c>
      <x:c r="E224" s="10" t="s">
        <x:v>77</x:v>
      </x:c>
      <x:c r="F224" s="10" t="s">
        <x:v>78</x:v>
      </x:c>
      <x:c r="G224" s="10">
        <x:v>1</x:v>
      </x:c>
      <x:c r="H224" s="10">
        <x:v>0</x:v>
      </x:c>
      <x:c r="I224" s="10" t="s">
        <x:v>77</x:v>
      </x:c>
      <x:c r="J224" s="10">
        <x:v>0</x:v>
      </x:c>
      <x:c r="K224" s="10"/>
    </x:row>
    <x:row r="225" ht="33.25" customHeight="1">
      <x:c r="A225" s="10" t="e">
        <x:f>IFERROR(INDEX(Dependencies!$C$2:$C$5000,_xludf.AGGREGATE(15,6,(ROW(Dependencies!$A$2:$A$5000)-ROW(Dependencies!$A$2)+1)/(Dependencies!$A$2:$A$5000=$B$3),ROWS($A$20:A225))),"")</x:f>
      </x:c>
      <x:c r="B225" s="10" t="e">
        <x:f>IF($A225="","",IFERROR(INDEX(Blueprint_Data!$F:$F,MATCH($A225,Blueprint_Data!$A:$A,0)),""))</x:f>
      </x:c>
      <x:c r="C225" s="10" t="e">
        <x:f>IF($A225="","",IFERROR(INDEX(Blueprint_Data!$G:$G,MATCH($A225,Blueprint_Data!$A:$A,0)),""))</x:f>
      </x:c>
      <x:c r="D225" s="10" t="e">
        <x:f>IF($A225="","",IFERROR(INDEX(Blueprint_Data!$W:$W,MATCH($A225,Blueprint_Data!$A:$A,0)),""))</x:f>
      </x:c>
      <x:c r="E225" s="10" t="s">
        <x:v>77</x:v>
      </x:c>
      <x:c r="F225" s="10"/>
      <x:c r="G225" s="10">
        <x:v>0</x:v>
      </x:c>
      <x:c r="H225" s="10">
        <x:v>0</x:v>
      </x:c>
      <x:c r="I225" s="10" t="s">
        <x:v>77</x:v>
      </x:c>
      <x:c r="J225" s="10">
        <x:v>0</x:v>
      </x:c>
      <x:c r="K225" s="10"/>
    </x:row>
    <x:row r="226" ht="33.25" customHeight="1">
      <x:c r="A226" s="10" t="e">
        <x:f>IFERROR(INDEX(Dependencies!$C$2:$C$5000,_xludf.AGGREGATE(15,6,(ROW(Dependencies!$A$2:$A$5000)-ROW(Dependencies!$A$2)+1)/(Dependencies!$A$2:$A$5000=$B$3),ROWS($A$20:A226))),"")</x:f>
      </x:c>
      <x:c r="B226" s="10" t="e">
        <x:f>IF($A226="","",IFERROR(INDEX(Blueprint_Data!$F:$F,MATCH($A226,Blueprint_Data!$A:$A,0)),""))</x:f>
      </x:c>
      <x:c r="C226" s="10" t="e">
        <x:f>IF($A226="","",IFERROR(INDEX(Blueprint_Data!$G:$G,MATCH($A226,Blueprint_Data!$A:$A,0)),""))</x:f>
      </x:c>
      <x:c r="D226" s="10" t="e">
        <x:f>IF($A226="","",IFERROR(INDEX(Blueprint_Data!$W:$W,MATCH($A226,Blueprint_Data!$A:$A,0)),""))</x:f>
      </x:c>
      <x:c r="E226" s="10" t="s">
        <x:v>77</x:v>
      </x:c>
      <x:c r="F226" s="10"/>
      <x:c r="G226" s="10">
        <x:v>0</x:v>
      </x:c>
      <x:c r="H226" s="10">
        <x:v>0</x:v>
      </x:c>
      <x:c r="I226" s="10" t="s">
        <x:v>77</x:v>
      </x:c>
      <x:c r="J226" s="10">
        <x:v>0</x:v>
      </x:c>
      <x:c r="K226" s="10"/>
    </x:row>
    <x:row r="227" ht="33.25" customHeight="1">
      <x:c r="A227" s="10" t="e">
        <x:f>IFERROR(INDEX(Dependencies!$C$2:$C$5000,_xludf.AGGREGATE(15,6,(ROW(Dependencies!$A$2:$A$5000)-ROW(Dependencies!$A$2)+1)/(Dependencies!$A$2:$A$5000=$B$3),ROWS($A$20:A227))),"")</x:f>
      </x:c>
      <x:c r="B227" s="10" t="e">
        <x:f>IF($A227="","",IFERROR(INDEX(Blueprint_Data!$F:$F,MATCH($A227,Blueprint_Data!$A:$A,0)),""))</x:f>
      </x:c>
      <x:c r="C227" s="10" t="e">
        <x:f>IF($A227="","",IFERROR(INDEX(Blueprint_Data!$G:$G,MATCH($A227,Blueprint_Data!$A:$A,0)),""))</x:f>
      </x:c>
      <x:c r="D227" s="10" t="e">
        <x:f>IF($A227="","",IFERROR(INDEX(Blueprint_Data!$W:$W,MATCH($A227,Blueprint_Data!$A:$A,0)),""))</x:f>
      </x:c>
      <x:c r="E227" s="10" t="s">
        <x:v>77</x:v>
      </x:c>
      <x:c r="F227" s="10"/>
      <x:c r="G227" s="10">
        <x:v>0</x:v>
      </x:c>
      <x:c r="H227" s="10">
        <x:v>0</x:v>
      </x:c>
      <x:c r="I227" s="10" t="s">
        <x:v>77</x:v>
      </x:c>
      <x:c r="J227" s="10">
        <x:v>0</x:v>
      </x:c>
      <x:c r="K227" s="10"/>
    </x:row>
    <x:row r="228" ht="33.25" customHeight="1">
      <x:c r="A228" s="10" t="e">
        <x:f>IFERROR(INDEX(Dependencies!$C$2:$C$5000,_xludf.AGGREGATE(15,6,(ROW(Dependencies!$A$2:$A$5000)-ROW(Dependencies!$A$2)+1)/(Dependencies!$A$2:$A$5000=$B$3),ROWS($A$20:A228))),"")</x:f>
      </x:c>
      <x:c r="B228" s="10" t="e">
        <x:f>IF($A228="","",IFERROR(INDEX(Blueprint_Data!$F:$F,MATCH($A228,Blueprint_Data!$A:$A,0)),""))</x:f>
      </x:c>
      <x:c r="C228" s="10" t="e">
        <x:f>IF($A228="","",IFERROR(INDEX(Blueprint_Data!$G:$G,MATCH($A228,Blueprint_Data!$A:$A,0)),""))</x:f>
      </x:c>
      <x:c r="D228" s="10" t="e">
        <x:f>IF($A228="","",IFERROR(INDEX(Blueprint_Data!$W:$W,MATCH($A228,Blueprint_Data!$A:$A,0)),""))</x:f>
      </x:c>
      <x:c r="E228" s="10" t="s">
        <x:v>77</x:v>
      </x:c>
      <x:c r="F228" s="10" t="s">
        <x:v>78</x:v>
      </x:c>
      <x:c r="G228" s="10">
        <x:v>1</x:v>
      </x:c>
      <x:c r="H228" s="10">
        <x:v>0</x:v>
      </x:c>
      <x:c r="I228" s="10" t="s">
        <x:v>77</x:v>
      </x:c>
      <x:c r="J228" s="10">
        <x:v>0</x:v>
      </x:c>
      <x:c r="K228" s="10"/>
    </x:row>
    <x:row r="229" ht="33.25" customHeight="1">
      <x:c r="A229" s="10" t="e">
        <x:f>IFERROR(INDEX(Dependencies!$C$2:$C$5000,_xludf.AGGREGATE(15,6,(ROW(Dependencies!$A$2:$A$5000)-ROW(Dependencies!$A$2)+1)/(Dependencies!$A$2:$A$5000=$B$3),ROWS($A$20:A229))),"")</x:f>
      </x:c>
      <x:c r="B229" s="10" t="e">
        <x:f>IF($A229="","",IFERROR(INDEX(Blueprint_Data!$F:$F,MATCH($A229,Blueprint_Data!$A:$A,0)),""))</x:f>
      </x:c>
      <x:c r="C229" s="10" t="e">
        <x:f>IF($A229="","",IFERROR(INDEX(Blueprint_Data!$G:$G,MATCH($A229,Blueprint_Data!$A:$A,0)),""))</x:f>
      </x:c>
      <x:c r="D229" s="10" t="e">
        <x:f>IF($A229="","",IFERROR(INDEX(Blueprint_Data!$W:$W,MATCH($A229,Blueprint_Data!$A:$A,0)),""))</x:f>
      </x:c>
      <x:c r="E229" s="10" t="s">
        <x:v>77</x:v>
      </x:c>
      <x:c r="F229" s="10"/>
      <x:c r="G229" s="10">
        <x:v>0</x:v>
      </x:c>
      <x:c r="H229" s="10">
        <x:v>0</x:v>
      </x:c>
      <x:c r="I229" s="10" t="s">
        <x:v>77</x:v>
      </x:c>
      <x:c r="J229" s="10">
        <x:v>0</x:v>
      </x:c>
      <x:c r="K229" s="10"/>
    </x:row>
    <x:row r="230" ht="33.25" customHeight="1">
      <x:c r="A230" s="10" t="e">
        <x:f>IFERROR(INDEX(Dependencies!$C$2:$C$5000,_xludf.AGGREGATE(15,6,(ROW(Dependencies!$A$2:$A$5000)-ROW(Dependencies!$A$2)+1)/(Dependencies!$A$2:$A$5000=$B$3),ROWS($A$20:A230))),"")</x:f>
      </x:c>
      <x:c r="B230" s="10" t="e">
        <x:f>IF($A230="","",IFERROR(INDEX(Blueprint_Data!$F:$F,MATCH($A230,Blueprint_Data!$A:$A,0)),""))</x:f>
      </x:c>
      <x:c r="C230" s="10" t="e">
        <x:f>IF($A230="","",IFERROR(INDEX(Blueprint_Data!$G:$G,MATCH($A230,Blueprint_Data!$A:$A,0)),""))</x:f>
      </x:c>
      <x:c r="D230" s="10" t="e">
        <x:f>IF($A230="","",IFERROR(INDEX(Blueprint_Data!$W:$W,MATCH($A230,Blueprint_Data!$A:$A,0)),""))</x:f>
      </x:c>
      <x:c r="E230" s="10" t="s">
        <x:v>77</x:v>
      </x:c>
      <x:c r="F230" s="10"/>
      <x:c r="G230" s="10">
        <x:v>0</x:v>
      </x:c>
      <x:c r="H230" s="10">
        <x:v>0</x:v>
      </x:c>
      <x:c r="I230" s="10" t="s">
        <x:v>77</x:v>
      </x:c>
      <x:c r="J230" s="10">
        <x:v>0</x:v>
      </x:c>
      <x:c r="K230" s="10"/>
    </x:row>
    <x:row r="231" ht="33.25" customHeight="1">
      <x:c r="A231" s="10" t="e">
        <x:f>IFERROR(INDEX(Dependencies!$C$2:$C$5000,_xludf.AGGREGATE(15,6,(ROW(Dependencies!$A$2:$A$5000)-ROW(Dependencies!$A$2)+1)/(Dependencies!$A$2:$A$5000=$B$3),ROWS($A$20:A231))),"")</x:f>
      </x:c>
      <x:c r="B231" s="10" t="e">
        <x:f>IF($A231="","",IFERROR(INDEX(Blueprint_Data!$F:$F,MATCH($A231,Blueprint_Data!$A:$A,0)),""))</x:f>
      </x:c>
      <x:c r="C231" s="10" t="e">
        <x:f>IF($A231="","",IFERROR(INDEX(Blueprint_Data!$G:$G,MATCH($A231,Blueprint_Data!$A:$A,0)),""))</x:f>
      </x:c>
      <x:c r="D231" s="10" t="e">
        <x:f>IF($A231="","",IFERROR(INDEX(Blueprint_Data!$W:$W,MATCH($A231,Blueprint_Data!$A:$A,0)),""))</x:f>
      </x:c>
      <x:c r="E231" s="10" t="s">
        <x:v>77</x:v>
      </x:c>
      <x:c r="F231" s="10"/>
      <x:c r="G231" s="10">
        <x:v>0</x:v>
      </x:c>
      <x:c r="H231" s="10">
        <x:v>0</x:v>
      </x:c>
      <x:c r="I231" s="10" t="s">
        <x:v>77</x:v>
      </x:c>
      <x:c r="J231" s="10">
        <x:v>0</x:v>
      </x:c>
      <x:c r="K231" s="10"/>
    </x:row>
    <x:row r="232" ht="33.25" customHeight="1">
      <x:c r="A232" s="10" t="e">
        <x:f>IFERROR(INDEX(Dependencies!$C$2:$C$5000,_xludf.AGGREGATE(15,6,(ROW(Dependencies!$A$2:$A$5000)-ROW(Dependencies!$A$2)+1)/(Dependencies!$A$2:$A$5000=$B$3),ROWS($A$20:A232))),"")</x:f>
      </x:c>
      <x:c r="B232" s="10" t="e">
        <x:f>IF($A232="","",IFERROR(INDEX(Blueprint_Data!$F:$F,MATCH($A232,Blueprint_Data!$A:$A,0)),""))</x:f>
      </x:c>
      <x:c r="C232" s="10" t="e">
        <x:f>IF($A232="","",IFERROR(INDEX(Blueprint_Data!$G:$G,MATCH($A232,Blueprint_Data!$A:$A,0)),""))</x:f>
      </x:c>
      <x:c r="D232" s="10" t="e">
        <x:f>IF($A232="","",IFERROR(INDEX(Blueprint_Data!$W:$W,MATCH($A232,Blueprint_Data!$A:$A,0)),""))</x:f>
      </x:c>
      <x:c r="E232" s="10" t="s">
        <x:v>77</x:v>
      </x:c>
      <x:c r="F232" s="10" t="s">
        <x:v>78</x:v>
      </x:c>
      <x:c r="G232" s="10">
        <x:v>1</x:v>
      </x:c>
      <x:c r="H232" s="10">
        <x:v>0</x:v>
      </x:c>
      <x:c r="I232" s="10" t="s">
        <x:v>77</x:v>
      </x:c>
      <x:c r="J232" s="10">
        <x:v>0</x:v>
      </x:c>
      <x:c r="K232" s="10"/>
    </x:row>
    <x:row r="233" ht="33.25" customHeight="1">
      <x:c r="A233" s="10" t="e">
        <x:f>IFERROR(INDEX(Dependencies!$C$2:$C$5000,_xludf.AGGREGATE(15,6,(ROW(Dependencies!$A$2:$A$5000)-ROW(Dependencies!$A$2)+1)/(Dependencies!$A$2:$A$5000=$B$3),ROWS($A$20:A233))),"")</x:f>
      </x:c>
      <x:c r="B233" s="10" t="e">
        <x:f>IF($A233="","",IFERROR(INDEX(Blueprint_Data!$F:$F,MATCH($A233,Blueprint_Data!$A:$A,0)),""))</x:f>
      </x:c>
      <x:c r="C233" s="10" t="e">
        <x:f>IF($A233="","",IFERROR(INDEX(Blueprint_Data!$G:$G,MATCH($A233,Blueprint_Data!$A:$A,0)),""))</x:f>
      </x:c>
      <x:c r="D233" s="10" t="e">
        <x:f>IF($A233="","",IFERROR(INDEX(Blueprint_Data!$W:$W,MATCH($A233,Blueprint_Data!$A:$A,0)),""))</x:f>
      </x:c>
      <x:c r="E233" s="10" t="s">
        <x:v>77</x:v>
      </x:c>
      <x:c r="F233" s="10"/>
      <x:c r="G233" s="10">
        <x:v>0</x:v>
      </x:c>
      <x:c r="H233" s="10">
        <x:v>0</x:v>
      </x:c>
      <x:c r="I233" s="10" t="s">
        <x:v>77</x:v>
      </x:c>
      <x:c r="J233" s="10">
        <x:v>0</x:v>
      </x:c>
      <x:c r="K233" s="10"/>
    </x:row>
    <x:row r="234" ht="33.25" customHeight="1">
      <x:c r="A234" s="10" t="e">
        <x:f>IFERROR(INDEX(Dependencies!$C$2:$C$5000,_xludf.AGGREGATE(15,6,(ROW(Dependencies!$A$2:$A$5000)-ROW(Dependencies!$A$2)+1)/(Dependencies!$A$2:$A$5000=$B$3),ROWS($A$20:A234))),"")</x:f>
      </x:c>
      <x:c r="B234" s="10" t="e">
        <x:f>IF($A234="","",IFERROR(INDEX(Blueprint_Data!$F:$F,MATCH($A234,Blueprint_Data!$A:$A,0)),""))</x:f>
      </x:c>
      <x:c r="C234" s="10" t="e">
        <x:f>IF($A234="","",IFERROR(INDEX(Blueprint_Data!$G:$G,MATCH($A234,Blueprint_Data!$A:$A,0)),""))</x:f>
      </x:c>
      <x:c r="D234" s="10" t="e">
        <x:f>IF($A234="","",IFERROR(INDEX(Blueprint_Data!$W:$W,MATCH($A234,Blueprint_Data!$A:$A,0)),""))</x:f>
      </x:c>
      <x:c r="E234" s="10" t="s">
        <x:v>77</x:v>
      </x:c>
      <x:c r="F234" s="10" t="s">
        <x:v>78</x:v>
      </x:c>
      <x:c r="G234" s="10">
        <x:v>2</x:v>
      </x:c>
      <x:c r="H234" s="10">
        <x:v>0</x:v>
      </x:c>
      <x:c r="I234" s="10" t="s">
        <x:v>77</x:v>
      </x:c>
      <x:c r="J234" s="10">
        <x:v>0</x:v>
      </x:c>
      <x:c r="K234" s="10"/>
    </x:row>
    <x:row r="235" ht="33.25" customHeight="1">
      <x:c r="A235" s="10" t="e">
        <x:f>IFERROR(INDEX(Dependencies!$C$2:$C$5000,_xludf.AGGREGATE(15,6,(ROW(Dependencies!$A$2:$A$5000)-ROW(Dependencies!$A$2)+1)/(Dependencies!$A$2:$A$5000=$B$3),ROWS($A$20:A235))),"")</x:f>
      </x:c>
      <x:c r="B235" s="10" t="e">
        <x:f>IF($A235="","",IFERROR(INDEX(Blueprint_Data!$F:$F,MATCH($A235,Blueprint_Data!$A:$A,0)),""))</x:f>
      </x:c>
      <x:c r="C235" s="10" t="e">
        <x:f>IF($A235="","",IFERROR(INDEX(Blueprint_Data!$G:$G,MATCH($A235,Blueprint_Data!$A:$A,0)),""))</x:f>
      </x:c>
      <x:c r="D235" s="10" t="e">
        <x:f>IF($A235="","",IFERROR(INDEX(Blueprint_Data!$W:$W,MATCH($A235,Blueprint_Data!$A:$A,0)),""))</x:f>
      </x:c>
      <x:c r="E235" s="10" t="s">
        <x:v>77</x:v>
      </x:c>
      <x:c r="F235" s="10" t="s">
        <x:v>78</x:v>
      </x:c>
      <x:c r="G235" s="10">
        <x:v>1</x:v>
      </x:c>
      <x:c r="H235" s="10">
        <x:v>0</x:v>
      </x:c>
      <x:c r="I235" s="10" t="s">
        <x:v>77</x:v>
      </x:c>
      <x:c r="J235" s="10">
        <x:v>0</x:v>
      </x:c>
      <x:c r="K235" s="10"/>
    </x:row>
    <x:row r="236" ht="33.25" customHeight="1">
      <x:c r="A236" s="10" t="e">
        <x:f>IFERROR(INDEX(Dependencies!$C$2:$C$5000,_xludf.AGGREGATE(15,6,(ROW(Dependencies!$A$2:$A$5000)-ROW(Dependencies!$A$2)+1)/(Dependencies!$A$2:$A$5000=$B$3),ROWS($A$20:A236))),"")</x:f>
      </x:c>
      <x:c r="B236" s="10" t="e">
        <x:f>IF($A236="","",IFERROR(INDEX(Blueprint_Data!$F:$F,MATCH($A236,Blueprint_Data!$A:$A,0)),""))</x:f>
      </x:c>
      <x:c r="C236" s="10" t="e">
        <x:f>IF($A236="","",IFERROR(INDEX(Blueprint_Data!$G:$G,MATCH($A236,Blueprint_Data!$A:$A,0)),""))</x:f>
      </x:c>
      <x:c r="D236" s="10" t="e">
        <x:f>IF($A236="","",IFERROR(INDEX(Blueprint_Data!$W:$W,MATCH($A236,Blueprint_Data!$A:$A,0)),""))</x:f>
      </x:c>
      <x:c r="E236" s="10" t="s">
        <x:v>77</x:v>
      </x:c>
      <x:c r="F236" s="10" t="s">
        <x:v>78</x:v>
      </x:c>
      <x:c r="G236" s="10">
        <x:v>1</x:v>
      </x:c>
      <x:c r="H236" s="10">
        <x:v>0</x:v>
      </x:c>
      <x:c r="I236" s="10" t="s">
        <x:v>77</x:v>
      </x:c>
      <x:c r="J236" s="10">
        <x:v>0</x:v>
      </x:c>
      <x:c r="K236" s="10"/>
    </x:row>
    <x:row r="237" ht="33.25" customHeight="1">
      <x:c r="A237" s="10" t="e">
        <x:f>IFERROR(INDEX(Dependencies!$C$2:$C$5000,_xludf.AGGREGATE(15,6,(ROW(Dependencies!$A$2:$A$5000)-ROW(Dependencies!$A$2)+1)/(Dependencies!$A$2:$A$5000=$B$3),ROWS($A$20:A237))),"")</x:f>
      </x:c>
      <x:c r="B237" s="10" t="e">
        <x:f>IF($A237="","",IFERROR(INDEX(Blueprint_Data!$F:$F,MATCH($A237,Blueprint_Data!$A:$A,0)),""))</x:f>
      </x:c>
      <x:c r="C237" s="10" t="e">
        <x:f>IF($A237="","",IFERROR(INDEX(Blueprint_Data!$G:$G,MATCH($A237,Blueprint_Data!$A:$A,0)),""))</x:f>
      </x:c>
      <x:c r="D237" s="10" t="e">
        <x:f>IF($A237="","",IFERROR(INDEX(Blueprint_Data!$W:$W,MATCH($A237,Blueprint_Data!$A:$A,0)),""))</x:f>
      </x:c>
      <x:c r="E237" s="10" t="s">
        <x:v>77</x:v>
      </x:c>
      <x:c r="F237" s="10" t="s">
        <x:v>78</x:v>
      </x:c>
      <x:c r="G237" s="10">
        <x:v>2</x:v>
      </x:c>
      <x:c r="H237" s="10">
        <x:v>0</x:v>
      </x:c>
      <x:c r="I237" s="10" t="s">
        <x:v>77</x:v>
      </x:c>
      <x:c r="J237" s="10">
        <x:v>0</x:v>
      </x:c>
      <x:c r="K237" s="10"/>
    </x:row>
    <x:row r="238" ht="33.25" customHeight="1">
      <x:c r="A238" s="10" t="e">
        <x:f>IFERROR(INDEX(Dependencies!$C$2:$C$5000,_xludf.AGGREGATE(15,6,(ROW(Dependencies!$A$2:$A$5000)-ROW(Dependencies!$A$2)+1)/(Dependencies!$A$2:$A$5000=$B$3),ROWS($A$20:A238))),"")</x:f>
      </x:c>
      <x:c r="B238" s="10" t="e">
        <x:f>IF($A238="","",IFERROR(INDEX(Blueprint_Data!$F:$F,MATCH($A238,Blueprint_Data!$A:$A,0)),""))</x:f>
      </x:c>
      <x:c r="C238" s="10" t="e">
        <x:f>IF($A238="","",IFERROR(INDEX(Blueprint_Data!$G:$G,MATCH($A238,Blueprint_Data!$A:$A,0)),""))</x:f>
      </x:c>
      <x:c r="D238" s="10" t="e">
        <x:f>IF($A238="","",IFERROR(INDEX(Blueprint_Data!$W:$W,MATCH($A238,Blueprint_Data!$A:$A,0)),""))</x:f>
      </x:c>
      <x:c r="E238" s="10" t="s">
        <x:v>77</x:v>
      </x:c>
      <x:c r="F238" s="10" t="s">
        <x:v>78</x:v>
      </x:c>
      <x:c r="G238" s="10">
        <x:v>1</x:v>
      </x:c>
      <x:c r="H238" s="10">
        <x:v>0</x:v>
      </x:c>
      <x:c r="I238" s="10" t="s">
        <x:v>77</x:v>
      </x:c>
      <x:c r="J238" s="10">
        <x:v>0</x:v>
      </x:c>
      <x:c r="K238" s="10"/>
    </x:row>
    <x:row r="239" ht="33.25" customHeight="1">
      <x:c r="A239" s="10" t="e">
        <x:f>IFERROR(INDEX(Dependencies!$C$2:$C$5000,_xludf.AGGREGATE(15,6,(ROW(Dependencies!$A$2:$A$5000)-ROW(Dependencies!$A$2)+1)/(Dependencies!$A$2:$A$5000=$B$3),ROWS($A$20:A239))),"")</x:f>
      </x:c>
      <x:c r="B239" s="10" t="e">
        <x:f>IF($A239="","",IFERROR(INDEX(Blueprint_Data!$F:$F,MATCH($A239,Blueprint_Data!$A:$A,0)),""))</x:f>
      </x:c>
      <x:c r="C239" s="10" t="e">
        <x:f>IF($A239="","",IFERROR(INDEX(Blueprint_Data!$G:$G,MATCH($A239,Blueprint_Data!$A:$A,0)),""))</x:f>
      </x:c>
      <x:c r="D239" s="10" t="e">
        <x:f>IF($A239="","",IFERROR(INDEX(Blueprint_Data!$W:$W,MATCH($A239,Blueprint_Data!$A:$A,0)),""))</x:f>
      </x:c>
      <x:c r="E239" s="10" t="s">
        <x:v>77</x:v>
      </x:c>
      <x:c r="F239" s="10"/>
      <x:c r="G239" s="10">
        <x:v>0</x:v>
      </x:c>
      <x:c r="H239" s="10">
        <x:v>0</x:v>
      </x:c>
      <x:c r="I239" s="10" t="s">
        <x:v>77</x:v>
      </x:c>
      <x:c r="J239" s="10">
        <x:v>0</x:v>
      </x:c>
      <x:c r="K239" s="10"/>
    </x:row>
    <x:row r="240" ht="33.25" customHeight="1">
      <x:c r="A240" s="10" t="e">
        <x:f>IFERROR(INDEX(Dependencies!$C$2:$C$5000,_xludf.AGGREGATE(15,6,(ROW(Dependencies!$A$2:$A$5000)-ROW(Dependencies!$A$2)+1)/(Dependencies!$A$2:$A$5000=$B$3),ROWS($A$20:A240))),"")</x:f>
      </x:c>
      <x:c r="B240" s="10" t="e">
        <x:f>IF($A240="","",IFERROR(INDEX(Blueprint_Data!$F:$F,MATCH($A240,Blueprint_Data!$A:$A,0)),""))</x:f>
      </x:c>
      <x:c r="C240" s="10" t="e">
        <x:f>IF($A240="","",IFERROR(INDEX(Blueprint_Data!$G:$G,MATCH($A240,Blueprint_Data!$A:$A,0)),""))</x:f>
      </x:c>
      <x:c r="D240" s="10" t="e">
        <x:f>IF($A240="","",IFERROR(INDEX(Blueprint_Data!$W:$W,MATCH($A240,Blueprint_Data!$A:$A,0)),""))</x:f>
      </x:c>
      <x:c r="E240" s="10" t="s">
        <x:v>77</x:v>
      </x:c>
      <x:c r="F240" s="10"/>
      <x:c r="G240" s="10">
        <x:v>0</x:v>
      </x:c>
      <x:c r="H240" s="10">
        <x:v>0</x:v>
      </x:c>
      <x:c r="I240" s="10" t="s">
        <x:v>77</x:v>
      </x:c>
      <x:c r="J240" s="10">
        <x:v>0</x:v>
      </x:c>
      <x:c r="K240" s="10"/>
    </x:row>
    <x:row r="241" ht="33.25" customHeight="1">
      <x:c r="A241" s="10" t="e">
        <x:f>IFERROR(INDEX(Dependencies!$C$2:$C$5000,_xludf.AGGREGATE(15,6,(ROW(Dependencies!$A$2:$A$5000)-ROW(Dependencies!$A$2)+1)/(Dependencies!$A$2:$A$5000=$B$3),ROWS($A$20:A241))),"")</x:f>
      </x:c>
      <x:c r="B241" s="10" t="e">
        <x:f>IF($A241="","",IFERROR(INDEX(Blueprint_Data!$F:$F,MATCH($A241,Blueprint_Data!$A:$A,0)),""))</x:f>
      </x:c>
      <x:c r="C241" s="10" t="e">
        <x:f>IF($A241="","",IFERROR(INDEX(Blueprint_Data!$G:$G,MATCH($A241,Blueprint_Data!$A:$A,0)),""))</x:f>
      </x:c>
      <x:c r="D241" s="10" t="e">
        <x:f>IF($A241="","",IFERROR(INDEX(Blueprint_Data!$W:$W,MATCH($A241,Blueprint_Data!$A:$A,0)),""))</x:f>
      </x:c>
      <x:c r="E241" s="10" t="s">
        <x:v>77</x:v>
      </x:c>
      <x:c r="F241" s="10" t="s">
        <x:v>78</x:v>
      </x:c>
      <x:c r="G241" s="10">
        <x:v>1</x:v>
      </x:c>
      <x:c r="H241" s="10">
        <x:v>0</x:v>
      </x:c>
      <x:c r="I241" s="10" t="s">
        <x:v>77</x:v>
      </x:c>
      <x:c r="J241" s="10">
        <x:v>0</x:v>
      </x:c>
      <x:c r="K241" s="10"/>
    </x:row>
    <x:row r="242" ht="33.25" customHeight="1">
      <x:c r="A242" s="10" t="e">
        <x:f>IFERROR(INDEX(Dependencies!$C$2:$C$5000,_xludf.AGGREGATE(15,6,(ROW(Dependencies!$A$2:$A$5000)-ROW(Dependencies!$A$2)+1)/(Dependencies!$A$2:$A$5000=$B$3),ROWS($A$20:A242))),"")</x:f>
      </x:c>
      <x:c r="B242" s="10" t="e">
        <x:f>IF($A242="","",IFERROR(INDEX(Blueprint_Data!$F:$F,MATCH($A242,Blueprint_Data!$A:$A,0)),""))</x:f>
      </x:c>
      <x:c r="C242" s="10" t="e">
        <x:f>IF($A242="","",IFERROR(INDEX(Blueprint_Data!$G:$G,MATCH($A242,Blueprint_Data!$A:$A,0)),""))</x:f>
      </x:c>
      <x:c r="D242" s="10" t="e">
        <x:f>IF($A242="","",IFERROR(INDEX(Blueprint_Data!$W:$W,MATCH($A242,Blueprint_Data!$A:$A,0)),""))</x:f>
      </x:c>
      <x:c r="E242" s="10" t="s">
        <x:v>77</x:v>
      </x:c>
      <x:c r="F242" s="10"/>
      <x:c r="G242" s="10">
        <x:v>0</x:v>
      </x:c>
      <x:c r="H242" s="10">
        <x:v>0</x:v>
      </x:c>
      <x:c r="I242" s="10" t="s">
        <x:v>77</x:v>
      </x:c>
      <x:c r="J242" s="10">
        <x:v>0</x:v>
      </x:c>
      <x:c r="K242" s="10"/>
    </x:row>
    <x:row r="243" ht="33.25" customHeight="1">
      <x:c r="A243" s="10" t="e">
        <x:f>IFERROR(INDEX(Dependencies!$C$2:$C$5000,_xludf.AGGREGATE(15,6,(ROW(Dependencies!$A$2:$A$5000)-ROW(Dependencies!$A$2)+1)/(Dependencies!$A$2:$A$5000=$B$3),ROWS($A$20:A243))),"")</x:f>
      </x:c>
      <x:c r="B243" s="10" t="e">
        <x:f>IF($A243="","",IFERROR(INDEX(Blueprint_Data!$F:$F,MATCH($A243,Blueprint_Data!$A:$A,0)),""))</x:f>
      </x:c>
      <x:c r="C243" s="10" t="e">
        <x:f>IF($A243="","",IFERROR(INDEX(Blueprint_Data!$G:$G,MATCH($A243,Blueprint_Data!$A:$A,0)),""))</x:f>
      </x:c>
      <x:c r="D243" s="10" t="e">
        <x:f>IF($A243="","",IFERROR(INDEX(Blueprint_Data!$W:$W,MATCH($A243,Blueprint_Data!$A:$A,0)),""))</x:f>
      </x:c>
      <x:c r="E243" s="10" t="s">
        <x:v>77</x:v>
      </x:c>
      <x:c r="F243" s="10"/>
      <x:c r="G243" s="10">
        <x:v>0</x:v>
      </x:c>
      <x:c r="H243" s="10">
        <x:v>0</x:v>
      </x:c>
      <x:c r="I243" s="10" t="s">
        <x:v>77</x:v>
      </x:c>
      <x:c r="J243" s="10">
        <x:v>0</x:v>
      </x:c>
      <x:c r="K243" s="10"/>
    </x:row>
    <x:row r="244" ht="33.25" customHeight="1">
      <x:c r="A244" s="10" t="e">
        <x:f>IFERROR(INDEX(Dependencies!$C$2:$C$5000,_xludf.AGGREGATE(15,6,(ROW(Dependencies!$A$2:$A$5000)-ROW(Dependencies!$A$2)+1)/(Dependencies!$A$2:$A$5000=$B$3),ROWS($A$20:A244))),"")</x:f>
      </x:c>
      <x:c r="B244" s="10" t="e">
        <x:f>IF($A244="","",IFERROR(INDEX(Blueprint_Data!$F:$F,MATCH($A244,Blueprint_Data!$A:$A,0)),""))</x:f>
      </x:c>
      <x:c r="C244" s="10" t="e">
        <x:f>IF($A244="","",IFERROR(INDEX(Blueprint_Data!$G:$G,MATCH($A244,Blueprint_Data!$A:$A,0)),""))</x:f>
      </x:c>
      <x:c r="D244" s="10" t="e">
        <x:f>IF($A244="","",IFERROR(INDEX(Blueprint_Data!$W:$W,MATCH($A244,Blueprint_Data!$A:$A,0)),""))</x:f>
      </x:c>
      <x:c r="E244" s="10" t="s">
        <x:v>77</x:v>
      </x:c>
      <x:c r="F244" s="10" t="s">
        <x:v>78</x:v>
      </x:c>
      <x:c r="G244" s="10">
        <x:v>1</x:v>
      </x:c>
      <x:c r="H244" s="10">
        <x:v>0</x:v>
      </x:c>
      <x:c r="I244" s="10" t="s">
        <x:v>77</x:v>
      </x:c>
      <x:c r="J244" s="10">
        <x:v>0</x:v>
      </x:c>
      <x:c r="K244" s="10"/>
    </x:row>
    <x:row r="245" ht="33.25" customHeight="1">
      <x:c r="A245" s="10" t="e">
        <x:f>IFERROR(INDEX(Dependencies!$C$2:$C$5000,_xludf.AGGREGATE(15,6,(ROW(Dependencies!$A$2:$A$5000)-ROW(Dependencies!$A$2)+1)/(Dependencies!$A$2:$A$5000=$B$3),ROWS($A$20:A245))),"")</x:f>
      </x:c>
      <x:c r="B245" s="10" t="e">
        <x:f>IF($A245="","",IFERROR(INDEX(Blueprint_Data!$F:$F,MATCH($A245,Blueprint_Data!$A:$A,0)),""))</x:f>
      </x:c>
      <x:c r="C245" s="10" t="e">
        <x:f>IF($A245="","",IFERROR(INDEX(Blueprint_Data!$G:$G,MATCH($A245,Blueprint_Data!$A:$A,0)),""))</x:f>
      </x:c>
      <x:c r="D245" s="10" t="e">
        <x:f>IF($A245="","",IFERROR(INDEX(Blueprint_Data!$W:$W,MATCH($A245,Blueprint_Data!$A:$A,0)),""))</x:f>
      </x:c>
      <x:c r="E245" s="10" t="s">
        <x:v>77</x:v>
      </x:c>
      <x:c r="F245" s="10" t="s">
        <x:v>78</x:v>
      </x:c>
      <x:c r="G245" s="10">
        <x:v>2</x:v>
      </x:c>
      <x:c r="H245" s="10">
        <x:v>0</x:v>
      </x:c>
      <x:c r="I245" s="10" t="s">
        <x:v>77</x:v>
      </x:c>
      <x:c r="J245" s="10">
        <x:v>0</x:v>
      </x:c>
      <x:c r="K245" s="10"/>
    </x:row>
    <x:row r="246" ht="33.25" customHeight="1">
      <x:c r="A246" s="10" t="e">
        <x:f>IFERROR(INDEX(Dependencies!$C$2:$C$5000,_xludf.AGGREGATE(15,6,(ROW(Dependencies!$A$2:$A$5000)-ROW(Dependencies!$A$2)+1)/(Dependencies!$A$2:$A$5000=$B$3),ROWS($A$20:A246))),"")</x:f>
      </x:c>
      <x:c r="B246" s="10" t="e">
        <x:f>IF($A246="","",IFERROR(INDEX(Blueprint_Data!$F:$F,MATCH($A246,Blueprint_Data!$A:$A,0)),""))</x:f>
      </x:c>
      <x:c r="C246" s="10" t="e">
        <x:f>IF($A246="","",IFERROR(INDEX(Blueprint_Data!$G:$G,MATCH($A246,Blueprint_Data!$A:$A,0)),""))</x:f>
      </x:c>
      <x:c r="D246" s="10" t="e">
        <x:f>IF($A246="","",IFERROR(INDEX(Blueprint_Data!$W:$W,MATCH($A246,Blueprint_Data!$A:$A,0)),""))</x:f>
      </x:c>
      <x:c r="E246" s="10" t="s">
        <x:v>77</x:v>
      </x:c>
      <x:c r="F246" s="10"/>
      <x:c r="G246" s="10">
        <x:v>0</x:v>
      </x:c>
      <x:c r="H246" s="10">
        <x:v>0</x:v>
      </x:c>
      <x:c r="I246" s="10" t="s">
        <x:v>77</x:v>
      </x:c>
      <x:c r="J246" s="10">
        <x:v>0</x:v>
      </x:c>
      <x:c r="K246" s="10"/>
    </x:row>
    <x:row r="247" ht="33.25" customHeight="1">
      <x:c r="A247" s="10" t="e">
        <x:f>IFERROR(INDEX(Dependencies!$C$2:$C$5000,_xludf.AGGREGATE(15,6,(ROW(Dependencies!$A$2:$A$5000)-ROW(Dependencies!$A$2)+1)/(Dependencies!$A$2:$A$5000=$B$3),ROWS($A$20:A247))),"")</x:f>
      </x:c>
      <x:c r="B247" s="10" t="e">
        <x:f>IF($A247="","",IFERROR(INDEX(Blueprint_Data!$F:$F,MATCH($A247,Blueprint_Data!$A:$A,0)),""))</x:f>
      </x:c>
      <x:c r="C247" s="10" t="e">
        <x:f>IF($A247="","",IFERROR(INDEX(Blueprint_Data!$G:$G,MATCH($A247,Blueprint_Data!$A:$A,0)),""))</x:f>
      </x:c>
      <x:c r="D247" s="10" t="e">
        <x:f>IF($A247="","",IFERROR(INDEX(Blueprint_Data!$W:$W,MATCH($A247,Blueprint_Data!$A:$A,0)),""))</x:f>
      </x:c>
      <x:c r="E247" s="10" t="s">
        <x:v>77</x:v>
      </x:c>
      <x:c r="F247" s="10" t="s">
        <x:v>78</x:v>
      </x:c>
      <x:c r="G247" s="10">
        <x:v>1</x:v>
      </x:c>
      <x:c r="H247" s="10">
        <x:v>0</x:v>
      </x:c>
      <x:c r="I247" s="10" t="s">
        <x:v>77</x:v>
      </x:c>
      <x:c r="J247" s="10">
        <x:v>0</x:v>
      </x:c>
      <x:c r="K247" s="10"/>
    </x:row>
    <x:row r="248" ht="33.25" customHeight="1">
      <x:c r="A248" s="10" t="e">
        <x:f>IFERROR(INDEX(Dependencies!$C$2:$C$5000,_xludf.AGGREGATE(15,6,(ROW(Dependencies!$A$2:$A$5000)-ROW(Dependencies!$A$2)+1)/(Dependencies!$A$2:$A$5000=$B$3),ROWS($A$20:A248))),"")</x:f>
      </x:c>
      <x:c r="B248" s="10" t="e">
        <x:f>IF($A248="","",IFERROR(INDEX(Blueprint_Data!$F:$F,MATCH($A248,Blueprint_Data!$A:$A,0)),""))</x:f>
      </x:c>
      <x:c r="C248" s="10" t="e">
        <x:f>IF($A248="","",IFERROR(INDEX(Blueprint_Data!$G:$G,MATCH($A248,Blueprint_Data!$A:$A,0)),""))</x:f>
      </x:c>
      <x:c r="D248" s="10" t="e">
        <x:f>IF($A248="","",IFERROR(INDEX(Blueprint_Data!$W:$W,MATCH($A248,Blueprint_Data!$A:$A,0)),""))</x:f>
      </x:c>
      <x:c r="E248" s="10" t="s">
        <x:v>77</x:v>
      </x:c>
      <x:c r="F248" s="10"/>
      <x:c r="G248" s="10">
        <x:v>0</x:v>
      </x:c>
      <x:c r="H248" s="10">
        <x:v>0</x:v>
      </x:c>
      <x:c r="I248" s="10" t="s">
        <x:v>77</x:v>
      </x:c>
      <x:c r="J248" s="10">
        <x:v>0</x:v>
      </x:c>
      <x:c r="K248" s="10"/>
    </x:row>
    <x:row r="249" ht="33.25" customHeight="1">
      <x:c r="A249" s="10" t="e">
        <x:f>IFERROR(INDEX(Dependencies!$C$2:$C$5000,_xludf.AGGREGATE(15,6,(ROW(Dependencies!$A$2:$A$5000)-ROW(Dependencies!$A$2)+1)/(Dependencies!$A$2:$A$5000=$B$3),ROWS($A$20:A249))),"")</x:f>
      </x:c>
      <x:c r="B249" s="10" t="e">
        <x:f>IF($A249="","",IFERROR(INDEX(Blueprint_Data!$F:$F,MATCH($A249,Blueprint_Data!$A:$A,0)),""))</x:f>
      </x:c>
      <x:c r="C249" s="10" t="e">
        <x:f>IF($A249="","",IFERROR(INDEX(Blueprint_Data!$G:$G,MATCH($A249,Blueprint_Data!$A:$A,0)),""))</x:f>
      </x:c>
      <x:c r="D249" s="10" t="e">
        <x:f>IF($A249="","",IFERROR(INDEX(Blueprint_Data!$W:$W,MATCH($A249,Blueprint_Data!$A:$A,0)),""))</x:f>
      </x:c>
      <x:c r="E249" s="10" t="s">
        <x:v>77</x:v>
      </x:c>
      <x:c r="F249" s="10" t="s">
        <x:v>78</x:v>
      </x:c>
      <x:c r="G249" s="10">
        <x:v>1</x:v>
      </x:c>
      <x:c r="H249" s="10">
        <x:v>0</x:v>
      </x:c>
      <x:c r="I249" s="10" t="s">
        <x:v>77</x:v>
      </x:c>
      <x:c r="J249" s="10">
        <x:v>0</x:v>
      </x:c>
      <x:c r="K249" s="10"/>
    </x:row>
    <x:row r="250" ht="33.25" customHeight="1">
      <x:c r="A250" s="10" t="e">
        <x:f>IFERROR(INDEX(Dependencies!$C$2:$C$5000,_xludf.AGGREGATE(15,6,(ROW(Dependencies!$A$2:$A$5000)-ROW(Dependencies!$A$2)+1)/(Dependencies!$A$2:$A$5000=$B$3),ROWS($A$20:A250))),"")</x:f>
      </x:c>
      <x:c r="B250" s="10" t="e">
        <x:f>IF($A250="","",IFERROR(INDEX(Blueprint_Data!$F:$F,MATCH($A250,Blueprint_Data!$A:$A,0)),""))</x:f>
      </x:c>
      <x:c r="C250" s="10" t="e">
        <x:f>IF($A250="","",IFERROR(INDEX(Blueprint_Data!$G:$G,MATCH($A250,Blueprint_Data!$A:$A,0)),""))</x:f>
      </x:c>
      <x:c r="D250" s="10" t="e">
        <x:f>IF($A250="","",IFERROR(INDEX(Blueprint_Data!$W:$W,MATCH($A250,Blueprint_Data!$A:$A,0)),""))</x:f>
      </x:c>
      <x:c r="E250" s="10" t="s">
        <x:v>77</x:v>
      </x:c>
      <x:c r="F250" s="10"/>
      <x:c r="G250" s="10">
        <x:v>0</x:v>
      </x:c>
      <x:c r="H250" s="10">
        <x:v>0</x:v>
      </x:c>
      <x:c r="I250" s="10" t="s">
        <x:v>77</x:v>
      </x:c>
      <x:c r="J250" s="10">
        <x:v>0</x:v>
      </x:c>
      <x:c r="K250" s="10"/>
    </x:row>
    <x:row r="251" ht="33.25" customHeight="1">
      <x:c r="A251" s="10" t="e">
        <x:f>IFERROR(INDEX(Dependencies!$C$2:$C$5000,_xludf.AGGREGATE(15,6,(ROW(Dependencies!$A$2:$A$5000)-ROW(Dependencies!$A$2)+1)/(Dependencies!$A$2:$A$5000=$B$3),ROWS($A$20:A251))),"")</x:f>
      </x:c>
      <x:c r="B251" s="10" t="e">
        <x:f>IF($A251="","",IFERROR(INDEX(Blueprint_Data!$F:$F,MATCH($A251,Blueprint_Data!$A:$A,0)),""))</x:f>
      </x:c>
      <x:c r="C251" s="10" t="e">
        <x:f>IF($A251="","",IFERROR(INDEX(Blueprint_Data!$G:$G,MATCH($A251,Blueprint_Data!$A:$A,0)),""))</x:f>
      </x:c>
      <x:c r="D251" s="10" t="e">
        <x:f>IF($A251="","",IFERROR(INDEX(Blueprint_Data!$W:$W,MATCH($A251,Blueprint_Data!$A:$A,0)),""))</x:f>
      </x:c>
      <x:c r="E251" s="10" t="s">
        <x:v>77</x:v>
      </x:c>
      <x:c r="F251" s="10"/>
      <x:c r="G251" s="10">
        <x:v>0</x:v>
      </x:c>
      <x:c r="H251" s="10">
        <x:v>0</x:v>
      </x:c>
      <x:c r="I251" s="10" t="s">
        <x:v>77</x:v>
      </x:c>
      <x:c r="J251" s="10">
        <x:v>0</x:v>
      </x:c>
      <x:c r="K251" s="10"/>
    </x:row>
    <x:row r="252" ht="33.25" customHeight="1">
      <x:c r="A252" s="10" t="e">
        <x:f>IFERROR(INDEX(Dependencies!$C$2:$C$5000,_xludf.AGGREGATE(15,6,(ROW(Dependencies!$A$2:$A$5000)-ROW(Dependencies!$A$2)+1)/(Dependencies!$A$2:$A$5000=$B$3),ROWS($A$20:A252))),"")</x:f>
      </x:c>
      <x:c r="B252" s="10" t="e">
        <x:f>IF($A252="","",IFERROR(INDEX(Blueprint_Data!$F:$F,MATCH($A252,Blueprint_Data!$A:$A,0)),""))</x:f>
      </x:c>
      <x:c r="C252" s="10" t="e">
        <x:f>IF($A252="","",IFERROR(INDEX(Blueprint_Data!$G:$G,MATCH($A252,Blueprint_Data!$A:$A,0)),""))</x:f>
      </x:c>
      <x:c r="D252" s="10" t="e">
        <x:f>IF($A252="","",IFERROR(INDEX(Blueprint_Data!$W:$W,MATCH($A252,Blueprint_Data!$A:$A,0)),""))</x:f>
      </x:c>
      <x:c r="E252" s="10" t="s">
        <x:v>77</x:v>
      </x:c>
      <x:c r="F252" s="10" t="s">
        <x:v>78</x:v>
      </x:c>
      <x:c r="G252" s="10">
        <x:v>1</x:v>
      </x:c>
      <x:c r="H252" s="10">
        <x:v>0</x:v>
      </x:c>
      <x:c r="I252" s="10" t="s">
        <x:v>77</x:v>
      </x:c>
      <x:c r="J252" s="10">
        <x:v>0</x:v>
      </x:c>
      <x:c r="K252" s="10"/>
    </x:row>
    <x:row r="253" ht="33.25" customHeight="1">
      <x:c r="A253" s="10" t="e">
        <x:f>IFERROR(INDEX(Dependencies!$C$2:$C$5000,_xludf.AGGREGATE(15,6,(ROW(Dependencies!$A$2:$A$5000)-ROW(Dependencies!$A$2)+1)/(Dependencies!$A$2:$A$5000=$B$3),ROWS($A$20:A253))),"")</x:f>
      </x:c>
      <x:c r="B253" s="10" t="e">
        <x:f>IF($A253="","",IFERROR(INDEX(Blueprint_Data!$F:$F,MATCH($A253,Blueprint_Data!$A:$A,0)),""))</x:f>
      </x:c>
      <x:c r="C253" s="10" t="e">
        <x:f>IF($A253="","",IFERROR(INDEX(Blueprint_Data!$G:$G,MATCH($A253,Blueprint_Data!$A:$A,0)),""))</x:f>
      </x:c>
      <x:c r="D253" s="10" t="e">
        <x:f>IF($A253="","",IFERROR(INDEX(Blueprint_Data!$W:$W,MATCH($A253,Blueprint_Data!$A:$A,0)),""))</x:f>
      </x:c>
      <x:c r="E253" s="10" t="s">
        <x:v>77</x:v>
      </x:c>
      <x:c r="F253" s="10" t="s">
        <x:v>78</x:v>
      </x:c>
      <x:c r="G253" s="10">
        <x:v>1</x:v>
      </x:c>
      <x:c r="H253" s="10">
        <x:v>0</x:v>
      </x:c>
      <x:c r="I253" s="10" t="s">
        <x:v>77</x:v>
      </x:c>
      <x:c r="J253" s="10">
        <x:v>0</x:v>
      </x:c>
      <x:c r="K253" s="10"/>
    </x:row>
    <x:row r="254" ht="33.25" customHeight="1">
      <x:c r="A254" s="10" t="e">
        <x:f>IFERROR(INDEX(Dependencies!$C$2:$C$5000,_xludf.AGGREGATE(15,6,(ROW(Dependencies!$A$2:$A$5000)-ROW(Dependencies!$A$2)+1)/(Dependencies!$A$2:$A$5000=$B$3),ROWS($A$20:A254))),"")</x:f>
      </x:c>
      <x:c r="B254" s="10" t="e">
        <x:f>IF($A254="","",IFERROR(INDEX(Blueprint_Data!$F:$F,MATCH($A254,Blueprint_Data!$A:$A,0)),""))</x:f>
      </x:c>
      <x:c r="C254" s="10" t="e">
        <x:f>IF($A254="","",IFERROR(INDEX(Blueprint_Data!$G:$G,MATCH($A254,Blueprint_Data!$A:$A,0)),""))</x:f>
      </x:c>
      <x:c r="D254" s="10" t="e">
        <x:f>IF($A254="","",IFERROR(INDEX(Blueprint_Data!$W:$W,MATCH($A254,Blueprint_Data!$A:$A,0)),""))</x:f>
      </x:c>
      <x:c r="E254" s="10" t="s">
        <x:v>77</x:v>
      </x:c>
      <x:c r="F254" s="10" t="s">
        <x:v>78</x:v>
      </x:c>
      <x:c r="G254" s="10">
        <x:v>1</x:v>
      </x:c>
      <x:c r="H254" s="10">
        <x:v>0</x:v>
      </x:c>
      <x:c r="I254" s="10" t="s">
        <x:v>77</x:v>
      </x:c>
      <x:c r="J254" s="10">
        <x:v>0</x:v>
      </x:c>
      <x:c r="K254" s="10"/>
    </x:row>
    <x:row r="255" ht="33.25" customHeight="1">
      <x:c r="A255" s="10" t="e">
        <x:f>IFERROR(INDEX(Dependencies!$C$2:$C$5000,_xludf.AGGREGATE(15,6,(ROW(Dependencies!$A$2:$A$5000)-ROW(Dependencies!$A$2)+1)/(Dependencies!$A$2:$A$5000=$B$3),ROWS($A$20:A255))),"")</x:f>
      </x:c>
      <x:c r="B255" s="10" t="e">
        <x:f>IF($A255="","",IFERROR(INDEX(Blueprint_Data!$F:$F,MATCH($A255,Blueprint_Data!$A:$A,0)),""))</x:f>
      </x:c>
      <x:c r="C255" s="10" t="e">
        <x:f>IF($A255="","",IFERROR(INDEX(Blueprint_Data!$G:$G,MATCH($A255,Blueprint_Data!$A:$A,0)),""))</x:f>
      </x:c>
      <x:c r="D255" s="10" t="e">
        <x:f>IF($A255="","",IFERROR(INDEX(Blueprint_Data!$W:$W,MATCH($A255,Blueprint_Data!$A:$A,0)),""))</x:f>
      </x:c>
      <x:c r="E255" s="10" t="s">
        <x:v>77</x:v>
      </x:c>
      <x:c r="F255" s="10"/>
      <x:c r="G255" s="10">
        <x:v>0</x:v>
      </x:c>
      <x:c r="H255" s="10">
        <x:v>0</x:v>
      </x:c>
      <x:c r="I255" s="10" t="s">
        <x:v>77</x:v>
      </x:c>
      <x:c r="J255" s="10">
        <x:v>0</x:v>
      </x:c>
      <x:c r="K255" s="10"/>
    </x:row>
    <x:row r="256" ht="33.25" customHeight="1">
      <x:c r="A256" s="10" t="e">
        <x:f>IFERROR(INDEX(Dependencies!$C$2:$C$5000,_xludf.AGGREGATE(15,6,(ROW(Dependencies!$A$2:$A$5000)-ROW(Dependencies!$A$2)+1)/(Dependencies!$A$2:$A$5000=$B$3),ROWS($A$20:A256))),"")</x:f>
      </x:c>
      <x:c r="B256" s="10" t="e">
        <x:f>IF($A256="","",IFERROR(INDEX(Blueprint_Data!$F:$F,MATCH($A256,Blueprint_Data!$A:$A,0)),""))</x:f>
      </x:c>
      <x:c r="C256" s="10" t="e">
        <x:f>IF($A256="","",IFERROR(INDEX(Blueprint_Data!$G:$G,MATCH($A256,Blueprint_Data!$A:$A,0)),""))</x:f>
      </x:c>
      <x:c r="D256" s="10" t="e">
        <x:f>IF($A256="","",IFERROR(INDEX(Blueprint_Data!$W:$W,MATCH($A256,Blueprint_Data!$A:$A,0)),""))</x:f>
      </x:c>
      <x:c r="E256" s="10" t="s">
        <x:v>77</x:v>
      </x:c>
      <x:c r="F256" s="10"/>
      <x:c r="G256" s="10">
        <x:v>0</x:v>
      </x:c>
      <x:c r="H256" s="10">
        <x:v>0</x:v>
      </x:c>
      <x:c r="I256" s="10" t="s">
        <x:v>77</x:v>
      </x:c>
      <x:c r="J256" s="10">
        <x:v>0</x:v>
      </x:c>
      <x:c r="K256" s="10"/>
    </x:row>
    <x:row r="257" ht="33.25" customHeight="1">
      <x:c r="A257" s="10" t="e">
        <x:f>IFERROR(INDEX(Dependencies!$C$2:$C$5000,_xludf.AGGREGATE(15,6,(ROW(Dependencies!$A$2:$A$5000)-ROW(Dependencies!$A$2)+1)/(Dependencies!$A$2:$A$5000=$B$3),ROWS($A$20:A257))),"")</x:f>
      </x:c>
      <x:c r="B257" s="10" t="e">
        <x:f>IF($A257="","",IFERROR(INDEX(Blueprint_Data!$F:$F,MATCH($A257,Blueprint_Data!$A:$A,0)),""))</x:f>
      </x:c>
      <x:c r="C257" s="10" t="e">
        <x:f>IF($A257="","",IFERROR(INDEX(Blueprint_Data!$G:$G,MATCH($A257,Blueprint_Data!$A:$A,0)),""))</x:f>
      </x:c>
      <x:c r="D257" s="10" t="e">
        <x:f>IF($A257="","",IFERROR(INDEX(Blueprint_Data!$W:$W,MATCH($A257,Blueprint_Data!$A:$A,0)),""))</x:f>
      </x:c>
      <x:c r="E257" s="10" t="s">
        <x:v>77</x:v>
      </x:c>
      <x:c r="F257" s="10"/>
      <x:c r="G257" s="10">
        <x:v>0</x:v>
      </x:c>
      <x:c r="H257" s="10">
        <x:v>0</x:v>
      </x:c>
      <x:c r="I257" s="10" t="s">
        <x:v>77</x:v>
      </x:c>
      <x:c r="J257" s="10">
        <x:v>0</x:v>
      </x:c>
      <x:c r="K257" s="10"/>
    </x:row>
    <x:row r="258" ht="33.25" customHeight="1">
      <x:c r="A258" s="10" t="e">
        <x:f>IFERROR(INDEX(Dependencies!$C$2:$C$5000,_xludf.AGGREGATE(15,6,(ROW(Dependencies!$A$2:$A$5000)-ROW(Dependencies!$A$2)+1)/(Dependencies!$A$2:$A$5000=$B$3),ROWS($A$20:A258))),"")</x:f>
      </x:c>
      <x:c r="B258" s="10" t="e">
        <x:f>IF($A258="","",IFERROR(INDEX(Blueprint_Data!$F:$F,MATCH($A258,Blueprint_Data!$A:$A,0)),""))</x:f>
      </x:c>
      <x:c r="C258" s="10" t="e">
        <x:f>IF($A258="","",IFERROR(INDEX(Blueprint_Data!$G:$G,MATCH($A258,Blueprint_Data!$A:$A,0)),""))</x:f>
      </x:c>
      <x:c r="D258" s="10" t="e">
        <x:f>IF($A258="","",IFERROR(INDEX(Blueprint_Data!$W:$W,MATCH($A258,Blueprint_Data!$A:$A,0)),""))</x:f>
      </x:c>
      <x:c r="E258" s="10" t="s">
        <x:v>77</x:v>
      </x:c>
      <x:c r="F258" s="10"/>
      <x:c r="G258" s="10">
        <x:v>0</x:v>
      </x:c>
      <x:c r="H258" s="10">
        <x:v>0</x:v>
      </x:c>
      <x:c r="I258" s="10" t="s">
        <x:v>77</x:v>
      </x:c>
      <x:c r="J258" s="10">
        <x:v>0</x:v>
      </x:c>
      <x:c r="K258" s="10"/>
    </x:row>
    <x:row r="259" ht="33.25" customHeight="1">
      <x:c r="A259" s="10" t="e">
        <x:f>IFERROR(INDEX(Dependencies!$C$2:$C$5000,_xludf.AGGREGATE(15,6,(ROW(Dependencies!$A$2:$A$5000)-ROW(Dependencies!$A$2)+1)/(Dependencies!$A$2:$A$5000=$B$3),ROWS($A$20:A259))),"")</x:f>
      </x:c>
      <x:c r="B259" s="10" t="e">
        <x:f>IF($A259="","",IFERROR(INDEX(Blueprint_Data!$F:$F,MATCH($A259,Blueprint_Data!$A:$A,0)),""))</x:f>
      </x:c>
      <x:c r="C259" s="10" t="e">
        <x:f>IF($A259="","",IFERROR(INDEX(Blueprint_Data!$G:$G,MATCH($A259,Blueprint_Data!$A:$A,0)),""))</x:f>
      </x:c>
      <x:c r="D259" s="10" t="e">
        <x:f>IF($A259="","",IFERROR(INDEX(Blueprint_Data!$W:$W,MATCH($A259,Blueprint_Data!$A:$A,0)),""))</x:f>
      </x:c>
      <x:c r="E259" s="10" t="s">
        <x:v>77</x:v>
      </x:c>
      <x:c r="F259" s="10"/>
      <x:c r="G259" s="10">
        <x:v>0</x:v>
      </x:c>
      <x:c r="H259" s="10">
        <x:v>0</x:v>
      </x:c>
      <x:c r="I259" s="10" t="s">
        <x:v>77</x:v>
      </x:c>
      <x:c r="J259" s="10">
        <x:v>0</x:v>
      </x:c>
      <x:c r="K259" s="10"/>
    </x:row>
    <x:row r="260" ht="33.25" customHeight="1">
      <x:c r="A260" s="10" t="e">
        <x:f>IFERROR(INDEX(Dependencies!$C$2:$C$5000,_xludf.AGGREGATE(15,6,(ROW(Dependencies!$A$2:$A$5000)-ROW(Dependencies!$A$2)+1)/(Dependencies!$A$2:$A$5000=$B$3),ROWS($A$20:A260))),"")</x:f>
      </x:c>
      <x:c r="B260" s="10" t="e">
        <x:f>IF($A260="","",IFERROR(INDEX(Blueprint_Data!$F:$F,MATCH($A260,Blueprint_Data!$A:$A,0)),""))</x:f>
      </x:c>
      <x:c r="C260" s="10" t="e">
        <x:f>IF($A260="","",IFERROR(INDEX(Blueprint_Data!$G:$G,MATCH($A260,Blueprint_Data!$A:$A,0)),""))</x:f>
      </x:c>
      <x:c r="D260" s="10" t="e">
        <x:f>IF($A260="","",IFERROR(INDEX(Blueprint_Data!$W:$W,MATCH($A260,Blueprint_Data!$A:$A,0)),""))</x:f>
      </x:c>
      <x:c r="E260" s="10" t="s">
        <x:v>77</x:v>
      </x:c>
      <x:c r="F260" s="10"/>
      <x:c r="G260" s="10">
        <x:v>0</x:v>
      </x:c>
      <x:c r="H260" s="10">
        <x:v>0</x:v>
      </x:c>
      <x:c r="I260" s="10" t="s">
        <x:v>77</x:v>
      </x:c>
      <x:c r="J260" s="10">
        <x:v>0</x:v>
      </x:c>
      <x:c r="K260" s="10"/>
    </x:row>
    <x:row r="261" ht="66.25" customHeight="1">
      <x:c r="A261" s="10" t="e">
        <x:f>IFERROR(INDEX(Dependencies!$C$2:$C$5000,_xludf.AGGREGATE(15,6,(ROW(Dependencies!$A$2:$A$5000)-ROW(Dependencies!$A$2)+1)/(Dependencies!$A$2:$A$5000=$B$3),ROWS($A$20:A261))),"")</x:f>
      </x:c>
      <x:c r="B261" s="10" t="e">
        <x:f>IF($A261="","",IFERROR(INDEX(Blueprint_Data!$F:$F,MATCH($A261,Blueprint_Data!$A:$A,0)),""))</x:f>
      </x:c>
      <x:c r="C261" s="10" t="e">
        <x:f>IF($A261="","",IFERROR(INDEX(Blueprint_Data!$G:$G,MATCH($A261,Blueprint_Data!$A:$A,0)),""))</x:f>
      </x:c>
      <x:c r="D261" s="10" t="e">
        <x:f>IF($A261="","",IFERROR(INDEX(Blueprint_Data!$W:$W,MATCH($A261,Blueprint_Data!$A:$A,0)),""))</x:f>
      </x:c>
      <x:c r="E261" s="10" t="s">
        <x:v>77</x:v>
      </x:c>
      <x:c r="F261" s="10" t="s">
        <x:v>79</x:v>
      </x:c>
      <x:c r="G261" s="10">
        <x:v>2</x:v>
      </x:c>
      <x:c r="H261" s="10">
        <x:v>0</x:v>
      </x:c>
      <x:c r="I261" s="10" t="s">
        <x:v>80</x:v>
      </x:c>
      <x:c r="J261" s="10">
        <x:v>0</x:v>
      </x:c>
      <x:c r="K261" s="10"/>
    </x:row>
    <x:row r="262" ht="33.25" customHeight="1">
      <x:c r="A262" s="10" t="e">
        <x:f>IFERROR(INDEX(Dependencies!$C$2:$C$5000,_xludf.AGGREGATE(15,6,(ROW(Dependencies!$A$2:$A$5000)-ROW(Dependencies!$A$2)+1)/(Dependencies!$A$2:$A$5000=$B$3),ROWS($A$20:A262))),"")</x:f>
      </x:c>
      <x:c r="B262" s="10" t="e">
        <x:f>IF($A262="","",IFERROR(INDEX(Blueprint_Data!$F:$F,MATCH($A262,Blueprint_Data!$A:$A,0)),""))</x:f>
      </x:c>
      <x:c r="C262" s="10" t="e">
        <x:f>IF($A262="","",IFERROR(INDEX(Blueprint_Data!$G:$G,MATCH($A262,Blueprint_Data!$A:$A,0)),""))</x:f>
      </x:c>
      <x:c r="D262" s="10" t="e">
        <x:f>IF($A262="","",IFERROR(INDEX(Blueprint_Data!$W:$W,MATCH($A262,Blueprint_Data!$A:$A,0)),""))</x:f>
      </x:c>
      <x:c r="E262" s="10" t="s">
        <x:v>77</x:v>
      </x:c>
      <x:c r="F262" s="10" t="s">
        <x:v>69</x:v>
      </x:c>
      <x:c r="G262" s="10">
        <x:v>0</x:v>
      </x:c>
      <x:c r="H262" s="10">
        <x:v>0</x:v>
      </x:c>
      <x:c r="I262" s="10" t="s">
        <x:v>80</x:v>
      </x:c>
      <x:c r="J262" s="10">
        <x:v>0</x:v>
      </x:c>
      <x:c r="K262" s="10"/>
    </x:row>
    <x:row r="263" ht="33.25" customHeight="1">
      <x:c r="A263" s="10" t="e">
        <x:f>IFERROR(INDEX(Dependencies!$C$2:$C$5000,_xludf.AGGREGATE(15,6,(ROW(Dependencies!$A$2:$A$5000)-ROW(Dependencies!$A$2)+1)/(Dependencies!$A$2:$A$5000=$B$3),ROWS($A$20:A263))),"")</x:f>
      </x:c>
      <x:c r="B263" s="10" t="e">
        <x:f>IF($A263="","",IFERROR(INDEX(Blueprint_Data!$F:$F,MATCH($A263,Blueprint_Data!$A:$A,0)),""))</x:f>
      </x:c>
      <x:c r="C263" s="10" t="e">
        <x:f>IF($A263="","",IFERROR(INDEX(Blueprint_Data!$G:$G,MATCH($A263,Blueprint_Data!$A:$A,0)),""))</x:f>
      </x:c>
      <x:c r="D263" s="10" t="e">
        <x:f>IF($A263="","",IFERROR(INDEX(Blueprint_Data!$W:$W,MATCH($A263,Blueprint_Data!$A:$A,0)),""))</x:f>
      </x:c>
      <x:c r="E263" s="10" t="s">
        <x:v>77</x:v>
      </x:c>
      <x:c r="F263" s="10" t="s">
        <x:v>69</x:v>
      </x:c>
      <x:c r="G263" s="10">
        <x:v>0</x:v>
      </x:c>
      <x:c r="H263" s="10">
        <x:v>0</x:v>
      </x:c>
      <x:c r="I263" s="10" t="s">
        <x:v>80</x:v>
      </x:c>
      <x:c r="J263" s="10">
        <x:v>0</x:v>
      </x:c>
      <x:c r="K263" s="10"/>
    </x:row>
    <x:row r="264" ht="33.25" customHeight="1">
      <x:c r="A264" s="10" t="e">
        <x:f>IFERROR(INDEX(Dependencies!$C$2:$C$5000,_xludf.AGGREGATE(15,6,(ROW(Dependencies!$A$2:$A$5000)-ROW(Dependencies!$A$2)+1)/(Dependencies!$A$2:$A$5000=$B$3),ROWS($A$20:A264))),"")</x:f>
      </x:c>
      <x:c r="B264" s="10" t="e">
        <x:f>IF($A264="","",IFERROR(INDEX(Blueprint_Data!$F:$F,MATCH($A264,Blueprint_Data!$A:$A,0)),""))</x:f>
      </x:c>
      <x:c r="C264" s="10" t="e">
        <x:f>IF($A264="","",IFERROR(INDEX(Blueprint_Data!$G:$G,MATCH($A264,Blueprint_Data!$A:$A,0)),""))</x:f>
      </x:c>
      <x:c r="D264" s="10" t="e">
        <x:f>IF($A264="","",IFERROR(INDEX(Blueprint_Data!$W:$W,MATCH($A264,Blueprint_Data!$A:$A,0)),""))</x:f>
      </x:c>
      <x:c r="E264" s="10" t="s">
        <x:v>77</x:v>
      </x:c>
      <x:c r="F264" s="10"/>
      <x:c r="G264" s="10">
        <x:v>0</x:v>
      </x:c>
      <x:c r="H264" s="10">
        <x:v>0</x:v>
      </x:c>
      <x:c r="I264" s="10" t="s">
        <x:v>77</x:v>
      </x:c>
      <x:c r="J264" s="10">
        <x:v>0</x:v>
      </x:c>
      <x:c r="K264" s="10"/>
    </x:row>
    <x:row r="265" ht="33.25" customHeight="1">
      <x:c r="A265" s="10" t="e">
        <x:f>IFERROR(INDEX(Dependencies!$C$2:$C$5000,_xludf.AGGREGATE(15,6,(ROW(Dependencies!$A$2:$A$5000)-ROW(Dependencies!$A$2)+1)/(Dependencies!$A$2:$A$5000=$B$3),ROWS($A$20:A265))),"")</x:f>
      </x:c>
      <x:c r="B265" s="10" t="e">
        <x:f>IF($A265="","",IFERROR(INDEX(Blueprint_Data!$F:$F,MATCH($A265,Blueprint_Data!$A:$A,0)),""))</x:f>
      </x:c>
      <x:c r="C265" s="10" t="e">
        <x:f>IF($A265="","",IFERROR(INDEX(Blueprint_Data!$G:$G,MATCH($A265,Blueprint_Data!$A:$A,0)),""))</x:f>
      </x:c>
      <x:c r="D265" s="10" t="e">
        <x:f>IF($A265="","",IFERROR(INDEX(Blueprint_Data!$W:$W,MATCH($A265,Blueprint_Data!$A:$A,0)),""))</x:f>
      </x:c>
      <x:c r="E265" s="10" t="s">
        <x:v>77</x:v>
      </x:c>
      <x:c r="F265" s="10"/>
      <x:c r="G265" s="10">
        <x:v>0</x:v>
      </x:c>
      <x:c r="H265" s="10">
        <x:v>0</x:v>
      </x:c>
      <x:c r="I265" s="10" t="s">
        <x:v>77</x:v>
      </x:c>
      <x:c r="J265" s="10">
        <x:v>0</x:v>
      </x:c>
      <x:c r="K265" s="10"/>
    </x:row>
    <x:row r="266" ht="33.25" customHeight="1">
      <x:c r="A266" s="10" t="e">
        <x:f>IFERROR(INDEX(Dependencies!$C$2:$C$5000,_xludf.AGGREGATE(15,6,(ROW(Dependencies!$A$2:$A$5000)-ROW(Dependencies!$A$2)+1)/(Dependencies!$A$2:$A$5000=$B$3),ROWS($A$20:A266))),"")</x:f>
      </x:c>
      <x:c r="B266" s="10" t="e">
        <x:f>IF($A266="","",IFERROR(INDEX(Blueprint_Data!$F:$F,MATCH($A266,Blueprint_Data!$A:$A,0)),""))</x:f>
      </x:c>
      <x:c r="C266" s="10" t="e">
        <x:f>IF($A266="","",IFERROR(INDEX(Blueprint_Data!$G:$G,MATCH($A266,Blueprint_Data!$A:$A,0)),""))</x:f>
      </x:c>
      <x:c r="D266" s="10" t="e">
        <x:f>IF($A266="","",IFERROR(INDEX(Blueprint_Data!$W:$W,MATCH($A266,Blueprint_Data!$A:$A,0)),""))</x:f>
      </x:c>
      <x:c r="E266" s="10" t="s">
        <x:v>77</x:v>
      </x:c>
      <x:c r="F266" s="10"/>
      <x:c r="G266" s="10">
        <x:v>0</x:v>
      </x:c>
      <x:c r="H266" s="10">
        <x:v>0</x:v>
      </x:c>
      <x:c r="I266" s="10" t="s">
        <x:v>77</x:v>
      </x:c>
      <x:c r="J266" s="10">
        <x:v>0</x:v>
      </x:c>
      <x:c r="K266" s="10"/>
    </x:row>
    <x:row r="267" ht="33.25" customHeight="1">
      <x:c r="A267" s="10" t="e">
        <x:f>IFERROR(INDEX(Dependencies!$C$2:$C$5000,_xludf.AGGREGATE(15,6,(ROW(Dependencies!$A$2:$A$5000)-ROW(Dependencies!$A$2)+1)/(Dependencies!$A$2:$A$5000=$B$3),ROWS($A$20:A267))),"")</x:f>
      </x:c>
      <x:c r="B267" s="10" t="e">
        <x:f>IF($A267="","",IFERROR(INDEX(Blueprint_Data!$F:$F,MATCH($A267,Blueprint_Data!$A:$A,0)),""))</x:f>
      </x:c>
      <x:c r="C267" s="10" t="e">
        <x:f>IF($A267="","",IFERROR(INDEX(Blueprint_Data!$G:$G,MATCH($A267,Blueprint_Data!$A:$A,0)),""))</x:f>
      </x:c>
      <x:c r="D267" s="10" t="e">
        <x:f>IF($A267="","",IFERROR(INDEX(Blueprint_Data!$W:$W,MATCH($A267,Blueprint_Data!$A:$A,0)),""))</x:f>
      </x:c>
      <x:c r="E267" s="10" t="s">
        <x:v>77</x:v>
      </x:c>
      <x:c r="F267" s="10" t="s">
        <x:v>78</x:v>
      </x:c>
      <x:c r="G267" s="10">
        <x:v>2</x:v>
      </x:c>
      <x:c r="H267" s="10">
        <x:v>0</x:v>
      </x:c>
      <x:c r="I267" s="10" t="s">
        <x:v>77</x:v>
      </x:c>
      <x:c r="J267" s="10">
        <x:v>0</x:v>
      </x:c>
      <x:c r="K267" s="10"/>
    </x:row>
    <x:row r="268" ht="33.25" customHeight="1">
      <x:c r="A268" s="10" t="e">
        <x:f>IFERROR(INDEX(Dependencies!$C$2:$C$5000,_xludf.AGGREGATE(15,6,(ROW(Dependencies!$A$2:$A$5000)-ROW(Dependencies!$A$2)+1)/(Dependencies!$A$2:$A$5000=$B$3),ROWS($A$20:A268))),"")</x:f>
      </x:c>
      <x:c r="B268" s="10" t="e">
        <x:f>IF($A268="","",IFERROR(INDEX(Blueprint_Data!$F:$F,MATCH($A268,Blueprint_Data!$A:$A,0)),""))</x:f>
      </x:c>
      <x:c r="C268" s="10" t="e">
        <x:f>IF($A268="","",IFERROR(INDEX(Blueprint_Data!$G:$G,MATCH($A268,Blueprint_Data!$A:$A,0)),""))</x:f>
      </x:c>
      <x:c r="D268" s="10" t="e">
        <x:f>IF($A268="","",IFERROR(INDEX(Blueprint_Data!$W:$W,MATCH($A268,Blueprint_Data!$A:$A,0)),""))</x:f>
      </x:c>
      <x:c r="E268" s="10" t="s">
        <x:v>77</x:v>
      </x:c>
      <x:c r="F268" s="10"/>
      <x:c r="G268" s="10">
        <x:v>0</x:v>
      </x:c>
      <x:c r="H268" s="10">
        <x:v>0</x:v>
      </x:c>
      <x:c r="I268" s="10" t="s">
        <x:v>77</x:v>
      </x:c>
      <x:c r="J268" s="10">
        <x:v>0</x:v>
      </x:c>
      <x:c r="K268" s="10"/>
    </x:row>
    <x:row r="269" ht="33.25" customHeight="1">
      <x:c r="A269" s="10" t="e">
        <x:f>IFERROR(INDEX(Dependencies!$C$2:$C$5000,_xludf.AGGREGATE(15,6,(ROW(Dependencies!$A$2:$A$5000)-ROW(Dependencies!$A$2)+1)/(Dependencies!$A$2:$A$5000=$B$3),ROWS($A$20:A269))),"")</x:f>
      </x:c>
      <x:c r="B269" s="10" t="e">
        <x:f>IF($A269="","",IFERROR(INDEX(Blueprint_Data!$F:$F,MATCH($A269,Blueprint_Data!$A:$A,0)),""))</x:f>
      </x:c>
      <x:c r="C269" s="10" t="e">
        <x:f>IF($A269="","",IFERROR(INDEX(Blueprint_Data!$G:$G,MATCH($A269,Blueprint_Data!$A:$A,0)),""))</x:f>
      </x:c>
      <x:c r="D269" s="10" t="e">
        <x:f>IF($A269="","",IFERROR(INDEX(Blueprint_Data!$W:$W,MATCH($A269,Blueprint_Data!$A:$A,0)),""))</x:f>
      </x:c>
      <x:c r="E269" s="10" t="s">
        <x:v>77</x:v>
      </x:c>
      <x:c r="F269" s="10"/>
      <x:c r="G269" s="10">
        <x:v>0</x:v>
      </x:c>
      <x:c r="H269" s="10">
        <x:v>0</x:v>
      </x:c>
      <x:c r="I269" s="10" t="s">
        <x:v>77</x:v>
      </x:c>
      <x:c r="J269" s="10">
        <x:v>0</x:v>
      </x:c>
      <x:c r="K269" s="10"/>
    </x:row>
    <x:row r="270" ht="33.25" customHeight="1">
      <x:c r="A270" s="10" t="e">
        <x:f>IFERROR(INDEX(Dependencies!$C$2:$C$5000,_xludf.AGGREGATE(15,6,(ROW(Dependencies!$A$2:$A$5000)-ROW(Dependencies!$A$2)+1)/(Dependencies!$A$2:$A$5000=$B$3),ROWS($A$20:A270))),"")</x:f>
      </x:c>
      <x:c r="B270" s="10" t="e">
        <x:f>IF($A270="","",IFERROR(INDEX(Blueprint_Data!$F:$F,MATCH($A270,Blueprint_Data!$A:$A,0)),""))</x:f>
      </x:c>
      <x:c r="C270" s="10" t="e">
        <x:f>IF($A270="","",IFERROR(INDEX(Blueprint_Data!$G:$G,MATCH($A270,Blueprint_Data!$A:$A,0)),""))</x:f>
      </x:c>
      <x:c r="D270" s="10" t="e">
        <x:f>IF($A270="","",IFERROR(INDEX(Blueprint_Data!$W:$W,MATCH($A270,Blueprint_Data!$A:$A,0)),""))</x:f>
      </x:c>
      <x:c r="E270" s="10" t="s">
        <x:v>77</x:v>
      </x:c>
      <x:c r="F270" s="10"/>
      <x:c r="G270" s="10">
        <x:v>0</x:v>
      </x:c>
      <x:c r="H270" s="10">
        <x:v>0</x:v>
      </x:c>
      <x:c r="I270" s="10" t="s">
        <x:v>77</x:v>
      </x:c>
      <x:c r="J270" s="10">
        <x:v>0</x:v>
      </x:c>
      <x:c r="K270" s="10"/>
    </x:row>
    <x:row r="271" ht="33.25" customHeight="1">
      <x:c r="A271" s="10" t="e">
        <x:f>IFERROR(INDEX(Dependencies!$C$2:$C$5000,_xludf.AGGREGATE(15,6,(ROW(Dependencies!$A$2:$A$5000)-ROW(Dependencies!$A$2)+1)/(Dependencies!$A$2:$A$5000=$B$3),ROWS($A$20:A271))),"")</x:f>
      </x:c>
      <x:c r="B271" s="10" t="e">
        <x:f>IF($A271="","",IFERROR(INDEX(Blueprint_Data!$F:$F,MATCH($A271,Blueprint_Data!$A:$A,0)),""))</x:f>
      </x:c>
      <x:c r="C271" s="10" t="e">
        <x:f>IF($A271="","",IFERROR(INDEX(Blueprint_Data!$G:$G,MATCH($A271,Blueprint_Data!$A:$A,0)),""))</x:f>
      </x:c>
      <x:c r="D271" s="10" t="e">
        <x:f>IF($A271="","",IFERROR(INDEX(Blueprint_Data!$W:$W,MATCH($A271,Blueprint_Data!$A:$A,0)),""))</x:f>
      </x:c>
      <x:c r="E271" s="10" t="s">
        <x:v>77</x:v>
      </x:c>
      <x:c r="F271" s="10"/>
      <x:c r="G271" s="10">
        <x:v>0</x:v>
      </x:c>
      <x:c r="H271" s="10">
        <x:v>0</x:v>
      </x:c>
      <x:c r="I271" s="10" t="s">
        <x:v>77</x:v>
      </x:c>
      <x:c r="J271" s="10">
        <x:v>0</x:v>
      </x:c>
      <x:c r="K271" s="10"/>
    </x:row>
    <x:row r="272" ht="33.25" customHeight="1">
      <x:c r="A272" s="10" t="e">
        <x:f>IFERROR(INDEX(Dependencies!$C$2:$C$5000,_xludf.AGGREGATE(15,6,(ROW(Dependencies!$A$2:$A$5000)-ROW(Dependencies!$A$2)+1)/(Dependencies!$A$2:$A$5000=$B$3),ROWS($A$20:A272))),"")</x:f>
      </x:c>
      <x:c r="B272" s="10" t="e">
        <x:f>IF($A272="","",IFERROR(INDEX(Blueprint_Data!$F:$F,MATCH($A272,Blueprint_Data!$A:$A,0)),""))</x:f>
      </x:c>
      <x:c r="C272" s="10" t="e">
        <x:f>IF($A272="","",IFERROR(INDEX(Blueprint_Data!$G:$G,MATCH($A272,Blueprint_Data!$A:$A,0)),""))</x:f>
      </x:c>
      <x:c r="D272" s="10" t="e">
        <x:f>IF($A272="","",IFERROR(INDEX(Blueprint_Data!$W:$W,MATCH($A272,Blueprint_Data!$A:$A,0)),""))</x:f>
      </x:c>
      <x:c r="E272" s="10" t="s">
        <x:v>77</x:v>
      </x:c>
      <x:c r="F272" s="10"/>
      <x:c r="G272" s="10">
        <x:v>0</x:v>
      </x:c>
      <x:c r="H272" s="10">
        <x:v>0</x:v>
      </x:c>
      <x:c r="I272" s="10" t="s">
        <x:v>77</x:v>
      </x:c>
      <x:c r="J272" s="10">
        <x:v>0</x:v>
      </x:c>
      <x:c r="K272" s="10"/>
    </x:row>
    <x:row r="273" ht="33.25" customHeight="1">
      <x:c r="A273" s="10" t="e">
        <x:f>IFERROR(INDEX(Dependencies!$C$2:$C$5000,_xludf.AGGREGATE(15,6,(ROW(Dependencies!$A$2:$A$5000)-ROW(Dependencies!$A$2)+1)/(Dependencies!$A$2:$A$5000=$B$3),ROWS($A$20:A273))),"")</x:f>
      </x:c>
      <x:c r="B273" s="10" t="e">
        <x:f>IF($A273="","",IFERROR(INDEX(Blueprint_Data!$F:$F,MATCH($A273,Blueprint_Data!$A:$A,0)),""))</x:f>
      </x:c>
      <x:c r="C273" s="10" t="e">
        <x:f>IF($A273="","",IFERROR(INDEX(Blueprint_Data!$G:$G,MATCH($A273,Blueprint_Data!$A:$A,0)),""))</x:f>
      </x:c>
      <x:c r="D273" s="10" t="e">
        <x:f>IF($A273="","",IFERROR(INDEX(Blueprint_Data!$W:$W,MATCH($A273,Blueprint_Data!$A:$A,0)),""))</x:f>
      </x:c>
      <x:c r="E273" s="10" t="s">
        <x:v>77</x:v>
      </x:c>
      <x:c r="F273" s="10"/>
      <x:c r="G273" s="10">
        <x:v>0</x:v>
      </x:c>
      <x:c r="H273" s="10">
        <x:v>0</x:v>
      </x:c>
      <x:c r="I273" s="10" t="s">
        <x:v>77</x:v>
      </x:c>
      <x:c r="J273" s="10">
        <x:v>0</x:v>
      </x:c>
      <x:c r="K273" s="10"/>
    </x:row>
    <x:row r="274" ht="33.25" customHeight="1">
      <x:c r="A274" s="10" t="e">
        <x:f>IFERROR(INDEX(Dependencies!$C$2:$C$5000,_xludf.AGGREGATE(15,6,(ROW(Dependencies!$A$2:$A$5000)-ROW(Dependencies!$A$2)+1)/(Dependencies!$A$2:$A$5000=$B$3),ROWS($A$20:A274))),"")</x:f>
      </x:c>
      <x:c r="B274" s="10" t="e">
        <x:f>IF($A274="","",IFERROR(INDEX(Blueprint_Data!$F:$F,MATCH($A274,Blueprint_Data!$A:$A,0)),""))</x:f>
      </x:c>
      <x:c r="C274" s="10" t="e">
        <x:f>IF($A274="","",IFERROR(INDEX(Blueprint_Data!$G:$G,MATCH($A274,Blueprint_Data!$A:$A,0)),""))</x:f>
      </x:c>
      <x:c r="D274" s="10" t="e">
        <x:f>IF($A274="","",IFERROR(INDEX(Blueprint_Data!$W:$W,MATCH($A274,Blueprint_Data!$A:$A,0)),""))</x:f>
      </x:c>
      <x:c r="E274" s="10" t="s">
        <x:v>77</x:v>
      </x:c>
      <x:c r="F274" s="10"/>
      <x:c r="G274" s="10">
        <x:v>0</x:v>
      </x:c>
      <x:c r="H274" s="10">
        <x:v>0</x:v>
      </x:c>
      <x:c r="I274" s="10" t="s">
        <x:v>77</x:v>
      </x:c>
      <x:c r="J274" s="10">
        <x:v>0</x:v>
      </x:c>
      <x:c r="K274" s="10"/>
    </x:row>
    <x:row r="275" ht="33.25" customHeight="1">
      <x:c r="A275" s="10" t="e">
        <x:f>IFERROR(INDEX(Dependencies!$C$2:$C$5000,_xludf.AGGREGATE(15,6,(ROW(Dependencies!$A$2:$A$5000)-ROW(Dependencies!$A$2)+1)/(Dependencies!$A$2:$A$5000=$B$3),ROWS($A$20:A275))),"")</x:f>
      </x:c>
      <x:c r="B275" s="10" t="e">
        <x:f>IF($A275="","",IFERROR(INDEX(Blueprint_Data!$F:$F,MATCH($A275,Blueprint_Data!$A:$A,0)),""))</x:f>
      </x:c>
      <x:c r="C275" s="10" t="e">
        <x:f>IF($A275="","",IFERROR(INDEX(Blueprint_Data!$G:$G,MATCH($A275,Blueprint_Data!$A:$A,0)),""))</x:f>
      </x:c>
      <x:c r="D275" s="10" t="e">
        <x:f>IF($A275="","",IFERROR(INDEX(Blueprint_Data!$W:$W,MATCH($A275,Blueprint_Data!$A:$A,0)),""))</x:f>
      </x:c>
      <x:c r="E275" s="10" t="s">
        <x:v>77</x:v>
      </x:c>
      <x:c r="F275" s="10"/>
      <x:c r="G275" s="10">
        <x:v>0</x:v>
      </x:c>
      <x:c r="H275" s="10">
        <x:v>0</x:v>
      </x:c>
      <x:c r="I275" s="10" t="s">
        <x:v>77</x:v>
      </x:c>
      <x:c r="J275" s="10">
        <x:v>0</x:v>
      </x:c>
      <x:c r="K275" s="10"/>
    </x:row>
    <x:row r="276" ht="33.25" customHeight="1">
      <x:c r="A276" s="10" t="e">
        <x:f>IFERROR(INDEX(Dependencies!$C$2:$C$5000,_xludf.AGGREGATE(15,6,(ROW(Dependencies!$A$2:$A$5000)-ROW(Dependencies!$A$2)+1)/(Dependencies!$A$2:$A$5000=$B$3),ROWS($A$20:A276))),"")</x:f>
      </x:c>
      <x:c r="B276" s="10" t="e">
        <x:f>IF($A276="","",IFERROR(INDEX(Blueprint_Data!$F:$F,MATCH($A276,Blueprint_Data!$A:$A,0)),""))</x:f>
      </x:c>
      <x:c r="C276" s="10" t="e">
        <x:f>IF($A276="","",IFERROR(INDEX(Blueprint_Data!$G:$G,MATCH($A276,Blueprint_Data!$A:$A,0)),""))</x:f>
      </x:c>
      <x:c r="D276" s="10" t="e">
        <x:f>IF($A276="","",IFERROR(INDEX(Blueprint_Data!$W:$W,MATCH($A276,Blueprint_Data!$A:$A,0)),""))</x:f>
      </x:c>
      <x:c r="E276" s="10" t="s">
        <x:v>77</x:v>
      </x:c>
      <x:c r="F276" s="10"/>
      <x:c r="G276" s="10">
        <x:v>0</x:v>
      </x:c>
      <x:c r="H276" s="10">
        <x:v>0</x:v>
      </x:c>
      <x:c r="I276" s="10" t="s">
        <x:v>77</x:v>
      </x:c>
      <x:c r="J276" s="10">
        <x:v>0</x:v>
      </x:c>
      <x:c r="K276" s="10"/>
    </x:row>
    <x:row r="277" ht="33.25" customHeight="1">
      <x:c r="A277" s="10" t="e">
        <x:f>IFERROR(INDEX(Dependencies!$C$2:$C$5000,_xludf.AGGREGATE(15,6,(ROW(Dependencies!$A$2:$A$5000)-ROW(Dependencies!$A$2)+1)/(Dependencies!$A$2:$A$5000=$B$3),ROWS($A$20:A277))),"")</x:f>
      </x:c>
      <x:c r="B277" s="10" t="e">
        <x:f>IF($A277="","",IFERROR(INDEX(Blueprint_Data!$F:$F,MATCH($A277,Blueprint_Data!$A:$A,0)),""))</x:f>
      </x:c>
      <x:c r="C277" s="10" t="e">
        <x:f>IF($A277="","",IFERROR(INDEX(Blueprint_Data!$G:$G,MATCH($A277,Blueprint_Data!$A:$A,0)),""))</x:f>
      </x:c>
      <x:c r="D277" s="10" t="e">
        <x:f>IF($A277="","",IFERROR(INDEX(Blueprint_Data!$W:$W,MATCH($A277,Blueprint_Data!$A:$A,0)),""))</x:f>
      </x:c>
      <x:c r="E277" s="10" t="s">
        <x:v>77</x:v>
      </x:c>
      <x:c r="F277" s="10"/>
      <x:c r="G277" s="10">
        <x:v>0</x:v>
      </x:c>
      <x:c r="H277" s="10">
        <x:v>0</x:v>
      </x:c>
      <x:c r="I277" s="10" t="s">
        <x:v>77</x:v>
      </x:c>
      <x:c r="J277" s="10">
        <x:v>0</x:v>
      </x:c>
      <x:c r="K277" s="10"/>
    </x:row>
    <x:row r="278" ht="33.25" customHeight="1">
      <x:c r="A278" s="10" t="e">
        <x:f>IFERROR(INDEX(Dependencies!$C$2:$C$5000,_xludf.AGGREGATE(15,6,(ROW(Dependencies!$A$2:$A$5000)-ROW(Dependencies!$A$2)+1)/(Dependencies!$A$2:$A$5000=$B$3),ROWS($A$20:A278))),"")</x:f>
      </x:c>
      <x:c r="B278" s="10" t="e">
        <x:f>IF($A278="","",IFERROR(INDEX(Blueprint_Data!$F:$F,MATCH($A278,Blueprint_Data!$A:$A,0)),""))</x:f>
      </x:c>
      <x:c r="C278" s="10" t="e">
        <x:f>IF($A278="","",IFERROR(INDEX(Blueprint_Data!$G:$G,MATCH($A278,Blueprint_Data!$A:$A,0)),""))</x:f>
      </x:c>
      <x:c r="D278" s="10" t="e">
        <x:f>IF($A278="","",IFERROR(INDEX(Blueprint_Data!$W:$W,MATCH($A278,Blueprint_Data!$A:$A,0)),""))</x:f>
      </x:c>
      <x:c r="E278" s="10" t="s">
        <x:v>77</x:v>
      </x:c>
      <x:c r="F278" s="10"/>
      <x:c r="G278" s="10">
        <x:v>0</x:v>
      </x:c>
      <x:c r="H278" s="10">
        <x:v>0</x:v>
      </x:c>
      <x:c r="I278" s="10" t="s">
        <x:v>77</x:v>
      </x:c>
      <x:c r="J278" s="10">
        <x:v>0</x:v>
      </x:c>
      <x:c r="K278" s="10"/>
    </x:row>
    <x:row r="279" ht="33.25" customHeight="1">
      <x:c r="A279" s="10" t="e">
        <x:f>IFERROR(INDEX(Dependencies!$C$2:$C$5000,_xludf.AGGREGATE(15,6,(ROW(Dependencies!$A$2:$A$5000)-ROW(Dependencies!$A$2)+1)/(Dependencies!$A$2:$A$5000=$B$3),ROWS($A$20:A279))),"")</x:f>
      </x:c>
      <x:c r="B279" s="10" t="e">
        <x:f>IF($A279="","",IFERROR(INDEX(Blueprint_Data!$F:$F,MATCH($A279,Blueprint_Data!$A:$A,0)),""))</x:f>
      </x:c>
      <x:c r="C279" s="10" t="e">
        <x:f>IF($A279="","",IFERROR(INDEX(Blueprint_Data!$G:$G,MATCH($A279,Blueprint_Data!$A:$A,0)),""))</x:f>
      </x:c>
      <x:c r="D279" s="10" t="e">
        <x:f>IF($A279="","",IFERROR(INDEX(Blueprint_Data!$W:$W,MATCH($A279,Blueprint_Data!$A:$A,0)),""))</x:f>
      </x:c>
      <x:c r="E279" s="10" t="s">
        <x:v>77</x:v>
      </x:c>
      <x:c r="F279" s="10"/>
      <x:c r="G279" s="10">
        <x:v>0</x:v>
      </x:c>
      <x:c r="H279" s="10">
        <x:v>0</x:v>
      </x:c>
      <x:c r="I279" s="10" t="s">
        <x:v>77</x:v>
      </x:c>
      <x:c r="J279" s="10">
        <x:v>0</x:v>
      </x:c>
      <x:c r="K279" s="10"/>
    </x:row>
    <x:row r="280" ht="33.25" customHeight="1">
      <x:c r="A280" s="10" t="e">
        <x:f>IFERROR(INDEX(Dependencies!$C$2:$C$5000,_xludf.AGGREGATE(15,6,(ROW(Dependencies!$A$2:$A$5000)-ROW(Dependencies!$A$2)+1)/(Dependencies!$A$2:$A$5000=$B$3),ROWS($A$20:A280))),"")</x:f>
      </x:c>
      <x:c r="B280" s="10" t="e">
        <x:f>IF($A280="","",IFERROR(INDEX(Blueprint_Data!$F:$F,MATCH($A280,Blueprint_Data!$A:$A,0)),""))</x:f>
      </x:c>
      <x:c r="C280" s="10" t="e">
        <x:f>IF($A280="","",IFERROR(INDEX(Blueprint_Data!$G:$G,MATCH($A280,Blueprint_Data!$A:$A,0)),""))</x:f>
      </x:c>
      <x:c r="D280" s="10" t="e">
        <x:f>IF($A280="","",IFERROR(INDEX(Blueprint_Data!$W:$W,MATCH($A280,Blueprint_Data!$A:$A,0)),""))</x:f>
      </x:c>
      <x:c r="E280" s="10" t="s">
        <x:v>77</x:v>
      </x:c>
      <x:c r="F280" s="10"/>
      <x:c r="G280" s="10">
        <x:v>0</x:v>
      </x:c>
      <x:c r="H280" s="10">
        <x:v>0</x:v>
      </x:c>
      <x:c r="I280" s="10" t="s">
        <x:v>77</x:v>
      </x:c>
      <x:c r="J280" s="10">
        <x:v>0</x:v>
      </x:c>
      <x:c r="K280" s="10"/>
    </x:row>
    <x:row r="281" ht="33.25" customHeight="1">
      <x:c r="A281" s="10" t="e">
        <x:f>IFERROR(INDEX(Dependencies!$C$2:$C$5000,_xludf.AGGREGATE(15,6,(ROW(Dependencies!$A$2:$A$5000)-ROW(Dependencies!$A$2)+1)/(Dependencies!$A$2:$A$5000=$B$3),ROWS($A$20:A281))),"")</x:f>
      </x:c>
      <x:c r="B281" s="10" t="e">
        <x:f>IF($A281="","",IFERROR(INDEX(Blueprint_Data!$F:$F,MATCH($A281,Blueprint_Data!$A:$A,0)),""))</x:f>
      </x:c>
      <x:c r="C281" s="10" t="e">
        <x:f>IF($A281="","",IFERROR(INDEX(Blueprint_Data!$G:$G,MATCH($A281,Blueprint_Data!$A:$A,0)),""))</x:f>
      </x:c>
      <x:c r="D281" s="10" t="e">
        <x:f>IF($A281="","",IFERROR(INDEX(Blueprint_Data!$W:$W,MATCH($A281,Blueprint_Data!$A:$A,0)),""))</x:f>
      </x:c>
      <x:c r="E281" s="10" t="s">
        <x:v>77</x:v>
      </x:c>
      <x:c r="F281" s="10"/>
      <x:c r="G281" s="10">
        <x:v>0</x:v>
      </x:c>
      <x:c r="H281" s="10">
        <x:v>0</x:v>
      </x:c>
      <x:c r="I281" s="10" t="s">
        <x:v>77</x:v>
      </x:c>
      <x:c r="J281" s="10">
        <x:v>0</x:v>
      </x:c>
      <x:c r="K281" s="10"/>
    </x:row>
    <x:row r="282" ht="33.25" customHeight="1">
      <x:c r="A282" s="10" t="e">
        <x:f>IFERROR(INDEX(Dependencies!$C$2:$C$5000,_xludf.AGGREGATE(15,6,(ROW(Dependencies!$A$2:$A$5000)-ROW(Dependencies!$A$2)+1)/(Dependencies!$A$2:$A$5000=$B$3),ROWS($A$20:A282))),"")</x:f>
      </x:c>
      <x:c r="B282" s="10" t="e">
        <x:f>IF($A282="","",IFERROR(INDEX(Blueprint_Data!$F:$F,MATCH($A282,Blueprint_Data!$A:$A,0)),""))</x:f>
      </x:c>
      <x:c r="C282" s="10" t="e">
        <x:f>IF($A282="","",IFERROR(INDEX(Blueprint_Data!$G:$G,MATCH($A282,Blueprint_Data!$A:$A,0)),""))</x:f>
      </x:c>
      <x:c r="D282" s="10" t="e">
        <x:f>IF($A282="","",IFERROR(INDEX(Blueprint_Data!$W:$W,MATCH($A282,Blueprint_Data!$A:$A,0)),""))</x:f>
      </x:c>
      <x:c r="E282" s="10" t="s">
        <x:v>77</x:v>
      </x:c>
      <x:c r="F282" s="10"/>
      <x:c r="G282" s="10">
        <x:v>0</x:v>
      </x:c>
      <x:c r="H282" s="10">
        <x:v>0</x:v>
      </x:c>
      <x:c r="I282" s="10" t="s">
        <x:v>77</x:v>
      </x:c>
      <x:c r="J282" s="10">
        <x:v>0</x:v>
      </x:c>
      <x:c r="K282" s="10"/>
    </x:row>
    <x:row r="283" ht="33.25" customHeight="1">
      <x:c r="A283" s="10" t="e">
        <x:f>IFERROR(INDEX(Dependencies!$C$2:$C$5000,_xludf.AGGREGATE(15,6,(ROW(Dependencies!$A$2:$A$5000)-ROW(Dependencies!$A$2)+1)/(Dependencies!$A$2:$A$5000=$B$3),ROWS($A$20:A283))),"")</x:f>
      </x:c>
      <x:c r="B283" s="10" t="e">
        <x:f>IF($A283="","",IFERROR(INDEX(Blueprint_Data!$F:$F,MATCH($A283,Blueprint_Data!$A:$A,0)),""))</x:f>
      </x:c>
      <x:c r="C283" s="10" t="e">
        <x:f>IF($A283="","",IFERROR(INDEX(Blueprint_Data!$G:$G,MATCH($A283,Blueprint_Data!$A:$A,0)),""))</x:f>
      </x:c>
      <x:c r="D283" s="10" t="e">
        <x:f>IF($A283="","",IFERROR(INDEX(Blueprint_Data!$W:$W,MATCH($A283,Blueprint_Data!$A:$A,0)),""))</x:f>
      </x:c>
      <x:c r="E283" s="10" t="s">
        <x:v>77</x:v>
      </x:c>
      <x:c r="F283" s="10"/>
      <x:c r="G283" s="10">
        <x:v>0</x:v>
      </x:c>
      <x:c r="H283" s="10">
        <x:v>0</x:v>
      </x:c>
      <x:c r="I283" s="10" t="s">
        <x:v>77</x:v>
      </x:c>
      <x:c r="J283" s="10">
        <x:v>0</x:v>
      </x:c>
      <x:c r="K283" s="10"/>
    </x:row>
    <x:row r="284" ht="33.25" customHeight="1">
      <x:c r="A284" s="10" t="e">
        <x:f>IFERROR(INDEX(Dependencies!$C$2:$C$5000,_xludf.AGGREGATE(15,6,(ROW(Dependencies!$A$2:$A$5000)-ROW(Dependencies!$A$2)+1)/(Dependencies!$A$2:$A$5000=$B$3),ROWS($A$20:A284))),"")</x:f>
      </x:c>
      <x:c r="B284" s="10" t="e">
        <x:f>IF($A284="","",IFERROR(INDEX(Blueprint_Data!$F:$F,MATCH($A284,Blueprint_Data!$A:$A,0)),""))</x:f>
      </x:c>
      <x:c r="C284" s="10" t="e">
        <x:f>IF($A284="","",IFERROR(INDEX(Blueprint_Data!$G:$G,MATCH($A284,Blueprint_Data!$A:$A,0)),""))</x:f>
      </x:c>
      <x:c r="D284" s="10" t="e">
        <x:f>IF($A284="","",IFERROR(INDEX(Blueprint_Data!$W:$W,MATCH($A284,Blueprint_Data!$A:$A,0)),""))</x:f>
      </x:c>
      <x:c r="E284" s="10" t="s">
        <x:v>77</x:v>
      </x:c>
      <x:c r="F284" s="10"/>
      <x:c r="G284" s="10">
        <x:v>0</x:v>
      </x:c>
      <x:c r="H284" s="10">
        <x:v>0</x:v>
      </x:c>
      <x:c r="I284" s="10" t="s">
        <x:v>77</x:v>
      </x:c>
      <x:c r="J284" s="10">
        <x:v>0</x:v>
      </x:c>
      <x:c r="K284" s="10"/>
    </x:row>
    <x:row r="285" ht="33.25" customHeight="1">
      <x:c r="A285" s="10" t="e">
        <x:f>IFERROR(INDEX(Dependencies!$C$2:$C$5000,_xludf.AGGREGATE(15,6,(ROW(Dependencies!$A$2:$A$5000)-ROW(Dependencies!$A$2)+1)/(Dependencies!$A$2:$A$5000=$B$3),ROWS($A$20:A285))),"")</x:f>
      </x:c>
      <x:c r="B285" s="10" t="e">
        <x:f>IF($A285="","",IFERROR(INDEX(Blueprint_Data!$F:$F,MATCH($A285,Blueprint_Data!$A:$A,0)),""))</x:f>
      </x:c>
      <x:c r="C285" s="10" t="e">
        <x:f>IF($A285="","",IFERROR(INDEX(Blueprint_Data!$G:$G,MATCH($A285,Blueprint_Data!$A:$A,0)),""))</x:f>
      </x:c>
      <x:c r="D285" s="10" t="e">
        <x:f>IF($A285="","",IFERROR(INDEX(Blueprint_Data!$W:$W,MATCH($A285,Blueprint_Data!$A:$A,0)),""))</x:f>
      </x:c>
      <x:c r="E285" s="10" t="s">
        <x:v>77</x:v>
      </x:c>
      <x:c r="F285" s="10"/>
      <x:c r="G285" s="10">
        <x:v>0</x:v>
      </x:c>
      <x:c r="H285" s="10">
        <x:v>0</x:v>
      </x:c>
      <x:c r="I285" s="10" t="s">
        <x:v>77</x:v>
      </x:c>
      <x:c r="J285" s="10">
        <x:v>0</x:v>
      </x:c>
      <x:c r="K285" s="10"/>
    </x:row>
    <x:row r="286" ht="33.25" customHeight="1">
      <x:c r="A286" s="10" t="e">
        <x:f>IFERROR(INDEX(Dependencies!$C$2:$C$5000,_xludf.AGGREGATE(15,6,(ROW(Dependencies!$A$2:$A$5000)-ROW(Dependencies!$A$2)+1)/(Dependencies!$A$2:$A$5000=$B$3),ROWS($A$20:A286))),"")</x:f>
      </x:c>
      <x:c r="B286" s="10" t="e">
        <x:f>IF($A286="","",IFERROR(INDEX(Blueprint_Data!$F:$F,MATCH($A286,Blueprint_Data!$A:$A,0)),""))</x:f>
      </x:c>
      <x:c r="C286" s="10" t="e">
        <x:f>IF($A286="","",IFERROR(INDEX(Blueprint_Data!$G:$G,MATCH($A286,Blueprint_Data!$A:$A,0)),""))</x:f>
      </x:c>
      <x:c r="D286" s="10" t="e">
        <x:f>IF($A286="","",IFERROR(INDEX(Blueprint_Data!$W:$W,MATCH($A286,Blueprint_Data!$A:$A,0)),""))</x:f>
      </x:c>
      <x:c r="E286" s="10" t="s">
        <x:v>77</x:v>
      </x:c>
      <x:c r="F286" s="10"/>
      <x:c r="G286" s="10">
        <x:v>0</x:v>
      </x:c>
      <x:c r="H286" s="10">
        <x:v>0</x:v>
      </x:c>
      <x:c r="I286" s="10" t="s">
        <x:v>77</x:v>
      </x:c>
      <x:c r="J286" s="10">
        <x:v>0</x:v>
      </x:c>
      <x:c r="K286" s="10"/>
    </x:row>
    <x:row r="287" ht="33.25" customHeight="1">
      <x:c r="A287" s="10" t="e">
        <x:f>IFERROR(INDEX(Dependencies!$C$2:$C$5000,_xludf.AGGREGATE(15,6,(ROW(Dependencies!$A$2:$A$5000)-ROW(Dependencies!$A$2)+1)/(Dependencies!$A$2:$A$5000=$B$3),ROWS($A$20:A287))),"")</x:f>
      </x:c>
      <x:c r="B287" s="10" t="e">
        <x:f>IF($A287="","",IFERROR(INDEX(Blueprint_Data!$F:$F,MATCH($A287,Blueprint_Data!$A:$A,0)),""))</x:f>
      </x:c>
      <x:c r="C287" s="10" t="e">
        <x:f>IF($A287="","",IFERROR(INDEX(Blueprint_Data!$G:$G,MATCH($A287,Blueprint_Data!$A:$A,0)),""))</x:f>
      </x:c>
      <x:c r="D287" s="10" t="e">
        <x:f>IF($A287="","",IFERROR(INDEX(Blueprint_Data!$W:$W,MATCH($A287,Blueprint_Data!$A:$A,0)),""))</x:f>
      </x:c>
      <x:c r="E287" s="10" t="s">
        <x:v>77</x:v>
      </x:c>
      <x:c r="F287" s="10"/>
      <x:c r="G287" s="10">
        <x:v>0</x:v>
      </x:c>
      <x:c r="H287" s="10">
        <x:v>0</x:v>
      </x:c>
      <x:c r="I287" s="10" t="s">
        <x:v>77</x:v>
      </x:c>
      <x:c r="J287" s="10">
        <x:v>0</x:v>
      </x:c>
      <x:c r="K287" s="10"/>
    </x:row>
    <x:row r="288" ht="33.25" customHeight="1">
      <x:c r="A288" s="10" t="e">
        <x:f>IFERROR(INDEX(Dependencies!$C$2:$C$5000,_xludf.AGGREGATE(15,6,(ROW(Dependencies!$A$2:$A$5000)-ROW(Dependencies!$A$2)+1)/(Dependencies!$A$2:$A$5000=$B$3),ROWS($A$20:A288))),"")</x:f>
      </x:c>
      <x:c r="B288" s="10" t="e">
        <x:f>IF($A288="","",IFERROR(INDEX(Blueprint_Data!$F:$F,MATCH($A288,Blueprint_Data!$A:$A,0)),""))</x:f>
      </x:c>
      <x:c r="C288" s="10" t="e">
        <x:f>IF($A288="","",IFERROR(INDEX(Blueprint_Data!$G:$G,MATCH($A288,Blueprint_Data!$A:$A,0)),""))</x:f>
      </x:c>
      <x:c r="D288" s="10" t="e">
        <x:f>IF($A288="","",IFERROR(INDEX(Blueprint_Data!$W:$W,MATCH($A288,Blueprint_Data!$A:$A,0)),""))</x:f>
      </x:c>
      <x:c r="E288" s="10" t="s">
        <x:v>77</x:v>
      </x:c>
      <x:c r="F288" s="10"/>
      <x:c r="G288" s="10">
        <x:v>0</x:v>
      </x:c>
      <x:c r="H288" s="10">
        <x:v>0</x:v>
      </x:c>
      <x:c r="I288" s="10" t="s">
        <x:v>77</x:v>
      </x:c>
      <x:c r="J288" s="10">
        <x:v>0</x:v>
      </x:c>
      <x:c r="K288" s="10"/>
    </x:row>
    <x:row r="289" ht="33.25" customHeight="1">
      <x:c r="A289" s="10" t="e">
        <x:f>IFERROR(INDEX(Dependencies!$C$2:$C$5000,_xludf.AGGREGATE(15,6,(ROW(Dependencies!$A$2:$A$5000)-ROW(Dependencies!$A$2)+1)/(Dependencies!$A$2:$A$5000=$B$3),ROWS($A$20:A289))),"")</x:f>
      </x:c>
      <x:c r="B289" s="10" t="e">
        <x:f>IF($A289="","",IFERROR(INDEX(Blueprint_Data!$F:$F,MATCH($A289,Blueprint_Data!$A:$A,0)),""))</x:f>
      </x:c>
      <x:c r="C289" s="10" t="e">
        <x:f>IF($A289="","",IFERROR(INDEX(Blueprint_Data!$G:$G,MATCH($A289,Blueprint_Data!$A:$A,0)),""))</x:f>
      </x:c>
      <x:c r="D289" s="10" t="e">
        <x:f>IF($A289="","",IFERROR(INDEX(Blueprint_Data!$W:$W,MATCH($A289,Blueprint_Data!$A:$A,0)),""))</x:f>
      </x:c>
      <x:c r="E289" s="10" t="s">
        <x:v>77</x:v>
      </x:c>
      <x:c r="F289" s="10"/>
      <x:c r="G289" s="10">
        <x:v>0</x:v>
      </x:c>
      <x:c r="H289" s="10">
        <x:v>0</x:v>
      </x:c>
      <x:c r="I289" s="10" t="s">
        <x:v>77</x:v>
      </x:c>
      <x:c r="J289" s="10">
        <x:v>0</x:v>
      </x:c>
      <x:c r="K289" s="10"/>
    </x:row>
    <x:row r="290" ht="33.25" customHeight="1">
      <x:c r="A290" s="10" t="e">
        <x:f>IFERROR(INDEX(Dependencies!$C$2:$C$5000,_xludf.AGGREGATE(15,6,(ROW(Dependencies!$A$2:$A$5000)-ROW(Dependencies!$A$2)+1)/(Dependencies!$A$2:$A$5000=$B$3),ROWS($A$20:A290))),"")</x:f>
      </x:c>
      <x:c r="B290" s="10" t="e">
        <x:f>IF($A290="","",IFERROR(INDEX(Blueprint_Data!$F:$F,MATCH($A290,Blueprint_Data!$A:$A,0)),""))</x:f>
      </x:c>
      <x:c r="C290" s="10" t="e">
        <x:f>IF($A290="","",IFERROR(INDEX(Blueprint_Data!$G:$G,MATCH($A290,Blueprint_Data!$A:$A,0)),""))</x:f>
      </x:c>
      <x:c r="D290" s="10" t="e">
        <x:f>IF($A290="","",IFERROR(INDEX(Blueprint_Data!$W:$W,MATCH($A290,Blueprint_Data!$A:$A,0)),""))</x:f>
      </x:c>
      <x:c r="E290" s="10" t="s">
        <x:v>77</x:v>
      </x:c>
      <x:c r="F290" s="10"/>
      <x:c r="G290" s="10">
        <x:v>0</x:v>
      </x:c>
      <x:c r="H290" s="10">
        <x:v>0</x:v>
      </x:c>
      <x:c r="I290" s="10" t="s">
        <x:v>77</x:v>
      </x:c>
      <x:c r="J290" s="10">
        <x:v>0</x:v>
      </x:c>
      <x:c r="K290" s="10"/>
    </x:row>
    <x:row r="291" ht="33.25" customHeight="1">
      <x:c r="A291" s="10" t="e">
        <x:f>IFERROR(INDEX(Dependencies!$C$2:$C$5000,_xludf.AGGREGATE(15,6,(ROW(Dependencies!$A$2:$A$5000)-ROW(Dependencies!$A$2)+1)/(Dependencies!$A$2:$A$5000=$B$3),ROWS($A$20:A291))),"")</x:f>
      </x:c>
      <x:c r="B291" s="10" t="e">
        <x:f>IF($A291="","",IFERROR(INDEX(Blueprint_Data!$F:$F,MATCH($A291,Blueprint_Data!$A:$A,0)),""))</x:f>
      </x:c>
      <x:c r="C291" s="10" t="e">
        <x:f>IF($A291="","",IFERROR(INDEX(Blueprint_Data!$G:$G,MATCH($A291,Blueprint_Data!$A:$A,0)),""))</x:f>
      </x:c>
      <x:c r="D291" s="10" t="e">
        <x:f>IF($A291="","",IFERROR(INDEX(Blueprint_Data!$W:$W,MATCH($A291,Blueprint_Data!$A:$A,0)),""))</x:f>
      </x:c>
      <x:c r="E291" s="10" t="s">
        <x:v>77</x:v>
      </x:c>
      <x:c r="F291" s="10"/>
      <x:c r="G291" s="10">
        <x:v>0</x:v>
      </x:c>
      <x:c r="H291" s="10">
        <x:v>0</x:v>
      </x:c>
      <x:c r="I291" s="10" t="s">
        <x:v>77</x:v>
      </x:c>
      <x:c r="J291" s="10">
        <x:v>0</x:v>
      </x:c>
      <x:c r="K291" s="10"/>
    </x:row>
    <x:row r="292" ht="33.25" customHeight="1">
      <x:c r="A292" s="10" t="e">
        <x:f>IFERROR(INDEX(Dependencies!$C$2:$C$5000,_xludf.AGGREGATE(15,6,(ROW(Dependencies!$A$2:$A$5000)-ROW(Dependencies!$A$2)+1)/(Dependencies!$A$2:$A$5000=$B$3),ROWS($A$20:A292))),"")</x:f>
      </x:c>
      <x:c r="B292" s="10" t="e">
        <x:f>IF($A292="","",IFERROR(INDEX(Blueprint_Data!$F:$F,MATCH($A292,Blueprint_Data!$A:$A,0)),""))</x:f>
      </x:c>
      <x:c r="C292" s="10" t="e">
        <x:f>IF($A292="","",IFERROR(INDEX(Blueprint_Data!$G:$G,MATCH($A292,Blueprint_Data!$A:$A,0)),""))</x:f>
      </x:c>
      <x:c r="D292" s="10" t="e">
        <x:f>IF($A292="","",IFERROR(INDEX(Blueprint_Data!$W:$W,MATCH($A292,Blueprint_Data!$A:$A,0)),""))</x:f>
      </x:c>
      <x:c r="E292" s="10" t="s">
        <x:v>77</x:v>
      </x:c>
      <x:c r="F292" s="10"/>
      <x:c r="G292" s="10">
        <x:v>0</x:v>
      </x:c>
      <x:c r="H292" s="10">
        <x:v>0</x:v>
      </x:c>
      <x:c r="I292" s="10" t="s">
        <x:v>77</x:v>
      </x:c>
      <x:c r="J292" s="10">
        <x:v>0</x:v>
      </x:c>
      <x:c r="K292" s="10"/>
    </x:row>
    <x:row r="293" ht="33.25" customHeight="1">
      <x:c r="A293" s="10" t="e">
        <x:f>IFERROR(INDEX(Dependencies!$C$2:$C$5000,_xludf.AGGREGATE(15,6,(ROW(Dependencies!$A$2:$A$5000)-ROW(Dependencies!$A$2)+1)/(Dependencies!$A$2:$A$5000=$B$3),ROWS($A$20:A293))),"")</x:f>
      </x:c>
      <x:c r="B293" s="10" t="e">
        <x:f>IF($A293="","",IFERROR(INDEX(Blueprint_Data!$F:$F,MATCH($A293,Blueprint_Data!$A:$A,0)),""))</x:f>
      </x:c>
      <x:c r="C293" s="10" t="e">
        <x:f>IF($A293="","",IFERROR(INDEX(Blueprint_Data!$G:$G,MATCH($A293,Blueprint_Data!$A:$A,0)),""))</x:f>
      </x:c>
      <x:c r="D293" s="10" t="e">
        <x:f>IF($A293="","",IFERROR(INDEX(Blueprint_Data!$W:$W,MATCH($A293,Blueprint_Data!$A:$A,0)),""))</x:f>
      </x:c>
      <x:c r="E293" s="10" t="s">
        <x:v>77</x:v>
      </x:c>
      <x:c r="F293" s="10"/>
      <x:c r="G293" s="10">
        <x:v>0</x:v>
      </x:c>
      <x:c r="H293" s="10">
        <x:v>0</x:v>
      </x:c>
      <x:c r="I293" s="10" t="s">
        <x:v>77</x:v>
      </x:c>
      <x:c r="J293" s="10">
        <x:v>0</x:v>
      </x:c>
      <x:c r="K293" s="10"/>
    </x:row>
    <x:row r="294" ht="33.25" customHeight="1">
      <x:c r="A294" s="10" t="e">
        <x:f>IFERROR(INDEX(Dependencies!$C$2:$C$5000,_xludf.AGGREGATE(15,6,(ROW(Dependencies!$A$2:$A$5000)-ROW(Dependencies!$A$2)+1)/(Dependencies!$A$2:$A$5000=$B$3),ROWS($A$20:A294))),"")</x:f>
      </x:c>
      <x:c r="B294" s="10" t="e">
        <x:f>IF($A294="","",IFERROR(INDEX(Blueprint_Data!$F:$F,MATCH($A294,Blueprint_Data!$A:$A,0)),""))</x:f>
      </x:c>
      <x:c r="C294" s="10" t="e">
        <x:f>IF($A294="","",IFERROR(INDEX(Blueprint_Data!$G:$G,MATCH($A294,Blueprint_Data!$A:$A,0)),""))</x:f>
      </x:c>
      <x:c r="D294" s="10" t="e">
        <x:f>IF($A294="","",IFERROR(INDEX(Blueprint_Data!$W:$W,MATCH($A294,Blueprint_Data!$A:$A,0)),""))</x:f>
      </x:c>
      <x:c r="E294" s="10" t="s">
        <x:v>77</x:v>
      </x:c>
      <x:c r="F294" s="10"/>
      <x:c r="G294" s="10">
        <x:v>0</x:v>
      </x:c>
      <x:c r="H294" s="10">
        <x:v>0</x:v>
      </x:c>
      <x:c r="I294" s="10" t="s">
        <x:v>77</x:v>
      </x:c>
      <x:c r="J294" s="10">
        <x:v>0</x:v>
      </x:c>
      <x:c r="K294" s="10"/>
    </x:row>
    <x:row r="295" ht="33.25" customHeight="1">
      <x:c r="A295" s="10" t="e">
        <x:f>IFERROR(INDEX(Dependencies!$C$2:$C$5000,_xludf.AGGREGATE(15,6,(ROW(Dependencies!$A$2:$A$5000)-ROW(Dependencies!$A$2)+1)/(Dependencies!$A$2:$A$5000=$B$3),ROWS($A$20:A295))),"")</x:f>
      </x:c>
      <x:c r="B295" s="10" t="e">
        <x:f>IF($A295="","",IFERROR(INDEX(Blueprint_Data!$F:$F,MATCH($A295,Blueprint_Data!$A:$A,0)),""))</x:f>
      </x:c>
      <x:c r="C295" s="10" t="e">
        <x:f>IF($A295="","",IFERROR(INDEX(Blueprint_Data!$G:$G,MATCH($A295,Blueprint_Data!$A:$A,0)),""))</x:f>
      </x:c>
      <x:c r="D295" s="10" t="e">
        <x:f>IF($A295="","",IFERROR(INDEX(Blueprint_Data!$W:$W,MATCH($A295,Blueprint_Data!$A:$A,0)),""))</x:f>
      </x:c>
      <x:c r="E295" s="10" t="s">
        <x:v>77</x:v>
      </x:c>
      <x:c r="F295" s="10"/>
      <x:c r="G295" s="10">
        <x:v>0</x:v>
      </x:c>
      <x:c r="H295" s="10">
        <x:v>0</x:v>
      </x:c>
      <x:c r="I295" s="10" t="s">
        <x:v>77</x:v>
      </x:c>
      <x:c r="J295" s="10">
        <x:v>0</x:v>
      </x:c>
      <x:c r="K295" s="10"/>
    </x:row>
    <x:row r="296" ht="33.25" customHeight="1">
      <x:c r="A296" s="10" t="e">
        <x:f>IFERROR(INDEX(Dependencies!$C$2:$C$5000,_xludf.AGGREGATE(15,6,(ROW(Dependencies!$A$2:$A$5000)-ROW(Dependencies!$A$2)+1)/(Dependencies!$A$2:$A$5000=$B$3),ROWS($A$20:A296))),"")</x:f>
      </x:c>
      <x:c r="B296" s="10" t="e">
        <x:f>IF($A296="","",IFERROR(INDEX(Blueprint_Data!$F:$F,MATCH($A296,Blueprint_Data!$A:$A,0)),""))</x:f>
      </x:c>
      <x:c r="C296" s="10" t="e">
        <x:f>IF($A296="","",IFERROR(INDEX(Blueprint_Data!$G:$G,MATCH($A296,Blueprint_Data!$A:$A,0)),""))</x:f>
      </x:c>
      <x:c r="D296" s="10" t="e">
        <x:f>IF($A296="","",IFERROR(INDEX(Blueprint_Data!$W:$W,MATCH($A296,Blueprint_Data!$A:$A,0)),""))</x:f>
      </x:c>
      <x:c r="E296" s="10" t="s">
        <x:v>77</x:v>
      </x:c>
      <x:c r="F296" s="10"/>
      <x:c r="G296" s="10">
        <x:v>0</x:v>
      </x:c>
      <x:c r="H296" s="10">
        <x:v>0</x:v>
      </x:c>
      <x:c r="I296" s="10" t="s">
        <x:v>77</x:v>
      </x:c>
      <x:c r="J296" s="10">
        <x:v>0</x:v>
      </x:c>
      <x:c r="K296" s="10"/>
    </x:row>
  </x:sheetData>
  <x:pageMargins left="0.7" right="0.7" top="0.75" bottom="0.75" header="0.3" footer="0.3"/>
</x:worksheet>
</file>

<file path=xl/worksheets/sheet3.xml><?xml version="1.0" encoding="utf-8"?>
<x:worksheet xmlns:x="http://schemas.openxmlformats.org/spreadsheetml/2006/main">
  <x:sheetFormatPr baseColWidth="10" defaultRowHeight="13"/>
  <x:cols>
    <x:col min="1" max="2" width="10.83203125" style="1" customWidth="1"/>
    <x:col min="3" max="7" width="14.6640625" style="1" customWidth="1"/>
    <x:col min="8" max="8" width="14.6640625" style="2" customWidth="1"/>
    <x:col min="9" max="16" width="33.5" style="1" customWidth="1"/>
    <x:col min="17" max="18" width="10.83203125" style="1" customWidth="1"/>
    <x:col min="19" max="16384" width="10.83203125" style="1" customWidth="0"/>
  </x:cols>
  <x:sheetData>
    <x:row r="4" ht="57" customHeight="1">
      <x:c r="C4" s="3" t="s">
        <x:v>62</x:v>
      </x:c>
      <x:c r="D4" s="3" t="s">
        <x:v>81</x:v>
      </x:c>
      <x:c r="E4" s="3" t="s">
        <x:v>82</x:v>
      </x:c>
      <x:c r="F4" s="3" t="s">
        <x:v>83</x:v>
      </x:c>
      <x:c r="G4" s="3" t="s">
        <x:v>61</x:v>
      </x:c>
      <x:c r="H4" s="4" t="s">
        <x:v>63</x:v>
      </x:c>
      <x:c r="I4" s="3" t="s">
        <x:v>84</x:v>
      </x:c>
      <x:c r="J4" s="3" t="s">
        <x:v>85</x:v>
      </x:c>
      <x:c r="K4" s="3" t="s">
        <x:v>86</x:v>
      </x:c>
      <x:c r="L4" s="3" t="s">
        <x:v>87</x:v>
      </x:c>
      <x:c r="M4" s="3" t="s">
        <x:v>88</x:v>
      </x:c>
      <x:c r="N4" s="3" t="s">
        <x:v>89</x:v>
      </x:c>
      <x:c r="O4" s="3" t="s">
        <x:v>90</x:v>
      </x:c>
      <x:c r="P4" s="3" t="s">
        <x:v>91</x:v>
      </x:c>
    </x:row>
    <x:row r="5" ht="227.75" customHeight="1">
      <x:c r="C5" s="5" t="s">
        <x:v>92</x:v>
      </x:c>
      <x:c r="D5" s="5" t="s">
        <x:v>93</x:v>
      </x:c>
      <x:c r="E5" s="5" t="s">
        <x:v>94</x:v>
      </x:c>
      <x:c r="F5" s="5" t="s">
        <x:v>95</x:v>
      </x:c>
      <x:c r="G5" s="5" t="s">
        <x:v>96</x:v>
      </x:c>
      <x:c r="H5" s="6" t="s">
        <x:v>97</x:v>
      </x:c>
      <x:c r="I5" s="5" t="s">
        <x:v>98</x:v>
      </x:c>
      <x:c r="J5" s="5" t="s">
        <x:v>99</x:v>
      </x:c>
      <x:c r="K5" s="5" t="s">
        <x:v>100</x:v>
      </x:c>
      <x:c r="L5" s="5" t="s">
        <x:v>101</x:v>
      </x:c>
      <x:c r="M5" s="5" t="s">
        <x:v>102</x:v>
      </x:c>
      <x:c r="N5" s="5" t="s">
        <x:v>103</x:v>
      </x:c>
      <x:c r="O5" s="5" t="s">
        <x:v>104</x:v>
      </x:c>
      <x:c r="P5" s="5" t="s">
        <x:v>105</x:v>
      </x:c>
    </x:row>
    <x:row r="6" ht="85.25" customHeight="1">
      <x:c r="C6" s="5"/>
      <x:c r="D6" s="5"/>
      <x:c r="E6" s="5"/>
      <x:c r="F6" s="5"/>
      <x:c r="G6" s="5" t="s">
        <x:v>106</x:v>
      </x:c>
      <x:c r="H6" s="6" t="s">
        <x:v>97</x:v>
      </x:c>
      <x:c r="I6" s="5" t="s">
        <x:v>107</x:v>
      </x:c>
      <x:c r="J6" s="5" t="s">
        <x:v>108</x:v>
      </x:c>
      <x:c r="K6" s="5" t="s">
        <x:v>109</x:v>
      </x:c>
      <x:c r="L6" s="5" t="s">
        <x:v>101</x:v>
      </x:c>
      <x:c r="M6" s="5" t="s">
        <x:v>110</x:v>
      </x:c>
      <x:c r="N6" s="5" t="s">
        <x:v>111</x:v>
      </x:c>
      <x:c r="O6" s="5" t="s">
        <x:v>104</x:v>
      </x:c>
      <x:c r="P6" s="5" t="s">
        <x:v>112</x:v>
      </x:c>
    </x:row>
    <x:row r="7" ht="57" customHeight="1">
      <x:c r="C7" s="5"/>
      <x:c r="D7" s="5"/>
      <x:c r="E7" s="5"/>
      <x:c r="F7" s="5"/>
      <x:c r="G7" s="5" t="s">
        <x:v>113</x:v>
      </x:c>
      <x:c r="H7" s="6" t="s">
        <x:v>97</x:v>
      </x:c>
      <x:c r="I7" s="5" t="s">
        <x:v>106</x:v>
      </x:c>
      <x:c r="J7" s="5" t="s">
        <x:v>114</x:v>
      </x:c>
      <x:c r="K7" s="5" t="s">
        <x:v>115</x:v>
      </x:c>
      <x:c r="L7" s="5" t="s">
        <x:v>101</x:v>
      </x:c>
      <x:c r="M7" s="5" t="s">
        <x:v>116</x:v>
      </x:c>
      <x:c r="N7" s="5" t="s">
        <x:v>117</x:v>
      </x:c>
      <x:c r="O7" s="5" t="s">
        <x:v>104</x:v>
      </x:c>
      <x:c r="P7" s="5" t="s">
        <x:v>118</x:v>
      </x:c>
    </x:row>
    <x:row r="8" ht="57" customHeight="1">
      <x:c r="C8" s="5"/>
      <x:c r="D8" s="5"/>
      <x:c r="E8" s="5"/>
      <x:c r="F8" s="5"/>
      <x:c r="G8" s="5" t="s">
        <x:v>119</x:v>
      </x:c>
      <x:c r="H8" s="6" t="s">
        <x:v>120</x:v>
      </x:c>
      <x:c r="I8" s="5" t="s">
        <x:v>121</x:v>
      </x:c>
      <x:c r="J8" s="5" t="s">
        <x:v>122</x:v>
      </x:c>
      <x:c r="K8" s="5" t="s">
        <x:v>123</x:v>
      </x:c>
      <x:c r="L8" s="5" t="s">
        <x:v>124</x:v>
      </x:c>
      <x:c r="M8" s="5" t="s">
        <x:v>125</x:v>
      </x:c>
      <x:c r="N8" s="5" t="s">
        <x:v>126</x:v>
      </x:c>
      <x:c r="O8" s="5" t="s">
        <x:v>127</x:v>
      </x:c>
      <x:c r="P8" s="5" t="s">
        <x:v>118</x:v>
      </x:c>
    </x:row>
    <x:row r="9" ht="57" customHeight="1">
      <x:c r="C9" s="5"/>
      <x:c r="D9" s="5"/>
      <x:c r="E9" s="5"/>
      <x:c r="F9" s="5"/>
      <x:c r="G9" s="5" t="s">
        <x:v>128</x:v>
      </x:c>
      <x:c r="H9" s="6" t="s">
        <x:v>129</x:v>
      </x:c>
      <x:c r="I9" s="5" t="s">
        <x:v>130</x:v>
      </x:c>
      <x:c r="J9" s="5" t="s">
        <x:v>131</x:v>
      </x:c>
      <x:c r="K9" s="5" t="s">
        <x:v>132</x:v>
      </x:c>
      <x:c r="L9" s="5" t="s">
        <x:v>133</x:v>
      </x:c>
      <x:c r="M9" s="5" t="s">
        <x:v>110</x:v>
      </x:c>
      <x:c r="N9" s="5" t="s">
        <x:v>134</x:v>
      </x:c>
      <x:c r="O9" s="5" t="s">
        <x:v>135</x:v>
      </x:c>
      <x:c r="P9" s="5" t="s">
        <x:v>136</x:v>
      </x:c>
    </x:row>
    <x:row r="10" ht="57" customHeight="1">
      <x:c r="C10" s="5"/>
      <x:c r="D10" s="5"/>
      <x:c r="E10" s="5"/>
      <x:c r="F10" s="5"/>
      <x:c r="G10" s="5" t="s">
        <x:v>137</x:v>
      </x:c>
      <x:c r="H10" s="6" t="s">
        <x:v>97</x:v>
      </x:c>
      <x:c r="I10" s="5" t="s">
        <x:v>138</x:v>
      </x:c>
      <x:c r="J10" s="5" t="s">
        <x:v>139</x:v>
      </x:c>
      <x:c r="K10" s="5" t="s">
        <x:v>140</x:v>
      </x:c>
      <x:c r="L10" s="5" t="s">
        <x:v>141</x:v>
      </x:c>
      <x:c r="M10" s="5" t="s">
        <x:v>142</x:v>
      </x:c>
      <x:c r="N10" s="5" t="s">
        <x:v>143</x:v>
      </x:c>
      <x:c r="O10" s="5" t="s">
        <x:v>135</x:v>
      </x:c>
      <x:c r="P10" s="5" t="s">
        <x:v>144</x:v>
      </x:c>
    </x:row>
    <x:row r="11" ht="57" customHeight="1">
      <x:c r="C11" s="5"/>
      <x:c r="D11" s="5"/>
      <x:c r="E11" s="5"/>
      <x:c r="F11" s="5"/>
      <x:c r="G11" s="5" t="s">
        <x:v>145</x:v>
      </x:c>
      <x:c r="H11" s="6" t="s">
        <x:v>129</x:v>
      </x:c>
      <x:c r="I11" s="5" t="s">
        <x:v>146</x:v>
      </x:c>
      <x:c r="J11" s="5" t="s">
        <x:v>147</x:v>
      </x:c>
      <x:c r="K11" s="5" t="s">
        <x:v>148</x:v>
      </x:c>
      <x:c r="L11" s="5" t="s">
        <x:v>149</x:v>
      </x:c>
      <x:c r="M11" s="5" t="s">
        <x:v>150</x:v>
      </x:c>
      <x:c r="N11" s="5" t="s">
        <x:v>151</x:v>
      </x:c>
      <x:c r="O11" s="5" t="s">
        <x:v>152</x:v>
      </x:c>
      <x:c r="P11" s="5" t="s">
        <x:v>136</x:v>
      </x:c>
    </x:row>
    <x:row r="12" ht="85.25" customHeight="1">
      <x:c r="C12" s="5"/>
      <x:c r="D12" s="5"/>
      <x:c r="E12" s="5"/>
      <x:c r="F12" s="5"/>
      <x:c r="G12" s="5" t="s">
        <x:v>153</x:v>
      </x:c>
      <x:c r="H12" s="6" t="s">
        <x:v>154</x:v>
      </x:c>
      <x:c r="I12" s="5" t="s">
        <x:v>155</x:v>
      </x:c>
      <x:c r="J12" s="5" t="s">
        <x:v>156</x:v>
      </x:c>
      <x:c r="K12" s="5" t="s">
        <x:v>157</x:v>
      </x:c>
      <x:c r="L12" s="5" t="s">
        <x:v>158</x:v>
      </x:c>
      <x:c r="M12" s="5" t="s">
        <x:v>110</x:v>
      </x:c>
      <x:c r="N12" s="5" t="s">
        <x:v>159</x:v>
      </x:c>
      <x:c r="O12" s="5" t="s">
        <x:v>152</x:v>
      </x:c>
      <x:c r="P12" s="5" t="s">
        <x:v>105</x:v>
      </x:c>
    </x:row>
    <x:row r="13" ht="199" customHeight="1">
      <x:c r="C13" s="5" t="s">
        <x:v>160</x:v>
      </x:c>
      <x:c r="D13" s="5" t="s">
        <x:v>161</x:v>
      </x:c>
      <x:c r="E13" s="5" t="s">
        <x:v>162</x:v>
      </x:c>
      <x:c r="F13" s="5" t="s">
        <x:v>163</x:v>
      </x:c>
      <x:c r="G13" s="5" t="s">
        <x:v>164</x:v>
      </x:c>
      <x:c r="H13" s="6" t="s">
        <x:v>129</x:v>
      </x:c>
      <x:c r="I13" s="5" t="s">
        <x:v>165</x:v>
      </x:c>
      <x:c r="J13" s="5" t="s">
        <x:v>166</x:v>
      </x:c>
      <x:c r="K13" s="5" t="s">
        <x:v>167</x:v>
      </x:c>
      <x:c r="L13" s="5" t="s">
        <x:v>168</x:v>
      </x:c>
      <x:c r="M13" s="5" t="s">
        <x:v>169</x:v>
      </x:c>
      <x:c r="N13" s="5" t="s">
        <x:v>170</x:v>
      </x:c>
      <x:c r="O13" s="5" t="s">
        <x:v>171</x:v>
      </x:c>
      <x:c r="P13" s="5"/>
    </x:row>
    <x:row r="14" ht="85.25" customHeight="1">
      <x:c r="C14" s="5"/>
      <x:c r="D14" s="5"/>
      <x:c r="E14" s="5"/>
      <x:c r="F14" s="5"/>
      <x:c r="G14" s="5" t="s">
        <x:v>172</x:v>
      </x:c>
      <x:c r="H14" s="6" t="s">
        <x:v>129</x:v>
      </x:c>
      <x:c r="I14" s="5" t="s">
        <x:v>164</x:v>
      </x:c>
      <x:c r="J14" s="5" t="s">
        <x:v>173</x:v>
      </x:c>
      <x:c r="K14" s="5" t="s">
        <x:v>174</x:v>
      </x:c>
      <x:c r="L14" s="5" t="s">
        <x:v>168</x:v>
      </x:c>
      <x:c r="M14" s="5" t="s">
        <x:v>175</x:v>
      </x:c>
      <x:c r="N14" s="5" t="s">
        <x:v>176</x:v>
      </x:c>
      <x:c r="O14" s="5" t="s">
        <x:v>171</x:v>
      </x:c>
      <x:c r="P14" s="5"/>
    </x:row>
    <x:row r="15" ht="85.25" customHeight="1">
      <x:c r="C15" s="5"/>
      <x:c r="D15" s="5"/>
      <x:c r="E15" s="5"/>
      <x:c r="F15" s="5"/>
      <x:c r="G15" s="5" t="s">
        <x:v>177</x:v>
      </x:c>
      <x:c r="H15" s="6" t="s">
        <x:v>154</x:v>
      </x:c>
      <x:c r="I15" s="5" t="s">
        <x:v>178</x:v>
      </x:c>
      <x:c r="J15" s="5" t="s">
        <x:v>179</x:v>
      </x:c>
      <x:c r="K15" s="5" t="s">
        <x:v>180</x:v>
      </x:c>
      <x:c r="L15" s="5" t="s">
        <x:v>181</x:v>
      </x:c>
      <x:c r="M15" s="5" t="s">
        <x:v>182</x:v>
      </x:c>
      <x:c r="N15" s="5" t="s">
        <x:v>183</x:v>
      </x:c>
      <x:c r="O15" s="5" t="s">
        <x:v>171</x:v>
      </x:c>
      <x:c r="P15" s="5"/>
    </x:row>
    <x:row r="16" ht="85.25" customHeight="1">
      <x:c r="C16" s="5"/>
      <x:c r="D16" s="5"/>
      <x:c r="E16" s="5"/>
      <x:c r="F16" s="5"/>
      <x:c r="G16" s="5" t="s">
        <x:v>184</x:v>
      </x:c>
      <x:c r="H16" s="6" t="s">
        <x:v>129</x:v>
      </x:c>
      <x:c r="I16" s="5" t="s">
        <x:v>164</x:v>
      </x:c>
      <x:c r="J16" s="5" t="s">
        <x:v>185</x:v>
      </x:c>
      <x:c r="K16" s="5" t="s">
        <x:v>186</x:v>
      </x:c>
      <x:c r="L16" s="5" t="s">
        <x:v>181</x:v>
      </x:c>
      <x:c r="M16" s="5" t="s">
        <x:v>187</x:v>
      </x:c>
      <x:c r="N16" s="5" t="s">
        <x:v>188</x:v>
      </x:c>
      <x:c r="O16" s="5" t="s">
        <x:v>189</x:v>
      </x:c>
      <x:c r="P16" s="5"/>
    </x:row>
    <x:row r="17" ht="170.75" customHeight="1">
      <x:c r="C17" s="5" t="s">
        <x:v>160</x:v>
      </x:c>
      <x:c r="D17" s="5" t="s">
        <x:v>161</x:v>
      </x:c>
      <x:c r="E17" s="5" t="s">
        <x:v>190</x:v>
      </x:c>
      <x:c r="F17" s="5" t="s">
        <x:v>191</x:v>
      </x:c>
      <x:c r="G17" s="5" t="s">
        <x:v>192</x:v>
      </x:c>
      <x:c r="H17" s="6" t="s">
        <x:v>129</x:v>
      </x:c>
      <x:c r="I17" s="5" t="s">
        <x:v>172</x:v>
      </x:c>
      <x:c r="J17" s="5" t="s">
        <x:v>193</x:v>
      </x:c>
      <x:c r="K17" s="5" t="s">
        <x:v>194</x:v>
      </x:c>
      <x:c r="L17" s="5" t="s">
        <x:v>195</x:v>
      </x:c>
      <x:c r="M17" s="5" t="s">
        <x:v>110</x:v>
      </x:c>
      <x:c r="N17" s="5" t="s">
        <x:v>196</x:v>
      </x:c>
      <x:c r="O17" s="5" t="s">
        <x:v>197</x:v>
      </x:c>
      <x:c r="P17" s="5"/>
    </x:row>
    <x:row r="18" ht="57" customHeight="1">
      <x:c r="C18" s="5"/>
      <x:c r="D18" s="5"/>
      <x:c r="E18" s="5"/>
      <x:c r="F18" s="5"/>
      <x:c r="G18" s="5" t="s">
        <x:v>198</x:v>
      </x:c>
      <x:c r="H18" s="6" t="s">
        <x:v>129</x:v>
      </x:c>
      <x:c r="I18" s="5" t="s">
        <x:v>192</x:v>
      </x:c>
      <x:c r="J18" s="5" t="s">
        <x:v>199</x:v>
      </x:c>
      <x:c r="K18" s="5" t="s">
        <x:v>200</x:v>
      </x:c>
      <x:c r="L18" s="5" t="s">
        <x:v>201</x:v>
      </x:c>
      <x:c r="M18" s="5" t="s">
        <x:v>110</x:v>
      </x:c>
      <x:c r="N18" s="5" t="s">
        <x:v>202</x:v>
      </x:c>
      <x:c r="O18" s="5" t="s">
        <x:v>203</x:v>
      </x:c>
      <x:c r="P18" s="5"/>
    </x:row>
    <x:row r="19" ht="85.25" customHeight="1">
      <x:c r="C19" s="5"/>
      <x:c r="D19" s="5"/>
      <x:c r="E19" s="5"/>
      <x:c r="F19" s="5"/>
      <x:c r="G19" s="5" t="s">
        <x:v>204</x:v>
      </x:c>
      <x:c r="H19" s="6" t="s">
        <x:v>154</x:v>
      </x:c>
      <x:c r="I19" s="5" t="s">
        <x:v>205</x:v>
      </x:c>
      <x:c r="J19" s="5" t="s">
        <x:v>206</x:v>
      </x:c>
      <x:c r="K19" s="5" t="s">
        <x:v>207</x:v>
      </x:c>
      <x:c r="L19" s="5" t="s">
        <x:v>208</x:v>
      </x:c>
      <x:c r="M19" s="5" t="s">
        <x:v>209</x:v>
      </x:c>
      <x:c r="N19" s="5" t="s">
        <x:v>210</x:v>
      </x:c>
      <x:c r="O19" s="5" t="s">
        <x:v>171</x:v>
      </x:c>
      <x:c r="P19" s="5"/>
    </x:row>
    <x:row r="20" ht="57" customHeight="1">
      <x:c r="C20" s="5"/>
      <x:c r="D20" s="5"/>
      <x:c r="E20" s="5"/>
      <x:c r="F20" s="5"/>
      <x:c r="G20" s="5" t="s">
        <x:v>211</x:v>
      </x:c>
      <x:c r="H20" s="6" t="s">
        <x:v>120</x:v>
      </x:c>
      <x:c r="I20" s="5" t="s">
        <x:v>204</x:v>
      </x:c>
      <x:c r="J20" s="5" t="s">
        <x:v>212</x:v>
      </x:c>
      <x:c r="K20" s="5" t="s">
        <x:v>213</x:v>
      </x:c>
      <x:c r="L20" s="5" t="s">
        <x:v>208</x:v>
      </x:c>
      <x:c r="M20" s="5" t="s">
        <x:v>214</x:v>
      </x:c>
      <x:c r="N20" s="5" t="s">
        <x:v>215</x:v>
      </x:c>
      <x:c r="O20" s="5" t="s">
        <x:v>197</x:v>
      </x:c>
      <x:c r="P20" s="5"/>
    </x:row>
    <x:row r="21" ht="170.75" customHeight="1">
      <x:c r="C21" s="5" t="s">
        <x:v>160</x:v>
      </x:c>
      <x:c r="D21" s="5" t="s">
        <x:v>216</x:v>
      </x:c>
      <x:c r="E21" s="5" t="s">
        <x:v>217</x:v>
      </x:c>
      <x:c r="F21" s="5" t="s">
        <x:v>218</x:v>
      </x:c>
      <x:c r="G21" s="5" t="s">
        <x:v>219</x:v>
      </x:c>
      <x:c r="H21" s="6" t="s">
        <x:v>129</x:v>
      </x:c>
      <x:c r="I21" s="5" t="s">
        <x:v>164</x:v>
      </x:c>
      <x:c r="J21" s="5" t="s">
        <x:v>220</x:v>
      </x:c>
      <x:c r="K21" s="5" t="s">
        <x:v>221</x:v>
      </x:c>
      <x:c r="L21" s="5" t="s">
        <x:v>222</x:v>
      </x:c>
      <x:c r="M21" s="5" t="s">
        <x:v>223</x:v>
      </x:c>
      <x:c r="N21" s="5" t="s">
        <x:v>224</x:v>
      </x:c>
      <x:c r="O21" s="5" t="s">
        <x:v>225</x:v>
      </x:c>
      <x:c r="P21" s="5"/>
    </x:row>
    <x:row r="22" ht="57" customHeight="1">
      <x:c r="C22" s="5"/>
      <x:c r="D22" s="5"/>
      <x:c r="E22" s="5"/>
      <x:c r="F22" s="5"/>
      <x:c r="G22" s="5" t="s">
        <x:v>226</x:v>
      </x:c>
      <x:c r="H22" s="6" t="s">
        <x:v>129</x:v>
      </x:c>
      <x:c r="I22" s="5" t="s">
        <x:v>219</x:v>
      </x:c>
      <x:c r="J22" s="5" t="s">
        <x:v>227</x:v>
      </x:c>
      <x:c r="K22" s="5" t="s">
        <x:v>228</x:v>
      </x:c>
      <x:c r="L22" s="5" t="s">
        <x:v>222</x:v>
      </x:c>
      <x:c r="M22" s="5" t="s">
        <x:v>229</x:v>
      </x:c>
      <x:c r="N22" s="5" t="s">
        <x:v>230</x:v>
      </x:c>
      <x:c r="O22" s="5" t="s">
        <x:v>225</x:v>
      </x:c>
      <x:c r="P22" s="5"/>
    </x:row>
    <x:row r="23" ht="57" customHeight="1">
      <x:c r="C23" s="5"/>
      <x:c r="D23" s="5"/>
      <x:c r="E23" s="5"/>
      <x:c r="F23" s="5"/>
      <x:c r="G23" s="5" t="s">
        <x:v>231</x:v>
      </x:c>
      <x:c r="H23" s="6" t="s">
        <x:v>154</x:v>
      </x:c>
      <x:c r="I23" s="5" t="s">
        <x:v>232</x:v>
      </x:c>
      <x:c r="J23" s="5" t="s">
        <x:v>233</x:v>
      </x:c>
      <x:c r="K23" s="5" t="s">
        <x:v>234</x:v>
      </x:c>
      <x:c r="L23" s="5" t="s">
        <x:v>222</x:v>
      </x:c>
      <x:c r="M23" s="5" t="s">
        <x:v>235</x:v>
      </x:c>
      <x:c r="N23" s="5" t="s">
        <x:v>236</x:v>
      </x:c>
      <x:c r="O23" s="5" t="s">
        <x:v>237</x:v>
      </x:c>
      <x:c r="P23" s="5"/>
    </x:row>
    <x:row r="24" ht="170.75" customHeight="1">
      <x:c r="C24" s="5" t="s">
        <x:v>160</x:v>
      </x:c>
      <x:c r="D24" s="5" t="s">
        <x:v>216</x:v>
      </x:c>
      <x:c r="E24" s="5" t="s">
        <x:v>238</x:v>
      </x:c>
      <x:c r="F24" s="5" t="s">
        <x:v>239</x:v>
      </x:c>
      <x:c r="G24" s="5" t="s">
        <x:v>240</x:v>
      </x:c>
      <x:c r="H24" s="6" t="s">
        <x:v>154</x:v>
      </x:c>
      <x:c r="I24" s="5" t="s">
        <x:v>241</x:v>
      </x:c>
      <x:c r="J24" s="5" t="s">
        <x:v>242</x:v>
      </x:c>
      <x:c r="K24" s="5" t="s">
        <x:v>243</x:v>
      </x:c>
      <x:c r="L24" s="5" t="s">
        <x:v>244</x:v>
      </x:c>
      <x:c r="M24" s="5" t="s">
        <x:v>245</x:v>
      </x:c>
      <x:c r="N24" s="5" t="s">
        <x:v>246</x:v>
      </x:c>
      <x:c r="O24" s="5" t="s">
        <x:v>247</x:v>
      </x:c>
      <x:c r="P24" s="5"/>
    </x:row>
    <x:row r="25" ht="57" customHeight="1">
      <x:c r="C25" s="5"/>
      <x:c r="D25" s="5"/>
      <x:c r="E25" s="5"/>
      <x:c r="F25" s="5"/>
      <x:c r="G25" s="5" t="s">
        <x:v>248</x:v>
      </x:c>
      <x:c r="H25" s="6" t="s">
        <x:v>129</x:v>
      </x:c>
      <x:c r="I25" s="5" t="s">
        <x:v>219</x:v>
      </x:c>
      <x:c r="J25" s="5" t="s">
        <x:v>249</x:v>
      </x:c>
      <x:c r="K25" s="5" t="s">
        <x:v>250</x:v>
      </x:c>
      <x:c r="L25" s="5" t="s">
        <x:v>244</x:v>
      </x:c>
      <x:c r="M25" s="5" t="s">
        <x:v>251</x:v>
      </x:c>
      <x:c r="N25" s="5" t="s">
        <x:v>252</x:v>
      </x:c>
      <x:c r="O25" s="5" t="s">
        <x:v>253</x:v>
      </x:c>
      <x:c r="P25" s="5"/>
    </x:row>
    <x:row r="26" ht="57" customHeight="1">
      <x:c r="C26" s="5"/>
      <x:c r="D26" s="5"/>
      <x:c r="E26" s="5"/>
      <x:c r="F26" s="5"/>
      <x:c r="G26" s="5" t="s">
        <x:v>254</x:v>
      </x:c>
      <x:c r="H26" s="6" t="s">
        <x:v>120</x:v>
      </x:c>
      <x:c r="I26" s="5" t="s">
        <x:v>255</x:v>
      </x:c>
      <x:c r="J26" s="5" t="s">
        <x:v>256</x:v>
      </x:c>
      <x:c r="K26" s="5" t="s">
        <x:v>257</x:v>
      </x:c>
      <x:c r="L26" s="5" t="s">
        <x:v>244</x:v>
      </x:c>
      <x:c r="M26" s="5" t="s">
        <x:v>258</x:v>
      </x:c>
      <x:c r="N26" s="5" t="s">
        <x:v>259</x:v>
      </x:c>
      <x:c r="O26" s="5" t="s">
        <x:v>247</x:v>
      </x:c>
      <x:c r="P26" s="5"/>
    </x:row>
    <x:row r="27" ht="199" customHeight="1">
      <x:c r="C27" s="5" t="s">
        <x:v>160</x:v>
      </x:c>
      <x:c r="D27" s="5" t="s">
        <x:v>260</x:v>
      </x:c>
      <x:c r="E27" s="5" t="s">
        <x:v>261</x:v>
      </x:c>
      <x:c r="F27" s="5" t="s">
        <x:v>262</x:v>
      </x:c>
      <x:c r="G27" s="5" t="s">
        <x:v>263</x:v>
      </x:c>
      <x:c r="H27" s="6" t="s">
        <x:v>129</x:v>
      </x:c>
      <x:c r="I27" s="5" t="s">
        <x:v>264</x:v>
      </x:c>
      <x:c r="J27" s="5" t="s">
        <x:v>265</x:v>
      </x:c>
      <x:c r="K27" s="5" t="s">
        <x:v>266</x:v>
      </x:c>
      <x:c r="L27" s="5" t="s">
        <x:v>267</x:v>
      </x:c>
      <x:c r="M27" s="5" t="s">
        <x:v>268</x:v>
      </x:c>
      <x:c r="N27" s="5" t="s">
        <x:v>269</x:v>
      </x:c>
      <x:c r="O27" s="5" t="s">
        <x:v>270</x:v>
      </x:c>
      <x:c r="P27" s="5"/>
    </x:row>
    <x:row r="28" ht="57" customHeight="1">
      <x:c r="C28" s="5"/>
      <x:c r="D28" s="5"/>
      <x:c r="E28" s="5"/>
      <x:c r="F28" s="5"/>
      <x:c r="G28" s="5" t="s">
        <x:v>271</x:v>
      </x:c>
      <x:c r="H28" s="6" t="s">
        <x:v>97</x:v>
      </x:c>
      <x:c r="I28" s="5" t="s">
        <x:v>272</x:v>
      </x:c>
      <x:c r="J28" s="5" t="s">
        <x:v>273</x:v>
      </x:c>
      <x:c r="K28" s="5" t="s">
        <x:v>274</x:v>
      </x:c>
      <x:c r="L28" s="5" t="s">
        <x:v>267</x:v>
      </x:c>
      <x:c r="M28" s="5" t="s">
        <x:v>275</x:v>
      </x:c>
      <x:c r="N28" s="5" t="s">
        <x:v>276</x:v>
      </x:c>
      <x:c r="O28" s="5" t="s">
        <x:v>270</x:v>
      </x:c>
      <x:c r="P28" s="5"/>
    </x:row>
    <x:row r="29" ht="199" customHeight="1">
      <x:c r="C29" s="5" t="s">
        <x:v>160</x:v>
      </x:c>
      <x:c r="D29" s="5" t="s">
        <x:v>260</x:v>
      </x:c>
      <x:c r="E29" s="5" t="s">
        <x:v>277</x:v>
      </x:c>
      <x:c r="F29" s="5" t="s">
        <x:v>278</x:v>
      </x:c>
      <x:c r="G29" s="5" t="s">
        <x:v>279</x:v>
      </x:c>
      <x:c r="H29" s="6" t="s">
        <x:v>97</x:v>
      </x:c>
      <x:c r="I29" s="5" t="s">
        <x:v>280</x:v>
      </x:c>
      <x:c r="J29" s="5" t="s">
        <x:v>281</x:v>
      </x:c>
      <x:c r="K29" s="5" t="s">
        <x:v>282</x:v>
      </x:c>
      <x:c r="L29" s="5" t="s">
        <x:v>283</x:v>
      </x:c>
      <x:c r="M29" s="5" t="s">
        <x:v>284</x:v>
      </x:c>
      <x:c r="N29" s="5" t="s">
        <x:v>285</x:v>
      </x:c>
      <x:c r="O29" s="5" t="s">
        <x:v>286</x:v>
      </x:c>
      <x:c r="P29" s="5"/>
    </x:row>
    <x:row r="30" ht="57" customHeight="1">
      <x:c r="C30" s="5"/>
      <x:c r="D30" s="5"/>
      <x:c r="E30" s="5"/>
      <x:c r="F30" s="5"/>
      <x:c r="G30" s="5" t="s">
        <x:v>287</x:v>
      </x:c>
      <x:c r="H30" s="6" t="s">
        <x:v>97</x:v>
      </x:c>
      <x:c r="I30" s="5" t="s">
        <x:v>288</x:v>
      </x:c>
      <x:c r="J30" s="5" t="s">
        <x:v>289</x:v>
      </x:c>
      <x:c r="K30" s="5" t="s">
        <x:v>290</x:v>
      </x:c>
      <x:c r="L30" s="5" t="s">
        <x:v>283</x:v>
      </x:c>
      <x:c r="M30" s="5" t="s">
        <x:v>291</x:v>
      </x:c>
      <x:c r="N30" s="5" t="s">
        <x:v>292</x:v>
      </x:c>
      <x:c r="O30" s="5" t="s">
        <x:v>286</x:v>
      </x:c>
      <x:c r="P30" s="5"/>
    </x:row>
    <x:row r="31" ht="199" customHeight="1">
      <x:c r="C31" s="5" t="s">
        <x:v>160</x:v>
      </x:c>
      <x:c r="D31" s="5" t="s">
        <x:v>260</x:v>
      </x:c>
      <x:c r="E31" s="5" t="s">
        <x:v>293</x:v>
      </x:c>
      <x:c r="F31" s="5" t="s">
        <x:v>294</x:v>
      </x:c>
      <x:c r="G31" s="5" t="s">
        <x:v>295</x:v>
      </x:c>
      <x:c r="H31" s="6" t="s">
        <x:v>97</x:v>
      </x:c>
      <x:c r="I31" s="5" t="s">
        <x:v>296</x:v>
      </x:c>
      <x:c r="J31" s="5" t="s">
        <x:v>297</x:v>
      </x:c>
      <x:c r="K31" s="5" t="s">
        <x:v>298</x:v>
      </x:c>
      <x:c r="L31" s="5" t="s">
        <x:v>299</x:v>
      </x:c>
      <x:c r="M31" s="5" t="s">
        <x:v>300</x:v>
      </x:c>
      <x:c r="N31" s="5" t="s">
        <x:v>301</x:v>
      </x:c>
      <x:c r="O31" s="5" t="s">
        <x:v>302</x:v>
      </x:c>
      <x:c r="P31" s="5"/>
    </x:row>
    <x:row r="32" ht="170.75" customHeight="1">
      <x:c r="C32" s="5" t="s">
        <x:v>160</x:v>
      </x:c>
      <x:c r="D32" s="5" t="s">
        <x:v>303</x:v>
      </x:c>
      <x:c r="E32" s="5" t="s">
        <x:v>304</x:v>
      </x:c>
      <x:c r="F32" s="5" t="s">
        <x:v>305</x:v>
      </x:c>
      <x:c r="G32" s="5" t="s">
        <x:v>306</x:v>
      </x:c>
      <x:c r="H32" s="6" t="s">
        <x:v>129</x:v>
      </x:c>
      <x:c r="I32" s="5" t="s">
        <x:v>264</x:v>
      </x:c>
      <x:c r="J32" s="5" t="s">
        <x:v>307</x:v>
      </x:c>
      <x:c r="K32" s="5" t="s">
        <x:v>308</x:v>
      </x:c>
      <x:c r="L32" s="5" t="s">
        <x:v>309</x:v>
      </x:c>
      <x:c r="M32" s="5" t="s">
        <x:v>310</x:v>
      </x:c>
      <x:c r="N32" s="5" t="s">
        <x:v>311</x:v>
      </x:c>
      <x:c r="O32" s="5" t="s">
        <x:v>312</x:v>
      </x:c>
      <x:c r="P32" s="5"/>
    </x:row>
    <x:row r="33" ht="113.75" customHeight="1">
      <x:c r="C33" s="5"/>
      <x:c r="D33" s="5"/>
      <x:c r="E33" s="5"/>
      <x:c r="F33" s="5"/>
      <x:c r="G33" s="5" t="s">
        <x:v>313</x:v>
      </x:c>
      <x:c r="H33" s="6" t="s">
        <x:v>154</x:v>
      </x:c>
      <x:c r="I33" s="5" t="s">
        <x:v>314</x:v>
      </x:c>
      <x:c r="J33" s="5" t="s">
        <x:v>315</x:v>
      </x:c>
      <x:c r="K33" s="5" t="s">
        <x:v>316</x:v>
      </x:c>
      <x:c r="L33" s="5" t="s">
        <x:v>309</x:v>
      </x:c>
      <x:c r="M33" s="5" t="s">
        <x:v>317</x:v>
      </x:c>
      <x:c r="N33" s="5" t="s">
        <x:v>318</x:v>
      </x:c>
      <x:c r="O33" s="5" t="s">
        <x:v>319</x:v>
      </x:c>
      <x:c r="P33" s="5"/>
    </x:row>
    <x:row r="34" ht="170.75" customHeight="1">
      <x:c r="C34" s="5"/>
      <x:c r="D34" s="5"/>
      <x:c r="E34" s="5" t="s">
        <x:v>320</x:v>
      </x:c>
      <x:c r="F34" s="5" t="s">
        <x:v>321</x:v>
      </x:c>
      <x:c r="G34" s="5" t="s">
        <x:v>322</x:v>
      </x:c>
      <x:c r="H34" s="6" t="s">
        <x:v>120</x:v>
      </x:c>
      <x:c r="I34" s="5" t="s">
        <x:v>323</x:v>
      </x:c>
      <x:c r="J34" s="5" t="s">
        <x:v>324</x:v>
      </x:c>
      <x:c r="K34" s="5" t="s">
        <x:v>325</x:v>
      </x:c>
      <x:c r="L34" s="5" t="s">
        <x:v>326</x:v>
      </x:c>
      <x:c r="M34" s="5" t="s">
        <x:v>327</x:v>
      </x:c>
      <x:c r="N34" s="5" t="s">
        <x:v>328</x:v>
      </x:c>
      <x:c r="O34" s="5" t="s">
        <x:v>329</x:v>
      </x:c>
      <x:c r="P34" s="5"/>
    </x:row>
    <x:row r="35" ht="113.75" customHeight="1">
      <x:c r="C35" s="5"/>
      <x:c r="D35" s="5"/>
      <x:c r="E35" s="5" t="s">
        <x:v>330</x:v>
      </x:c>
      <x:c r="F35" s="5" t="s">
        <x:v>331</x:v>
      </x:c>
      <x:c r="G35" s="5" t="s">
        <x:v>332</x:v>
      </x:c>
      <x:c r="H35" s="6" t="s">
        <x:v>120</x:v>
      </x:c>
      <x:c r="I35" s="5" t="s">
        <x:v>333</x:v>
      </x:c>
      <x:c r="J35" s="5" t="s">
        <x:v>334</x:v>
      </x:c>
      <x:c r="K35" s="5" t="s">
        <x:v>335</x:v>
      </x:c>
      <x:c r="L35" s="5" t="s">
        <x:v>336</x:v>
      </x:c>
      <x:c r="M35" s="5" t="s">
        <x:v>337</x:v>
      </x:c>
      <x:c r="N35" s="5" t="s">
        <x:v>338</x:v>
      </x:c>
      <x:c r="O35" s="5" t="s">
        <x:v>339</x:v>
      </x:c>
      <x:c r="P35" s="5"/>
    </x:row>
    <x:row r="36" ht="142.25" customHeight="1">
      <x:c r="C36" s="5" t="s">
        <x:v>160</x:v>
      </x:c>
      <x:c r="D36" s="5" t="s">
        <x:v>340</x:v>
      </x:c>
      <x:c r="E36" s="5" t="s">
        <x:v>341</x:v>
      </x:c>
      <x:c r="F36" s="5" t="s">
        <x:v>342</x:v>
      </x:c>
      <x:c r="G36" s="5" t="s">
        <x:v>343</x:v>
      </x:c>
      <x:c r="H36" s="6" t="s">
        <x:v>129</x:v>
      </x:c>
      <x:c r="I36" s="5" t="s">
        <x:v>344</x:v>
      </x:c>
      <x:c r="J36" s="5" t="s">
        <x:v>345</x:v>
      </x:c>
      <x:c r="K36" s="5" t="s">
        <x:v>346</x:v>
      </x:c>
      <x:c r="L36" s="5" t="s">
        <x:v>347</x:v>
      </x:c>
      <x:c r="M36" s="5" t="s">
        <x:v>348</x:v>
      </x:c>
      <x:c r="N36" s="5" t="s">
        <x:v>349</x:v>
      </x:c>
      <x:c r="O36" s="5" t="s">
        <x:v>350</x:v>
      </x:c>
      <x:c r="P36" s="5"/>
    </x:row>
    <x:row r="37" ht="113.75" customHeight="1">
      <x:c r="C37" s="5"/>
      <x:c r="D37" s="5"/>
      <x:c r="E37" s="5"/>
      <x:c r="F37" s="5"/>
      <x:c r="G37" s="5" t="s">
        <x:v>351</x:v>
      </x:c>
      <x:c r="H37" s="6" t="s">
        <x:v>97</x:v>
      </x:c>
      <x:c r="I37" s="5" t="s">
        <x:v>352</x:v>
      </x:c>
      <x:c r="J37" s="5" t="s">
        <x:v>353</x:v>
      </x:c>
      <x:c r="K37" s="5" t="s">
        <x:v>354</x:v>
      </x:c>
      <x:c r="L37" s="5" t="s">
        <x:v>347</x:v>
      </x:c>
      <x:c r="M37" s="5" t="s">
        <x:v>355</x:v>
      </x:c>
      <x:c r="N37" s="5" t="s">
        <x:v>356</x:v>
      </x:c>
      <x:c r="O37" s="5" t="s">
        <x:v>350</x:v>
      </x:c>
      <x:c r="P37" s="5"/>
    </x:row>
    <x:row r="38" ht="57" customHeight="1">
      <x:c r="C38" s="5"/>
      <x:c r="D38" s="5"/>
      <x:c r="E38" s="5"/>
      <x:c r="F38" s="5"/>
      <x:c r="G38" s="5" t="s">
        <x:v>357</x:v>
      </x:c>
      <x:c r="H38" s="6" t="s">
        <x:v>97</x:v>
      </x:c>
      <x:c r="I38" s="5" t="s">
        <x:v>358</x:v>
      </x:c>
      <x:c r="J38" s="5" t="s">
        <x:v>359</x:v>
      </x:c>
      <x:c r="K38" s="5" t="s">
        <x:v>360</x:v>
      </x:c>
      <x:c r="L38" s="5" t="s">
        <x:v>347</x:v>
      </x:c>
      <x:c r="M38" s="5" t="s">
        <x:v>361</x:v>
      </x:c>
      <x:c r="N38" s="5" t="s">
        <x:v>362</x:v>
      </x:c>
      <x:c r="O38" s="5" t="s">
        <x:v>350</x:v>
      </x:c>
      <x:c r="P38" s="5"/>
    </x:row>
    <x:row r="39" ht="85.25" customHeight="1">
      <x:c r="C39" s="5"/>
      <x:c r="D39" s="5"/>
      <x:c r="E39" s="5"/>
      <x:c r="F39" s="5"/>
      <x:c r="G39" s="5" t="s">
        <x:v>363</x:v>
      </x:c>
      <x:c r="H39" s="6" t="s">
        <x:v>97</x:v>
      </x:c>
      <x:c r="I39" s="5" t="s">
        <x:v>364</x:v>
      </x:c>
      <x:c r="J39" s="5" t="s">
        <x:v>365</x:v>
      </x:c>
      <x:c r="K39" s="5" t="s">
        <x:v>366</x:v>
      </x:c>
      <x:c r="L39" s="5" t="s">
        <x:v>347</x:v>
      </x:c>
      <x:c r="M39" s="5" t="s">
        <x:v>367</x:v>
      </x:c>
      <x:c r="N39" s="5" t="s">
        <x:v>368</x:v>
      </x:c>
      <x:c r="O39" s="5" t="s">
        <x:v>350</x:v>
      </x:c>
      <x:c r="P39" s="5"/>
    </x:row>
    <x:row r="40" ht="85.25" customHeight="1">
      <x:c r="C40" s="5"/>
      <x:c r="D40" s="5"/>
      <x:c r="E40" s="5"/>
      <x:c r="F40" s="5"/>
      <x:c r="G40" s="5" t="s">
        <x:v>369</x:v>
      </x:c>
      <x:c r="H40" s="6" t="s">
        <x:v>120</x:v>
      </x:c>
      <x:c r="I40" s="5" t="s">
        <x:v>370</x:v>
      </x:c>
      <x:c r="J40" s="5" t="s">
        <x:v>371</x:v>
      </x:c>
      <x:c r="K40" s="5" t="s">
        <x:v>372</x:v>
      </x:c>
      <x:c r="L40" s="5" t="s">
        <x:v>347</x:v>
      </x:c>
      <x:c r="M40" s="5" t="s">
        <x:v>373</x:v>
      </x:c>
      <x:c r="N40" s="5" t="s">
        <x:v>374</x:v>
      </x:c>
      <x:c r="O40" s="5" t="s">
        <x:v>375</x:v>
      </x:c>
      <x:c r="P40" s="5"/>
    </x:row>
    <x:row r="41" ht="170.75" customHeight="1">
      <x:c r="C41" s="5"/>
      <x:c r="D41" s="5"/>
      <x:c r="E41" s="5" t="s">
        <x:v>376</x:v>
      </x:c>
      <x:c r="F41" s="5" t="s">
        <x:v>377</x:v>
      </x:c>
      <x:c r="G41" s="5" t="s">
        <x:v>378</x:v>
      </x:c>
      <x:c r="H41" s="6" t="s">
        <x:v>97</x:v>
      </x:c>
      <x:c r="I41" s="5" t="s">
        <x:v>379</x:v>
      </x:c>
      <x:c r="J41" s="5" t="s">
        <x:v>380</x:v>
      </x:c>
      <x:c r="K41" s="5" t="s">
        <x:v>381</x:v>
      </x:c>
      <x:c r="L41" s="5" t="s">
        <x:v>382</x:v>
      </x:c>
      <x:c r="M41" s="5" t="s">
        <x:v>383</x:v>
      </x:c>
      <x:c r="N41" s="5" t="s">
        <x:v>384</x:v>
      </x:c>
      <x:c r="O41" s="5" t="s">
        <x:v>375</x:v>
      </x:c>
      <x:c r="P41" s="5"/>
    </x:row>
    <x:row r="42" ht="199" customHeight="1">
      <x:c r="C42" s="5"/>
      <x:c r="D42" s="5"/>
      <x:c r="E42" s="5" t="s">
        <x:v>385</x:v>
      </x:c>
      <x:c r="F42" s="5" t="s">
        <x:v>386</x:v>
      </x:c>
      <x:c r="G42" s="5" t="s">
        <x:v>387</x:v>
      </x:c>
      <x:c r="H42" s="6" t="s">
        <x:v>97</x:v>
      </x:c>
      <x:c r="I42" s="5" t="s">
        <x:v>388</x:v>
      </x:c>
      <x:c r="J42" s="5" t="s">
        <x:v>389</x:v>
      </x:c>
      <x:c r="K42" s="5" t="s">
        <x:v>390</x:v>
      </x:c>
      <x:c r="L42" s="5" t="s">
        <x:v>195</x:v>
      </x:c>
      <x:c r="M42" s="5" t="s">
        <x:v>391</x:v>
      </x:c>
      <x:c r="N42" s="5" t="s">
        <x:v>392</x:v>
      </x:c>
      <x:c r="O42" s="5" t="s">
        <x:v>393</x:v>
      </x:c>
      <x:c r="P42" s="5"/>
    </x:row>
    <x:row r="43" ht="85.25" customHeight="1">
      <x:c r="C43" s="5"/>
      <x:c r="D43" s="5"/>
      <x:c r="E43" s="5"/>
      <x:c r="F43" s="5"/>
      <x:c r="G43" s="5" t="s">
        <x:v>394</x:v>
      </x:c>
      <x:c r="H43" s="6" t="s">
        <x:v>97</x:v>
      </x:c>
      <x:c r="I43" s="5" t="s">
        <x:v>113</x:v>
      </x:c>
      <x:c r="J43" s="5" t="s">
        <x:v>395</x:v>
      </x:c>
      <x:c r="K43" s="5" t="s">
        <x:v>396</x:v>
      </x:c>
      <x:c r="L43" s="5" t="s">
        <x:v>397</x:v>
      </x:c>
      <x:c r="M43" s="5" t="s">
        <x:v>398</x:v>
      </x:c>
      <x:c r="N43" s="5" t="s">
        <x:v>399</x:v>
      </x:c>
      <x:c r="O43" s="5" t="s">
        <x:v>393</x:v>
      </x:c>
      <x:c r="P43" s="5"/>
    </x:row>
    <x:row r="44" ht="85.25" customHeight="1">
      <x:c r="C44" s="5"/>
      <x:c r="D44" s="5"/>
      <x:c r="E44" s="5"/>
      <x:c r="F44" s="5"/>
      <x:c r="G44" s="5" t="s">
        <x:v>400</x:v>
      </x:c>
      <x:c r="H44" s="6" t="s">
        <x:v>97</x:v>
      </x:c>
      <x:c r="I44" s="5" t="s">
        <x:v>401</x:v>
      </x:c>
      <x:c r="J44" s="5" t="s">
        <x:v>402</x:v>
      </x:c>
      <x:c r="K44" s="5" t="s">
        <x:v>403</x:v>
      </x:c>
      <x:c r="L44" s="5" t="s">
        <x:v>195</x:v>
      </x:c>
      <x:c r="M44" s="5" t="s">
        <x:v>404</x:v>
      </x:c>
      <x:c r="N44" s="5" t="s">
        <x:v>405</x:v>
      </x:c>
      <x:c r="O44" s="5" t="s">
        <x:v>406</x:v>
      </x:c>
      <x:c r="P44" s="5"/>
    </x:row>
    <x:row r="45" ht="199" customHeight="1">
      <x:c r="C45" s="5" t="s">
        <x:v>160</x:v>
      </x:c>
      <x:c r="D45" s="5" t="s">
        <x:v>407</x:v>
      </x:c>
      <x:c r="E45" s="5" t="s">
        <x:v>408</x:v>
      </x:c>
      <x:c r="F45" s="5" t="s">
        <x:v>409</x:v>
      </x:c>
      <x:c r="G45" s="5" t="s">
        <x:v>410</x:v>
      </x:c>
      <x:c r="H45" s="6" t="s">
        <x:v>129</x:v>
      </x:c>
      <x:c r="I45" s="5" t="s">
        <x:v>164</x:v>
      </x:c>
      <x:c r="J45" s="5" t="s">
        <x:v>411</x:v>
      </x:c>
      <x:c r="K45" s="5" t="s">
        <x:v>412</x:v>
      </x:c>
      <x:c r="L45" s="5" t="s">
        <x:v>413</x:v>
      </x:c>
      <x:c r="M45" s="5" t="s">
        <x:v>414</x:v>
      </x:c>
      <x:c r="N45" s="5" t="s">
        <x:v>415</x:v>
      </x:c>
      <x:c r="O45" s="5" t="s">
        <x:v>416</x:v>
      </x:c>
      <x:c r="P45" s="5"/>
    </x:row>
    <x:row r="46" ht="85.25" customHeight="1">
      <x:c r="C46" s="5"/>
      <x:c r="D46" s="5"/>
      <x:c r="E46" s="5"/>
      <x:c r="F46" s="5"/>
      <x:c r="G46" s="5" t="s">
        <x:v>417</x:v>
      </x:c>
      <x:c r="H46" s="6" t="s">
        <x:v>97</x:v>
      </x:c>
      <x:c r="I46" s="5" t="s">
        <x:v>410</x:v>
      </x:c>
      <x:c r="J46" s="5" t="s">
        <x:v>418</x:v>
      </x:c>
      <x:c r="K46" s="5" t="s">
        <x:v>419</x:v>
      </x:c>
      <x:c r="L46" s="5" t="s">
        <x:v>413</x:v>
      </x:c>
      <x:c r="M46" s="5" t="s">
        <x:v>420</x:v>
      </x:c>
      <x:c r="N46" s="5" t="s">
        <x:v>421</x:v>
      </x:c>
      <x:c r="O46" s="5" t="s">
        <x:v>422</x:v>
      </x:c>
      <x:c r="P46" s="5"/>
    </x:row>
    <x:row r="47" ht="57" customHeight="1">
      <x:c r="C47" s="5"/>
      <x:c r="D47" s="5"/>
      <x:c r="E47" s="5"/>
      <x:c r="F47" s="5"/>
      <x:c r="G47" s="5" t="s">
        <x:v>423</x:v>
      </x:c>
      <x:c r="H47" s="6" t="s">
        <x:v>154</x:v>
      </x:c>
      <x:c r="I47" s="5" t="s">
        <x:v>424</x:v>
      </x:c>
      <x:c r="J47" s="5" t="s">
        <x:v>425</x:v>
      </x:c>
      <x:c r="K47" s="5" t="s">
        <x:v>426</x:v>
      </x:c>
      <x:c r="L47" s="5" t="s">
        <x:v>427</x:v>
      </x:c>
      <x:c r="M47" s="5" t="s">
        <x:v>428</x:v>
      </x:c>
      <x:c r="N47" s="5" t="s">
        <x:v>429</x:v>
      </x:c>
      <x:c r="O47" s="5" t="s">
        <x:v>422</x:v>
      </x:c>
      <x:c r="P47" s="5"/>
    </x:row>
    <x:row r="48" ht="199" customHeight="1">
      <x:c r="C48" s="5"/>
      <x:c r="D48" s="5"/>
      <x:c r="E48" s="5" t="s">
        <x:v>430</x:v>
      </x:c>
      <x:c r="F48" s="5" t="s">
        <x:v>431</x:v>
      </x:c>
      <x:c r="G48" s="5" t="s">
        <x:v>432</x:v>
      </x:c>
      <x:c r="H48" s="6" t="s">
        <x:v>154</x:v>
      </x:c>
      <x:c r="I48" s="5" t="s">
        <x:v>433</x:v>
      </x:c>
      <x:c r="J48" s="5" t="s">
        <x:v>434</x:v>
      </x:c>
      <x:c r="K48" s="5" t="s">
        <x:v>435</x:v>
      </x:c>
      <x:c r="L48" s="5" t="s">
        <x:v>436</x:v>
      </x:c>
      <x:c r="M48" s="5" t="s">
        <x:v>437</x:v>
      </x:c>
      <x:c r="N48" s="5" t="s">
        <x:v>438</x:v>
      </x:c>
      <x:c r="O48" s="5" t="s">
        <x:v>171</x:v>
      </x:c>
      <x:c r="P48" s="5"/>
    </x:row>
    <x:row r="49" ht="57" customHeight="1">
      <x:c r="C49" s="5"/>
      <x:c r="D49" s="5"/>
      <x:c r="E49" s="5"/>
      <x:c r="F49" s="5"/>
      <x:c r="G49" s="5" t="s">
        <x:v>439</x:v>
      </x:c>
      <x:c r="H49" s="6" t="s">
        <x:v>120</x:v>
      </x:c>
      <x:c r="I49" s="5" t="s">
        <x:v>440</x:v>
      </x:c>
      <x:c r="J49" s="5" t="s">
        <x:v>441</x:v>
      </x:c>
      <x:c r="K49" s="5" t="s">
        <x:v>442</x:v>
      </x:c>
      <x:c r="L49" s="5" t="s">
        <x:v>443</x:v>
      </x:c>
      <x:c r="M49" s="5" t="s">
        <x:v>444</x:v>
      </x:c>
      <x:c r="N49" s="5" t="s">
        <x:v>445</x:v>
      </x:c>
      <x:c r="O49" s="5" t="s">
        <x:v>446</x:v>
      </x:c>
      <x:c r="P49" s="5"/>
    </x:row>
    <x:row r="50" ht="57" customHeight="1">
      <x:c r="C50" s="5"/>
      <x:c r="D50" s="5"/>
      <x:c r="E50" s="5"/>
      <x:c r="F50" s="5"/>
      <x:c r="G50" s="5" t="s">
        <x:v>447</x:v>
      </x:c>
      <x:c r="H50" s="6" t="s">
        <x:v>120</x:v>
      </x:c>
      <x:c r="I50" s="5" t="s">
        <x:v>448</x:v>
      </x:c>
      <x:c r="J50" s="5" t="s">
        <x:v>449</x:v>
      </x:c>
      <x:c r="K50" s="5" t="s">
        <x:v>450</x:v>
      </x:c>
      <x:c r="L50" s="5" t="s">
        <x:v>451</x:v>
      </x:c>
      <x:c r="M50" s="5" t="s">
        <x:v>452</x:v>
      </x:c>
      <x:c r="N50" s="5" t="s">
        <x:v>453</x:v>
      </x:c>
      <x:c r="O50" s="5" t="s">
        <x:v>454</x:v>
      </x:c>
      <x:c r="P50" s="5"/>
    </x:row>
    <x:row r="51" ht="85.25" customHeight="1">
      <x:c r="C51" s="5"/>
      <x:c r="D51" s="5"/>
      <x:c r="E51" s="5"/>
      <x:c r="F51" s="5"/>
      <x:c r="G51" s="5" t="s">
        <x:v>455</x:v>
      </x:c>
      <x:c r="H51" s="6" t="s">
        <x:v>120</x:v>
      </x:c>
      <x:c r="I51" s="5" t="s">
        <x:v>456</x:v>
      </x:c>
      <x:c r="J51" s="5" t="s">
        <x:v>457</x:v>
      </x:c>
      <x:c r="K51" s="5" t="s">
        <x:v>458</x:v>
      </x:c>
      <x:c r="L51" s="5" t="s">
        <x:v>459</x:v>
      </x:c>
      <x:c r="M51" s="5" t="s">
        <x:v>460</x:v>
      </x:c>
      <x:c r="N51" s="5" t="s">
        <x:v>461</x:v>
      </x:c>
      <x:c r="O51" s="5" t="s">
        <x:v>462</x:v>
      </x:c>
      <x:c r="P51" s="5"/>
    </x:row>
    <x:row r="52" ht="57" customHeight="1">
      <x:c r="C52" s="5" t="s">
        <x:v>62</x:v>
      </x:c>
      <x:c r="D52" s="5" t="s">
        <x:v>81</x:v>
      </x:c>
      <x:c r="E52" s="5" t="s">
        <x:v>82</x:v>
      </x:c>
      <x:c r="F52" s="5" t="s">
        <x:v>83</x:v>
      </x:c>
      <x:c r="G52" s="5" t="s">
        <x:v>61</x:v>
      </x:c>
      <x:c r="H52" s="6" t="s">
        <x:v>63</x:v>
      </x:c>
      <x:c r="I52" s="5" t="s">
        <x:v>84</x:v>
      </x:c>
      <x:c r="J52" s="5" t="s">
        <x:v>85</x:v>
      </x:c>
      <x:c r="K52" s="5" t="s">
        <x:v>86</x:v>
      </x:c>
      <x:c r="L52" s="5" t="s">
        <x:v>87</x:v>
      </x:c>
      <x:c r="M52" s="5" t="s">
        <x:v>88</x:v>
      </x:c>
      <x:c r="N52" s="5" t="s">
        <x:v>89</x:v>
      </x:c>
      <x:c r="O52" s="5" t="s">
        <x:v>90</x:v>
      </x:c>
      <x:c r="P52" s="5"/>
    </x:row>
    <x:row r="53" ht="199" customHeight="1">
      <x:c r="C53" s="5" t="s">
        <x:v>463</x:v>
      </x:c>
      <x:c r="D53" s="5" t="s">
        <x:v>464</x:v>
      </x:c>
      <x:c r="E53" s="5" t="s">
        <x:v>465</x:v>
      </x:c>
      <x:c r="F53" s="5" t="s">
        <x:v>466</x:v>
      </x:c>
      <x:c r="G53" s="5" t="s">
        <x:v>467</x:v>
      </x:c>
      <x:c r="H53" s="6" t="s">
        <x:v>154</x:v>
      </x:c>
      <x:c r="I53" s="5" t="s">
        <x:v>468</x:v>
      </x:c>
      <x:c r="J53" s="5" t="s">
        <x:v>469</x:v>
      </x:c>
      <x:c r="K53" s="5" t="s">
        <x:v>470</x:v>
      </x:c>
      <x:c r="L53" s="5" t="s">
        <x:v>471</x:v>
      </x:c>
      <x:c r="M53" s="5" t="s">
        <x:v>472</x:v>
      </x:c>
      <x:c r="N53" s="5" t="s">
        <x:v>473</x:v>
      </x:c>
      <x:c r="O53" s="5" t="s">
        <x:v>474</x:v>
      </x:c>
      <x:c r="P53" s="5"/>
    </x:row>
    <x:row r="54" ht="85.25" customHeight="1">
      <x:c r="C54" s="5"/>
      <x:c r="D54" s="5"/>
      <x:c r="E54" s="5"/>
      <x:c r="F54" s="5"/>
      <x:c r="G54" s="5" t="s">
        <x:v>475</x:v>
      </x:c>
      <x:c r="H54" s="6" t="s">
        <x:v>120</x:v>
      </x:c>
      <x:c r="I54" s="5" t="s">
        <x:v>476</x:v>
      </x:c>
      <x:c r="J54" s="5" t="s">
        <x:v>477</x:v>
      </x:c>
      <x:c r="K54" s="5" t="s">
        <x:v>478</x:v>
      </x:c>
      <x:c r="L54" s="5" t="s">
        <x:v>471</x:v>
      </x:c>
      <x:c r="M54" s="5" t="s">
        <x:v>479</x:v>
      </x:c>
      <x:c r="N54" s="5" t="s">
        <x:v>480</x:v>
      </x:c>
      <x:c r="O54" s="5" t="s">
        <x:v>474</x:v>
      </x:c>
      <x:c r="P54" s="5"/>
    </x:row>
    <x:row r="55" ht="57" customHeight="1">
      <x:c r="C55" s="5"/>
      <x:c r="D55" s="5"/>
      <x:c r="E55" s="5"/>
      <x:c r="F55" s="5"/>
      <x:c r="G55" s="5" t="s">
        <x:v>481</x:v>
      </x:c>
      <x:c r="H55" s="6" t="s">
        <x:v>120</x:v>
      </x:c>
      <x:c r="I55" s="5" t="s">
        <x:v>482</x:v>
      </x:c>
      <x:c r="J55" s="5" t="s">
        <x:v>483</x:v>
      </x:c>
      <x:c r="K55" s="5" t="s">
        <x:v>484</x:v>
      </x:c>
      <x:c r="L55" s="5" t="s">
        <x:v>471</x:v>
      </x:c>
      <x:c r="M55" s="5" t="s">
        <x:v>485</x:v>
      </x:c>
      <x:c r="N55" s="5" t="s">
        <x:v>486</x:v>
      </x:c>
      <x:c r="O55" s="5" t="s">
        <x:v>487</x:v>
      </x:c>
      <x:c r="P55" s="5"/>
    </x:row>
    <x:row r="56" ht="85.25" customHeight="1">
      <x:c r="C56" s="5"/>
      <x:c r="D56" s="5"/>
      <x:c r="E56" s="5"/>
      <x:c r="F56" s="5"/>
      <x:c r="G56" s="5" t="s">
        <x:v>488</x:v>
      </x:c>
      <x:c r="H56" s="6" t="s">
        <x:v>120</x:v>
      </x:c>
      <x:c r="I56" s="5" t="s">
        <x:v>489</x:v>
      </x:c>
      <x:c r="J56" s="5" t="s">
        <x:v>490</x:v>
      </x:c>
      <x:c r="K56" s="5" t="s">
        <x:v>491</x:v>
      </x:c>
      <x:c r="L56" s="5" t="s">
        <x:v>471</x:v>
      </x:c>
      <x:c r="M56" s="5" t="s">
        <x:v>492</x:v>
      </x:c>
      <x:c r="N56" s="5" t="s">
        <x:v>493</x:v>
      </x:c>
      <x:c r="O56" s="5" t="s">
        <x:v>474</x:v>
      </x:c>
      <x:c r="P56" s="5"/>
    </x:row>
    <x:row r="57" ht="199" customHeight="1">
      <x:c r="C57" s="5" t="s">
        <x:v>463</x:v>
      </x:c>
      <x:c r="D57" s="5" t="s">
        <x:v>464</x:v>
      </x:c>
      <x:c r="E57" s="5" t="s">
        <x:v>494</x:v>
      </x:c>
      <x:c r="F57" s="5" t="s">
        <x:v>495</x:v>
      </x:c>
      <x:c r="G57" s="5" t="s">
        <x:v>496</x:v>
      </x:c>
      <x:c r="H57" s="6" t="s">
        <x:v>154</x:v>
      </x:c>
      <x:c r="I57" s="5" t="s">
        <x:v>497</x:v>
      </x:c>
      <x:c r="J57" s="5" t="s">
        <x:v>498</x:v>
      </x:c>
      <x:c r="K57" s="5" t="s">
        <x:v>499</x:v>
      </x:c>
      <x:c r="L57" s="5" t="s">
        <x:v>471</x:v>
      </x:c>
      <x:c r="M57" s="5" t="s">
        <x:v>500</x:v>
      </x:c>
      <x:c r="N57" s="5" t="s">
        <x:v>501</x:v>
      </x:c>
      <x:c r="O57" s="5" t="s">
        <x:v>474</x:v>
      </x:c>
      <x:c r="P57" s="5"/>
    </x:row>
    <x:row r="58" ht="57" customHeight="1">
      <x:c r="C58" s="5"/>
      <x:c r="D58" s="5"/>
      <x:c r="E58" s="5"/>
      <x:c r="F58" s="5"/>
      <x:c r="G58" s="5" t="s">
        <x:v>502</x:v>
      </x:c>
      <x:c r="H58" s="6" t="s">
        <x:v>154</x:v>
      </x:c>
      <x:c r="I58" s="5" t="s">
        <x:v>496</x:v>
      </x:c>
      <x:c r="J58" s="5" t="s">
        <x:v>503</x:v>
      </x:c>
      <x:c r="K58" s="5" t="s">
        <x:v>504</x:v>
      </x:c>
      <x:c r="L58" s="5" t="s">
        <x:v>471</x:v>
      </x:c>
      <x:c r="M58" s="5" t="s">
        <x:v>505</x:v>
      </x:c>
      <x:c r="N58" s="5" t="s">
        <x:v>506</x:v>
      </x:c>
      <x:c r="O58" s="5" t="s">
        <x:v>507</x:v>
      </x:c>
      <x:c r="P58" s="5"/>
    </x:row>
    <x:row r="59" ht="85.25" customHeight="1">
      <x:c r="C59" s="5"/>
      <x:c r="D59" s="5"/>
      <x:c r="E59" s="5"/>
      <x:c r="F59" s="5"/>
      <x:c r="G59" s="5" t="s">
        <x:v>508</x:v>
      </x:c>
      <x:c r="H59" s="6" t="s">
        <x:v>154</x:v>
      </x:c>
      <x:c r="I59" s="5" t="s">
        <x:v>509</x:v>
      </x:c>
      <x:c r="J59" s="5" t="s">
        <x:v>510</x:v>
      </x:c>
      <x:c r="K59" s="5" t="s">
        <x:v>511</x:v>
      </x:c>
      <x:c r="L59" s="5" t="s">
        <x:v>471</x:v>
      </x:c>
      <x:c r="M59" s="5" t="s">
        <x:v>512</x:v>
      </x:c>
      <x:c r="N59" s="5" t="s">
        <x:v>513</x:v>
      </x:c>
      <x:c r="O59" s="5" t="s">
        <x:v>514</x:v>
      </x:c>
      <x:c r="P59" s="5"/>
    </x:row>
    <x:row r="60" ht="57" customHeight="1">
      <x:c r="C60" s="5"/>
      <x:c r="D60" s="5"/>
      <x:c r="E60" s="5"/>
      <x:c r="F60" s="5"/>
      <x:c r="G60" s="5" t="s">
        <x:v>515</x:v>
      </x:c>
      <x:c r="H60" s="6" t="s">
        <x:v>120</x:v>
      </x:c>
      <x:c r="I60" s="5" t="s">
        <x:v>516</x:v>
      </x:c>
      <x:c r="J60" s="5" t="s">
        <x:v>517</x:v>
      </x:c>
      <x:c r="K60" s="5" t="s">
        <x:v>518</x:v>
      </x:c>
      <x:c r="L60" s="5" t="s">
        <x:v>519</x:v>
      </x:c>
      <x:c r="M60" s="5" t="s">
        <x:v>520</x:v>
      </x:c>
      <x:c r="N60" s="5" t="s">
        <x:v>521</x:v>
      </x:c>
      <x:c r="O60" s="5" t="s">
        <x:v>474</x:v>
      </x:c>
      <x:c r="P60" s="5"/>
    </x:row>
    <x:row r="61" ht="199" customHeight="1">
      <x:c r="C61" s="5" t="s">
        <x:v>463</x:v>
      </x:c>
      <x:c r="D61" s="5" t="s">
        <x:v>464</x:v>
      </x:c>
      <x:c r="E61" s="5" t="s">
        <x:v>522</x:v>
      </x:c>
      <x:c r="F61" s="5" t="s">
        <x:v>523</x:v>
      </x:c>
      <x:c r="G61" s="5" t="s">
        <x:v>524</x:v>
      </x:c>
      <x:c r="H61" s="6" t="s">
        <x:v>120</x:v>
      </x:c>
      <x:c r="I61" s="5" t="s">
        <x:v>525</x:v>
      </x:c>
      <x:c r="J61" s="5" t="s">
        <x:v>526</x:v>
      </x:c>
      <x:c r="K61" s="5" t="s">
        <x:v>527</x:v>
      </x:c>
      <x:c r="L61" s="5" t="s">
        <x:v>528</x:v>
      </x:c>
      <x:c r="M61" s="5" t="s">
        <x:v>529</x:v>
      </x:c>
      <x:c r="N61" s="5" t="s">
        <x:v>530</x:v>
      </x:c>
      <x:c r="O61" s="5" t="s">
        <x:v>531</x:v>
      </x:c>
      <x:c r="P61" s="5"/>
    </x:row>
    <x:row r="62" ht="85.25" customHeight="1">
      <x:c r="C62" s="5"/>
      <x:c r="D62" s="5"/>
      <x:c r="E62" s="5"/>
      <x:c r="F62" s="5"/>
      <x:c r="G62" s="5" t="s">
        <x:v>532</x:v>
      </x:c>
      <x:c r="H62" s="6" t="s">
        <x:v>120</x:v>
      </x:c>
      <x:c r="I62" s="5" t="s">
        <x:v>533</x:v>
      </x:c>
      <x:c r="J62" s="5" t="s">
        <x:v>534</x:v>
      </x:c>
      <x:c r="K62" s="5" t="s">
        <x:v>535</x:v>
      </x:c>
      <x:c r="L62" s="5" t="s">
        <x:v>471</x:v>
      </x:c>
      <x:c r="M62" s="5" t="s">
        <x:v>536</x:v>
      </x:c>
      <x:c r="N62" s="5" t="s">
        <x:v>537</x:v>
      </x:c>
      <x:c r="O62" s="5" t="s">
        <x:v>507</x:v>
      </x:c>
      <x:c r="P62" s="5"/>
    </x:row>
    <x:row r="63" ht="85.25" customHeight="1">
      <x:c r="C63" s="5"/>
      <x:c r="D63" s="5"/>
      <x:c r="E63" s="5"/>
      <x:c r="F63" s="5"/>
      <x:c r="G63" s="5" t="s">
        <x:v>538</x:v>
      </x:c>
      <x:c r="H63" s="6" t="s">
        <x:v>120</x:v>
      </x:c>
      <x:c r="I63" s="5" t="s">
        <x:v>539</x:v>
      </x:c>
      <x:c r="J63" s="5" t="s">
        <x:v>540</x:v>
      </x:c>
      <x:c r="K63" s="5" t="s">
        <x:v>541</x:v>
      </x:c>
      <x:c r="L63" s="5" t="s">
        <x:v>542</x:v>
      </x:c>
      <x:c r="M63" s="5" t="s">
        <x:v>543</x:v>
      </x:c>
      <x:c r="N63" s="5" t="s">
        <x:v>544</x:v>
      </x:c>
      <x:c r="O63" s="5" t="s">
        <x:v>545</x:v>
      </x:c>
      <x:c r="P63" s="5"/>
    </x:row>
    <x:row r="64" ht="199" customHeight="1">
      <x:c r="C64" s="5" t="s">
        <x:v>463</x:v>
      </x:c>
      <x:c r="D64" s="5" t="s">
        <x:v>464</x:v>
      </x:c>
      <x:c r="E64" s="5" t="s">
        <x:v>546</x:v>
      </x:c>
      <x:c r="F64" s="5" t="s">
        <x:v>547</x:v>
      </x:c>
      <x:c r="G64" s="5" t="s">
        <x:v>548</x:v>
      </x:c>
      <x:c r="H64" s="6" t="s">
        <x:v>120</x:v>
      </x:c>
      <x:c r="I64" s="5" t="s">
        <x:v>549</x:v>
      </x:c>
      <x:c r="J64" s="5" t="s">
        <x:v>550</x:v>
      </x:c>
      <x:c r="K64" s="5" t="s">
        <x:v>551</x:v>
      </x:c>
      <x:c r="L64" s="5" t="s">
        <x:v>552</x:v>
      </x:c>
      <x:c r="M64" s="5" t="s">
        <x:v>553</x:v>
      </x:c>
      <x:c r="N64" s="5" t="s">
        <x:v>554</x:v>
      </x:c>
      <x:c r="O64" s="5" t="s">
        <x:v>555</x:v>
      </x:c>
      <x:c r="P64" s="5"/>
    </x:row>
    <x:row r="65" ht="57" customHeight="1">
      <x:c r="C65" s="5"/>
      <x:c r="D65" s="5"/>
      <x:c r="E65" s="5"/>
      <x:c r="F65" s="5"/>
      <x:c r="G65" s="5" t="s">
        <x:v>556</x:v>
      </x:c>
      <x:c r="H65" s="6" t="s">
        <x:v>120</x:v>
      </x:c>
      <x:c r="I65" s="5" t="s">
        <x:v>548</x:v>
      </x:c>
      <x:c r="J65" s="5" t="s">
        <x:v>557</x:v>
      </x:c>
      <x:c r="K65" s="5" t="s">
        <x:v>558</x:v>
      </x:c>
      <x:c r="L65" s="5" t="s">
        <x:v>552</x:v>
      </x:c>
      <x:c r="M65" s="5" t="s">
        <x:v>559</x:v>
      </x:c>
      <x:c r="N65" s="5" t="s">
        <x:v>560</x:v>
      </x:c>
      <x:c r="O65" s="5" t="s">
        <x:v>555</x:v>
      </x:c>
      <x:c r="P65" s="5"/>
    </x:row>
    <x:row r="66" ht="57" customHeight="1">
      <x:c r="C66" s="5"/>
      <x:c r="D66" s="5"/>
      <x:c r="E66" s="5"/>
      <x:c r="F66" s="5"/>
      <x:c r="G66" s="5" t="s">
        <x:v>561</x:v>
      </x:c>
      <x:c r="H66" s="6" t="s">
        <x:v>120</x:v>
      </x:c>
      <x:c r="I66" s="5" t="s">
        <x:v>562</x:v>
      </x:c>
      <x:c r="J66" s="5" t="s">
        <x:v>563</x:v>
      </x:c>
      <x:c r="K66" s="5" t="s">
        <x:v>564</x:v>
      </x:c>
      <x:c r="L66" s="5" t="s">
        <x:v>565</x:v>
      </x:c>
      <x:c r="M66" s="5" t="s">
        <x:v>566</x:v>
      </x:c>
      <x:c r="N66" s="5" t="s">
        <x:v>567</x:v>
      </x:c>
      <x:c r="O66" s="5" t="s">
        <x:v>568</x:v>
      </x:c>
      <x:c r="P66" s="5"/>
    </x:row>
    <x:row r="67" ht="57" customHeight="1">
      <x:c r="C67" s="5"/>
      <x:c r="D67" s="5"/>
      <x:c r="E67" s="5"/>
      <x:c r="F67" s="5"/>
      <x:c r="G67" s="5" t="s">
        <x:v>569</x:v>
      </x:c>
      <x:c r="H67" s="6" t="s">
        <x:v>120</x:v>
      </x:c>
      <x:c r="I67" s="5" t="s">
        <x:v>570</x:v>
      </x:c>
      <x:c r="J67" s="5" t="s">
        <x:v>571</x:v>
      </x:c>
      <x:c r="K67" s="5" t="s">
        <x:v>572</x:v>
      </x:c>
      <x:c r="L67" s="5" t="s">
        <x:v>573</x:v>
      </x:c>
      <x:c r="M67" s="5" t="s">
        <x:v>574</x:v>
      </x:c>
      <x:c r="N67" s="5" t="s">
        <x:v>575</x:v>
      </x:c>
      <x:c r="O67" s="5" t="s">
        <x:v>576</x:v>
      </x:c>
      <x:c r="P67" s="5"/>
    </x:row>
    <x:row r="68" ht="170.75" customHeight="1">
      <x:c r="C68" s="5" t="s">
        <x:v>463</x:v>
      </x:c>
      <x:c r="D68" s="5" t="s">
        <x:v>577</x:v>
      </x:c>
      <x:c r="E68" s="5" t="s">
        <x:v>578</x:v>
      </x:c>
      <x:c r="F68" s="5" t="s">
        <x:v>579</x:v>
      </x:c>
      <x:c r="G68" s="5" t="s">
        <x:v>580</x:v>
      </x:c>
      <x:c r="H68" s="6" t="s">
        <x:v>154</x:v>
      </x:c>
      <x:c r="I68" s="5" t="s">
        <x:v>581</x:v>
      </x:c>
      <x:c r="J68" s="5" t="s">
        <x:v>582</x:v>
      </x:c>
      <x:c r="K68" s="5" t="s">
        <x:v>583</x:v>
      </x:c>
      <x:c r="L68" s="5" t="s">
        <x:v>584</x:v>
      </x:c>
      <x:c r="M68" s="5" t="s">
        <x:v>585</x:v>
      </x:c>
      <x:c r="N68" s="5" t="s">
        <x:v>586</x:v>
      </x:c>
      <x:c r="O68" s="5" t="s">
        <x:v>474</x:v>
      </x:c>
      <x:c r="P68" s="5"/>
    </x:row>
    <x:row r="69" ht="85.25" customHeight="1">
      <x:c r="C69" s="5"/>
      <x:c r="D69" s="5"/>
      <x:c r="E69" s="5"/>
      <x:c r="F69" s="5"/>
      <x:c r="G69" s="5" t="s">
        <x:v>587</x:v>
      </x:c>
      <x:c r="H69" s="6" t="s">
        <x:v>154</x:v>
      </x:c>
      <x:c r="I69" s="5" t="s">
        <x:v>588</x:v>
      </x:c>
      <x:c r="J69" s="5" t="s">
        <x:v>589</x:v>
      </x:c>
      <x:c r="K69" s="5" t="s">
        <x:v>590</x:v>
      </x:c>
      <x:c r="L69" s="5" t="s">
        <x:v>584</x:v>
      </x:c>
      <x:c r="M69" s="5" t="s">
        <x:v>591</x:v>
      </x:c>
      <x:c r="N69" s="5" t="s">
        <x:v>592</x:v>
      </x:c>
      <x:c r="O69" s="5" t="s">
        <x:v>474</x:v>
      </x:c>
      <x:c r="P69" s="5"/>
    </x:row>
    <x:row r="70" ht="57" customHeight="1">
      <x:c r="C70" s="5"/>
      <x:c r="D70" s="5"/>
      <x:c r="E70" s="5"/>
      <x:c r="F70" s="5"/>
      <x:c r="G70" s="5" t="s">
        <x:v>593</x:v>
      </x:c>
      <x:c r="H70" s="6" t="s">
        <x:v>120</x:v>
      </x:c>
      <x:c r="I70" s="5" t="s">
        <x:v>594</x:v>
      </x:c>
      <x:c r="J70" s="5" t="s">
        <x:v>595</x:v>
      </x:c>
      <x:c r="K70" s="5" t="s">
        <x:v>596</x:v>
      </x:c>
      <x:c r="L70" s="5" t="s">
        <x:v>597</x:v>
      </x:c>
      <x:c r="M70" s="5" t="s">
        <x:v>598</x:v>
      </x:c>
      <x:c r="N70" s="5" t="s">
        <x:v>599</x:v>
      </x:c>
      <x:c r="O70" s="5" t="s">
        <x:v>474</x:v>
      </x:c>
      <x:c r="P70" s="5"/>
    </x:row>
    <x:row r="71" ht="199" customHeight="1">
      <x:c r="C71" s="5" t="s">
        <x:v>463</x:v>
      </x:c>
      <x:c r="D71" s="5" t="s">
        <x:v>577</x:v>
      </x:c>
      <x:c r="E71" s="5" t="s">
        <x:v>600</x:v>
      </x:c>
      <x:c r="F71" s="5" t="s">
        <x:v>601</x:v>
      </x:c>
      <x:c r="G71" s="5" t="s">
        <x:v>602</x:v>
      </x:c>
      <x:c r="H71" s="6" t="s">
        <x:v>120</x:v>
      </x:c>
      <x:c r="I71" s="5" t="s">
        <x:v>603</x:v>
      </x:c>
      <x:c r="J71" s="5" t="s">
        <x:v>604</x:v>
      </x:c>
      <x:c r="K71" s="5" t="s">
        <x:v>605</x:v>
      </x:c>
      <x:c r="L71" s="5" t="s">
        <x:v>606</x:v>
      </x:c>
      <x:c r="M71" s="5" t="s">
        <x:v>607</x:v>
      </x:c>
      <x:c r="N71" s="5" t="s">
        <x:v>608</x:v>
      </x:c>
      <x:c r="O71" s="5" t="s">
        <x:v>609</x:v>
      </x:c>
      <x:c r="P71" s="5"/>
    </x:row>
    <x:row r="72" ht="57" customHeight="1">
      <x:c r="C72" s="5"/>
      <x:c r="D72" s="5"/>
      <x:c r="E72" s="5"/>
      <x:c r="F72" s="5"/>
      <x:c r="G72" s="5" t="s">
        <x:v>610</x:v>
      </x:c>
      <x:c r="H72" s="6" t="s">
        <x:v>120</x:v>
      </x:c>
      <x:c r="I72" s="5" t="s">
        <x:v>611</x:v>
      </x:c>
      <x:c r="J72" s="5" t="s">
        <x:v>612</x:v>
      </x:c>
      <x:c r="K72" s="5" t="s">
        <x:v>613</x:v>
      </x:c>
      <x:c r="L72" s="5" t="s">
        <x:v>614</x:v>
      </x:c>
      <x:c r="M72" s="5" t="s">
        <x:v>615</x:v>
      </x:c>
      <x:c r="N72" s="5" t="s">
        <x:v>616</x:v>
      </x:c>
      <x:c r="O72" s="5" t="s">
        <x:v>609</x:v>
      </x:c>
      <x:c r="P72" s="5"/>
    </x:row>
    <x:row r="73" ht="57" customHeight="1">
      <x:c r="C73" s="5"/>
      <x:c r="D73" s="5"/>
      <x:c r="E73" s="5"/>
      <x:c r="F73" s="5"/>
      <x:c r="G73" s="5" t="s">
        <x:v>617</x:v>
      </x:c>
      <x:c r="H73" s="6" t="s">
        <x:v>120</x:v>
      </x:c>
      <x:c r="I73" s="5" t="s">
        <x:v>618</x:v>
      </x:c>
      <x:c r="J73" s="5" t="s">
        <x:v>619</x:v>
      </x:c>
      <x:c r="K73" s="5" t="s">
        <x:v>620</x:v>
      </x:c>
      <x:c r="L73" s="5" t="s">
        <x:v>606</x:v>
      </x:c>
      <x:c r="M73" s="5" t="s">
        <x:v>621</x:v>
      </x:c>
      <x:c r="N73" s="5" t="s">
        <x:v>622</x:v>
      </x:c>
      <x:c r="O73" s="5" t="s">
        <x:v>623</x:v>
      </x:c>
      <x:c r="P73" s="5"/>
    </x:row>
    <x:row r="74" ht="57" customHeight="1">
      <x:c r="C74" s="5"/>
      <x:c r="D74" s="5"/>
      <x:c r="E74" s="5"/>
      <x:c r="F74" s="5"/>
      <x:c r="G74" s="5" t="s">
        <x:v>624</x:v>
      </x:c>
      <x:c r="H74" s="6" t="s">
        <x:v>120</x:v>
      </x:c>
      <x:c r="I74" s="5" t="s">
        <x:v>625</x:v>
      </x:c>
      <x:c r="J74" s="5" t="s">
        <x:v>626</x:v>
      </x:c>
      <x:c r="K74" s="5" t="s">
        <x:v>627</x:v>
      </x:c>
      <x:c r="L74" s="5" t="s">
        <x:v>628</x:v>
      </x:c>
      <x:c r="M74" s="5" t="s">
        <x:v>629</x:v>
      </x:c>
      <x:c r="N74" s="5" t="s">
        <x:v>630</x:v>
      </x:c>
      <x:c r="O74" s="5" t="s">
        <x:v>631</x:v>
      </x:c>
      <x:c r="P74" s="5"/>
    </x:row>
    <x:row r="75" ht="199" customHeight="1">
      <x:c r="C75" s="5" t="s">
        <x:v>463</x:v>
      </x:c>
      <x:c r="D75" s="5" t="s">
        <x:v>577</x:v>
      </x:c>
      <x:c r="E75" s="5" t="s">
        <x:v>632</x:v>
      </x:c>
      <x:c r="F75" s="5" t="s">
        <x:v>633</x:v>
      </x:c>
      <x:c r="G75" s="5" t="s">
        <x:v>634</x:v>
      </x:c>
      <x:c r="H75" s="6" t="s">
        <x:v>120</x:v>
      </x:c>
      <x:c r="I75" s="5" t="s">
        <x:v>635</x:v>
      </x:c>
      <x:c r="J75" s="5" t="s">
        <x:v>636</x:v>
      </x:c>
      <x:c r="K75" s="5" t="s">
        <x:v>637</x:v>
      </x:c>
      <x:c r="L75" s="5" t="s">
        <x:v>573</x:v>
      </x:c>
      <x:c r="M75" s="5" t="s">
        <x:v>638</x:v>
      </x:c>
      <x:c r="N75" s="5" t="s">
        <x:v>639</x:v>
      </x:c>
      <x:c r="O75" s="5" t="s">
        <x:v>640</x:v>
      </x:c>
      <x:c r="P75" s="5"/>
    </x:row>
    <x:row r="76" ht="57" customHeight="1">
      <x:c r="C76" s="5"/>
      <x:c r="D76" s="5"/>
      <x:c r="E76" s="5"/>
      <x:c r="F76" s="5"/>
      <x:c r="G76" s="5" t="s">
        <x:v>641</x:v>
      </x:c>
      <x:c r="H76" s="6" t="s">
        <x:v>120</x:v>
      </x:c>
      <x:c r="I76" s="5" t="s">
        <x:v>642</x:v>
      </x:c>
      <x:c r="J76" s="5" t="s">
        <x:v>643</x:v>
      </x:c>
      <x:c r="K76" s="5" t="s">
        <x:v>644</x:v>
      </x:c>
      <x:c r="L76" s="5" t="s">
        <x:v>573</x:v>
      </x:c>
      <x:c r="M76" s="5" t="s">
        <x:v>645</x:v>
      </x:c>
      <x:c r="N76" s="5" t="s">
        <x:v>646</x:v>
      </x:c>
      <x:c r="O76" s="5" t="s">
        <x:v>640</x:v>
      </x:c>
      <x:c r="P76" s="5"/>
    </x:row>
    <x:row r="77" ht="85.25" customHeight="1">
      <x:c r="C77" s="5"/>
      <x:c r="D77" s="5"/>
      <x:c r="E77" s="5"/>
      <x:c r="F77" s="5"/>
      <x:c r="G77" s="5" t="s">
        <x:v>647</x:v>
      </x:c>
      <x:c r="H77" s="6" t="s">
        <x:v>120</x:v>
      </x:c>
      <x:c r="I77" s="5" t="s">
        <x:v>648</x:v>
      </x:c>
      <x:c r="J77" s="5" t="s">
        <x:v>649</x:v>
      </x:c>
      <x:c r="K77" s="5" t="s">
        <x:v>650</x:v>
      </x:c>
      <x:c r="L77" s="5" t="s">
        <x:v>573</x:v>
      </x:c>
      <x:c r="M77" s="5" t="s">
        <x:v>651</x:v>
      </x:c>
      <x:c r="N77" s="5" t="s">
        <x:v>652</x:v>
      </x:c>
      <x:c r="O77" s="5" t="s">
        <x:v>653</x:v>
      </x:c>
      <x:c r="P77" s="5"/>
    </x:row>
    <x:row r="78" ht="199" customHeight="1">
      <x:c r="C78" s="5" t="s">
        <x:v>463</x:v>
      </x:c>
      <x:c r="D78" s="5" t="s">
        <x:v>577</x:v>
      </x:c>
      <x:c r="E78" s="5" t="s">
        <x:v>654</x:v>
      </x:c>
      <x:c r="F78" s="5" t="s">
        <x:v>655</x:v>
      </x:c>
      <x:c r="G78" s="5" t="s">
        <x:v>656</x:v>
      </x:c>
      <x:c r="H78" s="6" t="s">
        <x:v>120</x:v>
      </x:c>
      <x:c r="I78" s="5" t="s">
        <x:v>657</x:v>
      </x:c>
      <x:c r="J78" s="5" t="s">
        <x:v>658</x:v>
      </x:c>
      <x:c r="K78" s="5" t="s">
        <x:v>659</x:v>
      </x:c>
      <x:c r="L78" s="5" t="s">
        <x:v>660</x:v>
      </x:c>
      <x:c r="M78" s="5" t="s">
        <x:v>661</x:v>
      </x:c>
      <x:c r="N78" s="5" t="s">
        <x:v>662</x:v>
      </x:c>
      <x:c r="O78" s="5" t="s">
        <x:v>663</x:v>
      </x:c>
      <x:c r="P78" s="5"/>
    </x:row>
    <x:row r="79" ht="57" customHeight="1">
      <x:c r="C79" s="5"/>
      <x:c r="D79" s="5"/>
      <x:c r="E79" s="5"/>
      <x:c r="F79" s="5"/>
      <x:c r="G79" s="5" t="s">
        <x:v>664</x:v>
      </x:c>
      <x:c r="H79" s="6" t="s">
        <x:v>120</x:v>
      </x:c>
      <x:c r="I79" s="5" t="s">
        <x:v>665</x:v>
      </x:c>
      <x:c r="J79" s="5" t="s">
        <x:v>666</x:v>
      </x:c>
      <x:c r="K79" s="5" t="s">
        <x:v>667</x:v>
      </x:c>
      <x:c r="L79" s="5" t="s">
        <x:v>660</x:v>
      </x:c>
      <x:c r="M79" s="5" t="s">
        <x:v>668</x:v>
      </x:c>
      <x:c r="N79" s="5" t="s">
        <x:v>669</x:v>
      </x:c>
      <x:c r="O79" s="5" t="s">
        <x:v>670</x:v>
      </x:c>
      <x:c r="P79" s="5"/>
    </x:row>
    <x:row r="80" ht="85.25" customHeight="1">
      <x:c r="C80" s="5"/>
      <x:c r="D80" s="5"/>
      <x:c r="E80" s="5"/>
      <x:c r="F80" s="5"/>
      <x:c r="G80" s="5" t="s">
        <x:v>671</x:v>
      </x:c>
      <x:c r="H80" s="6" t="s">
        <x:v>120</x:v>
      </x:c>
      <x:c r="I80" s="5" t="s">
        <x:v>672</x:v>
      </x:c>
      <x:c r="J80" s="5" t="s">
        <x:v>673</x:v>
      </x:c>
      <x:c r="K80" s="5" t="s">
        <x:v>674</x:v>
      </x:c>
      <x:c r="L80" s="5" t="s">
        <x:v>675</x:v>
      </x:c>
      <x:c r="M80" s="5" t="s">
        <x:v>676</x:v>
      </x:c>
      <x:c r="N80" s="5" t="s">
        <x:v>677</x:v>
      </x:c>
      <x:c r="O80" s="5" t="s">
        <x:v>678</x:v>
      </x:c>
      <x:c r="P80" s="5"/>
    </x:row>
    <x:row r="81" ht="57" customHeight="1">
      <x:c r="C81" s="5" t="s">
        <x:v>62</x:v>
      </x:c>
      <x:c r="D81" s="5" t="s">
        <x:v>81</x:v>
      </x:c>
      <x:c r="E81" s="5" t="s">
        <x:v>82</x:v>
      </x:c>
      <x:c r="F81" s="5" t="s">
        <x:v>83</x:v>
      </x:c>
      <x:c r="G81" s="5" t="s">
        <x:v>61</x:v>
      </x:c>
      <x:c r="H81" s="6" t="s">
        <x:v>63</x:v>
      </x:c>
      <x:c r="I81" s="5" t="s">
        <x:v>84</x:v>
      </x:c>
      <x:c r="J81" s="5" t="s">
        <x:v>85</x:v>
      </x:c>
      <x:c r="K81" s="5" t="s">
        <x:v>86</x:v>
      </x:c>
      <x:c r="L81" s="5" t="s">
        <x:v>87</x:v>
      </x:c>
      <x:c r="M81" s="5" t="s">
        <x:v>88</x:v>
      </x:c>
      <x:c r="N81" s="5" t="s">
        <x:v>89</x:v>
      </x:c>
      <x:c r="O81" s="5" t="s">
        <x:v>90</x:v>
      </x:c>
      <x:c r="P81" s="5"/>
    </x:row>
    <x:row r="82" ht="170.75" customHeight="1">
      <x:c r="C82" s="5" t="s">
        <x:v>679</x:v>
      </x:c>
      <x:c r="D82" s="5" t="s">
        <x:v>680</x:v>
      </x:c>
      <x:c r="E82" s="5" t="s">
        <x:v>681</x:v>
      </x:c>
      <x:c r="F82" s="5" t="s">
        <x:v>682</x:v>
      </x:c>
      <x:c r="G82" s="5" t="s">
        <x:v>683</x:v>
      </x:c>
      <x:c r="H82" s="6" t="s">
        <x:v>120</x:v>
      </x:c>
      <x:c r="I82" s="5" t="s">
        <x:v>684</x:v>
      </x:c>
      <x:c r="J82" s="5" t="s">
        <x:v>685</x:v>
      </x:c>
      <x:c r="K82" s="5" t="s">
        <x:v>686</x:v>
      </x:c>
      <x:c r="L82" s="5" t="s">
        <x:v>687</x:v>
      </x:c>
      <x:c r="M82" s="5" t="s">
        <x:v>688</x:v>
      </x:c>
      <x:c r="N82" s="5" t="s">
        <x:v>689</x:v>
      </x:c>
      <x:c r="O82" s="5" t="s">
        <x:v>690</x:v>
      </x:c>
      <x:c r="P82" s="5"/>
    </x:row>
    <x:row r="83" ht="85.25" customHeight="1">
      <x:c r="C83" s="5"/>
      <x:c r="D83" s="5"/>
      <x:c r="E83" s="5"/>
      <x:c r="F83" s="5"/>
      <x:c r="G83" s="5" t="s">
        <x:v>691</x:v>
      </x:c>
      <x:c r="H83" s="6" t="s">
        <x:v>120</x:v>
      </x:c>
      <x:c r="I83" s="5" t="s">
        <x:v>683</x:v>
      </x:c>
      <x:c r="J83" s="5" t="s">
        <x:v>692</x:v>
      </x:c>
      <x:c r="K83" s="5" t="s">
        <x:v>693</x:v>
      </x:c>
      <x:c r="L83" s="5" t="s">
        <x:v>694</x:v>
      </x:c>
      <x:c r="M83" s="5" t="s">
        <x:v>695</x:v>
      </x:c>
      <x:c r="N83" s="5" t="s">
        <x:v>696</x:v>
      </x:c>
      <x:c r="O83" s="5" t="s">
        <x:v>690</x:v>
      </x:c>
      <x:c r="P83" s="5"/>
    </x:row>
    <x:row r="84" ht="85.25" customHeight="1">
      <x:c r="C84" s="5"/>
      <x:c r="D84" s="5"/>
      <x:c r="E84" s="5"/>
      <x:c r="F84" s="5"/>
      <x:c r="G84" s="5" t="s">
        <x:v>697</x:v>
      </x:c>
      <x:c r="H84" s="6" t="s">
        <x:v>120</x:v>
      </x:c>
      <x:c r="I84" s="5" t="s">
        <x:v>683</x:v>
      </x:c>
      <x:c r="J84" s="5" t="s">
        <x:v>698</x:v>
      </x:c>
      <x:c r="K84" s="5" t="s">
        <x:v>699</x:v>
      </x:c>
      <x:c r="L84" s="5" t="s">
        <x:v>694</x:v>
      </x:c>
      <x:c r="M84" s="5" t="s">
        <x:v>700</x:v>
      </x:c>
      <x:c r="N84" s="5" t="s">
        <x:v>701</x:v>
      </x:c>
      <x:c r="O84" s="5" t="s">
        <x:v>690</x:v>
      </x:c>
      <x:c r="P84" s="5"/>
    </x:row>
    <x:row r="85" ht="57" customHeight="1">
      <x:c r="C85" s="5"/>
      <x:c r="D85" s="5"/>
      <x:c r="E85" s="5"/>
      <x:c r="F85" s="5"/>
      <x:c r="G85" s="5" t="s">
        <x:v>702</x:v>
      </x:c>
      <x:c r="H85" s="6" t="s">
        <x:v>120</x:v>
      </x:c>
      <x:c r="I85" s="5" t="s">
        <x:v>683</x:v>
      </x:c>
      <x:c r="J85" s="5" t="s">
        <x:v>703</x:v>
      </x:c>
      <x:c r="K85" s="5" t="s">
        <x:v>704</x:v>
      </x:c>
      <x:c r="L85" s="5" t="s">
        <x:v>694</x:v>
      </x:c>
      <x:c r="M85" s="5" t="s">
        <x:v>705</x:v>
      </x:c>
      <x:c r="N85" s="5" t="s">
        <x:v>706</x:v>
      </x:c>
      <x:c r="O85" s="5" t="s">
        <x:v>690</x:v>
      </x:c>
      <x:c r="P85" s="5"/>
    </x:row>
    <x:row r="86" ht="85.25" customHeight="1">
      <x:c r="C86" s="5"/>
      <x:c r="D86" s="5"/>
      <x:c r="E86" s="5"/>
      <x:c r="F86" s="5"/>
      <x:c r="G86" s="5" t="s">
        <x:v>707</x:v>
      </x:c>
      <x:c r="H86" s="6" t="s">
        <x:v>120</x:v>
      </x:c>
      <x:c r="I86" s="5" t="s">
        <x:v>702</x:v>
      </x:c>
      <x:c r="J86" s="5" t="s">
        <x:v>708</x:v>
      </x:c>
      <x:c r="K86" s="5" t="s">
        <x:v>709</x:v>
      </x:c>
      <x:c r="L86" s="5" t="s">
        <x:v>710</x:v>
      </x:c>
      <x:c r="M86" s="5" t="s">
        <x:v>711</x:v>
      </x:c>
      <x:c r="N86" s="5" t="s">
        <x:v>712</x:v>
      </x:c>
      <x:c r="O86" s="5" t="s">
        <x:v>690</x:v>
      </x:c>
      <x:c r="P86" s="5"/>
    </x:row>
    <x:row r="87" ht="85.25" customHeight="1">
      <x:c r="C87" s="5"/>
      <x:c r="D87" s="5"/>
      <x:c r="E87" s="5"/>
      <x:c r="F87" s="5"/>
      <x:c r="G87" s="5" t="s">
        <x:v>713</x:v>
      </x:c>
      <x:c r="H87" s="6" t="s">
        <x:v>120</x:v>
      </x:c>
      <x:c r="I87" s="5" t="s">
        <x:v>714</x:v>
      </x:c>
      <x:c r="J87" s="5" t="s">
        <x:v>715</x:v>
      </x:c>
      <x:c r="K87" s="5" t="s">
        <x:v>716</x:v>
      </x:c>
      <x:c r="L87" s="5" t="s">
        <x:v>717</x:v>
      </x:c>
      <x:c r="M87" s="5" t="s">
        <x:v>718</x:v>
      </x:c>
      <x:c r="N87" s="5" t="s">
        <x:v>719</x:v>
      </x:c>
      <x:c r="O87" s="5" t="s">
        <x:v>720</x:v>
      </x:c>
      <x:c r="P87" s="5"/>
    </x:row>
    <x:row r="88" ht="57" customHeight="1">
      <x:c r="C88" s="5"/>
      <x:c r="D88" s="5"/>
      <x:c r="E88" s="5"/>
      <x:c r="F88" s="5"/>
      <x:c r="G88" s="5" t="s">
        <x:v>721</x:v>
      </x:c>
      <x:c r="H88" s="6" t="s">
        <x:v>120</x:v>
      </x:c>
      <x:c r="I88" s="5" t="s">
        <x:v>722</x:v>
      </x:c>
      <x:c r="J88" s="5" t="s">
        <x:v>723</x:v>
      </x:c>
      <x:c r="K88" s="5" t="s">
        <x:v>724</x:v>
      </x:c>
      <x:c r="L88" s="5" t="s">
        <x:v>725</x:v>
      </x:c>
      <x:c r="M88" s="5" t="s">
        <x:v>726</x:v>
      </x:c>
      <x:c r="N88" s="5" t="s">
        <x:v>727</x:v>
      </x:c>
      <x:c r="O88" s="5" t="s">
        <x:v>690</x:v>
      </x:c>
      <x:c r="P88" s="5"/>
    </x:row>
    <x:row r="89" ht="85.25" customHeight="1">
      <x:c r="C89" s="5"/>
      <x:c r="D89" s="5"/>
      <x:c r="E89" s="5"/>
      <x:c r="F89" s="5"/>
      <x:c r="G89" s="5" t="s">
        <x:v>728</x:v>
      </x:c>
      <x:c r="H89" s="6" t="s">
        <x:v>120</x:v>
      </x:c>
      <x:c r="I89" s="5" t="s">
        <x:v>729</x:v>
      </x:c>
      <x:c r="J89" s="5" t="s">
        <x:v>730</x:v>
      </x:c>
      <x:c r="K89" s="5" t="s">
        <x:v>731</x:v>
      </x:c>
      <x:c r="L89" s="5" t="s">
        <x:v>717</x:v>
      </x:c>
      <x:c r="M89" s="5" t="s">
        <x:v>732</x:v>
      </x:c>
      <x:c r="N89" s="5" t="s">
        <x:v>733</x:v>
      </x:c>
      <x:c r="O89" s="5" t="s">
        <x:v>690</x:v>
      </x:c>
      <x:c r="P89" s="5"/>
    </x:row>
    <x:row r="90" ht="227.75" customHeight="1">
      <x:c r="C90" s="5" t="s">
        <x:v>679</x:v>
      </x:c>
      <x:c r="D90" s="5" t="s">
        <x:v>680</x:v>
      </x:c>
      <x:c r="E90" s="5" t="s">
        <x:v>734</x:v>
      </x:c>
      <x:c r="F90" s="5" t="s">
        <x:v>735</x:v>
      </x:c>
      <x:c r="G90" s="5" t="s">
        <x:v>736</x:v>
      </x:c>
      <x:c r="H90" s="6" t="s">
        <x:v>120</x:v>
      </x:c>
      <x:c r="I90" s="5" t="s">
        <x:v>737</x:v>
      </x:c>
      <x:c r="J90" s="5" t="s">
        <x:v>738</x:v>
      </x:c>
      <x:c r="K90" s="5" t="s">
        <x:v>739</x:v>
      </x:c>
      <x:c r="L90" s="5" t="s">
        <x:v>740</x:v>
      </x:c>
      <x:c r="M90" s="5" t="s">
        <x:v>741</x:v>
      </x:c>
      <x:c r="N90" s="5" t="s">
        <x:v>742</x:v>
      </x:c>
      <x:c r="O90" s="5" t="s">
        <x:v>690</x:v>
      </x:c>
      <x:c r="P90" s="5"/>
    </x:row>
    <x:row r="91" ht="85.25" customHeight="1">
      <x:c r="C91" s="5"/>
      <x:c r="D91" s="5"/>
      <x:c r="E91" s="5"/>
      <x:c r="F91" s="5"/>
      <x:c r="G91" s="5" t="s">
        <x:v>743</x:v>
      </x:c>
      <x:c r="H91" s="6" t="s">
        <x:v>120</x:v>
      </x:c>
      <x:c r="I91" s="5" t="s">
        <x:v>744</x:v>
      </x:c>
      <x:c r="J91" s="5" t="s">
        <x:v>745</x:v>
      </x:c>
      <x:c r="K91" s="5" t="s">
        <x:v>746</x:v>
      </x:c>
      <x:c r="L91" s="5" t="s">
        <x:v>740</x:v>
      </x:c>
      <x:c r="M91" s="5" t="s">
        <x:v>747</x:v>
      </x:c>
      <x:c r="N91" s="5" t="s">
        <x:v>748</x:v>
      </x:c>
      <x:c r="O91" s="5" t="s">
        <x:v>690</x:v>
      </x:c>
      <x:c r="P91" s="5"/>
    </x:row>
    <x:row r="92" ht="57" customHeight="1">
      <x:c r="C92" s="5"/>
      <x:c r="D92" s="5"/>
      <x:c r="E92" s="5"/>
      <x:c r="F92" s="5"/>
      <x:c r="G92" s="5" t="s">
        <x:v>749</x:v>
      </x:c>
      <x:c r="H92" s="6" t="s">
        <x:v>120</x:v>
      </x:c>
      <x:c r="I92" s="5" t="s">
        <x:v>750</x:v>
      </x:c>
      <x:c r="J92" s="5" t="s">
        <x:v>751</x:v>
      </x:c>
      <x:c r="K92" s="5" t="s">
        <x:v>752</x:v>
      </x:c>
      <x:c r="L92" s="5" t="s">
        <x:v>740</x:v>
      </x:c>
      <x:c r="M92" s="5" t="s">
        <x:v>753</x:v>
      </x:c>
      <x:c r="N92" s="5" t="s">
        <x:v>754</x:v>
      </x:c>
      <x:c r="O92" s="5" t="s">
        <x:v>755</x:v>
      </x:c>
      <x:c r="P92" s="5"/>
    </x:row>
    <x:row r="93" ht="170.75" customHeight="1">
      <x:c r="C93" s="5" t="s">
        <x:v>679</x:v>
      </x:c>
      <x:c r="D93" s="5" t="s">
        <x:v>680</x:v>
      </x:c>
      <x:c r="E93" s="5" t="s">
        <x:v>756</x:v>
      </x:c>
      <x:c r="F93" s="5" t="s">
        <x:v>757</x:v>
      </x:c>
      <x:c r="G93" s="5" t="s">
        <x:v>758</x:v>
      </x:c>
      <x:c r="H93" s="6" t="s">
        <x:v>120</x:v>
      </x:c>
      <x:c r="I93" s="5" t="s">
        <x:v>683</x:v>
      </x:c>
      <x:c r="J93" s="5" t="s">
        <x:v>759</x:v>
      </x:c>
      <x:c r="K93" s="5" t="s">
        <x:v>760</x:v>
      </x:c>
      <x:c r="L93" s="5" t="s">
        <x:v>761</x:v>
      </x:c>
      <x:c r="M93" s="5" t="s">
        <x:v>762</x:v>
      </x:c>
      <x:c r="N93" s="5" t="s">
        <x:v>763</x:v>
      </x:c>
      <x:c r="O93" s="5" t="s">
        <x:v>690</x:v>
      </x:c>
      <x:c r="P93" s="5"/>
    </x:row>
    <x:row r="94" ht="57" customHeight="1">
      <x:c r="C94" s="5"/>
      <x:c r="D94" s="5"/>
      <x:c r="E94" s="5"/>
      <x:c r="F94" s="5"/>
      <x:c r="G94" s="5" t="s">
        <x:v>764</x:v>
      </x:c>
      <x:c r="H94" s="6" t="s">
        <x:v>120</x:v>
      </x:c>
      <x:c r="I94" s="5" t="s">
        <x:v>758</x:v>
      </x:c>
      <x:c r="J94" s="5" t="s">
        <x:v>765</x:v>
      </x:c>
      <x:c r="K94" s="5" t="s">
        <x:v>766</x:v>
      </x:c>
      <x:c r="L94" s="5" t="s">
        <x:v>761</x:v>
      </x:c>
      <x:c r="M94" s="5" t="s">
        <x:v>767</x:v>
      </x:c>
      <x:c r="N94" s="5" t="s">
        <x:v>768</x:v>
      </x:c>
      <x:c r="O94" s="5" t="s">
        <x:v>690</x:v>
      </x:c>
      <x:c r="P94" s="5"/>
    </x:row>
    <x:row r="95" ht="85.25" customHeight="1">
      <x:c r="C95" s="5"/>
      <x:c r="D95" s="5"/>
      <x:c r="E95" s="5"/>
      <x:c r="F95" s="5"/>
      <x:c r="G95" s="5" t="s">
        <x:v>769</x:v>
      </x:c>
      <x:c r="H95" s="6" t="s">
        <x:v>120</x:v>
      </x:c>
      <x:c r="I95" s="5" t="s">
        <x:v>569</x:v>
      </x:c>
      <x:c r="J95" s="5" t="s">
        <x:v>770</x:v>
      </x:c>
      <x:c r="K95" s="5" t="s">
        <x:v>771</x:v>
      </x:c>
      <x:c r="L95" s="5" t="s">
        <x:v>725</x:v>
      </x:c>
      <x:c r="M95" s="5" t="s">
        <x:v>772</x:v>
      </x:c>
      <x:c r="N95" s="5" t="s">
        <x:v>773</x:v>
      </x:c>
      <x:c r="O95" s="5" t="s">
        <x:v>774</x:v>
      </x:c>
      <x:c r="P95" s="5"/>
    </x:row>
    <x:row r="96" ht="85.25" customHeight="1">
      <x:c r="C96" s="5"/>
      <x:c r="D96" s="5"/>
      <x:c r="E96" s="5"/>
      <x:c r="F96" s="5"/>
      <x:c r="G96" s="5" t="s">
        <x:v>775</x:v>
      </x:c>
      <x:c r="H96" s="6" t="s">
        <x:v>120</x:v>
      </x:c>
      <x:c r="I96" s="5" t="s">
        <x:v>776</x:v>
      </x:c>
      <x:c r="J96" s="5" t="s">
        <x:v>777</x:v>
      </x:c>
      <x:c r="K96" s="5" t="s">
        <x:v>778</x:v>
      </x:c>
      <x:c r="L96" s="5" t="s">
        <x:v>725</x:v>
      </x:c>
      <x:c r="M96" s="5" t="s">
        <x:v>779</x:v>
      </x:c>
      <x:c r="N96" s="5" t="s">
        <x:v>780</x:v>
      </x:c>
      <x:c r="O96" s="5" t="s">
        <x:v>690</x:v>
      </x:c>
      <x:c r="P96" s="5"/>
    </x:row>
    <x:row r="97" ht="170.75" customHeight="1">
      <x:c r="C97" s="5" t="s">
        <x:v>679</x:v>
      </x:c>
      <x:c r="D97" s="5" t="s">
        <x:v>680</x:v>
      </x:c>
      <x:c r="E97" s="5" t="s">
        <x:v>781</x:v>
      </x:c>
      <x:c r="F97" s="5" t="s">
        <x:v>782</x:v>
      </x:c>
      <x:c r="G97" s="5" t="s">
        <x:v>783</x:v>
      </x:c>
      <x:c r="H97" s="6" t="s">
        <x:v>120</x:v>
      </x:c>
      <x:c r="I97" s="5" t="s">
        <x:v>683</x:v>
      </x:c>
      <x:c r="J97" s="5" t="s">
        <x:v>784</x:v>
      </x:c>
      <x:c r="K97" s="5" t="s">
        <x:v>785</x:v>
      </x:c>
      <x:c r="L97" s="5" t="s">
        <x:v>786</x:v>
      </x:c>
      <x:c r="M97" s="5" t="s">
        <x:v>787</x:v>
      </x:c>
      <x:c r="N97" s="5" t="s">
        <x:v>788</x:v>
      </x:c>
      <x:c r="O97" s="5" t="s">
        <x:v>789</x:v>
      </x:c>
      <x:c r="P97" s="5"/>
    </x:row>
    <x:row r="98" ht="85.25" customHeight="1">
      <x:c r="C98" s="5"/>
      <x:c r="D98" s="5"/>
      <x:c r="E98" s="5"/>
      <x:c r="F98" s="5"/>
      <x:c r="G98" s="5" t="s">
        <x:v>790</x:v>
      </x:c>
      <x:c r="H98" s="6" t="s">
        <x:v>120</x:v>
      </x:c>
      <x:c r="I98" s="5" t="s">
        <x:v>783</x:v>
      </x:c>
      <x:c r="J98" s="5" t="s">
        <x:v>791</x:v>
      </x:c>
      <x:c r="K98" s="5" t="s">
        <x:v>792</x:v>
      </x:c>
      <x:c r="L98" s="5" t="s">
        <x:v>786</x:v>
      </x:c>
      <x:c r="M98" s="5" t="s">
        <x:v>793</x:v>
      </x:c>
      <x:c r="N98" s="5" t="s">
        <x:v>794</x:v>
      </x:c>
      <x:c r="O98" s="5" t="s">
        <x:v>789</x:v>
      </x:c>
      <x:c r="P98" s="5"/>
    </x:row>
    <x:row r="99" ht="57" customHeight="1">
      <x:c r="C99" s="5"/>
      <x:c r="D99" s="5"/>
      <x:c r="E99" s="5"/>
      <x:c r="F99" s="5"/>
      <x:c r="G99" s="5" t="s">
        <x:v>795</x:v>
      </x:c>
      <x:c r="H99" s="6" t="s">
        <x:v>120</x:v>
      </x:c>
      <x:c r="I99" s="5" t="s">
        <x:v>783</x:v>
      </x:c>
      <x:c r="J99" s="5" t="s">
        <x:v>796</x:v>
      </x:c>
      <x:c r="K99" s="5" t="s">
        <x:v>797</x:v>
      </x:c>
      <x:c r="L99" s="5" t="s">
        <x:v>786</x:v>
      </x:c>
      <x:c r="M99" s="5" t="s">
        <x:v>798</x:v>
      </x:c>
      <x:c r="N99" s="5" t="s">
        <x:v>799</x:v>
      </x:c>
      <x:c r="O99" s="5" t="s">
        <x:v>789</x:v>
      </x:c>
      <x:c r="P99" s="5"/>
    </x:row>
    <x:row r="100" ht="57" customHeight="1">
      <x:c r="C100" s="5"/>
      <x:c r="D100" s="5"/>
      <x:c r="E100" s="5"/>
      <x:c r="F100" s="5"/>
      <x:c r="G100" s="5" t="s">
        <x:v>800</x:v>
      </x:c>
      <x:c r="H100" s="6" t="s">
        <x:v>120</x:v>
      </x:c>
      <x:c r="I100" s="5" t="s">
        <x:v>758</x:v>
      </x:c>
      <x:c r="J100" s="5" t="s">
        <x:v>801</x:v>
      </x:c>
      <x:c r="K100" s="5" t="s">
        <x:v>802</x:v>
      </x:c>
      <x:c r="L100" s="5" t="s">
        <x:v>803</x:v>
      </x:c>
      <x:c r="M100" s="5" t="s">
        <x:v>804</x:v>
      </x:c>
      <x:c r="N100" s="5" t="s">
        <x:v>805</x:v>
      </x:c>
      <x:c r="O100" s="5" t="s">
        <x:v>789</x:v>
      </x:c>
      <x:c r="P100" s="5"/>
    </x:row>
    <x:row r="101" ht="170.75" customHeight="1">
      <x:c r="C101" s="5" t="s">
        <x:v>679</x:v>
      </x:c>
      <x:c r="D101" s="5" t="s">
        <x:v>680</x:v>
      </x:c>
      <x:c r="E101" s="5" t="s">
        <x:v>806</x:v>
      </x:c>
      <x:c r="F101" s="5" t="s">
        <x:v>807</x:v>
      </x:c>
      <x:c r="G101" s="5" t="s">
        <x:v>808</x:v>
      </x:c>
      <x:c r="H101" s="6" t="s">
        <x:v>120</x:v>
      </x:c>
      <x:c r="I101" s="5" t="s">
        <x:v>683</x:v>
      </x:c>
      <x:c r="J101" s="5" t="s">
        <x:v>809</x:v>
      </x:c>
      <x:c r="K101" s="5" t="s">
        <x:v>810</x:v>
      </x:c>
      <x:c r="L101" s="5" t="s">
        <x:v>811</x:v>
      </x:c>
      <x:c r="M101" s="5" t="s">
        <x:v>812</x:v>
      </x:c>
      <x:c r="N101" s="5" t="s">
        <x:v>813</x:v>
      </x:c>
      <x:c r="O101" s="5" t="s">
        <x:v>814</x:v>
      </x:c>
      <x:c r="P101" s="5"/>
    </x:row>
    <x:row r="102" ht="57" customHeight="1">
      <x:c r="C102" s="5"/>
      <x:c r="D102" s="5"/>
      <x:c r="E102" s="5"/>
      <x:c r="F102" s="5"/>
      <x:c r="G102" s="5" t="s">
        <x:v>815</x:v>
      </x:c>
      <x:c r="H102" s="6" t="s">
        <x:v>120</x:v>
      </x:c>
      <x:c r="I102" s="5" t="s">
        <x:v>808</x:v>
      </x:c>
      <x:c r="J102" s="5" t="s">
        <x:v>816</x:v>
      </x:c>
      <x:c r="K102" s="5" t="s">
        <x:v>817</x:v>
      </x:c>
      <x:c r="L102" s="5" t="s">
        <x:v>811</x:v>
      </x:c>
      <x:c r="M102" s="5" t="s">
        <x:v>818</x:v>
      </x:c>
      <x:c r="N102" s="5" t="s">
        <x:v>819</x:v>
      </x:c>
      <x:c r="O102" s="5" t="s">
        <x:v>814</x:v>
      </x:c>
      <x:c r="P102" s="5"/>
    </x:row>
    <x:row r="103" ht="57" customHeight="1">
      <x:c r="C103" s="5"/>
      <x:c r="D103" s="5"/>
      <x:c r="E103" s="5"/>
      <x:c r="F103" s="5"/>
      <x:c r="G103" s="5" t="s">
        <x:v>820</x:v>
      </x:c>
      <x:c r="H103" s="6" t="s">
        <x:v>120</x:v>
      </x:c>
      <x:c r="I103" s="5" t="s">
        <x:v>808</x:v>
      </x:c>
      <x:c r="J103" s="5" t="s">
        <x:v>821</x:v>
      </x:c>
      <x:c r="K103" s="5" t="s">
        <x:v>822</x:v>
      </x:c>
      <x:c r="L103" s="5" t="s">
        <x:v>811</x:v>
      </x:c>
      <x:c r="M103" s="5" t="s">
        <x:v>823</x:v>
      </x:c>
      <x:c r="N103" s="5" t="s">
        <x:v>824</x:v>
      </x:c>
      <x:c r="O103" s="5" t="s">
        <x:v>825</x:v>
      </x:c>
      <x:c r="P103" s="5"/>
    </x:row>
    <x:row r="104" ht="57" customHeight="1">
      <x:c r="C104" s="5"/>
      <x:c r="D104" s="5"/>
      <x:c r="E104" s="5"/>
      <x:c r="F104" s="5"/>
      <x:c r="G104" s="5" t="s">
        <x:v>826</x:v>
      </x:c>
      <x:c r="H104" s="6" t="s">
        <x:v>120</x:v>
      </x:c>
      <x:c r="I104" s="5" t="s">
        <x:v>827</x:v>
      </x:c>
      <x:c r="J104" s="5" t="s">
        <x:v>828</x:v>
      </x:c>
      <x:c r="K104" s="5" t="s">
        <x:v>829</x:v>
      </x:c>
      <x:c r="L104" s="5" t="s">
        <x:v>830</x:v>
      </x:c>
      <x:c r="M104" s="5" t="s">
        <x:v>831</x:v>
      </x:c>
      <x:c r="N104" s="5" t="s">
        <x:v>832</x:v>
      </x:c>
      <x:c r="O104" s="5" t="s">
        <x:v>833</x:v>
      </x:c>
      <x:c r="P104" s="5"/>
    </x:row>
    <x:row r="105" ht="170.75" customHeight="1">
      <x:c r="C105" s="5" t="s">
        <x:v>679</x:v>
      </x:c>
      <x:c r="D105" s="5" t="s">
        <x:v>680</x:v>
      </x:c>
      <x:c r="E105" s="5" t="s">
        <x:v>834</x:v>
      </x:c>
      <x:c r="F105" s="5" t="s">
        <x:v>835</x:v>
      </x:c>
      <x:c r="G105" s="5" t="s">
        <x:v>836</x:v>
      </x:c>
      <x:c r="H105" s="6" t="s">
        <x:v>120</x:v>
      </x:c>
      <x:c r="I105" s="5" t="s">
        <x:v>837</x:v>
      </x:c>
      <x:c r="J105" s="5" t="s">
        <x:v>838</x:v>
      </x:c>
      <x:c r="K105" s="5" t="s">
        <x:v>839</x:v>
      </x:c>
      <x:c r="L105" s="5" t="s">
        <x:v>840</x:v>
      </x:c>
      <x:c r="M105" s="5" t="s">
        <x:v>841</x:v>
      </x:c>
      <x:c r="N105" s="5" t="s">
        <x:v>842</x:v>
      </x:c>
      <x:c r="O105" s="5" t="s">
        <x:v>690</x:v>
      </x:c>
      <x:c r="P105" s="5"/>
    </x:row>
    <x:row r="106" ht="85.25" customHeight="1">
      <x:c r="C106" s="5"/>
      <x:c r="D106" s="5"/>
      <x:c r="E106" s="5"/>
      <x:c r="F106" s="5"/>
      <x:c r="G106" s="5" t="s">
        <x:v>843</x:v>
      </x:c>
      <x:c r="H106" s="6" t="s">
        <x:v>120</x:v>
      </x:c>
      <x:c r="I106" s="5" t="s">
        <x:v>844</x:v>
      </x:c>
      <x:c r="J106" s="5" t="s">
        <x:v>845</x:v>
      </x:c>
      <x:c r="K106" s="5" t="s">
        <x:v>846</x:v>
      </x:c>
      <x:c r="L106" s="5" t="s">
        <x:v>840</x:v>
      </x:c>
      <x:c r="M106" s="5" t="s">
        <x:v>847</x:v>
      </x:c>
      <x:c r="N106" s="5" t="s">
        <x:v>848</x:v>
      </x:c>
      <x:c r="O106" s="5" t="s">
        <x:v>849</x:v>
      </x:c>
      <x:c r="P106" s="5"/>
    </x:row>
    <x:row r="107" ht="85.25" customHeight="1">
      <x:c r="C107" s="5"/>
      <x:c r="D107" s="5"/>
      <x:c r="E107" s="5"/>
      <x:c r="F107" s="5"/>
      <x:c r="G107" s="5" t="s">
        <x:v>850</x:v>
      </x:c>
      <x:c r="H107" s="6" t="s">
        <x:v>120</x:v>
      </x:c>
      <x:c r="I107" s="5" t="s">
        <x:v>851</x:v>
      </x:c>
      <x:c r="J107" s="5" t="s">
        <x:v>852</x:v>
      </x:c>
      <x:c r="K107" s="5" t="s">
        <x:v>853</x:v>
      </x:c>
      <x:c r="L107" s="5" t="s">
        <x:v>854</x:v>
      </x:c>
      <x:c r="M107" s="5" t="s">
        <x:v>855</x:v>
      </x:c>
      <x:c r="N107" s="5" t="s">
        <x:v>856</x:v>
      </x:c>
      <x:c r="O107" s="5" t="s">
        <x:v>690</x:v>
      </x:c>
      <x:c r="P107" s="5"/>
    </x:row>
    <x:row r="108" ht="57" customHeight="1">
      <x:c r="C108" s="5"/>
      <x:c r="D108" s="5"/>
      <x:c r="E108" s="5"/>
      <x:c r="F108" s="5"/>
      <x:c r="G108" s="5" t="s">
        <x:v>857</x:v>
      </x:c>
      <x:c r="H108" s="6" t="s">
        <x:v>120</x:v>
      </x:c>
      <x:c r="I108" s="5" t="s">
        <x:v>836</x:v>
      </x:c>
      <x:c r="J108" s="5" t="s">
        <x:v>858</x:v>
      </x:c>
      <x:c r="K108" s="5" t="s">
        <x:v>859</x:v>
      </x:c>
      <x:c r="L108" s="5" t="s">
        <x:v>840</x:v>
      </x:c>
      <x:c r="M108" s="5" t="s">
        <x:v>860</x:v>
      </x:c>
      <x:c r="N108" s="5" t="s">
        <x:v>861</x:v>
      </x:c>
      <x:c r="O108" s="5" t="s">
        <x:v>690</x:v>
      </x:c>
      <x:c r="P108" s="5"/>
    </x:row>
    <x:row r="109" ht="199" customHeight="1">
      <x:c r="C109" s="5" t="s">
        <x:v>679</x:v>
      </x:c>
      <x:c r="D109" s="5" t="s">
        <x:v>680</x:v>
      </x:c>
      <x:c r="E109" s="5" t="s">
        <x:v>862</x:v>
      </x:c>
      <x:c r="F109" s="5" t="s">
        <x:v>863</x:v>
      </x:c>
      <x:c r="G109" s="5" t="s">
        <x:v>864</x:v>
      </x:c>
      <x:c r="H109" s="6" t="s">
        <x:v>120</x:v>
      </x:c>
      <x:c r="I109" s="5" t="s">
        <x:v>865</x:v>
      </x:c>
      <x:c r="J109" s="5" t="s">
        <x:v>866</x:v>
      </x:c>
      <x:c r="K109" s="5" t="s">
        <x:v>867</x:v>
      </x:c>
      <x:c r="L109" s="5" t="s">
        <x:v>786</x:v>
      </x:c>
      <x:c r="M109" s="5" t="s">
        <x:v>868</x:v>
      </x:c>
      <x:c r="N109" s="5" t="s">
        <x:v>869</x:v>
      </x:c>
      <x:c r="O109" s="5" t="s">
        <x:v>789</x:v>
      </x:c>
      <x:c r="P109" s="5"/>
    </x:row>
    <x:row r="110" ht="57" customHeight="1">
      <x:c r="C110" s="5"/>
      <x:c r="D110" s="5"/>
      <x:c r="E110" s="5"/>
      <x:c r="F110" s="5"/>
      <x:c r="G110" s="5" t="s">
        <x:v>870</x:v>
      </x:c>
      <x:c r="H110" s="6" t="s">
        <x:v>120</x:v>
      </x:c>
      <x:c r="I110" s="5" t="s">
        <x:v>871</x:v>
      </x:c>
      <x:c r="J110" s="5" t="s">
        <x:v>872</x:v>
      </x:c>
      <x:c r="K110" s="5" t="s">
        <x:v>873</x:v>
      </x:c>
      <x:c r="L110" s="5" t="s">
        <x:v>786</x:v>
      </x:c>
      <x:c r="M110" s="5" t="s">
        <x:v>874</x:v>
      </x:c>
      <x:c r="N110" s="5" t="s">
        <x:v>875</x:v>
      </x:c>
      <x:c r="O110" s="5" t="s">
        <x:v>876</x:v>
      </x:c>
      <x:c r="P110" s="5"/>
    </x:row>
    <x:row r="111" ht="57" customHeight="1">
      <x:c r="C111" s="5"/>
      <x:c r="D111" s="5"/>
      <x:c r="E111" s="5"/>
      <x:c r="F111" s="5"/>
      <x:c r="G111" s="5" t="s">
        <x:v>877</x:v>
      </x:c>
      <x:c r="H111" s="6" t="s">
        <x:v>120</x:v>
      </x:c>
      <x:c r="I111" s="5" t="s">
        <x:v>783</x:v>
      </x:c>
      <x:c r="J111" s="5" t="s">
        <x:v>878</x:v>
      </x:c>
      <x:c r="K111" s="5" t="s">
        <x:v>879</x:v>
      </x:c>
      <x:c r="L111" s="5" t="s">
        <x:v>786</x:v>
      </x:c>
      <x:c r="M111" s="5" t="s">
        <x:v>880</x:v>
      </x:c>
      <x:c r="N111" s="5" t="s">
        <x:v>881</x:v>
      </x:c>
      <x:c r="O111" s="5" t="s">
        <x:v>789</x:v>
      </x:c>
      <x:c r="P111" s="5"/>
    </x:row>
    <x:row r="112" ht="85.25" customHeight="1">
      <x:c r="C112" s="5"/>
      <x:c r="D112" s="5"/>
      <x:c r="E112" s="5"/>
      <x:c r="F112" s="5"/>
      <x:c r="G112" s="5" t="s">
        <x:v>882</x:v>
      </x:c>
      <x:c r="H112" s="6" t="s">
        <x:v>120</x:v>
      </x:c>
      <x:c r="I112" s="5" t="s">
        <x:v>883</x:v>
      </x:c>
      <x:c r="J112" s="5" t="s">
        <x:v>884</x:v>
      </x:c>
      <x:c r="K112" s="5" t="s">
        <x:v>885</x:v>
      </x:c>
      <x:c r="L112" s="5" t="s">
        <x:v>786</x:v>
      </x:c>
      <x:c r="M112" s="5" t="s">
        <x:v>886</x:v>
      </x:c>
      <x:c r="N112" s="5" t="s">
        <x:v>887</x:v>
      </x:c>
      <x:c r="O112" s="5" t="s">
        <x:v>888</x:v>
      </x:c>
      <x:c r="P112" s="5"/>
    </x:row>
    <x:row r="113" ht="85.25" customHeight="1">
      <x:c r="C113" s="5"/>
      <x:c r="D113" s="5"/>
      <x:c r="E113" s="5"/>
      <x:c r="F113" s="5"/>
      <x:c r="G113" s="5" t="s">
        <x:v>889</x:v>
      </x:c>
      <x:c r="H113" s="6" t="s">
        <x:v>120</x:v>
      </x:c>
      <x:c r="I113" s="5" t="s">
        <x:v>890</x:v>
      </x:c>
      <x:c r="J113" s="5" t="s">
        <x:v>891</x:v>
      </x:c>
      <x:c r="K113" s="5" t="s">
        <x:v>892</x:v>
      </x:c>
      <x:c r="L113" s="5" t="s">
        <x:v>893</x:v>
      </x:c>
      <x:c r="M113" s="5" t="s">
        <x:v>894</x:v>
      </x:c>
      <x:c r="N113" s="5" t="s">
        <x:v>895</x:v>
      </x:c>
      <x:c r="O113" s="5" t="s">
        <x:v>896</x:v>
      </x:c>
      <x:c r="P113" s="5"/>
    </x:row>
    <x:row r="114" ht="142.25" customHeight="1">
      <x:c r="C114" s="5" t="s">
        <x:v>679</x:v>
      </x:c>
      <x:c r="D114" s="5" t="s">
        <x:v>680</x:v>
      </x:c>
      <x:c r="E114" s="5" t="s">
        <x:v>897</x:v>
      </x:c>
      <x:c r="F114" s="5" t="s">
        <x:v>898</x:v>
      </x:c>
      <x:c r="G114" s="5" t="s">
        <x:v>899</x:v>
      </x:c>
      <x:c r="H114" s="6" t="s">
        <x:v>120</x:v>
      </x:c>
      <x:c r="I114" s="5" t="s">
        <x:v>618</x:v>
      </x:c>
      <x:c r="J114" s="5" t="s">
        <x:v>900</x:v>
      </x:c>
      <x:c r="K114" s="5" t="s">
        <x:v>901</x:v>
      </x:c>
      <x:c r="L114" s="5" t="s">
        <x:v>902</x:v>
      </x:c>
      <x:c r="M114" s="5" t="s">
        <x:v>903</x:v>
      </x:c>
      <x:c r="N114" s="5" t="s">
        <x:v>904</x:v>
      </x:c>
      <x:c r="O114" s="5" t="s">
        <x:v>905</x:v>
      </x:c>
      <x:c r="P114" s="5"/>
    </x:row>
    <x:row r="115" ht="57" customHeight="1">
      <x:c r="C115" s="5"/>
      <x:c r="D115" s="5"/>
      <x:c r="E115" s="5"/>
      <x:c r="F115" s="5"/>
      <x:c r="G115" s="5" t="s">
        <x:v>906</x:v>
      </x:c>
      <x:c r="H115" s="6" t="s">
        <x:v>120</x:v>
      </x:c>
      <x:c r="I115" s="5" t="s">
        <x:v>907</x:v>
      </x:c>
      <x:c r="J115" s="5" t="s">
        <x:v>908</x:v>
      </x:c>
      <x:c r="K115" s="5" t="s">
        <x:v>909</x:v>
      </x:c>
      <x:c r="L115" s="5" t="s">
        <x:v>902</x:v>
      </x:c>
      <x:c r="M115" s="5" t="s">
        <x:v>910</x:v>
      </x:c>
      <x:c r="N115" s="5" t="s">
        <x:v>911</x:v>
      </x:c>
      <x:c r="O115" s="5" t="s">
        <x:v>905</x:v>
      </x:c>
      <x:c r="P115" s="5"/>
    </x:row>
    <x:row r="116" ht="57" customHeight="1">
      <x:c r="C116" s="5"/>
      <x:c r="D116" s="5"/>
      <x:c r="E116" s="5"/>
      <x:c r="F116" s="5"/>
      <x:c r="G116" s="5" t="s">
        <x:v>912</x:v>
      </x:c>
      <x:c r="H116" s="6" t="s">
        <x:v>120</x:v>
      </x:c>
      <x:c r="I116" s="5" t="s">
        <x:v>913</x:v>
      </x:c>
      <x:c r="J116" s="5" t="s">
        <x:v>914</x:v>
      </x:c>
      <x:c r="K116" s="5" t="s">
        <x:v>915</x:v>
      </x:c>
      <x:c r="L116" s="5" t="s">
        <x:v>902</x:v>
      </x:c>
      <x:c r="M116" s="5" t="s">
        <x:v>916</x:v>
      </x:c>
      <x:c r="N116" s="5" t="s">
        <x:v>917</x:v>
      </x:c>
      <x:c r="O116" s="5" t="s">
        <x:v>918</x:v>
      </x:c>
      <x:c r="P116" s="5"/>
    </x:row>
    <x:row r="117" ht="57" customHeight="1">
      <x:c r="C117" s="5"/>
      <x:c r="D117" s="5"/>
      <x:c r="E117" s="5"/>
      <x:c r="F117" s="5"/>
      <x:c r="G117" s="5" t="s">
        <x:v>919</x:v>
      </x:c>
      <x:c r="H117" s="6" t="s">
        <x:v>120</x:v>
      </x:c>
      <x:c r="I117" s="5" t="s">
        <x:v>119</x:v>
      </x:c>
      <x:c r="J117" s="5" t="s">
        <x:v>920</x:v>
      </x:c>
      <x:c r="K117" s="5" t="s">
        <x:v>921</x:v>
      </x:c>
      <x:c r="L117" s="5" t="s">
        <x:v>902</x:v>
      </x:c>
      <x:c r="M117" s="5" t="s">
        <x:v>922</x:v>
      </x:c>
      <x:c r="N117" s="5" t="s">
        <x:v>923</x:v>
      </x:c>
      <x:c r="O117" s="5" t="s">
        <x:v>924</x:v>
      </x:c>
      <x:c r="P117" s="5"/>
    </x:row>
    <x:row r="118" ht="57" customHeight="1">
      <x:c r="C118" s="5"/>
      <x:c r="D118" s="5"/>
      <x:c r="E118" s="5"/>
      <x:c r="F118" s="5"/>
      <x:c r="G118" s="5" t="s">
        <x:v>925</x:v>
      </x:c>
      <x:c r="H118" s="6" t="s">
        <x:v>120</x:v>
      </x:c>
      <x:c r="I118" s="5" t="s">
        <x:v>926</x:v>
      </x:c>
      <x:c r="J118" s="5" t="s">
        <x:v>927</x:v>
      </x:c>
      <x:c r="K118" s="5" t="s">
        <x:v>928</x:v>
      </x:c>
      <x:c r="L118" s="5" t="s">
        <x:v>929</x:v>
      </x:c>
      <x:c r="M118" s="5" t="s">
        <x:v>930</x:v>
      </x:c>
      <x:c r="N118" s="5" t="s">
        <x:v>931</x:v>
      </x:c>
      <x:c r="O118" s="5" t="s">
        <x:v>932</x:v>
      </x:c>
      <x:c r="P118" s="5"/>
    </x:row>
    <x:row r="119" ht="170.75" customHeight="1">
      <x:c r="C119" s="5" t="s">
        <x:v>679</x:v>
      </x:c>
      <x:c r="D119" s="5" t="s">
        <x:v>680</x:v>
      </x:c>
      <x:c r="E119" s="5" t="s">
        <x:v>933</x:v>
      </x:c>
      <x:c r="F119" s="5" t="s">
        <x:v>934</x:v>
      </x:c>
      <x:c r="G119" s="5" t="s">
        <x:v>935</x:v>
      </x:c>
      <x:c r="H119" s="6" t="s">
        <x:v>120</x:v>
      </x:c>
      <x:c r="I119" s="5" t="s">
        <x:v>808</x:v>
      </x:c>
      <x:c r="J119" s="5" t="s">
        <x:v>936</x:v>
      </x:c>
      <x:c r="K119" s="5" t="s">
        <x:v>937</x:v>
      </x:c>
      <x:c r="L119" s="5" t="s">
        <x:v>811</x:v>
      </x:c>
      <x:c r="M119" s="5" t="s">
        <x:v>938</x:v>
      </x:c>
      <x:c r="N119" s="5" t="s">
        <x:v>939</x:v>
      </x:c>
      <x:c r="O119" s="5" t="s">
        <x:v>814</x:v>
      </x:c>
      <x:c r="P119" s="5"/>
    </x:row>
    <x:row r="120" ht="57" customHeight="1">
      <x:c r="C120" s="5"/>
      <x:c r="D120" s="5"/>
      <x:c r="E120" s="5"/>
      <x:c r="F120" s="5"/>
      <x:c r="G120" s="5" t="s">
        <x:v>940</x:v>
      </x:c>
      <x:c r="H120" s="6" t="s">
        <x:v>120</x:v>
      </x:c>
      <x:c r="I120" s="5" t="s">
        <x:v>941</x:v>
      </x:c>
      <x:c r="J120" s="5" t="s">
        <x:v>942</x:v>
      </x:c>
      <x:c r="K120" s="5" t="s">
        <x:v>943</x:v>
      </x:c>
      <x:c r="L120" s="5" t="s">
        <x:v>811</x:v>
      </x:c>
      <x:c r="M120" s="5" t="s">
        <x:v>944</x:v>
      </x:c>
      <x:c r="N120" s="5" t="s">
        <x:v>945</x:v>
      </x:c>
      <x:c r="O120" s="5" t="s">
        <x:v>814</x:v>
      </x:c>
      <x:c r="P120" s="5"/>
    </x:row>
    <x:row r="121" ht="57" customHeight="1">
      <x:c r="C121" s="5"/>
      <x:c r="D121" s="5"/>
      <x:c r="E121" s="5"/>
      <x:c r="F121" s="5"/>
      <x:c r="G121" s="5" t="s">
        <x:v>946</x:v>
      </x:c>
      <x:c r="H121" s="6" t="s">
        <x:v>120</x:v>
      </x:c>
      <x:c r="I121" s="5" t="s">
        <x:v>947</x:v>
      </x:c>
      <x:c r="J121" s="5" t="s">
        <x:v>948</x:v>
      </x:c>
      <x:c r="K121" s="5" t="s">
        <x:v>949</x:v>
      </x:c>
      <x:c r="L121" s="5" t="s">
        <x:v>811</x:v>
      </x:c>
      <x:c r="M121" s="5" t="s">
        <x:v>950</x:v>
      </x:c>
      <x:c r="N121" s="5" t="s">
        <x:v>951</x:v>
      </x:c>
      <x:c r="O121" s="5" t="s">
        <x:v>952</x:v>
      </x:c>
      <x:c r="P121" s="5"/>
    </x:row>
    <x:row r="122" ht="57" customHeight="1">
      <x:c r="C122" s="5"/>
      <x:c r="D122" s="5"/>
      <x:c r="E122" s="5"/>
      <x:c r="F122" s="5"/>
      <x:c r="G122" s="5" t="s">
        <x:v>953</x:v>
      </x:c>
      <x:c r="H122" s="6" t="s">
        <x:v>120</x:v>
      </x:c>
      <x:c r="I122" s="5" t="s">
        <x:v>119</x:v>
      </x:c>
      <x:c r="J122" s="5" t="s">
        <x:v>954</x:v>
      </x:c>
      <x:c r="K122" s="5" t="s">
        <x:v>955</x:v>
      </x:c>
      <x:c r="L122" s="5" t="s">
        <x:v>811</x:v>
      </x:c>
      <x:c r="M122" s="5" t="s">
        <x:v>956</x:v>
      </x:c>
      <x:c r="N122" s="5" t="s">
        <x:v>923</x:v>
      </x:c>
      <x:c r="O122" s="5" t="s">
        <x:v>957</x:v>
      </x:c>
      <x:c r="P122" s="5"/>
    </x:row>
    <x:row r="123" ht="57" customHeight="1">
      <x:c r="C123" s="5" t="s">
        <x:v>62</x:v>
      </x:c>
      <x:c r="D123" s="5" t="s">
        <x:v>81</x:v>
      </x:c>
      <x:c r="E123" s="5" t="s">
        <x:v>82</x:v>
      </x:c>
      <x:c r="F123" s="5" t="s">
        <x:v>83</x:v>
      </x:c>
      <x:c r="G123" s="5" t="s">
        <x:v>61</x:v>
      </x:c>
      <x:c r="H123" s="6" t="s">
        <x:v>63</x:v>
      </x:c>
      <x:c r="I123" s="5" t="s">
        <x:v>84</x:v>
      </x:c>
      <x:c r="J123" s="5" t="s">
        <x:v>85</x:v>
      </x:c>
      <x:c r="K123" s="5" t="s">
        <x:v>86</x:v>
      </x:c>
      <x:c r="L123" s="5" t="s">
        <x:v>87</x:v>
      </x:c>
      <x:c r="M123" s="5" t="s">
        <x:v>88</x:v>
      </x:c>
      <x:c r="N123" s="5" t="s">
        <x:v>89</x:v>
      </x:c>
      <x:c r="O123" s="5" t="s">
        <x:v>90</x:v>
      </x:c>
      <x:c r="P123" s="5"/>
    </x:row>
    <x:row r="124" ht="170.75" customHeight="1">
      <x:c r="C124" s="5" t="s">
        <x:v>958</x:v>
      </x:c>
      <x:c r="D124" s="5" t="s">
        <x:v>959</x:v>
      </x:c>
      <x:c r="E124" s="5" t="s">
        <x:v>960</x:v>
      </x:c>
      <x:c r="F124" s="5" t="s">
        <x:v>961</x:v>
      </x:c>
      <x:c r="G124" s="5" t="s">
        <x:v>962</x:v>
      </x:c>
      <x:c r="H124" s="6" t="s">
        <x:v>154</x:v>
      </x:c>
      <x:c r="I124" s="5" t="s">
        <x:v>963</x:v>
      </x:c>
      <x:c r="J124" s="5" t="s">
        <x:v>964</x:v>
      </x:c>
      <x:c r="K124" s="5" t="s">
        <x:v>965</x:v>
      </x:c>
      <x:c r="L124" s="5" t="s">
        <x:v>966</x:v>
      </x:c>
      <x:c r="M124" s="5" t="s">
        <x:v>967</x:v>
      </x:c>
      <x:c r="N124" s="5" t="s">
        <x:v>968</x:v>
      </x:c>
      <x:c r="O124" s="5" t="s">
        <x:v>969</x:v>
      </x:c>
      <x:c r="P124" s="5"/>
    </x:row>
    <x:row r="125" ht="227.75" customHeight="1">
      <x:c r="C125" s="5" t="s">
        <x:v>958</x:v>
      </x:c>
      <x:c r="D125" s="5" t="s">
        <x:v>970</x:v>
      </x:c>
      <x:c r="E125" s="5" t="s">
        <x:v>971</x:v>
      </x:c>
      <x:c r="F125" s="5" t="s">
        <x:v>972</x:v>
      </x:c>
      <x:c r="G125" s="5" t="s">
        <x:v>973</x:v>
      </x:c>
      <x:c r="H125" s="6" t="s">
        <x:v>154</x:v>
      </x:c>
      <x:c r="I125" s="5" t="s">
        <x:v>974</x:v>
      </x:c>
      <x:c r="J125" s="5" t="s">
        <x:v>975</x:v>
      </x:c>
      <x:c r="K125" s="5" t="s">
        <x:v>976</x:v>
      </x:c>
      <x:c r="L125" s="5" t="s">
        <x:v>977</x:v>
      </x:c>
      <x:c r="M125" s="5" t="s">
        <x:v>978</x:v>
      </x:c>
      <x:c r="N125" s="5" t="s">
        <x:v>979</x:v>
      </x:c>
      <x:c r="O125" s="5" t="s">
        <x:v>980</x:v>
      </x:c>
      <x:c r="P125" s="5"/>
    </x:row>
    <x:row r="126" ht="113.75" customHeight="1">
      <x:c r="C126" s="5"/>
      <x:c r="D126" s="5"/>
      <x:c r="E126" s="5"/>
      <x:c r="F126" s="5"/>
      <x:c r="G126" s="5" t="s">
        <x:v>981</x:v>
      </x:c>
      <x:c r="H126" s="6" t="s">
        <x:v>154</x:v>
      </x:c>
      <x:c r="I126" s="5" t="s">
        <x:v>982</x:v>
      </x:c>
      <x:c r="J126" s="5" t="s">
        <x:v>983</x:v>
      </x:c>
      <x:c r="K126" s="5" t="s">
        <x:v>984</x:v>
      </x:c>
      <x:c r="L126" s="5" t="s">
        <x:v>977</x:v>
      </x:c>
      <x:c r="M126" s="5" t="s">
        <x:v>985</x:v>
      </x:c>
      <x:c r="N126" s="5" t="s">
        <x:v>986</x:v>
      </x:c>
      <x:c r="O126" s="5" t="s">
        <x:v>980</x:v>
      </x:c>
      <x:c r="P126" s="5"/>
    </x:row>
    <x:row r="127" ht="85.25" customHeight="1">
      <x:c r="C127" s="5"/>
      <x:c r="D127" s="5"/>
      <x:c r="E127" s="5"/>
      <x:c r="F127" s="5"/>
      <x:c r="G127" s="5" t="s">
        <x:v>987</x:v>
      </x:c>
      <x:c r="H127" s="6" t="s">
        <x:v>154</x:v>
      </x:c>
      <x:c r="I127" s="5" t="s">
        <x:v>988</x:v>
      </x:c>
      <x:c r="J127" s="5" t="s">
        <x:v>989</x:v>
      </x:c>
      <x:c r="K127" s="5" t="s">
        <x:v>990</x:v>
      </x:c>
      <x:c r="L127" s="5" t="s">
        <x:v>977</x:v>
      </x:c>
      <x:c r="M127" s="5" t="s">
        <x:v>991</x:v>
      </x:c>
      <x:c r="N127" s="5" t="s">
        <x:v>992</x:v>
      </x:c>
      <x:c r="O127" s="5" t="s">
        <x:v>980</x:v>
      </x:c>
      <x:c r="P127" s="5"/>
    </x:row>
    <x:row r="128" ht="85.25" customHeight="1">
      <x:c r="C128" s="5"/>
      <x:c r="D128" s="5"/>
      <x:c r="E128" s="5"/>
      <x:c r="F128" s="5"/>
      <x:c r="G128" s="5" t="s">
        <x:v>993</x:v>
      </x:c>
      <x:c r="H128" s="6" t="s">
        <x:v>120</x:v>
      </x:c>
      <x:c r="I128" s="5" t="s">
        <x:v>994</x:v>
      </x:c>
      <x:c r="J128" s="5" t="s">
        <x:v>995</x:v>
      </x:c>
      <x:c r="K128" s="5" t="s">
        <x:v>996</x:v>
      </x:c>
      <x:c r="L128" s="5" t="s">
        <x:v>997</x:v>
      </x:c>
      <x:c r="M128" s="5" t="s">
        <x:v>998</x:v>
      </x:c>
      <x:c r="N128" s="5" t="s">
        <x:v>999</x:v>
      </x:c>
      <x:c r="O128" s="5" t="s">
        <x:v>1000</x:v>
      </x:c>
      <x:c r="P128" s="5"/>
    </x:row>
    <x:row r="129" ht="85.25" customHeight="1">
      <x:c r="C129" s="5"/>
      <x:c r="D129" s="5"/>
      <x:c r="E129" s="5"/>
      <x:c r="F129" s="5"/>
      <x:c r="G129" s="5" t="s">
        <x:v>1001</x:v>
      </x:c>
      <x:c r="H129" s="6" t="s">
        <x:v>120</x:v>
      </x:c>
      <x:c r="I129" s="5" t="s">
        <x:v>1002</x:v>
      </x:c>
      <x:c r="J129" s="5" t="s">
        <x:v>1003</x:v>
      </x:c>
      <x:c r="K129" s="5" t="s">
        <x:v>1004</x:v>
      </x:c>
      <x:c r="L129" s="5" t="s">
        <x:v>977</x:v>
      </x:c>
      <x:c r="M129" s="5" t="s">
        <x:v>1005</x:v>
      </x:c>
      <x:c r="N129" s="5" t="s">
        <x:v>1006</x:v>
      </x:c>
      <x:c r="O129" s="5" t="s">
        <x:v>980</x:v>
      </x:c>
      <x:c r="P129" s="5"/>
    </x:row>
    <x:row r="130" ht="85.25" customHeight="1">
      <x:c r="C130" s="5"/>
      <x:c r="D130" s="5"/>
      <x:c r="E130" s="5"/>
      <x:c r="F130" s="5"/>
      <x:c r="G130" s="5" t="s">
        <x:v>1007</x:v>
      </x:c>
      <x:c r="H130" s="6" t="s">
        <x:v>120</x:v>
      </x:c>
      <x:c r="I130" s="5" t="s">
        <x:v>1008</x:v>
      </x:c>
      <x:c r="J130" s="5" t="s">
        <x:v>1009</x:v>
      </x:c>
      <x:c r="K130" s="5" t="s">
        <x:v>1010</x:v>
      </x:c>
      <x:c r="L130" s="5" t="s">
        <x:v>977</x:v>
      </x:c>
      <x:c r="M130" s="5" t="s">
        <x:v>1011</x:v>
      </x:c>
      <x:c r="N130" s="5" t="s">
        <x:v>1012</x:v>
      </x:c>
      <x:c r="O130" s="5" t="s">
        <x:v>980</x:v>
      </x:c>
      <x:c r="P130" s="5"/>
    </x:row>
    <x:row r="131" ht="199" customHeight="1">
      <x:c r="C131" s="5" t="s">
        <x:v>958</x:v>
      </x:c>
      <x:c r="D131" s="5" t="s">
        <x:v>970</x:v>
      </x:c>
      <x:c r="E131" s="5" t="s">
        <x:v>1013</x:v>
      </x:c>
      <x:c r="F131" s="5" t="s">
        <x:v>1014</x:v>
      </x:c>
      <x:c r="G131" s="5" t="s">
        <x:v>1015</x:v>
      </x:c>
      <x:c r="H131" s="6" t="s">
        <x:v>154</x:v>
      </x:c>
      <x:c r="I131" s="5" t="s">
        <x:v>1016</x:v>
      </x:c>
      <x:c r="J131" s="5" t="s">
        <x:v>1017</x:v>
      </x:c>
      <x:c r="K131" s="5" t="s">
        <x:v>1018</x:v>
      </x:c>
      <x:c r="L131" s="5" t="s">
        <x:v>977</x:v>
      </x:c>
      <x:c r="M131" s="5" t="s">
        <x:v>1019</x:v>
      </x:c>
      <x:c r="N131" s="5" t="s">
        <x:v>1020</x:v>
      </x:c>
      <x:c r="O131" s="5" t="s">
        <x:v>1021</x:v>
      </x:c>
      <x:c r="P131" s="5"/>
    </x:row>
    <x:row r="132" ht="85.25" customHeight="1">
      <x:c r="C132" s="5"/>
      <x:c r="D132" s="5"/>
      <x:c r="E132" s="5"/>
      <x:c r="F132" s="5"/>
      <x:c r="G132" s="5" t="s">
        <x:v>1022</x:v>
      </x:c>
      <x:c r="H132" s="6" t="s">
        <x:v>120</x:v>
      </x:c>
      <x:c r="I132" s="5" t="s">
        <x:v>1023</x:v>
      </x:c>
      <x:c r="J132" s="5" t="s">
        <x:v>1024</x:v>
      </x:c>
      <x:c r="K132" s="5" t="s">
        <x:v>1025</x:v>
      </x:c>
      <x:c r="L132" s="5" t="s">
        <x:v>997</x:v>
      </x:c>
      <x:c r="M132" s="5" t="s">
        <x:v>1026</x:v>
      </x:c>
      <x:c r="N132" s="5" t="s">
        <x:v>1027</x:v>
      </x:c>
      <x:c r="O132" s="5" t="s">
        <x:v>1028</x:v>
      </x:c>
      <x:c r="P132" s="5"/>
    </x:row>
    <x:row r="133" ht="85.25" customHeight="1">
      <x:c r="C133" s="5"/>
      <x:c r="D133" s="5"/>
      <x:c r="E133" s="5"/>
      <x:c r="F133" s="5"/>
      <x:c r="G133" s="5" t="s">
        <x:v>1029</x:v>
      </x:c>
      <x:c r="H133" s="6" t="s">
        <x:v>154</x:v>
      </x:c>
      <x:c r="I133" s="5" t="s">
        <x:v>1030</x:v>
      </x:c>
      <x:c r="J133" s="5" t="s">
        <x:v>1031</x:v>
      </x:c>
      <x:c r="K133" s="5" t="s">
        <x:v>1032</x:v>
      </x:c>
      <x:c r="L133" s="5" t="s">
        <x:v>977</x:v>
      </x:c>
      <x:c r="M133" s="5" t="s">
        <x:v>1033</x:v>
      </x:c>
      <x:c r="N133" s="5" t="s">
        <x:v>1034</x:v>
      </x:c>
      <x:c r="O133" s="5" t="s">
        <x:v>1021</x:v>
      </x:c>
      <x:c r="P133" s="5"/>
    </x:row>
    <x:row r="134" ht="57" customHeight="1">
      <x:c r="C134" s="5"/>
      <x:c r="D134" s="5"/>
      <x:c r="E134" s="5"/>
      <x:c r="F134" s="5"/>
      <x:c r="G134" s="5" t="s">
        <x:v>1035</x:v>
      </x:c>
      <x:c r="H134" s="6" t="s">
        <x:v>120</x:v>
      </x:c>
      <x:c r="I134" s="5" t="s">
        <x:v>1036</x:v>
      </x:c>
      <x:c r="J134" s="5" t="s">
        <x:v>1037</x:v>
      </x:c>
      <x:c r="K134" s="5" t="s">
        <x:v>1038</x:v>
      </x:c>
      <x:c r="L134" s="5" t="s">
        <x:v>997</x:v>
      </x:c>
      <x:c r="M134" s="5" t="s">
        <x:v>1039</x:v>
      </x:c>
      <x:c r="N134" s="5" t="s">
        <x:v>1040</x:v>
      </x:c>
      <x:c r="O134" s="5" t="s">
        <x:v>1028</x:v>
      </x:c>
      <x:c r="P134" s="5"/>
    </x:row>
    <x:row r="135" ht="199" customHeight="1">
      <x:c r="C135" s="5" t="s">
        <x:v>958</x:v>
      </x:c>
      <x:c r="D135" s="5" t="s">
        <x:v>970</x:v>
      </x:c>
      <x:c r="E135" s="5" t="s">
        <x:v>1041</x:v>
      </x:c>
      <x:c r="F135" s="5" t="s">
        <x:v>1042</x:v>
      </x:c>
      <x:c r="G135" s="5" t="s">
        <x:v>1043</x:v>
      </x:c>
      <x:c r="H135" s="6" t="s">
        <x:v>120</x:v>
      </x:c>
      <x:c r="I135" s="5" t="s">
        <x:v>1044</x:v>
      </x:c>
      <x:c r="J135" s="5" t="s">
        <x:v>1045</x:v>
      </x:c>
      <x:c r="K135" s="5" t="s">
        <x:v>1046</x:v>
      </x:c>
      <x:c r="L135" s="5" t="s">
        <x:v>977</x:v>
      </x:c>
      <x:c r="M135" s="5" t="s">
        <x:v>1047</x:v>
      </x:c>
      <x:c r="N135" s="5" t="s">
        <x:v>1048</x:v>
      </x:c>
      <x:c r="O135" s="5" t="s">
        <x:v>1049</x:v>
      </x:c>
      <x:c r="P135" s="5"/>
    </x:row>
    <x:row r="136" ht="85.25" customHeight="1">
      <x:c r="C136" s="5"/>
      <x:c r="D136" s="5"/>
      <x:c r="E136" s="5"/>
      <x:c r="F136" s="5"/>
      <x:c r="G136" s="5" t="s">
        <x:v>1050</x:v>
      </x:c>
      <x:c r="H136" s="6" t="s">
        <x:v>154</x:v>
      </x:c>
      <x:c r="I136" s="5" t="s">
        <x:v>1051</x:v>
      </x:c>
      <x:c r="J136" s="5" t="s">
        <x:v>1052</x:v>
      </x:c>
      <x:c r="K136" s="5" t="s">
        <x:v>1053</x:v>
      </x:c>
      <x:c r="L136" s="5" t="s">
        <x:v>1054</x:v>
      </x:c>
      <x:c r="M136" s="5" t="s">
        <x:v>1055</x:v>
      </x:c>
      <x:c r="N136" s="5" t="s">
        <x:v>1056</x:v>
      </x:c>
      <x:c r="O136" s="5" t="s">
        <x:v>1057</x:v>
      </x:c>
      <x:c r="P136" s="5"/>
    </x:row>
    <x:row r="137" ht="85.25" customHeight="1">
      <x:c r="C137" s="5"/>
      <x:c r="D137" s="5"/>
      <x:c r="E137" s="5"/>
      <x:c r="F137" s="5"/>
      <x:c r="G137" s="5" t="s">
        <x:v>1058</x:v>
      </x:c>
      <x:c r="H137" s="6" t="s">
        <x:v>120</x:v>
      </x:c>
      <x:c r="I137" s="5" t="s">
        <x:v>562</x:v>
      </x:c>
      <x:c r="J137" s="5" t="s">
        <x:v>1059</x:v>
      </x:c>
      <x:c r="K137" s="5" t="s">
        <x:v>1060</x:v>
      </x:c>
      <x:c r="L137" s="5" t="s">
        <x:v>997</x:v>
      </x:c>
      <x:c r="M137" s="5" t="s">
        <x:v>1061</x:v>
      </x:c>
      <x:c r="N137" s="5" t="s">
        <x:v>1062</x:v>
      </x:c>
      <x:c r="O137" s="5" t="s">
        <x:v>1063</x:v>
      </x:c>
      <x:c r="P137" s="5"/>
    </x:row>
    <x:row r="138" ht="57" customHeight="1">
      <x:c r="C138" s="5"/>
      <x:c r="D138" s="5"/>
      <x:c r="E138" s="5"/>
      <x:c r="F138" s="5"/>
      <x:c r="G138" s="5" t="s">
        <x:v>1064</x:v>
      </x:c>
      <x:c r="H138" s="6" t="s">
        <x:v>120</x:v>
      </x:c>
      <x:c r="I138" s="5" t="s">
        <x:v>1065</x:v>
      </x:c>
      <x:c r="J138" s="5" t="s">
        <x:v>1066</x:v>
      </x:c>
      <x:c r="K138" s="5" t="s">
        <x:v>1067</x:v>
      </x:c>
      <x:c r="L138" s="5" t="s">
        <x:v>1068</x:v>
      </x:c>
      <x:c r="M138" s="5" t="s">
        <x:v>1069</x:v>
      </x:c>
      <x:c r="N138" s="5" t="s">
        <x:v>1070</x:v>
      </x:c>
      <x:c r="O138" s="5" t="s">
        <x:v>1071</x:v>
      </x:c>
      <x:c r="P138" s="5"/>
    </x:row>
    <x:row r="139" ht="142.25" customHeight="1">
      <x:c r="C139" s="5" t="s">
        <x:v>958</x:v>
      </x:c>
      <x:c r="D139" s="5" t="s">
        <x:v>970</x:v>
      </x:c>
      <x:c r="E139" s="5" t="s">
        <x:v>1072</x:v>
      </x:c>
      <x:c r="F139" s="5" t="s">
        <x:v>1073</x:v>
      </x:c>
      <x:c r="G139" s="5" t="s">
        <x:v>1074</x:v>
      </x:c>
      <x:c r="H139" s="6" t="s">
        <x:v>120</x:v>
      </x:c>
      <x:c r="I139" s="5" t="s">
        <x:v>618</x:v>
      </x:c>
      <x:c r="J139" s="5" t="s">
        <x:v>1075</x:v>
      </x:c>
      <x:c r="K139" s="5" t="s">
        <x:v>1076</x:v>
      </x:c>
      <x:c r="L139" s="5" t="s">
        <x:v>1077</x:v>
      </x:c>
      <x:c r="M139" s="5" t="s">
        <x:v>1078</x:v>
      </x:c>
      <x:c r="N139" s="5" t="s">
        <x:v>1079</x:v>
      </x:c>
      <x:c r="O139" s="5" t="s">
        <x:v>1080</x:v>
      </x:c>
      <x:c r="P139" s="5"/>
    </x:row>
    <x:row r="140" ht="57" customHeight="1">
      <x:c r="C140" s="5"/>
      <x:c r="D140" s="5"/>
      <x:c r="E140" s="5"/>
      <x:c r="F140" s="5"/>
      <x:c r="G140" s="5" t="s">
        <x:v>1081</x:v>
      </x:c>
      <x:c r="H140" s="6" t="s">
        <x:v>120</x:v>
      </x:c>
      <x:c r="I140" s="5" t="s">
        <x:v>994</x:v>
      </x:c>
      <x:c r="J140" s="5" t="s">
        <x:v>1082</x:v>
      </x:c>
      <x:c r="K140" s="5" t="s">
        <x:v>1083</x:v>
      </x:c>
      <x:c r="L140" s="5" t="s">
        <x:v>997</x:v>
      </x:c>
      <x:c r="M140" s="5" t="s">
        <x:v>1084</x:v>
      </x:c>
      <x:c r="N140" s="5" t="s">
        <x:v>1085</x:v>
      </x:c>
      <x:c r="O140" s="5" t="s">
        <x:v>1086</x:v>
      </x:c>
      <x:c r="P140" s="5"/>
    </x:row>
    <x:row r="141" ht="85.25" customHeight="1">
      <x:c r="C141" s="5"/>
      <x:c r="D141" s="5"/>
      <x:c r="E141" s="5"/>
      <x:c r="F141" s="5"/>
      <x:c r="G141" s="5" t="s">
        <x:v>1087</x:v>
      </x:c>
      <x:c r="H141" s="6" t="s">
        <x:v>120</x:v>
      </x:c>
      <x:c r="I141" s="5" t="s">
        <x:v>1088</x:v>
      </x:c>
      <x:c r="J141" s="5" t="s">
        <x:v>1089</x:v>
      </x:c>
      <x:c r="K141" s="5" t="s">
        <x:v>1090</x:v>
      </x:c>
      <x:c r="L141" s="5" t="s">
        <x:v>977</x:v>
      </x:c>
      <x:c r="M141" s="5" t="s">
        <x:v>1091</x:v>
      </x:c>
      <x:c r="N141" s="5" t="s">
        <x:v>1092</x:v>
      </x:c>
      <x:c r="O141" s="5" t="s">
        <x:v>1093</x:v>
      </x:c>
      <x:c r="P141" s="5"/>
    </x:row>
    <x:row r="142" ht="57" customHeight="1">
      <x:c r="C142" s="5"/>
      <x:c r="D142" s="5"/>
      <x:c r="E142" s="5"/>
      <x:c r="F142" s="5"/>
      <x:c r="G142" s="5" t="s">
        <x:v>1094</x:v>
      </x:c>
      <x:c r="H142" s="6" t="s">
        <x:v>120</x:v>
      </x:c>
      <x:c r="I142" s="5" t="s">
        <x:v>1088</x:v>
      </x:c>
      <x:c r="J142" s="5" t="s">
        <x:v>1095</x:v>
      </x:c>
      <x:c r="K142" s="5" t="s">
        <x:v>1096</x:v>
      </x:c>
      <x:c r="L142" s="5" t="s">
        <x:v>977</x:v>
      </x:c>
      <x:c r="M142" s="5" t="s">
        <x:v>1097</x:v>
      </x:c>
      <x:c r="N142" s="5" t="s">
        <x:v>1098</x:v>
      </x:c>
      <x:c r="O142" s="5" t="s">
        <x:v>1093</x:v>
      </x:c>
      <x:c r="P142" s="5"/>
    </x:row>
    <x:row r="143" ht="170.75" customHeight="1">
      <x:c r="C143" s="5" t="s">
        <x:v>958</x:v>
      </x:c>
      <x:c r="D143" s="5" t="s">
        <x:v>970</x:v>
      </x:c>
      <x:c r="E143" s="5" t="s">
        <x:v>1099</x:v>
      </x:c>
      <x:c r="F143" s="5" t="s">
        <x:v>1100</x:v>
      </x:c>
      <x:c r="G143" s="5" t="s">
        <x:v>1101</x:v>
      </x:c>
      <x:c r="H143" s="6" t="s">
        <x:v>120</x:v>
      </x:c>
      <x:c r="I143" s="5" t="s">
        <x:v>1102</x:v>
      </x:c>
      <x:c r="J143" s="5" t="s">
        <x:v>1103</x:v>
      </x:c>
      <x:c r="K143" s="5" t="s">
        <x:v>1104</x:v>
      </x:c>
      <x:c r="L143" s="5" t="s">
        <x:v>1105</x:v>
      </x:c>
      <x:c r="M143" s="5" t="s">
        <x:v>1106</x:v>
      </x:c>
      <x:c r="N143" s="5" t="s">
        <x:v>1107</x:v>
      </x:c>
      <x:c r="O143" s="5" t="s">
        <x:v>1108</x:v>
      </x:c>
      <x:c r="P143" s="5"/>
    </x:row>
    <x:row r="144" ht="85.25" customHeight="1">
      <x:c r="C144" s="5"/>
      <x:c r="D144" s="5"/>
      <x:c r="E144" s="5"/>
      <x:c r="F144" s="5"/>
      <x:c r="G144" s="5" t="s">
        <x:v>1109</x:v>
      </x:c>
      <x:c r="H144" s="6" t="s">
        <x:v>120</x:v>
      </x:c>
      <x:c r="I144" s="5" t="s">
        <x:v>1023</x:v>
      </x:c>
      <x:c r="J144" s="5" t="s">
        <x:v>1110</x:v>
      </x:c>
      <x:c r="K144" s="5" t="s">
        <x:v>1111</x:v>
      </x:c>
      <x:c r="L144" s="5" t="s">
        <x:v>1105</x:v>
      </x:c>
      <x:c r="M144" s="5" t="s">
        <x:v>1112</x:v>
      </x:c>
      <x:c r="N144" s="5" t="s">
        <x:v>1113</x:v>
      </x:c>
      <x:c r="O144" s="5" t="s">
        <x:v>1108</x:v>
      </x:c>
      <x:c r="P144" s="5"/>
    </x:row>
    <x:row r="145" ht="57" customHeight="1">
      <x:c r="C145" s="5"/>
      <x:c r="D145" s="5"/>
      <x:c r="E145" s="5"/>
      <x:c r="F145" s="5"/>
      <x:c r="G145" s="5" t="s">
        <x:v>1114</x:v>
      </x:c>
      <x:c r="H145" s="6" t="s">
        <x:v>120</x:v>
      </x:c>
      <x:c r="I145" s="5" t="s">
        <x:v>634</x:v>
      </x:c>
      <x:c r="J145" s="5" t="s">
        <x:v>1115</x:v>
      </x:c>
      <x:c r="K145" s="5" t="s">
        <x:v>1116</x:v>
      </x:c>
      <x:c r="L145" s="5" t="s">
        <x:v>1117</x:v>
      </x:c>
      <x:c r="M145" s="5" t="s">
        <x:v>1118</x:v>
      </x:c>
      <x:c r="N145" s="5" t="s">
        <x:v>1119</x:v>
      </x:c>
      <x:c r="O145" s="5" t="s">
        <x:v>1120</x:v>
      </x:c>
      <x:c r="P145" s="5"/>
    </x:row>
    <x:row r="146" ht="85.25" customHeight="1">
      <x:c r="C146" s="5"/>
      <x:c r="D146" s="5"/>
      <x:c r="E146" s="5"/>
      <x:c r="F146" s="5"/>
      <x:c r="G146" s="5" t="s">
        <x:v>1121</x:v>
      </x:c>
      <x:c r="H146" s="6" t="s">
        <x:v>120</x:v>
      </x:c>
      <x:c r="I146" s="5" t="s">
        <x:v>570</x:v>
      </x:c>
      <x:c r="J146" s="5" t="s">
        <x:v>1122</x:v>
      </x:c>
      <x:c r="K146" s="5" t="s">
        <x:v>1123</x:v>
      </x:c>
      <x:c r="L146" s="5" t="s">
        <x:v>1124</x:v>
      </x:c>
      <x:c r="M146" s="5" t="s">
        <x:v>1125</x:v>
      </x:c>
      <x:c r="N146" s="5" t="s">
        <x:v>1126</x:v>
      </x:c>
      <x:c r="O146" s="5" t="s">
        <x:v>1127</x:v>
      </x:c>
      <x:c r="P146" s="5"/>
    </x:row>
    <x:row r="147" ht="170.75" customHeight="1">
      <x:c r="C147" s="5" t="s">
        <x:v>958</x:v>
      </x:c>
      <x:c r="D147" s="5" t="s">
        <x:v>1128</x:v>
      </x:c>
      <x:c r="E147" s="5" t="s">
        <x:v>1129</x:v>
      </x:c>
      <x:c r="F147" s="5" t="s">
        <x:v>1130</x:v>
      </x:c>
      <x:c r="G147" s="5" t="s">
        <x:v>1131</x:v>
      </x:c>
      <x:c r="H147" s="6" t="s">
        <x:v>129</x:v>
      </x:c>
      <x:c r="I147" s="5" t="s">
        <x:v>1132</x:v>
      </x:c>
      <x:c r="J147" s="5" t="s">
        <x:v>1133</x:v>
      </x:c>
      <x:c r="K147" s="5" t="s">
        <x:v>1134</x:v>
      </x:c>
      <x:c r="L147" s="5" t="s">
        <x:v>1135</x:v>
      </x:c>
      <x:c r="M147" s="5" t="s">
        <x:v>1136</x:v>
      </x:c>
      <x:c r="N147" s="5" t="s">
        <x:v>1137</x:v>
      </x:c>
      <x:c r="O147" s="5" t="s">
        <x:v>1138</x:v>
      </x:c>
      <x:c r="P147" s="5"/>
    </x:row>
    <x:row r="148" ht="85.25" customHeight="1">
      <x:c r="C148" s="5"/>
      <x:c r="D148" s="5"/>
      <x:c r="E148" s="5"/>
      <x:c r="F148" s="5"/>
      <x:c r="G148" s="5" t="s">
        <x:v>1139</x:v>
      </x:c>
      <x:c r="H148" s="6" t="s">
        <x:v>129</x:v>
      </x:c>
      <x:c r="I148" s="5" t="s">
        <x:v>1140</x:v>
      </x:c>
      <x:c r="J148" s="5" t="s">
        <x:v>1141</x:v>
      </x:c>
      <x:c r="K148" s="5" t="s">
        <x:v>1142</x:v>
      </x:c>
      <x:c r="L148" s="5" t="s">
        <x:v>1135</x:v>
      </x:c>
      <x:c r="M148" s="5" t="s">
        <x:v>1143</x:v>
      </x:c>
      <x:c r="N148" s="5" t="s">
        <x:v>1144</x:v>
      </x:c>
      <x:c r="O148" s="5" t="s">
        <x:v>1138</x:v>
      </x:c>
      <x:c r="P148" s="5"/>
    </x:row>
    <x:row r="149" ht="57" customHeight="1">
      <x:c r="C149" s="5"/>
      <x:c r="D149" s="5"/>
      <x:c r="E149" s="5"/>
      <x:c r="F149" s="5"/>
      <x:c r="G149" s="5" t="s">
        <x:v>1145</x:v>
      </x:c>
      <x:c r="H149" s="6" t="s">
        <x:v>97</x:v>
      </x:c>
      <x:c r="I149" s="5" t="s">
        <x:v>1146</x:v>
      </x:c>
      <x:c r="J149" s="5" t="s">
        <x:v>1147</x:v>
      </x:c>
      <x:c r="K149" s="5" t="s">
        <x:v>1148</x:v>
      </x:c>
      <x:c r="L149" s="5" t="s">
        <x:v>1149</x:v>
      </x:c>
      <x:c r="M149" s="5" t="s">
        <x:v>1150</x:v>
      </x:c>
      <x:c r="N149" s="5" t="s">
        <x:v>1151</x:v>
      </x:c>
      <x:c r="O149" s="5" t="s">
        <x:v>1138</x:v>
      </x:c>
      <x:c r="P149" s="5"/>
    </x:row>
    <x:row r="150" ht="85.25" customHeight="1">
      <x:c r="C150" s="5"/>
      <x:c r="D150" s="5"/>
      <x:c r="E150" s="5"/>
      <x:c r="F150" s="5"/>
      <x:c r="G150" s="5" t="s">
        <x:v>1152</x:v>
      </x:c>
      <x:c r="H150" s="6" t="s">
        <x:v>97</x:v>
      </x:c>
      <x:c r="I150" s="5" t="s">
        <x:v>1153</x:v>
      </x:c>
      <x:c r="J150" s="5" t="s">
        <x:v>1154</x:v>
      </x:c>
      <x:c r="K150" s="5" t="s">
        <x:v>1155</x:v>
      </x:c>
      <x:c r="L150" s="5" t="s">
        <x:v>1156</x:v>
      </x:c>
      <x:c r="M150" s="5" t="s">
        <x:v>1157</x:v>
      </x:c>
      <x:c r="N150" s="5" t="s">
        <x:v>1158</x:v>
      </x:c>
      <x:c r="O150" s="5" t="s">
        <x:v>1159</x:v>
      </x:c>
      <x:c r="P150" s="5"/>
    </x:row>
    <x:row r="151" ht="85.25" customHeight="1">
      <x:c r="C151" s="5"/>
      <x:c r="D151" s="5"/>
      <x:c r="E151" s="5"/>
      <x:c r="F151" s="5"/>
      <x:c r="G151" s="5" t="s">
        <x:v>1160</x:v>
      </x:c>
      <x:c r="H151" s="6" t="s">
        <x:v>97</x:v>
      </x:c>
      <x:c r="I151" s="5" t="s">
        <x:v>1161</x:v>
      </x:c>
      <x:c r="J151" s="5" t="s">
        <x:v>1162</x:v>
      </x:c>
      <x:c r="K151" s="5" t="s">
        <x:v>1163</x:v>
      </x:c>
      <x:c r="L151" s="5" t="s">
        <x:v>1164</x:v>
      </x:c>
      <x:c r="M151" s="5" t="s">
        <x:v>1165</x:v>
      </x:c>
      <x:c r="N151" s="5" t="s">
        <x:v>1166</x:v>
      </x:c>
      <x:c r="O151" s="5" t="s">
        <x:v>1167</x:v>
      </x:c>
      <x:c r="P151" s="5"/>
    </x:row>
    <x:row r="152" ht="57" customHeight="1">
      <x:c r="C152" s="5"/>
      <x:c r="D152" s="5"/>
      <x:c r="E152" s="5"/>
      <x:c r="F152" s="5"/>
      <x:c r="G152" s="5" t="s">
        <x:v>1168</x:v>
      </x:c>
      <x:c r="H152" s="6" t="s">
        <x:v>154</x:v>
      </x:c>
      <x:c r="I152" s="5" t="s">
        <x:v>1169</x:v>
      </x:c>
      <x:c r="J152" s="5" t="s">
        <x:v>1170</x:v>
      </x:c>
      <x:c r="K152" s="5" t="s">
        <x:v>1171</x:v>
      </x:c>
      <x:c r="L152" s="5" t="s">
        <x:v>1135</x:v>
      </x:c>
      <x:c r="M152" s="5" t="s">
        <x:v>1172</x:v>
      </x:c>
      <x:c r="N152" s="5" t="s">
        <x:v>1173</x:v>
      </x:c>
      <x:c r="O152" s="5" t="s">
        <x:v>1138</x:v>
      </x:c>
      <x:c r="P152" s="5"/>
    </x:row>
    <x:row r="153" ht="57" customHeight="1">
      <x:c r="C153" s="5"/>
      <x:c r="D153" s="5"/>
      <x:c r="E153" s="5"/>
      <x:c r="F153" s="5"/>
      <x:c r="G153" s="5" t="s">
        <x:v>1174</x:v>
      </x:c>
      <x:c r="H153" s="6" t="s">
        <x:v>154</x:v>
      </x:c>
      <x:c r="I153" s="5" t="s">
        <x:v>1175</x:v>
      </x:c>
      <x:c r="J153" s="5" t="s">
        <x:v>1176</x:v>
      </x:c>
      <x:c r="K153" s="5" t="s">
        <x:v>1177</x:v>
      </x:c>
      <x:c r="L153" s="5" t="s">
        <x:v>1178</x:v>
      </x:c>
      <x:c r="M153" s="5" t="s">
        <x:v>1179</x:v>
      </x:c>
      <x:c r="N153" s="5" t="s">
        <x:v>1180</x:v>
      </x:c>
      <x:c r="O153" s="5" t="s">
        <x:v>1181</x:v>
      </x:c>
      <x:c r="P153" s="5"/>
    </x:row>
    <x:row r="154" ht="85.25" customHeight="1">
      <x:c r="C154" s="5"/>
      <x:c r="D154" s="5"/>
      <x:c r="E154" s="5"/>
      <x:c r="F154" s="5"/>
      <x:c r="G154" s="5" t="s">
        <x:v>1182</x:v>
      </x:c>
      <x:c r="H154" s="6" t="s">
        <x:v>154</x:v>
      </x:c>
      <x:c r="I154" s="5" t="s">
        <x:v>1183</x:v>
      </x:c>
      <x:c r="J154" s="5" t="s">
        <x:v>1184</x:v>
      </x:c>
      <x:c r="K154" s="5" t="s">
        <x:v>1185</x:v>
      </x:c>
      <x:c r="L154" s="5" t="s">
        <x:v>1186</x:v>
      </x:c>
      <x:c r="M154" s="5" t="s">
        <x:v>1187</x:v>
      </x:c>
      <x:c r="N154" s="5" t="s">
        <x:v>1188</x:v>
      </x:c>
      <x:c r="O154" s="5" t="s">
        <x:v>1189</x:v>
      </x:c>
      <x:c r="P154" s="5"/>
    </x:row>
    <x:row r="155" ht="57" customHeight="1">
      <x:c r="C155" s="5"/>
      <x:c r="D155" s="5"/>
      <x:c r="E155" s="5"/>
      <x:c r="F155" s="5"/>
      <x:c r="G155" s="5" t="s">
        <x:v>1190</x:v>
      </x:c>
      <x:c r="H155" s="6" t="s">
        <x:v>120</x:v>
      </x:c>
      <x:c r="I155" s="5" t="s">
        <x:v>1191</x:v>
      </x:c>
      <x:c r="J155" s="5" t="s">
        <x:v>1192</x:v>
      </x:c>
      <x:c r="K155" s="5" t="s">
        <x:v>1193</x:v>
      </x:c>
      <x:c r="L155" s="5" t="s">
        <x:v>1194</x:v>
      </x:c>
      <x:c r="M155" s="5" t="s">
        <x:v>1195</x:v>
      </x:c>
      <x:c r="N155" s="5" t="s">
        <x:v>1196</x:v>
      </x:c>
      <x:c r="O155" s="5" t="s">
        <x:v>1197</x:v>
      </x:c>
      <x:c r="P155" s="5"/>
    </x:row>
    <x:row r="156" ht="170.75" customHeight="1">
      <x:c r="C156" s="5" t="s">
        <x:v>958</x:v>
      </x:c>
      <x:c r="D156" s="5" t="s">
        <x:v>1198</x:v>
      </x:c>
      <x:c r="E156" s="5" t="s">
        <x:v>1199</x:v>
      </x:c>
      <x:c r="F156" s="5" t="s">
        <x:v>1200</x:v>
      </x:c>
      <x:c r="G156" s="5" t="s">
        <x:v>1201</x:v>
      </x:c>
      <x:c r="H156" s="6" t="s">
        <x:v>129</x:v>
      </x:c>
      <x:c r="I156" s="5" t="s">
        <x:v>1202</x:v>
      </x:c>
      <x:c r="J156" s="5" t="s">
        <x:v>1203</x:v>
      </x:c>
      <x:c r="K156" s="5" t="s">
        <x:v>1204</x:v>
      </x:c>
      <x:c r="L156" s="5" t="s">
        <x:v>1205</x:v>
      </x:c>
      <x:c r="M156" s="5" t="s">
        <x:v>1206</x:v>
      </x:c>
      <x:c r="N156" s="5" t="s">
        <x:v>1207</x:v>
      </x:c>
      <x:c r="O156" s="5" t="s">
        <x:v>1208</x:v>
      </x:c>
      <x:c r="P156" s="5"/>
    </x:row>
    <x:row r="157" ht="85.25" customHeight="1">
      <x:c r="C157" s="5"/>
      <x:c r="D157" s="5"/>
      <x:c r="E157" s="5"/>
      <x:c r="F157" s="5"/>
      <x:c r="G157" s="5" t="s">
        <x:v>1209</x:v>
      </x:c>
      <x:c r="H157" s="6" t="s">
        <x:v>154</x:v>
      </x:c>
      <x:c r="I157" s="5" t="s">
        <x:v>1210</x:v>
      </x:c>
      <x:c r="J157" s="5" t="s">
        <x:v>1211</x:v>
      </x:c>
      <x:c r="K157" s="5" t="s">
        <x:v>1212</x:v>
      </x:c>
      <x:c r="L157" s="5" t="s">
        <x:v>1205</x:v>
      </x:c>
      <x:c r="M157" s="5" t="s">
        <x:v>1213</x:v>
      </x:c>
      <x:c r="N157" s="5" t="s">
        <x:v>1214</x:v>
      </x:c>
      <x:c r="O157" s="5" t="s">
        <x:v>1208</x:v>
      </x:c>
      <x:c r="P157" s="5"/>
    </x:row>
    <x:row r="158" ht="57" customHeight="1">
      <x:c r="C158" s="5"/>
      <x:c r="D158" s="5"/>
      <x:c r="E158" s="5"/>
      <x:c r="F158" s="5"/>
      <x:c r="G158" s="5" t="s">
        <x:v>1215</x:v>
      </x:c>
      <x:c r="H158" s="6" t="s">
        <x:v>120</x:v>
      </x:c>
      <x:c r="I158" s="5" t="s">
        <x:v>1216</x:v>
      </x:c>
      <x:c r="J158" s="5" t="s">
        <x:v>1217</x:v>
      </x:c>
      <x:c r="K158" s="5" t="s">
        <x:v>1218</x:v>
      </x:c>
      <x:c r="L158" s="5" t="s">
        <x:v>1205</x:v>
      </x:c>
      <x:c r="M158" s="5" t="s">
        <x:v>1219</x:v>
      </x:c>
      <x:c r="N158" s="5" t="s">
        <x:v>1220</x:v>
      </x:c>
      <x:c r="O158" s="5" t="s">
        <x:v>1208</x:v>
      </x:c>
      <x:c r="P158" s="5"/>
    </x:row>
    <x:row r="159" ht="170.75" customHeight="1">
      <x:c r="C159" s="5" t="s">
        <x:v>958</x:v>
      </x:c>
      <x:c r="D159" s="5" t="s">
        <x:v>1198</x:v>
      </x:c>
      <x:c r="E159" s="5" t="s">
        <x:v>1221</x:v>
      </x:c>
      <x:c r="F159" s="5" t="s">
        <x:v>1222</x:v>
      </x:c>
      <x:c r="G159" s="5" t="s">
        <x:v>1223</x:v>
      </x:c>
      <x:c r="H159" s="6" t="s">
        <x:v>154</x:v>
      </x:c>
      <x:c r="I159" s="5" t="s">
        <x:v>1224</x:v>
      </x:c>
      <x:c r="J159" s="5" t="s">
        <x:v>1225</x:v>
      </x:c>
      <x:c r="K159" s="5" t="s">
        <x:v>1226</x:v>
      </x:c>
      <x:c r="L159" s="5" t="s">
        <x:v>1205</x:v>
      </x:c>
      <x:c r="M159" s="5" t="s">
        <x:v>1227</x:v>
      </x:c>
      <x:c r="N159" s="5" t="s">
        <x:v>1228</x:v>
      </x:c>
      <x:c r="O159" s="5" t="s">
        <x:v>1208</x:v>
      </x:c>
      <x:c r="P159" s="5"/>
    </x:row>
    <x:row r="160" ht="57" customHeight="1">
      <x:c r="C160" s="5"/>
      <x:c r="D160" s="5"/>
      <x:c r="E160" s="5"/>
      <x:c r="F160" s="5"/>
      <x:c r="G160" s="5" t="s">
        <x:v>1229</x:v>
      </x:c>
      <x:c r="H160" s="6" t="s">
        <x:v>154</x:v>
      </x:c>
      <x:c r="I160" s="5" t="s">
        <x:v>1230</x:v>
      </x:c>
      <x:c r="J160" s="5" t="s">
        <x:v>1231</x:v>
      </x:c>
      <x:c r="K160" s="5" t="s">
        <x:v>1232</x:v>
      </x:c>
      <x:c r="L160" s="5" t="s">
        <x:v>1205</x:v>
      </x:c>
      <x:c r="M160" s="5" t="s">
        <x:v>1233</x:v>
      </x:c>
      <x:c r="N160" s="5" t="s">
        <x:v>1234</x:v>
      </x:c>
      <x:c r="O160" s="5" t="s">
        <x:v>1208</x:v>
      </x:c>
      <x:c r="P160" s="5"/>
    </x:row>
    <x:row r="161" ht="57" customHeight="1">
      <x:c r="C161" s="5"/>
      <x:c r="D161" s="5"/>
      <x:c r="E161" s="5"/>
      <x:c r="F161" s="5"/>
      <x:c r="G161" s="5" t="s">
        <x:v>1235</x:v>
      </x:c>
      <x:c r="H161" s="6" t="s">
        <x:v>120</x:v>
      </x:c>
      <x:c r="I161" s="5" t="s">
        <x:v>570</x:v>
      </x:c>
      <x:c r="J161" s="5" t="s">
        <x:v>1236</x:v>
      </x:c>
      <x:c r="K161" s="5" t="s">
        <x:v>1237</x:v>
      </x:c>
      <x:c r="L161" s="5" t="s">
        <x:v>1238</x:v>
      </x:c>
      <x:c r="M161" s="5" t="s">
        <x:v>1239</x:v>
      </x:c>
      <x:c r="N161" s="5" t="s">
        <x:v>1240</x:v>
      </x:c>
      <x:c r="O161" s="5" t="s">
        <x:v>1241</x:v>
      </x:c>
      <x:c r="P161" s="5"/>
    </x:row>
    <x:row r="162" ht="57" customHeight="1">
      <x:c r="C162" s="5"/>
      <x:c r="D162" s="5"/>
      <x:c r="E162" s="5"/>
      <x:c r="F162" s="5"/>
      <x:c r="G162" s="5" t="s">
        <x:v>1242</x:v>
      </x:c>
      <x:c r="H162" s="6" t="s">
        <x:v>120</x:v>
      </x:c>
      <x:c r="I162" s="5" t="s">
        <x:v>1229</x:v>
      </x:c>
      <x:c r="J162" s="5" t="s">
        <x:v>1243</x:v>
      </x:c>
      <x:c r="K162" s="5" t="s">
        <x:v>1244</x:v>
      </x:c>
      <x:c r="L162" s="5" t="s">
        <x:v>1205</x:v>
      </x:c>
      <x:c r="M162" s="5" t="s">
        <x:v>1245</x:v>
      </x:c>
      <x:c r="N162" s="5" t="s">
        <x:v>1246</x:v>
      </x:c>
      <x:c r="O162" s="5" t="s">
        <x:v>1247</x:v>
      </x:c>
      <x:c r="P162" s="5"/>
    </x:row>
    <x:row r="163" ht="170.75" customHeight="1">
      <x:c r="C163" s="5" t="s">
        <x:v>958</x:v>
      </x:c>
      <x:c r="D163" s="5" t="s">
        <x:v>1198</x:v>
      </x:c>
      <x:c r="E163" s="5" t="s">
        <x:v>1248</x:v>
      </x:c>
      <x:c r="F163" s="5" t="s">
        <x:v>1249</x:v>
      </x:c>
      <x:c r="G163" s="5" t="s">
        <x:v>1250</x:v>
      </x:c>
      <x:c r="H163" s="6" t="s">
        <x:v>154</x:v>
      </x:c>
      <x:c r="I163" s="5" t="s">
        <x:v>618</x:v>
      </x:c>
      <x:c r="J163" s="5" t="s">
        <x:v>1251</x:v>
      </x:c>
      <x:c r="K163" s="5" t="s">
        <x:v>1252</x:v>
      </x:c>
      <x:c r="L163" s="5" t="s">
        <x:v>1253</x:v>
      </x:c>
      <x:c r="M163" s="5" t="s">
        <x:v>1254</x:v>
      </x:c>
      <x:c r="N163" s="5" t="s">
        <x:v>1255</x:v>
      </x:c>
      <x:c r="O163" s="5" t="s">
        <x:v>1256</x:v>
      </x:c>
      <x:c r="P163" s="5"/>
    </x:row>
    <x:row r="164" ht="57" customHeight="1">
      <x:c r="C164" s="5"/>
      <x:c r="D164" s="5"/>
      <x:c r="E164" s="5"/>
      <x:c r="F164" s="5"/>
      <x:c r="G164" s="5" t="s">
        <x:v>1257</x:v>
      </x:c>
      <x:c r="H164" s="6" t="s">
        <x:v>154</x:v>
      </x:c>
      <x:c r="I164" s="5" t="s">
        <x:v>1258</x:v>
      </x:c>
      <x:c r="J164" s="5" t="s">
        <x:v>1259</x:v>
      </x:c>
      <x:c r="K164" s="5" t="s">
        <x:v>1260</x:v>
      </x:c>
      <x:c r="L164" s="5" t="s">
        <x:v>1253</x:v>
      </x:c>
      <x:c r="M164" s="5" t="s">
        <x:v>1261</x:v>
      </x:c>
      <x:c r="N164" s="5" t="s">
        <x:v>1262</x:v>
      </x:c>
      <x:c r="O164" s="5" t="s">
        <x:v>1256</x:v>
      </x:c>
      <x:c r="P164" s="5"/>
    </x:row>
    <x:row r="165" ht="57" customHeight="1">
      <x:c r="C165" s="5"/>
      <x:c r="D165" s="5"/>
      <x:c r="E165" s="5"/>
      <x:c r="F165" s="5"/>
      <x:c r="G165" s="5" t="s">
        <x:v>1263</x:v>
      </x:c>
      <x:c r="H165" s="6" t="s">
        <x:v>154</x:v>
      </x:c>
      <x:c r="I165" s="5" t="s">
        <x:v>1264</x:v>
      </x:c>
      <x:c r="J165" s="5" t="s">
        <x:v>1265</x:v>
      </x:c>
      <x:c r="K165" s="5" t="s">
        <x:v>1266</x:v>
      </x:c>
      <x:c r="L165" s="5" t="s">
        <x:v>1267</x:v>
      </x:c>
      <x:c r="M165" s="5" t="s">
        <x:v>1268</x:v>
      </x:c>
      <x:c r="N165" s="5" t="s">
        <x:v>1269</x:v>
      </x:c>
      <x:c r="O165" s="5" t="s">
        <x:v>1270</x:v>
      </x:c>
      <x:c r="P165" s="5"/>
    </x:row>
    <x:row r="166" ht="57" customHeight="1">
      <x:c r="C166" s="5"/>
      <x:c r="D166" s="5"/>
      <x:c r="E166" s="5"/>
      <x:c r="F166" s="5"/>
      <x:c r="G166" s="5" t="s">
        <x:v>1271</x:v>
      </x:c>
      <x:c r="H166" s="6" t="s">
        <x:v>120</x:v>
      </x:c>
      <x:c r="I166" s="5" t="s">
        <x:v>1272</x:v>
      </x:c>
      <x:c r="J166" s="5" t="s">
        <x:v>1273</x:v>
      </x:c>
      <x:c r="K166" s="5" t="s">
        <x:v>1274</x:v>
      </x:c>
      <x:c r="L166" s="5" t="s">
        <x:v>1253</x:v>
      </x:c>
      <x:c r="M166" s="5" t="s">
        <x:v>1275</x:v>
      </x:c>
      <x:c r="N166" s="5" t="s">
        <x:v>1276</x:v>
      </x:c>
      <x:c r="O166" s="5" t="s">
        <x:v>1256</x:v>
      </x:c>
      <x:c r="P166" s="5"/>
    </x:row>
    <x:row r="167" ht="142.25" customHeight="1">
      <x:c r="C167" s="5" t="s">
        <x:v>958</x:v>
      </x:c>
      <x:c r="D167" s="5" t="s">
        <x:v>1198</x:v>
      </x:c>
      <x:c r="E167" s="5" t="s">
        <x:v>1277</x:v>
      </x:c>
      <x:c r="F167" s="5" t="s">
        <x:v>1278</x:v>
      </x:c>
      <x:c r="G167" s="5" t="s">
        <x:v>1279</x:v>
      </x:c>
      <x:c r="H167" s="6" t="s">
        <x:v>129</x:v>
      </x:c>
      <x:c r="I167" s="5" t="s">
        <x:v>1280</x:v>
      </x:c>
      <x:c r="J167" s="5" t="s">
        <x:v>1281</x:v>
      </x:c>
      <x:c r="K167" s="5" t="s">
        <x:v>1282</x:v>
      </x:c>
      <x:c r="L167" s="5" t="s">
        <x:v>1283</x:v>
      </x:c>
      <x:c r="M167" s="5" t="s">
        <x:v>1284</x:v>
      </x:c>
      <x:c r="N167" s="5" t="s">
        <x:v>1285</x:v>
      </x:c>
      <x:c r="O167" s="5" t="s">
        <x:v>1286</x:v>
      </x:c>
      <x:c r="P167" s="5"/>
    </x:row>
    <x:row r="168" ht="57" customHeight="1">
      <x:c r="C168" s="5"/>
      <x:c r="D168" s="5"/>
      <x:c r="E168" s="5"/>
      <x:c r="F168" s="5"/>
      <x:c r="G168" s="5" t="s">
        <x:v>1287</x:v>
      </x:c>
      <x:c r="H168" s="6" t="s">
        <x:v>97</x:v>
      </x:c>
      <x:c r="I168" s="5" t="s">
        <x:v>1288</x:v>
      </x:c>
      <x:c r="J168" s="5" t="s">
        <x:v>1289</x:v>
      </x:c>
      <x:c r="K168" s="5" t="s">
        <x:v>1290</x:v>
      </x:c>
      <x:c r="L168" s="5" t="s">
        <x:v>1291</x:v>
      </x:c>
      <x:c r="M168" s="5" t="s">
        <x:v>1292</x:v>
      </x:c>
      <x:c r="N168" s="5" t="s">
        <x:v>1293</x:v>
      </x:c>
      <x:c r="O168" s="5" t="s">
        <x:v>1286</x:v>
      </x:c>
      <x:c r="P168" s="5"/>
    </x:row>
    <x:row r="169" ht="57" customHeight="1">
      <x:c r="C169" s="5"/>
      <x:c r="D169" s="5"/>
      <x:c r="E169" s="5"/>
      <x:c r="F169" s="5"/>
      <x:c r="G169" s="5" t="s">
        <x:v>1294</x:v>
      </x:c>
      <x:c r="H169" s="6" t="s">
        <x:v>120</x:v>
      </x:c>
      <x:c r="I169" s="5" t="s">
        <x:v>1295</x:v>
      </x:c>
      <x:c r="J169" s="5" t="s">
        <x:v>1296</x:v>
      </x:c>
      <x:c r="K169" s="5" t="s">
        <x:v>1297</x:v>
      </x:c>
      <x:c r="L169" s="5" t="s">
        <x:v>1298</x:v>
      </x:c>
      <x:c r="M169" s="5" t="s">
        <x:v>1299</x:v>
      </x:c>
      <x:c r="N169" s="5" t="s">
        <x:v>1300</x:v>
      </x:c>
      <x:c r="O169" s="5" t="s">
        <x:v>1301</x:v>
      </x:c>
      <x:c r="P169" s="5"/>
    </x:row>
    <x:row r="170" ht="57" customHeight="1">
      <x:c r="C170" s="5"/>
      <x:c r="D170" s="5"/>
      <x:c r="E170" s="5"/>
      <x:c r="F170" s="5"/>
      <x:c r="G170" s="5" t="s">
        <x:v>1302</x:v>
      </x:c>
      <x:c r="H170" s="6" t="s">
        <x:v>120</x:v>
      </x:c>
      <x:c r="I170" s="5" t="s">
        <x:v>1303</x:v>
      </x:c>
      <x:c r="J170" s="5" t="s">
        <x:v>1304</x:v>
      </x:c>
      <x:c r="K170" s="5" t="s">
        <x:v>1305</x:v>
      </x:c>
      <x:c r="L170" s="5" t="s">
        <x:v>1306</x:v>
      </x:c>
      <x:c r="M170" s="5" t="s">
        <x:v>1307</x:v>
      </x:c>
      <x:c r="N170" s="5" t="s">
        <x:v>1308</x:v>
      </x:c>
      <x:c r="O170" s="5" t="s">
        <x:v>1309</x:v>
      </x:c>
      <x:c r="P170" s="5"/>
    </x:row>
    <x:row r="171" ht="142.25" customHeight="1">
      <x:c r="C171" s="5" t="s">
        <x:v>958</x:v>
      </x:c>
      <x:c r="D171" s="5" t="s">
        <x:v>1198</x:v>
      </x:c>
      <x:c r="E171" s="5" t="s">
        <x:v>1310</x:v>
      </x:c>
      <x:c r="F171" s="5" t="s">
        <x:v>1311</x:v>
      </x:c>
      <x:c r="G171" s="5" t="s">
        <x:v>1312</x:v>
      </x:c>
      <x:c r="H171" s="6" t="s">
        <x:v>97</x:v>
      </x:c>
      <x:c r="I171" s="5" t="s">
        <x:v>1313</x:v>
      </x:c>
      <x:c r="J171" s="5" t="s">
        <x:v>1314</x:v>
      </x:c>
      <x:c r="K171" s="5" t="s">
        <x:v>1315</x:v>
      </x:c>
      <x:c r="L171" s="5" t="s">
        <x:v>1316</x:v>
      </x:c>
      <x:c r="M171" s="5" t="s">
        <x:v>1317</x:v>
      </x:c>
      <x:c r="N171" s="5" t="s">
        <x:v>1318</x:v>
      </x:c>
      <x:c r="O171" s="5" t="s">
        <x:v>1319</x:v>
      </x:c>
      <x:c r="P171" s="5"/>
    </x:row>
    <x:row r="172" ht="57" customHeight="1">
      <x:c r="C172" s="5"/>
      <x:c r="D172" s="5"/>
      <x:c r="E172" s="5"/>
      <x:c r="F172" s="5"/>
      <x:c r="G172" s="5" t="s">
        <x:v>1320</x:v>
      </x:c>
      <x:c r="H172" s="6" t="s">
        <x:v>120</x:v>
      </x:c>
      <x:c r="I172" s="5" t="s">
        <x:v>1321</x:v>
      </x:c>
      <x:c r="J172" s="5" t="s">
        <x:v>1322</x:v>
      </x:c>
      <x:c r="K172" s="5" t="s">
        <x:v>1323</x:v>
      </x:c>
      <x:c r="L172" s="5" t="s">
        <x:v>1324</x:v>
      </x:c>
      <x:c r="M172" s="5" t="s">
        <x:v>1325</x:v>
      </x:c>
      <x:c r="N172" s="5" t="s">
        <x:v>1326</x:v>
      </x:c>
      <x:c r="O172" s="5" t="s">
        <x:v>1327</x:v>
      </x:c>
      <x:c r="P172" s="5"/>
    </x:row>
    <x:row r="173" ht="57" customHeight="1">
      <x:c r="C173" s="5"/>
      <x:c r="D173" s="5"/>
      <x:c r="E173" s="5"/>
      <x:c r="F173" s="5"/>
      <x:c r="G173" s="5" t="s">
        <x:v>1328</x:v>
      </x:c>
      <x:c r="H173" s="6" t="s">
        <x:v>120</x:v>
      </x:c>
      <x:c r="I173" s="5" t="s">
        <x:v>1329</x:v>
      </x:c>
      <x:c r="J173" s="5" t="s">
        <x:v>1330</x:v>
      </x:c>
      <x:c r="K173" s="5" t="s">
        <x:v>1331</x:v>
      </x:c>
      <x:c r="L173" s="5" t="s">
        <x:v>1324</x:v>
      </x:c>
      <x:c r="M173" s="5" t="s">
        <x:v>1332</x:v>
      </x:c>
      <x:c r="N173" s="5" t="s">
        <x:v>1333</x:v>
      </x:c>
      <x:c r="O173" s="5" t="s">
        <x:v>1327</x:v>
      </x:c>
      <x:c r="P173" s="5"/>
    </x:row>
    <x:row r="174" ht="57" customHeight="1">
      <x:c r="C174" s="5"/>
      <x:c r="D174" s="5"/>
      <x:c r="E174" s="5"/>
      <x:c r="F174" s="5"/>
      <x:c r="G174" s="5" t="s">
        <x:v>1334</x:v>
      </x:c>
      <x:c r="H174" s="6" t="s">
        <x:v>120</x:v>
      </x:c>
      <x:c r="I174" s="5" t="s">
        <x:v>1335</x:v>
      </x:c>
      <x:c r="J174" s="5" t="s">
        <x:v>1336</x:v>
      </x:c>
      <x:c r="K174" s="5" t="s">
        <x:v>1337</x:v>
      </x:c>
      <x:c r="L174" s="5" t="s">
        <x:v>1338</x:v>
      </x:c>
      <x:c r="M174" s="5" t="s">
        <x:v>1339</x:v>
      </x:c>
      <x:c r="N174" s="5" t="s">
        <x:v>1340</x:v>
      </x:c>
      <x:c r="O174" s="5" t="s">
        <x:v>1341</x:v>
      </x:c>
      <x:c r="P174" s="5"/>
    </x:row>
    <x:row r="175" ht="170.75" customHeight="1">
      <x:c r="C175" s="5" t="s">
        <x:v>958</x:v>
      </x:c>
      <x:c r="D175" s="5" t="s">
        <x:v>1198</x:v>
      </x:c>
      <x:c r="E175" s="5" t="s">
        <x:v>1342</x:v>
      </x:c>
      <x:c r="F175" s="5" t="s">
        <x:v>1343</x:v>
      </x:c>
      <x:c r="G175" s="5" t="s">
        <x:v>1344</x:v>
      </x:c>
      <x:c r="H175" s="6" t="s">
        <x:v>97</x:v>
      </x:c>
      <x:c r="I175" s="5" t="s">
        <x:v>1345</x:v>
      </x:c>
      <x:c r="J175" s="5" t="s">
        <x:v>1346</x:v>
      </x:c>
      <x:c r="K175" s="5" t="s">
        <x:v>1347</x:v>
      </x:c>
      <x:c r="L175" s="5" t="s">
        <x:v>1348</x:v>
      </x:c>
      <x:c r="M175" s="5" t="s">
        <x:v>1349</x:v>
      </x:c>
      <x:c r="N175" s="5" t="s">
        <x:v>1350</x:v>
      </x:c>
      <x:c r="O175" s="5" t="s">
        <x:v>1351</x:v>
      </x:c>
      <x:c r="P175" s="5"/>
    </x:row>
    <x:row r="176" ht="85.25" customHeight="1">
      <x:c r="C176" s="5"/>
      <x:c r="D176" s="5"/>
      <x:c r="E176" s="5"/>
      <x:c r="F176" s="5"/>
      <x:c r="G176" s="5" t="s">
        <x:v>1352</x:v>
      </x:c>
      <x:c r="H176" s="6" t="s">
        <x:v>97</x:v>
      </x:c>
      <x:c r="I176" s="5" t="s">
        <x:v>1353</x:v>
      </x:c>
      <x:c r="J176" s="5" t="s">
        <x:v>1354</x:v>
      </x:c>
      <x:c r="K176" s="5" t="s">
        <x:v>1355</x:v>
      </x:c>
      <x:c r="L176" s="5" t="s">
        <x:v>1348</x:v>
      </x:c>
      <x:c r="M176" s="5" t="s">
        <x:v>1356</x:v>
      </x:c>
      <x:c r="N176" s="5" t="s">
        <x:v>1357</x:v>
      </x:c>
      <x:c r="O176" s="5" t="s">
        <x:v>1358</x:v>
      </x:c>
      <x:c r="P176" s="5"/>
    </x:row>
    <x:row r="177" ht="57" customHeight="1">
      <x:c r="C177" s="5"/>
      <x:c r="D177" s="5"/>
      <x:c r="E177" s="5"/>
      <x:c r="F177" s="5"/>
      <x:c r="G177" s="5" t="s">
        <x:v>1359</x:v>
      </x:c>
      <x:c r="H177" s="6" t="s">
        <x:v>154</x:v>
      </x:c>
      <x:c r="I177" s="5" t="s">
        <x:v>1360</x:v>
      </x:c>
      <x:c r="J177" s="5" t="s">
        <x:v>1361</x:v>
      </x:c>
      <x:c r="K177" s="5" t="s">
        <x:v>1362</x:v>
      </x:c>
      <x:c r="L177" s="5" t="s">
        <x:v>1348</x:v>
      </x:c>
      <x:c r="M177" s="5" t="s">
        <x:v>1363</x:v>
      </x:c>
      <x:c r="N177" s="5" t="s">
        <x:v>1364</x:v>
      </x:c>
      <x:c r="O177" s="5" t="s">
        <x:v>1365</x:v>
      </x:c>
      <x:c r="P177" s="5"/>
    </x:row>
    <x:row r="178" ht="57" customHeight="1">
      <x:c r="C178" s="5"/>
      <x:c r="D178" s="5"/>
      <x:c r="E178" s="5"/>
      <x:c r="F178" s="5"/>
      <x:c r="G178" s="5" t="s">
        <x:v>1366</x:v>
      </x:c>
      <x:c r="H178" s="6" t="s">
        <x:v>154</x:v>
      </x:c>
      <x:c r="I178" s="5" t="s">
        <x:v>1367</x:v>
      </x:c>
      <x:c r="J178" s="5" t="s">
        <x:v>1368</x:v>
      </x:c>
      <x:c r="K178" s="5" t="s">
        <x:v>1369</x:v>
      </x:c>
      <x:c r="L178" s="5" t="s">
        <x:v>1348</x:v>
      </x:c>
      <x:c r="M178" s="5" t="s">
        <x:v>1370</x:v>
      </x:c>
      <x:c r="N178" s="5" t="s">
        <x:v>1371</x:v>
      </x:c>
      <x:c r="O178" s="5" t="s">
        <x:v>1365</x:v>
      </x:c>
      <x:c r="P178" s="5"/>
    </x:row>
    <x:row r="179" ht="57" customHeight="1">
      <x:c r="C179" s="5"/>
      <x:c r="D179" s="5"/>
      <x:c r="E179" s="5"/>
      <x:c r="F179" s="5"/>
      <x:c r="G179" s="5" t="s">
        <x:v>1372</x:v>
      </x:c>
      <x:c r="H179" s="6" t="s">
        <x:v>120</x:v>
      </x:c>
      <x:c r="I179" s="5" t="s">
        <x:v>1373</x:v>
      </x:c>
      <x:c r="J179" s="5" t="s">
        <x:v>1374</x:v>
      </x:c>
      <x:c r="K179" s="5" t="s">
        <x:v>1375</x:v>
      </x:c>
      <x:c r="L179" s="5" t="s">
        <x:v>1376</x:v>
      </x:c>
      <x:c r="M179" s="5" t="s">
        <x:v>1377</x:v>
      </x:c>
      <x:c r="N179" s="5" t="s">
        <x:v>1378</x:v>
      </x:c>
      <x:c r="O179" s="5" t="s">
        <x:v>1379</x:v>
      </x:c>
      <x:c r="P179" s="5"/>
    </x:row>
    <x:row r="180" ht="170.75" customHeight="1">
      <x:c r="C180" s="5" t="s">
        <x:v>958</x:v>
      </x:c>
      <x:c r="D180" s="5" t="s">
        <x:v>1380</x:v>
      </x:c>
      <x:c r="E180" s="5" t="s">
        <x:v>1381</x:v>
      </x:c>
      <x:c r="F180" s="5" t="s">
        <x:v>1382</x:v>
      </x:c>
      <x:c r="G180" s="5" t="s">
        <x:v>1383</x:v>
      </x:c>
      <x:c r="H180" s="6" t="s">
        <x:v>97</x:v>
      </x:c>
      <x:c r="I180" s="5" t="s">
        <x:v>497</x:v>
      </x:c>
      <x:c r="J180" s="5" t="s">
        <x:v>1384</x:v>
      </x:c>
      <x:c r="K180" s="5" t="s">
        <x:v>1385</x:v>
      </x:c>
      <x:c r="L180" s="5" t="s">
        <x:v>1386</x:v>
      </x:c>
      <x:c r="M180" s="5" t="s">
        <x:v>1387</x:v>
      </x:c>
      <x:c r="N180" s="5" t="s">
        <x:v>1388</x:v>
      </x:c>
      <x:c r="O180" s="5" t="s">
        <x:v>1389</x:v>
      </x:c>
      <x:c r="P180" s="5"/>
    </x:row>
    <x:row r="181" ht="57" customHeight="1">
      <x:c r="C181" s="5"/>
      <x:c r="D181" s="5"/>
      <x:c r="E181" s="5"/>
      <x:c r="F181" s="5"/>
      <x:c r="G181" s="5" t="s">
        <x:v>1390</x:v>
      </x:c>
      <x:c r="H181" s="6" t="s">
        <x:v>97</x:v>
      </x:c>
      <x:c r="I181" s="5" t="s">
        <x:v>1391</x:v>
      </x:c>
      <x:c r="J181" s="5" t="s">
        <x:v>1392</x:v>
      </x:c>
      <x:c r="K181" s="5" t="s">
        <x:v>1393</x:v>
      </x:c>
      <x:c r="L181" s="5" t="s">
        <x:v>1386</x:v>
      </x:c>
      <x:c r="M181" s="5" t="s">
        <x:v>1394</x:v>
      </x:c>
      <x:c r="N181" s="5" t="s">
        <x:v>1395</x:v>
      </x:c>
      <x:c r="O181" s="5" t="s">
        <x:v>1389</x:v>
      </x:c>
      <x:c r="P181" s="5"/>
    </x:row>
    <x:row r="182" ht="57" customHeight="1">
      <x:c r="C182" s="5"/>
      <x:c r="D182" s="5"/>
      <x:c r="E182" s="5"/>
      <x:c r="F182" s="5"/>
      <x:c r="G182" s="5" t="s">
        <x:v>1396</x:v>
      </x:c>
      <x:c r="H182" s="6" t="s">
        <x:v>154</x:v>
      </x:c>
      <x:c r="I182" s="5" t="s">
        <x:v>1397</x:v>
      </x:c>
      <x:c r="J182" s="5" t="s">
        <x:v>1398</x:v>
      </x:c>
      <x:c r="K182" s="5" t="s">
        <x:v>1399</x:v>
      </x:c>
      <x:c r="L182" s="5" t="s">
        <x:v>1386</x:v>
      </x:c>
      <x:c r="M182" s="5" t="s">
        <x:v>1400</x:v>
      </x:c>
      <x:c r="N182" s="5" t="s">
        <x:v>1401</x:v>
      </x:c>
      <x:c r="O182" s="5" t="s">
        <x:v>1389</x:v>
      </x:c>
      <x:c r="P182" s="5"/>
    </x:row>
    <x:row r="183" ht="57" customHeight="1">
      <x:c r="C183" s="5"/>
      <x:c r="D183" s="5"/>
      <x:c r="E183" s="5"/>
      <x:c r="F183" s="5"/>
      <x:c r="G183" s="5" t="s">
        <x:v>1402</x:v>
      </x:c>
      <x:c r="H183" s="6" t="s">
        <x:v>120</x:v>
      </x:c>
      <x:c r="I183" s="5" t="s">
        <x:v>1403</x:v>
      </x:c>
      <x:c r="J183" s="5" t="s">
        <x:v>1404</x:v>
      </x:c>
      <x:c r="K183" s="5" t="s">
        <x:v>1405</x:v>
      </x:c>
      <x:c r="L183" s="5" t="s">
        <x:v>1406</x:v>
      </x:c>
      <x:c r="M183" s="5" t="s">
        <x:v>1407</x:v>
      </x:c>
      <x:c r="N183" s="5" t="s">
        <x:v>1408</x:v>
      </x:c>
      <x:c r="O183" s="5" t="s">
        <x:v>1409</x:v>
      </x:c>
      <x:c r="P183" s="5"/>
    </x:row>
    <x:row r="184" ht="57" customHeight="1">
      <x:c r="C184" s="5"/>
      <x:c r="D184" s="5"/>
      <x:c r="E184" s="5"/>
      <x:c r="F184" s="5"/>
      <x:c r="G184" s="5" t="s">
        <x:v>1410</x:v>
      </x:c>
      <x:c r="H184" s="6" t="s">
        <x:v>120</x:v>
      </x:c>
      <x:c r="I184" s="5" t="s">
        <x:v>1411</x:v>
      </x:c>
      <x:c r="J184" s="5" t="s">
        <x:v>1412</x:v>
      </x:c>
      <x:c r="K184" s="5" t="s">
        <x:v>1413</x:v>
      </x:c>
      <x:c r="L184" s="5" t="s">
        <x:v>1414</x:v>
      </x:c>
      <x:c r="M184" s="5" t="s">
        <x:v>1415</x:v>
      </x:c>
      <x:c r="N184" s="5" t="s">
        <x:v>1416</x:v>
      </x:c>
      <x:c r="O184" s="5" t="s">
        <x:v>1417</x:v>
      </x:c>
      <x:c r="P184" s="5"/>
    </x:row>
    <x:row r="185" ht="170.75" customHeight="1">
      <x:c r="C185" s="5" t="s">
        <x:v>958</x:v>
      </x:c>
      <x:c r="D185" s="5" t="s">
        <x:v>1380</x:v>
      </x:c>
      <x:c r="E185" s="5" t="s">
        <x:v>1418</x:v>
      </x:c>
      <x:c r="F185" s="5" t="s">
        <x:v>1419</x:v>
      </x:c>
      <x:c r="G185" s="5" t="s">
        <x:v>1420</x:v>
      </x:c>
      <x:c r="H185" s="6" t="s">
        <x:v>154</x:v>
      </x:c>
      <x:c r="I185" s="5" t="s">
        <x:v>1421</x:v>
      </x:c>
      <x:c r="J185" s="5" t="s">
        <x:v>1422</x:v>
      </x:c>
      <x:c r="K185" s="5" t="s">
        <x:v>1423</x:v>
      </x:c>
      <x:c r="L185" s="5" t="s">
        <x:v>1424</x:v>
      </x:c>
      <x:c r="M185" s="5" t="s">
        <x:v>1425</x:v>
      </x:c>
      <x:c r="N185" s="5" t="s">
        <x:v>1426</x:v>
      </x:c>
      <x:c r="O185" s="5" t="s">
        <x:v>1427</x:v>
      </x:c>
      <x:c r="P185" s="5"/>
    </x:row>
    <x:row r="186" ht="57" customHeight="1">
      <x:c r="C186" s="5"/>
      <x:c r="D186" s="5"/>
      <x:c r="E186" s="5"/>
      <x:c r="F186" s="5"/>
      <x:c r="G186" s="5" t="s">
        <x:v>1428</x:v>
      </x:c>
      <x:c r="H186" s="6" t="s">
        <x:v>154</x:v>
      </x:c>
      <x:c r="I186" s="5" t="s">
        <x:v>1429</x:v>
      </x:c>
      <x:c r="J186" s="5" t="s">
        <x:v>1430</x:v>
      </x:c>
      <x:c r="K186" s="5" t="s">
        <x:v>1431</x:v>
      </x:c>
      <x:c r="L186" s="5" t="s">
        <x:v>1432</x:v>
      </x:c>
      <x:c r="M186" s="5" t="s">
        <x:v>1433</x:v>
      </x:c>
      <x:c r="N186" s="5" t="s">
        <x:v>1434</x:v>
      </x:c>
      <x:c r="O186" s="5" t="s">
        <x:v>375</x:v>
      </x:c>
      <x:c r="P186" s="5"/>
    </x:row>
    <x:row r="187" ht="57" customHeight="1">
      <x:c r="C187" s="5"/>
      <x:c r="D187" s="5"/>
      <x:c r="E187" s="5"/>
      <x:c r="F187" s="5"/>
      <x:c r="G187" s="5" t="s">
        <x:v>1435</x:v>
      </x:c>
      <x:c r="H187" s="6" t="s">
        <x:v>120</x:v>
      </x:c>
      <x:c r="I187" s="5" t="s">
        <x:v>1420</x:v>
      </x:c>
      <x:c r="J187" s="5" t="s">
        <x:v>1436</x:v>
      </x:c>
      <x:c r="K187" s="5" t="s">
        <x:v>1437</x:v>
      </x:c>
      <x:c r="L187" s="5" t="s">
        <x:v>1424</x:v>
      </x:c>
      <x:c r="M187" s="5" t="s">
        <x:v>1438</x:v>
      </x:c>
      <x:c r="N187" s="5" t="s">
        <x:v>1439</x:v>
      </x:c>
      <x:c r="O187" s="5" t="s">
        <x:v>1427</x:v>
      </x:c>
      <x:c r="P187" s="5"/>
    </x:row>
    <x:row r="188" ht="57" customHeight="1">
      <x:c r="C188" s="5"/>
      <x:c r="D188" s="5"/>
      <x:c r="E188" s="5"/>
      <x:c r="F188" s="5"/>
      <x:c r="G188" s="5" t="s">
        <x:v>1440</x:v>
      </x:c>
      <x:c r="H188" s="6" t="s">
        <x:v>120</x:v>
      </x:c>
      <x:c r="I188" s="5" t="s">
        <x:v>1383</x:v>
      </x:c>
      <x:c r="J188" s="5" t="s">
        <x:v>1441</x:v>
      </x:c>
      <x:c r="K188" s="5" t="s">
        <x:v>1442</x:v>
      </x:c>
      <x:c r="L188" s="5" t="s">
        <x:v>1424</x:v>
      </x:c>
      <x:c r="M188" s="5" t="s">
        <x:v>1443</x:v>
      </x:c>
      <x:c r="N188" s="5" t="s">
        <x:v>1444</x:v>
      </x:c>
      <x:c r="O188" s="5" t="s">
        <x:v>1427</x:v>
      </x:c>
      <x:c r="P188" s="5"/>
    </x:row>
    <x:row r="189" ht="57" customHeight="1">
      <x:c r="C189" s="5"/>
      <x:c r="D189" s="5"/>
      <x:c r="E189" s="5"/>
      <x:c r="F189" s="5"/>
      <x:c r="G189" s="5" t="s">
        <x:v>1445</x:v>
      </x:c>
      <x:c r="H189" s="6" t="s">
        <x:v>120</x:v>
      </x:c>
      <x:c r="I189" s="5" t="s">
        <x:v>1446</x:v>
      </x:c>
      <x:c r="J189" s="5" t="s">
        <x:v>1447</x:v>
      </x:c>
      <x:c r="K189" s="5" t="s">
        <x:v>1448</x:v>
      </x:c>
      <x:c r="L189" s="5" t="s">
        <x:v>1449</x:v>
      </x:c>
      <x:c r="M189" s="5" t="s">
        <x:v>1450</x:v>
      </x:c>
      <x:c r="N189" s="5" t="s">
        <x:v>1451</x:v>
      </x:c>
      <x:c r="O189" s="5" t="s">
        <x:v>1452</x:v>
      </x:c>
      <x:c r="P189" s="5"/>
    </x:row>
    <x:row r="190" ht="170.75" customHeight="1">
      <x:c r="C190" s="5" t="s">
        <x:v>958</x:v>
      </x:c>
      <x:c r="D190" s="5" t="s">
        <x:v>1380</x:v>
      </x:c>
      <x:c r="E190" s="5" t="s">
        <x:v>1453</x:v>
      </x:c>
      <x:c r="F190" s="5" t="s">
        <x:v>1454</x:v>
      </x:c>
      <x:c r="G190" s="5" t="s">
        <x:v>1455</x:v>
      </x:c>
      <x:c r="H190" s="6" t="s">
        <x:v>154</x:v>
      </x:c>
      <x:c r="I190" s="5" t="s">
        <x:v>1456</x:v>
      </x:c>
      <x:c r="J190" s="5" t="s">
        <x:v>1457</x:v>
      </x:c>
      <x:c r="K190" s="5" t="s">
        <x:v>1458</x:v>
      </x:c>
      <x:c r="L190" s="5" t="s">
        <x:v>1459</x:v>
      </x:c>
      <x:c r="M190" s="5" t="s">
        <x:v>1460</x:v>
      </x:c>
      <x:c r="N190" s="5" t="s">
        <x:v>1461</x:v>
      </x:c>
      <x:c r="O190" s="5" t="s">
        <x:v>1462</x:v>
      </x:c>
      <x:c r="P190" s="5"/>
    </x:row>
    <x:row r="191" ht="57" customHeight="1">
      <x:c r="C191" s="5"/>
      <x:c r="D191" s="5"/>
      <x:c r="E191" s="5"/>
      <x:c r="F191" s="5"/>
      <x:c r="G191" s="5" t="s">
        <x:v>1463</x:v>
      </x:c>
      <x:c r="H191" s="6" t="s">
        <x:v>120</x:v>
      </x:c>
      <x:c r="I191" s="5" t="s">
        <x:v>113</x:v>
      </x:c>
      <x:c r="J191" s="5" t="s">
        <x:v>1464</x:v>
      </x:c>
      <x:c r="K191" s="5" t="s">
        <x:v>1465</x:v>
      </x:c>
      <x:c r="L191" s="5" t="s">
        <x:v>1459</x:v>
      </x:c>
      <x:c r="M191" s="5" t="s">
        <x:v>1466</x:v>
      </x:c>
      <x:c r="N191" s="5" t="s">
        <x:v>1467</x:v>
      </x:c>
      <x:c r="O191" s="5" t="s">
        <x:v>1462</x:v>
      </x:c>
      <x:c r="P191" s="5"/>
    </x:row>
    <x:row r="192" ht="57" customHeight="1">
      <x:c r="C192" s="5"/>
      <x:c r="D192" s="5"/>
      <x:c r="E192" s="5"/>
      <x:c r="F192" s="5"/>
      <x:c r="G192" s="5" t="s">
        <x:v>1468</x:v>
      </x:c>
      <x:c r="H192" s="6" t="s">
        <x:v>120</x:v>
      </x:c>
      <x:c r="I192" s="5" t="s">
        <x:v>1463</x:v>
      </x:c>
      <x:c r="J192" s="5" t="s">
        <x:v>1469</x:v>
      </x:c>
      <x:c r="K192" s="5" t="s">
        <x:v>1470</x:v>
      </x:c>
      <x:c r="L192" s="5" t="s">
        <x:v>1459</x:v>
      </x:c>
      <x:c r="M192" s="5" t="s">
        <x:v>1471</x:v>
      </x:c>
      <x:c r="N192" s="5" t="s">
        <x:v>1472</x:v>
      </x:c>
      <x:c r="O192" s="5" t="s">
        <x:v>1462</x:v>
      </x:c>
      <x:c r="P192" s="5"/>
    </x:row>
    <x:row r="193" ht="57" customHeight="1">
      <x:c r="C193" s="5"/>
      <x:c r="D193" s="5"/>
      <x:c r="E193" s="5"/>
      <x:c r="F193" s="5"/>
      <x:c r="G193" s="5" t="s">
        <x:v>1473</x:v>
      </x:c>
      <x:c r="H193" s="6" t="s">
        <x:v>120</x:v>
      </x:c>
      <x:c r="I193" s="5" t="s">
        <x:v>1474</x:v>
      </x:c>
      <x:c r="J193" s="5" t="s">
        <x:v>1475</x:v>
      </x:c>
      <x:c r="K193" s="5" t="s">
        <x:v>1476</x:v>
      </x:c>
      <x:c r="L193" s="5" t="s">
        <x:v>1477</x:v>
      </x:c>
      <x:c r="M193" s="5" t="s">
        <x:v>1478</x:v>
      </x:c>
      <x:c r="N193" s="5" t="s">
        <x:v>1479</x:v>
      </x:c>
      <x:c r="O193" s="5" t="s">
        <x:v>1480</x:v>
      </x:c>
      <x:c r="P193" s="5"/>
    </x:row>
    <x:row r="194" ht="85.25" customHeight="1">
      <x:c r="C194" s="5"/>
      <x:c r="D194" s="5"/>
      <x:c r="E194" s="5"/>
      <x:c r="F194" s="5"/>
      <x:c r="G194" s="5" t="s">
        <x:v>1481</x:v>
      </x:c>
      <x:c r="H194" s="6" t="s">
        <x:v>120</x:v>
      </x:c>
      <x:c r="I194" s="5" t="s">
        <x:v>1455</x:v>
      </x:c>
      <x:c r="J194" s="5" t="s">
        <x:v>1482</x:v>
      </x:c>
      <x:c r="K194" s="5" t="s">
        <x:v>1483</x:v>
      </x:c>
      <x:c r="L194" s="5" t="s">
        <x:v>1459</x:v>
      </x:c>
      <x:c r="M194" s="5" t="s">
        <x:v>1484</x:v>
      </x:c>
      <x:c r="N194" s="5" t="s">
        <x:v>1485</x:v>
      </x:c>
      <x:c r="O194" s="5" t="s">
        <x:v>1462</x:v>
      </x:c>
      <x:c r="P194" s="5"/>
    </x:row>
    <x:row r="195" ht="142.25" customHeight="1">
      <x:c r="C195" s="5" t="s">
        <x:v>958</x:v>
      </x:c>
      <x:c r="D195" s="5" t="s">
        <x:v>1486</x:v>
      </x:c>
      <x:c r="E195" s="5" t="s">
        <x:v>1487</x:v>
      </x:c>
      <x:c r="F195" s="5" t="s">
        <x:v>1488</x:v>
      </x:c>
      <x:c r="G195" s="5" t="s">
        <x:v>1489</x:v>
      </x:c>
      <x:c r="H195" s="6" t="s">
        <x:v>120</x:v>
      </x:c>
      <x:c r="I195" s="5" t="s">
        <x:v>1490</x:v>
      </x:c>
      <x:c r="J195" s="5" t="s">
        <x:v>1491</x:v>
      </x:c>
      <x:c r="K195" s="5" t="s">
        <x:v>1492</x:v>
      </x:c>
      <x:c r="L195" s="5" t="s">
        <x:v>1493</x:v>
      </x:c>
      <x:c r="M195" s="5" t="s">
        <x:v>1494</x:v>
      </x:c>
      <x:c r="N195" s="5" t="s">
        <x:v>1495</x:v>
      </x:c>
      <x:c r="O195" s="5" t="s">
        <x:v>1496</x:v>
      </x:c>
      <x:c r="P195" s="5"/>
    </x:row>
    <x:row r="196" ht="57" customHeight="1">
      <x:c r="C196" s="5"/>
      <x:c r="D196" s="5"/>
      <x:c r="E196" s="5"/>
      <x:c r="F196" s="5"/>
      <x:c r="G196" s="5" t="s">
        <x:v>1497</x:v>
      </x:c>
      <x:c r="H196" s="6" t="s">
        <x:v>120</x:v>
      </x:c>
      <x:c r="I196" s="5" t="s">
        <x:v>1489</x:v>
      </x:c>
      <x:c r="J196" s="5" t="s">
        <x:v>1498</x:v>
      </x:c>
      <x:c r="K196" s="5" t="s">
        <x:v>1499</x:v>
      </x:c>
      <x:c r="L196" s="5" t="s">
        <x:v>1493</x:v>
      </x:c>
      <x:c r="M196" s="5" t="s">
        <x:v>1500</x:v>
      </x:c>
      <x:c r="N196" s="5" t="s">
        <x:v>1501</x:v>
      </x:c>
      <x:c r="O196" s="5" t="s">
        <x:v>1379</x:v>
      </x:c>
      <x:c r="P196" s="5"/>
    </x:row>
    <x:row r="197" ht="57" customHeight="1">
      <x:c r="C197" s="5"/>
      <x:c r="D197" s="5"/>
      <x:c r="E197" s="5"/>
      <x:c r="F197" s="5"/>
      <x:c r="G197" s="5" t="s">
        <x:v>1502</x:v>
      </x:c>
      <x:c r="H197" s="6" t="s">
        <x:v>120</x:v>
      </x:c>
      <x:c r="I197" s="5" t="s">
        <x:v>1503</x:v>
      </x:c>
      <x:c r="J197" s="5" t="s">
        <x:v>1504</x:v>
      </x:c>
      <x:c r="K197" s="5" t="s">
        <x:v>1505</x:v>
      </x:c>
      <x:c r="L197" s="5" t="s">
        <x:v>1506</x:v>
      </x:c>
      <x:c r="M197" s="5" t="s">
        <x:v>1507</x:v>
      </x:c>
      <x:c r="N197" s="5" t="s">
        <x:v>1508</x:v>
      </x:c>
      <x:c r="O197" s="5" t="s">
        <x:v>1379</x:v>
      </x:c>
      <x:c r="P197" s="5"/>
    </x:row>
    <x:row r="198" ht="57" customHeight="1">
      <x:c r="C198" s="5"/>
      <x:c r="D198" s="5"/>
      <x:c r="E198" s="5"/>
      <x:c r="F198" s="5"/>
      <x:c r="G198" s="5" t="s">
        <x:v>1509</x:v>
      </x:c>
      <x:c r="H198" s="6" t="s">
        <x:v>120</x:v>
      </x:c>
      <x:c r="I198" s="5" t="s">
        <x:v>1510</x:v>
      </x:c>
      <x:c r="J198" s="5" t="s">
        <x:v>1511</x:v>
      </x:c>
      <x:c r="K198" s="5" t="s">
        <x:v>1512</x:v>
      </x:c>
      <x:c r="L198" s="5" t="s">
        <x:v>1493</x:v>
      </x:c>
      <x:c r="M198" s="5" t="s">
        <x:v>1513</x:v>
      </x:c>
      <x:c r="N198" s="5" t="s">
        <x:v>1514</x:v>
      </x:c>
      <x:c r="O198" s="5" t="s">
        <x:v>1496</x:v>
      </x:c>
      <x:c r="P198" s="5"/>
    </x:row>
    <x:row r="199" ht="57" customHeight="1">
      <x:c r="C199" s="5"/>
      <x:c r="D199" s="5"/>
      <x:c r="E199" s="5"/>
      <x:c r="F199" s="5"/>
      <x:c r="G199" s="5" t="s">
        <x:v>1515</x:v>
      </x:c>
      <x:c r="H199" s="6" t="s">
        <x:v>120</x:v>
      </x:c>
      <x:c r="I199" s="5" t="s">
        <x:v>1516</x:v>
      </x:c>
      <x:c r="J199" s="5" t="s">
        <x:v>1517</x:v>
      </x:c>
      <x:c r="K199" s="5" t="s">
        <x:v>1518</x:v>
      </x:c>
      <x:c r="L199" s="5" t="s">
        <x:v>1493</x:v>
      </x:c>
      <x:c r="M199" s="5" t="s">
        <x:v>1519</x:v>
      </x:c>
      <x:c r="N199" s="5" t="s">
        <x:v>1520</x:v>
      </x:c>
      <x:c r="O199" s="5" t="s">
        <x:v>1379</x:v>
      </x:c>
      <x:c r="P199" s="5"/>
    </x:row>
    <x:row r="200" ht="170.75" customHeight="1">
      <x:c r="C200" s="5" t="s">
        <x:v>958</x:v>
      </x:c>
      <x:c r="D200" s="5" t="s">
        <x:v>1521</x:v>
      </x:c>
      <x:c r="E200" s="5" t="s">
        <x:v>1522</x:v>
      </x:c>
      <x:c r="F200" s="5" t="s">
        <x:v>1523</x:v>
      </x:c>
      <x:c r="G200" s="5" t="s">
        <x:v>1524</x:v>
      </x:c>
      <x:c r="H200" s="6" t="s">
        <x:v>120</x:v>
      </x:c>
      <x:c r="I200" s="5" t="s">
        <x:v>1525</x:v>
      </x:c>
      <x:c r="J200" s="5" t="s">
        <x:v>1526</x:v>
      </x:c>
      <x:c r="K200" s="5" t="s">
        <x:v>1527</x:v>
      </x:c>
      <x:c r="L200" s="5" t="s">
        <x:v>1528</x:v>
      </x:c>
      <x:c r="M200" s="5" t="s">
        <x:v>1529</x:v>
      </x:c>
      <x:c r="N200" s="5" t="s">
        <x:v>1530</x:v>
      </x:c>
      <x:c r="O200" s="5" t="s">
        <x:v>1531</x:v>
      </x:c>
      <x:c r="P200" s="5"/>
    </x:row>
    <x:row r="201" ht="57" customHeight="1">
      <x:c r="C201" s="5"/>
      <x:c r="D201" s="5"/>
      <x:c r="E201" s="5"/>
      <x:c r="F201" s="5"/>
      <x:c r="G201" s="5" t="s">
        <x:v>1532</x:v>
      </x:c>
      <x:c r="H201" s="6" t="s">
        <x:v>120</x:v>
      </x:c>
      <x:c r="I201" s="5" t="s">
        <x:v>1524</x:v>
      </x:c>
      <x:c r="J201" s="5" t="s">
        <x:v>1533</x:v>
      </x:c>
      <x:c r="K201" s="5" t="s">
        <x:v>1534</x:v>
      </x:c>
      <x:c r="L201" s="5" t="s">
        <x:v>1535</x:v>
      </x:c>
      <x:c r="M201" s="5" t="s">
        <x:v>1536</x:v>
      </x:c>
      <x:c r="N201" s="5" t="s">
        <x:v>1537</x:v>
      </x:c>
      <x:c r="O201" s="5" t="s">
        <x:v>1538</x:v>
      </x:c>
      <x:c r="P201" s="5"/>
    </x:row>
    <x:row r="202" ht="57" customHeight="1">
      <x:c r="C202" s="5"/>
      <x:c r="D202" s="5"/>
      <x:c r="E202" s="5"/>
      <x:c r="F202" s="5"/>
      <x:c r="G202" s="5" t="s">
        <x:v>1539</x:v>
      </x:c>
      <x:c r="H202" s="6" t="s">
        <x:v>120</x:v>
      </x:c>
      <x:c r="I202" s="5" t="s">
        <x:v>1540</x:v>
      </x:c>
      <x:c r="J202" s="5" t="s">
        <x:v>1541</x:v>
      </x:c>
      <x:c r="K202" s="5" t="s">
        <x:v>1542</x:v>
      </x:c>
      <x:c r="L202" s="5" t="s">
        <x:v>1543</x:v>
      </x:c>
      <x:c r="M202" s="5" t="s">
        <x:v>1544</x:v>
      </x:c>
      <x:c r="N202" s="5" t="s">
        <x:v>1545</x:v>
      </x:c>
      <x:c r="O202" s="5" t="s">
        <x:v>1546</x:v>
      </x:c>
      <x:c r="P202" s="5"/>
    </x:row>
    <x:row r="203" ht="57" customHeight="1">
      <x:c r="C203" s="5"/>
      <x:c r="D203" s="5"/>
      <x:c r="E203" s="5"/>
      <x:c r="F203" s="5"/>
      <x:c r="G203" s="5" t="s">
        <x:v>1547</x:v>
      </x:c>
      <x:c r="H203" s="6" t="s">
        <x:v>120</x:v>
      </x:c>
      <x:c r="I203" s="5" t="s">
        <x:v>1548</x:v>
      </x:c>
      <x:c r="J203" s="5" t="s">
        <x:v>1549</x:v>
      </x:c>
      <x:c r="K203" s="5" t="s">
        <x:v>1550</x:v>
      </x:c>
      <x:c r="L203" s="5" t="s">
        <x:v>1551</x:v>
      </x:c>
      <x:c r="M203" s="5" t="s">
        <x:v>1552</x:v>
      </x:c>
      <x:c r="N203" s="5" t="s">
        <x:v>1553</x:v>
      </x:c>
      <x:c r="O203" s="5" t="s">
        <x:v>1554</x:v>
      </x:c>
      <x:c r="P203" s="5"/>
    </x:row>
    <x:row r="204" ht="57" customHeight="1">
      <x:c r="C204" s="5"/>
      <x:c r="D204" s="5"/>
      <x:c r="E204" s="5"/>
      <x:c r="F204" s="5"/>
      <x:c r="G204" s="5" t="s">
        <x:v>1555</x:v>
      </x:c>
      <x:c r="H204" s="6" t="s">
        <x:v>120</x:v>
      </x:c>
      <x:c r="I204" s="5" t="s">
        <x:v>1556</x:v>
      </x:c>
      <x:c r="J204" s="5" t="s">
        <x:v>1557</x:v>
      </x:c>
      <x:c r="K204" s="5" t="s">
        <x:v>1558</x:v>
      </x:c>
      <x:c r="L204" s="5" t="s">
        <x:v>1559</x:v>
      </x:c>
      <x:c r="M204" s="5" t="s">
        <x:v>1560</x:v>
      </x:c>
      <x:c r="N204" s="5" t="s">
        <x:v>1561</x:v>
      </x:c>
      <x:c r="O204" s="5" t="s">
        <x:v>1562</x:v>
      </x:c>
      <x:c r="P204" s="5"/>
    </x:row>
    <x:row r="205" ht="170.75" customHeight="1">
      <x:c r="C205" s="5" t="s">
        <x:v>958</x:v>
      </x:c>
      <x:c r="D205" s="5" t="s">
        <x:v>1563</x:v>
      </x:c>
      <x:c r="E205" s="5" t="s">
        <x:v>1564</x:v>
      </x:c>
      <x:c r="F205" s="5" t="s">
        <x:v>1565</x:v>
      </x:c>
      <x:c r="G205" s="5" t="s">
        <x:v>1566</x:v>
      </x:c>
      <x:c r="H205" s="6" t="s">
        <x:v>120</x:v>
      </x:c>
      <x:c r="I205" s="5" t="s">
        <x:v>1567</x:v>
      </x:c>
      <x:c r="J205" s="5" t="s">
        <x:v>1568</x:v>
      </x:c>
      <x:c r="K205" s="5" t="s">
        <x:v>1569</x:v>
      </x:c>
      <x:c r="L205" s="5" t="s">
        <x:v>1570</x:v>
      </x:c>
      <x:c r="M205" s="5" t="s">
        <x:v>1571</x:v>
      </x:c>
      <x:c r="N205" s="5" t="s">
        <x:v>1572</x:v>
      </x:c>
      <x:c r="O205" s="5" t="s">
        <x:v>1573</x:v>
      </x:c>
      <x:c r="P205" s="5"/>
    </x:row>
    <x:row r="206" ht="57" customHeight="1">
      <x:c r="C206" s="5"/>
      <x:c r="D206" s="5"/>
      <x:c r="E206" s="5"/>
      <x:c r="F206" s="5"/>
      <x:c r="G206" s="5" t="s">
        <x:v>1532</x:v>
      </x:c>
      <x:c r="H206" s="6" t="s">
        <x:v>120</x:v>
      </x:c>
      <x:c r="I206" s="5" t="s">
        <x:v>1567</x:v>
      </x:c>
      <x:c r="J206" s="5" t="s">
        <x:v>1574</x:v>
      </x:c>
      <x:c r="K206" s="5" t="s">
        <x:v>1575</x:v>
      </x:c>
      <x:c r="L206" s="5" t="s">
        <x:v>1570</x:v>
      </x:c>
      <x:c r="M206" s="5" t="s">
        <x:v>1576</x:v>
      </x:c>
      <x:c r="N206" s="5" t="s">
        <x:v>1577</x:v>
      </x:c>
      <x:c r="O206" s="5" t="s">
        <x:v>1573</x:v>
      </x:c>
      <x:c r="P206" s="5"/>
    </x:row>
    <x:row r="207" ht="57" customHeight="1">
      <x:c r="C207" s="5"/>
      <x:c r="D207" s="5"/>
      <x:c r="E207" s="5"/>
      <x:c r="F207" s="5"/>
      <x:c r="G207" s="5" t="s">
        <x:v>1578</x:v>
      </x:c>
      <x:c r="H207" s="6" t="s">
        <x:v>120</x:v>
      </x:c>
      <x:c r="I207" s="5" t="s">
        <x:v>1579</x:v>
      </x:c>
      <x:c r="J207" s="5" t="s">
        <x:v>1580</x:v>
      </x:c>
      <x:c r="K207" s="5" t="s">
        <x:v>1581</x:v>
      </x:c>
      <x:c r="L207" s="5" t="s">
        <x:v>1582</x:v>
      </x:c>
      <x:c r="M207" s="5" t="s">
        <x:v>1583</x:v>
      </x:c>
      <x:c r="N207" s="5" t="s">
        <x:v>1584</x:v>
      </x:c>
      <x:c r="O207" s="5" t="s">
        <x:v>1585</x:v>
      </x:c>
      <x:c r="P207" s="5"/>
    </x:row>
    <x:row r="208" ht="57" customHeight="1">
      <x:c r="C208" s="5"/>
      <x:c r="D208" s="5"/>
      <x:c r="E208" s="5"/>
      <x:c r="F208" s="5"/>
      <x:c r="G208" s="5" t="s">
        <x:v>1586</x:v>
      </x:c>
      <x:c r="H208" s="6" t="s">
        <x:v>120</x:v>
      </x:c>
      <x:c r="I208" s="5" t="s">
        <x:v>1383</x:v>
      </x:c>
      <x:c r="J208" s="5" t="s">
        <x:v>1587</x:v>
      </x:c>
      <x:c r="K208" s="5" t="s">
        <x:v>1588</x:v>
      </x:c>
      <x:c r="L208" s="5" t="s">
        <x:v>1589</x:v>
      </x:c>
      <x:c r="M208" s="5" t="s">
        <x:v>1590</x:v>
      </x:c>
      <x:c r="N208" s="5" t="s">
        <x:v>1591</x:v>
      </x:c>
      <x:c r="O208" s="5" t="s">
        <x:v>1592</x:v>
      </x:c>
      <x:c r="P208" s="5"/>
    </x:row>
    <x:row r="209" ht="142.25" customHeight="1">
      <x:c r="C209" s="5" t="s">
        <x:v>958</x:v>
      </x:c>
      <x:c r="D209" s="5" t="s">
        <x:v>1593</x:v>
      </x:c>
      <x:c r="E209" s="5" t="s">
        <x:v>1594</x:v>
      </x:c>
      <x:c r="F209" s="5" t="s">
        <x:v>1595</x:v>
      </x:c>
      <x:c r="G209" s="5" t="s">
        <x:v>1596</x:v>
      </x:c>
      <x:c r="H209" s="6" t="s">
        <x:v>120</x:v>
      </x:c>
      <x:c r="I209" s="5" t="s">
        <x:v>1597</x:v>
      </x:c>
      <x:c r="J209" s="5" t="s">
        <x:v>1598</x:v>
      </x:c>
      <x:c r="K209" s="5" t="s">
        <x:v>1599</x:v>
      </x:c>
      <x:c r="L209" s="5" t="s">
        <x:v>1600</x:v>
      </x:c>
      <x:c r="M209" s="5" t="s">
        <x:v>1601</x:v>
      </x:c>
      <x:c r="N209" s="5" t="s">
        <x:v>1602</x:v>
      </x:c>
      <x:c r="O209" s="5" t="s">
        <x:v>1603</x:v>
      </x:c>
      <x:c r="P209" s="5"/>
    </x:row>
    <x:row r="210" ht="57" customHeight="1">
      <x:c r="C210" s="5"/>
      <x:c r="D210" s="5"/>
      <x:c r="E210" s="5"/>
      <x:c r="F210" s="5"/>
      <x:c r="G210" s="5" t="s">
        <x:v>1604</x:v>
      </x:c>
      <x:c r="H210" s="6" t="s">
        <x:v>120</x:v>
      </x:c>
      <x:c r="I210" s="5" t="s">
        <x:v>1605</x:v>
      </x:c>
      <x:c r="J210" s="5" t="s">
        <x:v>1606</x:v>
      </x:c>
      <x:c r="K210" s="5" t="s">
        <x:v>1607</x:v>
      </x:c>
      <x:c r="L210" s="5" t="s">
        <x:v>1608</x:v>
      </x:c>
      <x:c r="M210" s="5" t="s">
        <x:v>1609</x:v>
      </x:c>
      <x:c r="N210" s="5" t="s">
        <x:v>1610</x:v>
      </x:c>
      <x:c r="O210" s="5" t="s">
        <x:v>1611</x:v>
      </x:c>
      <x:c r="P210" s="5"/>
    </x:row>
    <x:row r="211" ht="57" customHeight="1">
      <x:c r="C211" s="5"/>
      <x:c r="D211" s="5"/>
      <x:c r="E211" s="5"/>
      <x:c r="F211" s="5"/>
      <x:c r="G211" s="5" t="s">
        <x:v>1612</x:v>
      </x:c>
      <x:c r="H211" s="6" t="s">
        <x:v>120</x:v>
      </x:c>
      <x:c r="I211" s="5" t="s">
        <x:v>1613</x:v>
      </x:c>
      <x:c r="J211" s="5" t="s">
        <x:v>1614</x:v>
      </x:c>
      <x:c r="K211" s="5" t="s">
        <x:v>1615</x:v>
      </x:c>
      <x:c r="L211" s="5" t="s">
        <x:v>1616</x:v>
      </x:c>
      <x:c r="M211" s="5" t="s">
        <x:v>1617</x:v>
      </x:c>
      <x:c r="N211" s="5" t="s">
        <x:v>1618</x:v>
      </x:c>
      <x:c r="O211" s="5" t="s">
        <x:v>1619</x:v>
      </x:c>
      <x:c r="P211" s="5"/>
    </x:row>
    <x:row r="212" ht="85.25" customHeight="1">
      <x:c r="C212" s="5"/>
      <x:c r="D212" s="5"/>
      <x:c r="E212" s="5"/>
      <x:c r="F212" s="5"/>
      <x:c r="G212" s="5" t="s">
        <x:v>1620</x:v>
      </x:c>
      <x:c r="H212" s="6" t="s">
        <x:v>120</x:v>
      </x:c>
      <x:c r="I212" s="5" t="s">
        <x:v>1621</x:v>
      </x:c>
      <x:c r="J212" s="5" t="s">
        <x:v>1622</x:v>
      </x:c>
      <x:c r="K212" s="5" t="s">
        <x:v>1623</x:v>
      </x:c>
      <x:c r="L212" s="5" t="s">
        <x:v>1624</x:v>
      </x:c>
      <x:c r="M212" s="5" t="s">
        <x:v>1625</x:v>
      </x:c>
      <x:c r="N212" s="5" t="s">
        <x:v>1626</x:v>
      </x:c>
      <x:c r="O212" s="5" t="s">
        <x:v>1627</x:v>
      </x:c>
      <x:c r="P212" s="5"/>
    </x:row>
    <x:row r="213" ht="57" customHeight="1">
      <x:c r="C213" s="5" t="s">
        <x:v>62</x:v>
      </x:c>
      <x:c r="D213" s="5" t="s">
        <x:v>81</x:v>
      </x:c>
      <x:c r="E213" s="5" t="s">
        <x:v>82</x:v>
      </x:c>
      <x:c r="F213" s="5" t="s">
        <x:v>83</x:v>
      </x:c>
      <x:c r="G213" s="5" t="s">
        <x:v>61</x:v>
      </x:c>
      <x:c r="H213" s="6" t="s">
        <x:v>63</x:v>
      </x:c>
      <x:c r="I213" s="5" t="s">
        <x:v>84</x:v>
      </x:c>
      <x:c r="J213" s="5" t="s">
        <x:v>85</x:v>
      </x:c>
      <x:c r="K213" s="5" t="s">
        <x:v>86</x:v>
      </x:c>
      <x:c r="L213" s="5" t="s">
        <x:v>87</x:v>
      </x:c>
      <x:c r="M213" s="5" t="s">
        <x:v>88</x:v>
      </x:c>
      <x:c r="N213" s="5" t="s">
        <x:v>89</x:v>
      </x:c>
      <x:c r="O213" s="5" t="s">
        <x:v>90</x:v>
      </x:c>
      <x:c r="P213" s="5"/>
    </x:row>
    <x:row r="214" ht="227.75" customHeight="1">
      <x:c r="C214" s="5" t="s">
        <x:v>1628</x:v>
      </x:c>
      <x:c r="D214" s="5" t="s">
        <x:v>1629</x:v>
      </x:c>
      <x:c r="E214" s="5" t="s">
        <x:v>1630</x:v>
      </x:c>
      <x:c r="F214" s="5" t="s">
        <x:v>1631</x:v>
      </x:c>
      <x:c r="G214" s="5" t="s">
        <x:v>1632</x:v>
      </x:c>
      <x:c r="H214" s="6" t="s">
        <x:v>129</x:v>
      </x:c>
      <x:c r="I214" s="5" t="s">
        <x:v>1633</x:v>
      </x:c>
      <x:c r="J214" s="5" t="s">
        <x:v>1634</x:v>
      </x:c>
      <x:c r="K214" s="5" t="s">
        <x:v>1635</x:v>
      </x:c>
      <x:c r="L214" s="5" t="s">
        <x:v>1636</x:v>
      </x:c>
      <x:c r="M214" s="5" t="s">
        <x:v>1637</x:v>
      </x:c>
      <x:c r="N214" s="5" t="s">
        <x:v>1638</x:v>
      </x:c>
      <x:c r="O214" s="5" t="s">
        <x:v>1639</x:v>
      </x:c>
      <x:c r="P214" s="5"/>
    </x:row>
    <x:row r="215" ht="85.25" customHeight="1">
      <x:c r="C215" s="5"/>
      <x:c r="D215" s="5"/>
      <x:c r="E215" s="5"/>
      <x:c r="F215" s="5"/>
      <x:c r="G215" s="5" t="s">
        <x:v>1640</x:v>
      </x:c>
      <x:c r="H215" s="6" t="s">
        <x:v>97</x:v>
      </x:c>
      <x:c r="I215" s="5" t="s">
        <x:v>280</x:v>
      </x:c>
      <x:c r="J215" s="5" t="s">
        <x:v>1641</x:v>
      </x:c>
      <x:c r="K215" s="5" t="s">
        <x:v>1642</x:v>
      </x:c>
      <x:c r="L215" s="5" t="s">
        <x:v>1636</x:v>
      </x:c>
      <x:c r="M215" s="5" t="s">
        <x:v>1643</x:v>
      </x:c>
      <x:c r="N215" s="5" t="s">
        <x:v>1644</x:v>
      </x:c>
      <x:c r="O215" s="5" t="s">
        <x:v>1639</x:v>
      </x:c>
      <x:c r="P215" s="5"/>
    </x:row>
    <x:row r="216" ht="85.25" customHeight="1">
      <x:c r="C216" s="5"/>
      <x:c r="D216" s="5"/>
      <x:c r="E216" s="5"/>
      <x:c r="F216" s="5"/>
      <x:c r="G216" s="5" t="s">
        <x:v>1645</x:v>
      </x:c>
      <x:c r="H216" s="6" t="s">
        <x:v>97</x:v>
      </x:c>
      <x:c r="I216" s="5" t="s">
        <x:v>1646</x:v>
      </x:c>
      <x:c r="J216" s="5" t="s">
        <x:v>1647</x:v>
      </x:c>
      <x:c r="K216" s="5" t="s">
        <x:v>1648</x:v>
      </x:c>
      <x:c r="L216" s="5" t="s">
        <x:v>1636</x:v>
      </x:c>
      <x:c r="M216" s="5" t="s">
        <x:v>1649</x:v>
      </x:c>
      <x:c r="N216" s="5" t="s">
        <x:v>1650</x:v>
      </x:c>
      <x:c r="O216" s="5" t="s">
        <x:v>1639</x:v>
      </x:c>
      <x:c r="P216" s="5"/>
    </x:row>
    <x:row r="217" ht="85.25" customHeight="1">
      <x:c r="C217" s="5"/>
      <x:c r="D217" s="5"/>
      <x:c r="E217" s="5"/>
      <x:c r="F217" s="5"/>
      <x:c r="G217" s="5" t="s">
        <x:v>1651</x:v>
      </x:c>
      <x:c r="H217" s="6" t="s">
        <x:v>129</x:v>
      </x:c>
      <x:c r="I217" s="5" t="s">
        <x:v>1652</x:v>
      </x:c>
      <x:c r="J217" s="5" t="s">
        <x:v>1653</x:v>
      </x:c>
      <x:c r="K217" s="5" t="s">
        <x:v>1654</x:v>
      </x:c>
      <x:c r="L217" s="5" t="s">
        <x:v>1636</x:v>
      </x:c>
      <x:c r="M217" s="5" t="s">
        <x:v>1655</x:v>
      </x:c>
      <x:c r="N217" s="5" t="s">
        <x:v>1656</x:v>
      </x:c>
      <x:c r="O217" s="5" t="s">
        <x:v>1639</x:v>
      </x:c>
      <x:c r="P217" s="5"/>
    </x:row>
    <x:row r="218" ht="85.25" customHeight="1">
      <x:c r="C218" s="5"/>
      <x:c r="D218" s="5"/>
      <x:c r="E218" s="5"/>
      <x:c r="F218" s="5"/>
      <x:c r="G218" s="5" t="s">
        <x:v>1657</x:v>
      </x:c>
      <x:c r="H218" s="6" t="s">
        <x:v>154</x:v>
      </x:c>
      <x:c r="I218" s="5" t="s">
        <x:v>1658</x:v>
      </x:c>
      <x:c r="J218" s="5" t="s">
        <x:v>1659</x:v>
      </x:c>
      <x:c r="K218" s="5" t="s">
        <x:v>1660</x:v>
      </x:c>
      <x:c r="L218" s="5" t="s">
        <x:v>1636</x:v>
      </x:c>
      <x:c r="M218" s="5" t="s">
        <x:v>1661</x:v>
      </x:c>
      <x:c r="N218" s="5" t="s">
        <x:v>1662</x:v>
      </x:c>
      <x:c r="O218" s="5" t="s">
        <x:v>1639</x:v>
      </x:c>
      <x:c r="P218" s="5"/>
    </x:row>
    <x:row r="219" ht="85.25" customHeight="1">
      <x:c r="C219" s="5"/>
      <x:c r="D219" s="5"/>
      <x:c r="E219" s="5"/>
      <x:c r="F219" s="5"/>
      <x:c r="G219" s="5" t="s">
        <x:v>1663</x:v>
      </x:c>
      <x:c r="H219" s="6" t="s">
        <x:v>154</x:v>
      </x:c>
      <x:c r="I219" s="5" t="s">
        <x:v>280</x:v>
      </x:c>
      <x:c r="J219" s="5" t="s">
        <x:v>1664</x:v>
      </x:c>
      <x:c r="K219" s="5" t="s">
        <x:v>1665</x:v>
      </x:c>
      <x:c r="L219" s="5" t="s">
        <x:v>1636</x:v>
      </x:c>
      <x:c r="M219" s="5" t="s">
        <x:v>1666</x:v>
      </x:c>
      <x:c r="N219" s="5" t="s">
        <x:v>1667</x:v>
      </x:c>
      <x:c r="O219" s="5" t="s">
        <x:v>1639</x:v>
      </x:c>
      <x:c r="P219" s="5"/>
    </x:row>
    <x:row r="220" ht="170.75" customHeight="1">
      <x:c r="C220" s="5" t="s">
        <x:v>1628</x:v>
      </x:c>
      <x:c r="D220" s="5" t="s">
        <x:v>1668</x:v>
      </x:c>
      <x:c r="E220" s="5" t="s">
        <x:v>1669</x:v>
      </x:c>
      <x:c r="F220" s="5" t="s">
        <x:v>1670</x:v>
      </x:c>
      <x:c r="G220" s="5" t="s">
        <x:v>1671</x:v>
      </x:c>
      <x:c r="H220" s="6" t="s">
        <x:v>129</x:v>
      </x:c>
      <x:c r="I220" s="5" t="s">
        <x:v>138</x:v>
      </x:c>
      <x:c r="J220" s="5" t="s">
        <x:v>1672</x:v>
      </x:c>
      <x:c r="K220" s="5" t="s">
        <x:v>1673</x:v>
      </x:c>
      <x:c r="L220" s="5" t="s">
        <x:v>1674</x:v>
      </x:c>
      <x:c r="M220" s="5" t="s">
        <x:v>1675</x:v>
      </x:c>
      <x:c r="N220" s="5" t="s">
        <x:v>1676</x:v>
      </x:c>
      <x:c r="O220" s="5" t="s">
        <x:v>1677</x:v>
      </x:c>
      <x:c r="P220" s="5"/>
    </x:row>
    <x:row r="221" ht="57" customHeight="1">
      <x:c r="C221" s="5"/>
      <x:c r="D221" s="5"/>
      <x:c r="E221" s="5"/>
      <x:c r="F221" s="5"/>
      <x:c r="G221" s="5" t="s">
        <x:v>1678</x:v>
      </x:c>
      <x:c r="H221" s="6" t="s">
        <x:v>97</x:v>
      </x:c>
      <x:c r="I221" s="5" t="s">
        <x:v>1679</x:v>
      </x:c>
      <x:c r="J221" s="5" t="s">
        <x:v>1680</x:v>
      </x:c>
      <x:c r="K221" s="5" t="s">
        <x:v>1681</x:v>
      </x:c>
      <x:c r="L221" s="5" t="s">
        <x:v>1674</x:v>
      </x:c>
      <x:c r="M221" s="5" t="s">
        <x:v>1682</x:v>
      </x:c>
      <x:c r="N221" s="5" t="s">
        <x:v>1683</x:v>
      </x:c>
      <x:c r="O221" s="5" t="s">
        <x:v>1677</x:v>
      </x:c>
      <x:c r="P221" s="5"/>
    </x:row>
    <x:row r="222" ht="85.25" customHeight="1">
      <x:c r="C222" s="5"/>
      <x:c r="D222" s="5"/>
      <x:c r="E222" s="5"/>
      <x:c r="F222" s="5"/>
      <x:c r="G222" s="5" t="s">
        <x:v>1684</x:v>
      </x:c>
      <x:c r="H222" s="6" t="s">
        <x:v>154</x:v>
      </x:c>
      <x:c r="I222" s="5" t="s">
        <x:v>1685</x:v>
      </x:c>
      <x:c r="J222" s="5" t="s">
        <x:v>1686</x:v>
      </x:c>
      <x:c r="K222" s="5" t="s">
        <x:v>1687</x:v>
      </x:c>
      <x:c r="L222" s="5" t="s">
        <x:v>1674</x:v>
      </x:c>
      <x:c r="M222" s="5" t="s">
        <x:v>1688</x:v>
      </x:c>
      <x:c r="N222" s="5" t="s">
        <x:v>1689</x:v>
      </x:c>
      <x:c r="O222" s="5" t="s">
        <x:v>1677</x:v>
      </x:c>
      <x:c r="P222" s="5"/>
    </x:row>
    <x:row r="223" ht="57" customHeight="1">
      <x:c r="C223" s="5"/>
      <x:c r="D223" s="5"/>
      <x:c r="E223" s="5"/>
      <x:c r="F223" s="5"/>
      <x:c r="G223" s="5" t="s">
        <x:v>1690</x:v>
      </x:c>
      <x:c r="H223" s="6" t="s">
        <x:v>154</x:v>
      </x:c>
      <x:c r="I223" s="5" t="s">
        <x:v>1691</x:v>
      </x:c>
      <x:c r="J223" s="5" t="s">
        <x:v>1692</x:v>
      </x:c>
      <x:c r="K223" s="5" t="s">
        <x:v>1693</x:v>
      </x:c>
      <x:c r="L223" s="5" t="s">
        <x:v>1674</x:v>
      </x:c>
      <x:c r="M223" s="5" t="s">
        <x:v>1694</x:v>
      </x:c>
      <x:c r="N223" s="5" t="s">
        <x:v>1695</x:v>
      </x:c>
      <x:c r="O223" s="5" t="s">
        <x:v>1677</x:v>
      </x:c>
      <x:c r="P223" s="5"/>
    </x:row>
    <x:row r="224" ht="85.25" customHeight="1">
      <x:c r="C224" s="5"/>
      <x:c r="D224" s="5"/>
      <x:c r="E224" s="5"/>
      <x:c r="F224" s="5"/>
      <x:c r="G224" s="5" t="s">
        <x:v>1696</x:v>
      </x:c>
      <x:c r="H224" s="6" t="s">
        <x:v>154</x:v>
      </x:c>
      <x:c r="I224" s="5" t="s">
        <x:v>1697</x:v>
      </x:c>
      <x:c r="J224" s="5" t="s">
        <x:v>1698</x:v>
      </x:c>
      <x:c r="K224" s="5" t="s">
        <x:v>1699</x:v>
      </x:c>
      <x:c r="L224" s="5" t="s">
        <x:v>1674</x:v>
      </x:c>
      <x:c r="M224" s="5" t="s">
        <x:v>1700</x:v>
      </x:c>
      <x:c r="N224" s="5" t="s">
        <x:v>1701</x:v>
      </x:c>
      <x:c r="O224" s="5" t="s">
        <x:v>1702</x:v>
      </x:c>
      <x:c r="P224" s="5"/>
    </x:row>
    <x:row r="225" ht="170.75" customHeight="1">
      <x:c r="C225" s="5" t="s">
        <x:v>1628</x:v>
      </x:c>
      <x:c r="D225" s="5" t="s">
        <x:v>1703</x:v>
      </x:c>
      <x:c r="E225" s="5" t="s">
        <x:v>1704</x:v>
      </x:c>
      <x:c r="F225" s="5" t="s">
        <x:v>1705</x:v>
      </x:c>
      <x:c r="G225" s="5" t="s">
        <x:v>1706</x:v>
      </x:c>
      <x:c r="H225" s="6" t="s">
        <x:v>154</x:v>
      </x:c>
      <x:c r="I225" s="5" t="s">
        <x:v>1633</x:v>
      </x:c>
      <x:c r="J225" s="5" t="s">
        <x:v>1707</x:v>
      </x:c>
      <x:c r="K225" s="5" t="s">
        <x:v>1708</x:v>
      </x:c>
      <x:c r="L225" s="5" t="s">
        <x:v>1709</x:v>
      </x:c>
      <x:c r="M225" s="5" t="s">
        <x:v>1710</x:v>
      </x:c>
      <x:c r="N225" s="5" t="s">
        <x:v>1711</x:v>
      </x:c>
      <x:c r="O225" s="5" t="s">
        <x:v>1712</x:v>
      </x:c>
      <x:c r="P225" s="5"/>
    </x:row>
    <x:row r="226" ht="57" customHeight="1">
      <x:c r="C226" s="5"/>
      <x:c r="D226" s="5"/>
      <x:c r="E226" s="5"/>
      <x:c r="F226" s="5"/>
      <x:c r="G226" s="5" t="s">
        <x:v>1713</x:v>
      </x:c>
      <x:c r="H226" s="6" t="s">
        <x:v>154</x:v>
      </x:c>
      <x:c r="I226" s="5" t="s">
        <x:v>1714</x:v>
      </x:c>
      <x:c r="J226" s="5" t="s">
        <x:v>1715</x:v>
      </x:c>
      <x:c r="K226" s="5" t="s">
        <x:v>1716</x:v>
      </x:c>
      <x:c r="L226" s="5" t="s">
        <x:v>1717</x:v>
      </x:c>
      <x:c r="M226" s="5" t="s">
        <x:v>1718</x:v>
      </x:c>
      <x:c r="N226" s="5" t="s">
        <x:v>1719</x:v>
      </x:c>
      <x:c r="O226" s="5" t="s">
        <x:v>1712</x:v>
      </x:c>
      <x:c r="P226" s="5"/>
    </x:row>
    <x:row r="227" ht="57" customHeight="1">
      <x:c r="C227" s="5"/>
      <x:c r="D227" s="5"/>
      <x:c r="E227" s="5"/>
      <x:c r="F227" s="5"/>
      <x:c r="G227" s="5" t="s">
        <x:v>1720</x:v>
      </x:c>
      <x:c r="H227" s="6" t="s">
        <x:v>120</x:v>
      </x:c>
      <x:c r="I227" s="5" t="s">
        <x:v>1721</x:v>
      </x:c>
      <x:c r="J227" s="5" t="s">
        <x:v>1722</x:v>
      </x:c>
      <x:c r="K227" s="5" t="s">
        <x:v>1723</x:v>
      </x:c>
      <x:c r="L227" s="5" t="s">
        <x:v>1717</x:v>
      </x:c>
      <x:c r="M227" s="5" t="s">
        <x:v>1724</x:v>
      </x:c>
      <x:c r="N227" s="5" t="s">
        <x:v>1725</x:v>
      </x:c>
      <x:c r="O227" s="5" t="s">
        <x:v>1712</x:v>
      </x:c>
      <x:c r="P227" s="5"/>
    </x:row>
    <x:row r="228" ht="57" customHeight="1">
      <x:c r="C228" s="5"/>
      <x:c r="D228" s="5"/>
      <x:c r="E228" s="5"/>
      <x:c r="F228" s="5"/>
      <x:c r="G228" s="5" t="s">
        <x:v>1726</x:v>
      </x:c>
      <x:c r="H228" s="6" t="s">
        <x:v>120</x:v>
      </x:c>
      <x:c r="I228" s="5" t="s">
        <x:v>1727</x:v>
      </x:c>
      <x:c r="J228" s="5" t="s">
        <x:v>1728</x:v>
      </x:c>
      <x:c r="K228" s="5" t="s">
        <x:v>1729</x:v>
      </x:c>
      <x:c r="L228" s="5" t="s">
        <x:v>1717</x:v>
      </x:c>
      <x:c r="M228" s="5" t="s">
        <x:v>1730</x:v>
      </x:c>
      <x:c r="N228" s="5" t="s">
        <x:v>1731</x:v>
      </x:c>
      <x:c r="O228" s="5" t="s">
        <x:v>1712</x:v>
      </x:c>
      <x:c r="P228" s="5"/>
    </x:row>
    <x:row r="229" ht="142.25" customHeight="1">
      <x:c r="C229" s="5" t="s">
        <x:v>1628</x:v>
      </x:c>
      <x:c r="D229" s="5" t="s">
        <x:v>1732</x:v>
      </x:c>
      <x:c r="E229" s="5" t="s">
        <x:v>1733</x:v>
      </x:c>
      <x:c r="F229" s="5" t="s">
        <x:v>1734</x:v>
      </x:c>
      <x:c r="G229" s="5" t="s">
        <x:v>1735</x:v>
      </x:c>
      <x:c r="H229" s="6" t="s">
        <x:v>129</x:v>
      </x:c>
      <x:c r="I229" s="5" t="s">
        <x:v>1736</x:v>
      </x:c>
      <x:c r="J229" s="5" t="s">
        <x:v>1737</x:v>
      </x:c>
      <x:c r="K229" s="5" t="s">
        <x:v>1738</x:v>
      </x:c>
      <x:c r="L229" s="5" t="s">
        <x:v>1739</x:v>
      </x:c>
      <x:c r="M229" s="5" t="s">
        <x:v>1740</x:v>
      </x:c>
      <x:c r="N229" s="5" t="s">
        <x:v>1741</x:v>
      </x:c>
      <x:c r="O229" s="5" t="s">
        <x:v>1742</x:v>
      </x:c>
      <x:c r="P229" s="5"/>
    </x:row>
    <x:row r="230" ht="57" customHeight="1">
      <x:c r="C230" s="5"/>
      <x:c r="D230" s="5"/>
      <x:c r="E230" s="5"/>
      <x:c r="F230" s="5"/>
      <x:c r="G230" s="5" t="s">
        <x:v>1743</x:v>
      </x:c>
      <x:c r="H230" s="6" t="s">
        <x:v>97</x:v>
      </x:c>
      <x:c r="I230" s="5" t="s">
        <x:v>1744</x:v>
      </x:c>
      <x:c r="J230" s="5" t="s">
        <x:v>1745</x:v>
      </x:c>
      <x:c r="K230" s="5" t="s">
        <x:v>1746</x:v>
      </x:c>
      <x:c r="L230" s="5" t="s">
        <x:v>1739</x:v>
      </x:c>
      <x:c r="M230" s="5" t="s">
        <x:v>1747</x:v>
      </x:c>
      <x:c r="N230" s="5" t="s">
        <x:v>1748</x:v>
      </x:c>
      <x:c r="O230" s="5" t="s">
        <x:v>1749</x:v>
      </x:c>
      <x:c r="P230" s="5"/>
    </x:row>
    <x:row r="231" ht="85.25" customHeight="1">
      <x:c r="C231" s="5"/>
      <x:c r="D231" s="5"/>
      <x:c r="E231" s="5"/>
      <x:c r="F231" s="5"/>
      <x:c r="G231" s="5" t="s">
        <x:v>1750</x:v>
      </x:c>
      <x:c r="H231" s="6" t="s">
        <x:v>154</x:v>
      </x:c>
      <x:c r="I231" s="5" t="s">
        <x:v>1751</x:v>
      </x:c>
      <x:c r="J231" s="5" t="s">
        <x:v>1752</x:v>
      </x:c>
      <x:c r="K231" s="5" t="s">
        <x:v>1753</x:v>
      </x:c>
      <x:c r="L231" s="5" t="s">
        <x:v>1739</x:v>
      </x:c>
      <x:c r="M231" s="5" t="s">
        <x:v>1754</x:v>
      </x:c>
      <x:c r="N231" s="5" t="s">
        <x:v>1755</x:v>
      </x:c>
      <x:c r="O231" s="5" t="s">
        <x:v>1749</x:v>
      </x:c>
      <x:c r="P231" s="5"/>
    </x:row>
    <x:row r="232" ht="57" customHeight="1">
      <x:c r="C232" s="5"/>
      <x:c r="D232" s="5"/>
      <x:c r="E232" s="5"/>
      <x:c r="F232" s="5"/>
      <x:c r="G232" s="5" t="s">
        <x:v>1756</x:v>
      </x:c>
      <x:c r="H232" s="6" t="s">
        <x:v>97</x:v>
      </x:c>
      <x:c r="I232" s="5" t="s">
        <x:v>1757</x:v>
      </x:c>
      <x:c r="J232" s="5" t="s">
        <x:v>1758</x:v>
      </x:c>
      <x:c r="K232" s="5" t="s">
        <x:v>1759</x:v>
      </x:c>
      <x:c r="L232" s="5" t="s">
        <x:v>1739</x:v>
      </x:c>
      <x:c r="M232" s="5" t="s">
        <x:v>1760</x:v>
      </x:c>
      <x:c r="N232" s="5" t="s">
        <x:v>1761</x:v>
      </x:c>
      <x:c r="O232" s="5" t="s">
        <x:v>1749</x:v>
      </x:c>
      <x:c r="P232" s="5"/>
    </x:row>
    <x:row r="233" ht="85.25" customHeight="1">
      <x:c r="C233" s="5"/>
      <x:c r="D233" s="5"/>
      <x:c r="E233" s="5"/>
      <x:c r="F233" s="5"/>
      <x:c r="G233" s="5" t="s">
        <x:v>1762</x:v>
      </x:c>
      <x:c r="H233" s="6" t="s">
        <x:v>154</x:v>
      </x:c>
      <x:c r="I233" s="5" t="s">
        <x:v>1763</x:v>
      </x:c>
      <x:c r="J233" s="5" t="s">
        <x:v>1764</x:v>
      </x:c>
      <x:c r="K233" s="5" t="s">
        <x:v>1765</x:v>
      </x:c>
      <x:c r="L233" s="5" t="s">
        <x:v>1739</x:v>
      </x:c>
      <x:c r="M233" s="5" t="s">
        <x:v>1766</x:v>
      </x:c>
      <x:c r="N233" s="5" t="s">
        <x:v>1767</x:v>
      </x:c>
      <x:c r="O233" s="5" t="s">
        <x:v>1749</x:v>
      </x:c>
      <x:c r="P233" s="5"/>
    </x:row>
    <x:row r="234" ht="57" customHeight="1">
      <x:c r="C234" s="5"/>
      <x:c r="D234" s="5"/>
      <x:c r="E234" s="5"/>
      <x:c r="F234" s="5"/>
      <x:c r="G234" s="5" t="s">
        <x:v>1768</x:v>
      </x:c>
      <x:c r="H234" s="6" t="s">
        <x:v>97</x:v>
      </x:c>
      <x:c r="I234" s="5" t="s">
        <x:v>1769</x:v>
      </x:c>
      <x:c r="J234" s="5" t="s">
        <x:v>1770</x:v>
      </x:c>
      <x:c r="K234" s="5" t="s">
        <x:v>1771</x:v>
      </x:c>
      <x:c r="L234" s="5" t="s">
        <x:v>1739</x:v>
      </x:c>
      <x:c r="M234" s="5" t="s">
        <x:v>1772</x:v>
      </x:c>
      <x:c r="N234" s="5" t="s">
        <x:v>1773</x:v>
      </x:c>
      <x:c r="O234" s="5" t="s">
        <x:v>1749</x:v>
      </x:c>
      <x:c r="P234" s="5"/>
    </x:row>
    <x:row r="235" ht="170.75" customHeight="1">
      <x:c r="C235" s="5" t="s">
        <x:v>1628</x:v>
      </x:c>
      <x:c r="D235" s="5" t="s">
        <x:v>1774</x:v>
      </x:c>
      <x:c r="E235" s="5" t="s">
        <x:v>1775</x:v>
      </x:c>
      <x:c r="F235" s="5" t="s">
        <x:v>1776</x:v>
      </x:c>
      <x:c r="G235" s="5" t="s">
        <x:v>1777</x:v>
      </x:c>
      <x:c r="H235" s="6" t="s">
        <x:v>129</x:v>
      </x:c>
      <x:c r="I235" s="5" t="s">
        <x:v>1778</x:v>
      </x:c>
      <x:c r="J235" s="5" t="s">
        <x:v>1779</x:v>
      </x:c>
      <x:c r="K235" s="5" t="s">
        <x:v>1780</x:v>
      </x:c>
      <x:c r="L235" s="5" t="s">
        <x:v>1781</x:v>
      </x:c>
      <x:c r="M235" s="5" t="s">
        <x:v>1782</x:v>
      </x:c>
      <x:c r="N235" s="5" t="s">
        <x:v>1783</x:v>
      </x:c>
      <x:c r="O235" s="5" t="s">
        <x:v>1784</x:v>
      </x:c>
      <x:c r="P235" s="5"/>
    </x:row>
    <x:row r="236" ht="85.25" customHeight="1">
      <x:c r="C236" s="5"/>
      <x:c r="D236" s="5"/>
      <x:c r="E236" s="5"/>
      <x:c r="F236" s="5"/>
      <x:c r="G236" s="5" t="s">
        <x:v>1785</x:v>
      </x:c>
      <x:c r="H236" s="6" t="s">
        <x:v>154</x:v>
      </x:c>
      <x:c r="I236" s="5" t="s">
        <x:v>1786</x:v>
      </x:c>
      <x:c r="J236" s="5" t="s">
        <x:v>1787</x:v>
      </x:c>
      <x:c r="K236" s="5" t="s">
        <x:v>1788</x:v>
      </x:c>
      <x:c r="L236" s="5" t="s">
        <x:v>1781</x:v>
      </x:c>
      <x:c r="M236" s="5" t="s">
        <x:v>1789</x:v>
      </x:c>
      <x:c r="N236" s="5" t="s">
        <x:v>1790</x:v>
      </x:c>
      <x:c r="O236" s="5" t="s">
        <x:v>1791</x:v>
      </x:c>
      <x:c r="P236" s="5"/>
    </x:row>
    <x:row r="237" ht="85.25" customHeight="1">
      <x:c r="C237" s="5"/>
      <x:c r="D237" s="5"/>
      <x:c r="E237" s="5"/>
      <x:c r="F237" s="5"/>
      <x:c r="G237" s="5" t="s">
        <x:v>1792</x:v>
      </x:c>
      <x:c r="H237" s="6" t="s">
        <x:v>154</x:v>
      </x:c>
      <x:c r="I237" s="5" t="s">
        <x:v>1793</x:v>
      </x:c>
      <x:c r="J237" s="5" t="s">
        <x:v>1794</x:v>
      </x:c>
      <x:c r="K237" s="5" t="s">
        <x:v>1795</x:v>
      </x:c>
      <x:c r="L237" s="5" t="s">
        <x:v>1781</x:v>
      </x:c>
      <x:c r="M237" s="5" t="s">
        <x:v>1796</x:v>
      </x:c>
      <x:c r="N237" s="5" t="s">
        <x:v>1797</x:v>
      </x:c>
      <x:c r="O237" s="5" t="s">
        <x:v>1784</x:v>
      </x:c>
      <x:c r="P237" s="5"/>
    </x:row>
    <x:row r="238" ht="57" customHeight="1">
      <x:c r="C238" s="5" t="s">
        <x:v>62</x:v>
      </x:c>
      <x:c r="D238" s="5" t="s">
        <x:v>81</x:v>
      </x:c>
      <x:c r="E238" s="5" t="s">
        <x:v>82</x:v>
      </x:c>
      <x:c r="F238" s="5" t="s">
        <x:v>83</x:v>
      </x:c>
      <x:c r="G238" s="5" t="s">
        <x:v>61</x:v>
      </x:c>
      <x:c r="H238" s="6" t="s">
        <x:v>63</x:v>
      </x:c>
      <x:c r="I238" s="5" t="s">
        <x:v>84</x:v>
      </x:c>
      <x:c r="J238" s="5" t="s">
        <x:v>85</x:v>
      </x:c>
      <x:c r="K238" s="5" t="s">
        <x:v>86</x:v>
      </x:c>
      <x:c r="L238" s="5" t="s">
        <x:v>87</x:v>
      </x:c>
      <x:c r="M238" s="5" t="s">
        <x:v>88</x:v>
      </x:c>
      <x:c r="N238" s="5" t="s">
        <x:v>89</x:v>
      </x:c>
      <x:c r="O238" s="5" t="s">
        <x:v>90</x:v>
      </x:c>
      <x:c r="P238" s="5"/>
    </x:row>
    <x:row r="239" ht="170.75" customHeight="1">
      <x:c r="C239" s="5" t="s">
        <x:v>1798</x:v>
      </x:c>
      <x:c r="D239" s="5" t="s">
        <x:v>1799</x:v>
      </x:c>
      <x:c r="E239" s="5" t="s">
        <x:v>1800</x:v>
      </x:c>
      <x:c r="F239" s="5" t="s">
        <x:v>1801</x:v>
      </x:c>
      <x:c r="G239" s="5" t="s">
        <x:v>1802</x:v>
      </x:c>
      <x:c r="H239" s="6" t="s">
        <x:v>154</x:v>
      </x:c>
      <x:c r="I239" s="5" t="s">
        <x:v>1803</x:v>
      </x:c>
      <x:c r="J239" s="5" t="s">
        <x:v>1804</x:v>
      </x:c>
      <x:c r="K239" s="5" t="s">
        <x:v>1805</x:v>
      </x:c>
      <x:c r="L239" s="5" t="s">
        <x:v>1806</x:v>
      </x:c>
      <x:c r="M239" s="5" t="s">
        <x:v>1807</x:v>
      </x:c>
      <x:c r="N239" s="5" t="s">
        <x:v>1808</x:v>
      </x:c>
      <x:c r="O239" s="5" t="s">
        <x:v>1809</x:v>
      </x:c>
      <x:c r="P239" s="5"/>
    </x:row>
    <x:row r="240" ht="85.25" customHeight="1">
      <x:c r="C240" s="5"/>
      <x:c r="D240" s="5"/>
      <x:c r="E240" s="5"/>
      <x:c r="F240" s="5"/>
      <x:c r="G240" s="5" t="s">
        <x:v>1810</x:v>
      </x:c>
      <x:c r="H240" s="6" t="s">
        <x:v>120</x:v>
      </x:c>
      <x:c r="I240" s="5" t="s">
        <x:v>1811</x:v>
      </x:c>
      <x:c r="J240" s="5" t="s">
        <x:v>1812</x:v>
      </x:c>
      <x:c r="K240" s="5" t="s">
        <x:v>1813</x:v>
      </x:c>
      <x:c r="L240" s="5" t="s">
        <x:v>1806</x:v>
      </x:c>
      <x:c r="M240" s="5" t="s">
        <x:v>1814</x:v>
      </x:c>
      <x:c r="N240" s="5" t="s">
        <x:v>1815</x:v>
      </x:c>
      <x:c r="O240" s="5" t="s">
        <x:v>1809</x:v>
      </x:c>
      <x:c r="P240" s="5"/>
    </x:row>
    <x:row r="241" ht="85.25" customHeight="1">
      <x:c r="C241" s="5"/>
      <x:c r="D241" s="5"/>
      <x:c r="E241" s="5"/>
      <x:c r="F241" s="5"/>
      <x:c r="G241" s="5" t="s">
        <x:v>1816</x:v>
      </x:c>
      <x:c r="H241" s="6" t="s">
        <x:v>120</x:v>
      </x:c>
      <x:c r="I241" s="5" t="s">
        <x:v>1810</x:v>
      </x:c>
      <x:c r="J241" s="5" t="s">
        <x:v>1817</x:v>
      </x:c>
      <x:c r="K241" s="5" t="s">
        <x:v>1818</x:v>
      </x:c>
      <x:c r="L241" s="5" t="s">
        <x:v>1819</x:v>
      </x:c>
      <x:c r="M241" s="5" t="s">
        <x:v>1820</x:v>
      </x:c>
      <x:c r="N241" s="5" t="s">
        <x:v>1821</x:v>
      </x:c>
      <x:c r="O241" s="5" t="s">
        <x:v>1809</x:v>
      </x:c>
      <x:c r="P241" s="5"/>
    </x:row>
    <x:row r="242" ht="85.25" customHeight="1">
      <x:c r="C242" s="5"/>
      <x:c r="D242" s="5"/>
      <x:c r="E242" s="5"/>
      <x:c r="F242" s="5"/>
      <x:c r="G242" s="5" t="s">
        <x:v>1822</x:v>
      </x:c>
      <x:c r="H242" s="6" t="s">
        <x:v>120</x:v>
      </x:c>
      <x:c r="I242" s="5" t="s">
        <x:v>1823</x:v>
      </x:c>
      <x:c r="J242" s="5" t="s">
        <x:v>1824</x:v>
      </x:c>
      <x:c r="K242" s="5" t="s">
        <x:v>1825</x:v>
      </x:c>
      <x:c r="L242" s="5" t="s">
        <x:v>1826</x:v>
      </x:c>
      <x:c r="M242" s="5" t="s">
        <x:v>1827</x:v>
      </x:c>
      <x:c r="N242" s="5" t="s">
        <x:v>1828</x:v>
      </x:c>
      <x:c r="O242" s="5" t="s">
        <x:v>1809</x:v>
      </x:c>
      <x:c r="P242" s="5"/>
    </x:row>
    <x:row r="243" ht="85.25" customHeight="1">
      <x:c r="C243" s="5"/>
      <x:c r="D243" s="5"/>
      <x:c r="E243" s="5"/>
      <x:c r="F243" s="5"/>
      <x:c r="G243" s="5" t="s">
        <x:v>1829</x:v>
      </x:c>
      <x:c r="H243" s="6" t="s">
        <x:v>120</x:v>
      </x:c>
      <x:c r="I243" s="5" t="s">
        <x:v>1023</x:v>
      </x:c>
      <x:c r="J243" s="5" t="s">
        <x:v>1830</x:v>
      </x:c>
      <x:c r="K243" s="5" t="s">
        <x:v>1831</x:v>
      </x:c>
      <x:c r="L243" s="5" t="s">
        <x:v>1832</x:v>
      </x:c>
      <x:c r="M243" s="5" t="s">
        <x:v>1833</x:v>
      </x:c>
      <x:c r="N243" s="5" t="s">
        <x:v>1834</x:v>
      </x:c>
      <x:c r="O243" s="5" t="s">
        <x:v>1835</x:v>
      </x:c>
      <x:c r="P243" s="5"/>
    </x:row>
    <x:row r="244" ht="85.25" customHeight="1">
      <x:c r="C244" s="5"/>
      <x:c r="D244" s="5"/>
      <x:c r="E244" s="5"/>
      <x:c r="F244" s="5"/>
      <x:c r="G244" s="5" t="s">
        <x:v>1836</x:v>
      </x:c>
      <x:c r="H244" s="6" t="s">
        <x:v>120</x:v>
      </x:c>
      <x:c r="I244" s="5" t="s">
        <x:v>1837</x:v>
      </x:c>
      <x:c r="J244" s="5" t="s">
        <x:v>1838</x:v>
      </x:c>
      <x:c r="K244" s="5" t="s">
        <x:v>1839</x:v>
      </x:c>
      <x:c r="L244" s="5" t="s">
        <x:v>1840</x:v>
      </x:c>
      <x:c r="M244" s="5" t="s">
        <x:v>1841</x:v>
      </x:c>
      <x:c r="N244" s="5" t="s">
        <x:v>1842</x:v>
      </x:c>
      <x:c r="O244" s="5" t="s">
        <x:v>1843</x:v>
      </x:c>
      <x:c r="P244" s="5"/>
    </x:row>
    <x:row r="245" ht="199" customHeight="1">
      <x:c r="C245" s="5" t="s">
        <x:v>1798</x:v>
      </x:c>
      <x:c r="D245" s="5" t="s">
        <x:v>1844</x:v>
      </x:c>
      <x:c r="E245" s="5" t="s">
        <x:v>1845</x:v>
      </x:c>
      <x:c r="F245" s="5" t="s">
        <x:v>1846</x:v>
      </x:c>
      <x:c r="G245" s="5" t="s">
        <x:v>1847</x:v>
      </x:c>
      <x:c r="H245" s="6" t="s">
        <x:v>120</x:v>
      </x:c>
      <x:c r="I245" s="5" t="s">
        <x:v>1848</x:v>
      </x:c>
      <x:c r="J245" s="5" t="s">
        <x:v>1849</x:v>
      </x:c>
      <x:c r="K245" s="5" t="s">
        <x:v>1850</x:v>
      </x:c>
      <x:c r="L245" s="5" t="s">
        <x:v>1851</x:v>
      </x:c>
      <x:c r="M245" s="5" t="s">
        <x:v>1852</x:v>
      </x:c>
      <x:c r="N245" s="5" t="s">
        <x:v>1853</x:v>
      </x:c>
      <x:c r="O245" s="5" t="s">
        <x:v>1854</x:v>
      </x:c>
      <x:c r="P245" s="5"/>
    </x:row>
    <x:row r="246" ht="85.25" customHeight="1">
      <x:c r="C246" s="5"/>
      <x:c r="D246" s="5"/>
      <x:c r="E246" s="5"/>
      <x:c r="F246" s="5"/>
      <x:c r="G246" s="5" t="s">
        <x:v>1855</x:v>
      </x:c>
      <x:c r="H246" s="6" t="s">
        <x:v>120</x:v>
      </x:c>
      <x:c r="I246" s="5" t="s">
        <x:v>1847</x:v>
      </x:c>
      <x:c r="J246" s="5" t="s">
        <x:v>1856</x:v>
      </x:c>
      <x:c r="K246" s="5" t="s">
        <x:v>1857</x:v>
      </x:c>
      <x:c r="L246" s="5" t="s">
        <x:v>1858</x:v>
      </x:c>
      <x:c r="M246" s="5" t="s">
        <x:v>1859</x:v>
      </x:c>
      <x:c r="N246" s="5" t="s">
        <x:v>1860</x:v>
      </x:c>
      <x:c r="O246" s="5" t="s">
        <x:v>1854</x:v>
      </x:c>
      <x:c r="P246" s="5"/>
    </x:row>
    <x:row r="247" ht="57" customHeight="1">
      <x:c r="C247" s="5"/>
      <x:c r="D247" s="5"/>
      <x:c r="E247" s="5"/>
      <x:c r="F247" s="5"/>
      <x:c r="G247" s="5" t="s">
        <x:v>1861</x:v>
      </x:c>
      <x:c r="H247" s="6" t="s">
        <x:v>120</x:v>
      </x:c>
      <x:c r="I247" s="5" t="s">
        <x:v>1862</x:v>
      </x:c>
      <x:c r="J247" s="5" t="s">
        <x:v>1863</x:v>
      </x:c>
      <x:c r="K247" s="5" t="s">
        <x:v>1864</x:v>
      </x:c>
      <x:c r="L247" s="5" t="s">
        <x:v>1865</x:v>
      </x:c>
      <x:c r="M247" s="5" t="s">
        <x:v>1866</x:v>
      </x:c>
      <x:c r="N247" s="5" t="s">
        <x:v>1867</x:v>
      </x:c>
      <x:c r="O247" s="5" t="s">
        <x:v>1854</x:v>
      </x:c>
      <x:c r="P247" s="5"/>
    </x:row>
    <x:row r="248" ht="85.25" customHeight="1">
      <x:c r="C248" s="5"/>
      <x:c r="D248" s="5"/>
      <x:c r="E248" s="5"/>
      <x:c r="F248" s="5"/>
      <x:c r="G248" s="5" t="s">
        <x:v>1868</x:v>
      </x:c>
      <x:c r="H248" s="6" t="s">
        <x:v>120</x:v>
      </x:c>
      <x:c r="I248" s="5" t="s">
        <x:v>1847</x:v>
      </x:c>
      <x:c r="J248" s="5" t="s">
        <x:v>1869</x:v>
      </x:c>
      <x:c r="K248" s="5" t="s">
        <x:v>1870</x:v>
      </x:c>
      <x:c r="L248" s="5" t="s">
        <x:v>1871</x:v>
      </x:c>
      <x:c r="M248" s="5" t="s">
        <x:v>1872</x:v>
      </x:c>
      <x:c r="N248" s="5" t="s">
        <x:v>1873</x:v>
      </x:c>
      <x:c r="O248" s="5" t="s">
        <x:v>1854</x:v>
      </x:c>
      <x:c r="P248" s="5"/>
    </x:row>
    <x:row r="249" ht="170.75" customHeight="1">
      <x:c r="C249" s="5" t="s">
        <x:v>1798</x:v>
      </x:c>
      <x:c r="D249" s="5" t="s">
        <x:v>1874</x:v>
      </x:c>
      <x:c r="E249" s="5" t="s">
        <x:v>1875</x:v>
      </x:c>
      <x:c r="F249" s="5" t="s">
        <x:v>1876</x:v>
      </x:c>
      <x:c r="G249" s="5" t="s">
        <x:v>1877</x:v>
      </x:c>
      <x:c r="H249" s="6" t="s">
        <x:v>120</x:v>
      </x:c>
      <x:c r="I249" s="5" t="s">
        <x:v>1878</x:v>
      </x:c>
      <x:c r="J249" s="5" t="s">
        <x:v>1879</x:v>
      </x:c>
      <x:c r="K249" s="5" t="s">
        <x:v>1880</x:v>
      </x:c>
      <x:c r="L249" s="5" t="s">
        <x:v>1881</x:v>
      </x:c>
      <x:c r="M249" s="5" t="s">
        <x:v>1882</x:v>
      </x:c>
      <x:c r="N249" s="5" t="s">
        <x:v>1883</x:v>
      </x:c>
      <x:c r="O249" s="5" t="s">
        <x:v>1884</x:v>
      </x:c>
      <x:c r="P249" s="5"/>
    </x:row>
    <x:row r="250" ht="57" customHeight="1">
      <x:c r="C250" s="5"/>
      <x:c r="D250" s="5"/>
      <x:c r="E250" s="5"/>
      <x:c r="F250" s="5"/>
      <x:c r="G250" s="5" t="s">
        <x:v>1885</x:v>
      </x:c>
      <x:c r="H250" s="6" t="s">
        <x:v>120</x:v>
      </x:c>
      <x:c r="I250" s="5" t="s">
        <x:v>1877</x:v>
      </x:c>
      <x:c r="J250" s="5" t="s">
        <x:v>1886</x:v>
      </x:c>
      <x:c r="K250" s="5" t="s">
        <x:v>1887</x:v>
      </x:c>
      <x:c r="L250" s="5" t="s">
        <x:v>1881</x:v>
      </x:c>
      <x:c r="M250" s="5" t="s">
        <x:v>1888</x:v>
      </x:c>
      <x:c r="N250" s="5" t="s">
        <x:v>1889</x:v>
      </x:c>
      <x:c r="O250" s="5" t="s">
        <x:v>1884</x:v>
      </x:c>
      <x:c r="P250" s="5"/>
    </x:row>
    <x:row r="251" ht="85.25" customHeight="1">
      <x:c r="C251" s="5"/>
      <x:c r="D251" s="5"/>
      <x:c r="E251" s="5"/>
      <x:c r="F251" s="5"/>
      <x:c r="G251" s="5" t="s">
        <x:v>1890</x:v>
      </x:c>
      <x:c r="H251" s="6" t="s">
        <x:v>120</x:v>
      </x:c>
      <x:c r="I251" s="5" t="s">
        <x:v>1891</x:v>
      </x:c>
      <x:c r="J251" s="5" t="s">
        <x:v>1892</x:v>
      </x:c>
      <x:c r="K251" s="5" t="s">
        <x:v>1893</x:v>
      </x:c>
      <x:c r="L251" s="5" t="s">
        <x:v>1894</x:v>
      </x:c>
      <x:c r="M251" s="5" t="s">
        <x:v>1895</x:v>
      </x:c>
      <x:c r="N251" s="5" t="s">
        <x:v>1896</x:v>
      </x:c>
      <x:c r="O251" s="5" t="s">
        <x:v>1884</x:v>
      </x:c>
      <x:c r="P251" s="5"/>
    </x:row>
    <x:row r="252" ht="85.25" customHeight="1">
      <x:c r="C252" s="5"/>
      <x:c r="D252" s="5"/>
      <x:c r="E252" s="5"/>
      <x:c r="F252" s="5"/>
      <x:c r="G252" s="5" t="s">
        <x:v>1897</x:v>
      </x:c>
      <x:c r="H252" s="6" t="s">
        <x:v>120</x:v>
      </x:c>
      <x:c r="I252" s="5" t="s">
        <x:v>1898</x:v>
      </x:c>
      <x:c r="J252" s="5" t="s">
        <x:v>1899</x:v>
      </x:c>
      <x:c r="K252" s="5" t="s">
        <x:v>1900</x:v>
      </x:c>
      <x:c r="L252" s="5" t="s">
        <x:v>1901</x:v>
      </x:c>
      <x:c r="M252" s="5" t="s">
        <x:v>1902</x:v>
      </x:c>
      <x:c r="N252" s="5" t="s">
        <x:v>1903</x:v>
      </x:c>
      <x:c r="O252" s="5" t="s">
        <x:v>1904</x:v>
      </x:c>
      <x:c r="P252" s="5"/>
    </x:row>
    <x:row r="253" ht="85.25" customHeight="1">
      <x:c r="C253" s="5"/>
      <x:c r="D253" s="5"/>
      <x:c r="E253" s="5"/>
      <x:c r="F253" s="5"/>
      <x:c r="G253" s="5" t="s">
        <x:v>1905</x:v>
      </x:c>
      <x:c r="H253" s="6" t="s">
        <x:v>120</x:v>
      </x:c>
      <x:c r="I253" s="5" t="s">
        <x:v>1906</x:v>
      </x:c>
      <x:c r="J253" s="5" t="s">
        <x:v>1907</x:v>
      </x:c>
      <x:c r="K253" s="5" t="s">
        <x:v>1908</x:v>
      </x:c>
      <x:c r="L253" s="5" t="s">
        <x:v>1909</x:v>
      </x:c>
      <x:c r="M253" s="5" t="s">
        <x:v>1910</x:v>
      </x:c>
      <x:c r="N253" s="5" t="s">
        <x:v>1911</x:v>
      </x:c>
      <x:c r="O253" s="5" t="s">
        <x:v>1912</x:v>
      </x:c>
      <x:c r="P253" s="5"/>
    </x:row>
    <x:row r="254" ht="170.75" customHeight="1">
      <x:c r="C254" s="5" t="s">
        <x:v>1798</x:v>
      </x:c>
      <x:c r="D254" s="5" t="s">
        <x:v>1913</x:v>
      </x:c>
      <x:c r="E254" s="5" t="s">
        <x:v>1914</x:v>
      </x:c>
      <x:c r="F254" s="5" t="s">
        <x:v>1915</x:v>
      </x:c>
      <x:c r="G254" s="5" t="s">
        <x:v>1916</x:v>
      </x:c>
      <x:c r="H254" s="6" t="s">
        <x:v>154</x:v>
      </x:c>
      <x:c r="I254" s="5" t="s">
        <x:v>1917</x:v>
      </x:c>
      <x:c r="J254" s="5" t="s">
        <x:v>1918</x:v>
      </x:c>
      <x:c r="K254" s="5" t="s">
        <x:v>1919</x:v>
      </x:c>
      <x:c r="L254" s="5" t="s">
        <x:v>1920</x:v>
      </x:c>
      <x:c r="M254" s="5" t="s">
        <x:v>1921</x:v>
      </x:c>
      <x:c r="N254" s="5" t="s">
        <x:v>1922</x:v>
      </x:c>
      <x:c r="O254" s="5" t="s">
        <x:v>1923</x:v>
      </x:c>
      <x:c r="P254" s="5"/>
    </x:row>
    <x:row r="255" ht="85.25" customHeight="1">
      <x:c r="C255" s="5"/>
      <x:c r="D255" s="5"/>
      <x:c r="E255" s="5"/>
      <x:c r="F255" s="5"/>
      <x:c r="G255" s="5" t="s">
        <x:v>1924</x:v>
      </x:c>
      <x:c r="H255" s="6" t="s">
        <x:v>120</x:v>
      </x:c>
      <x:c r="I255" s="5" t="s">
        <x:v>1925</x:v>
      </x:c>
      <x:c r="J255" s="5" t="s">
        <x:v>1926</x:v>
      </x:c>
      <x:c r="K255" s="5" t="s">
        <x:v>1927</x:v>
      </x:c>
      <x:c r="L255" s="5" t="s">
        <x:v>1928</x:v>
      </x:c>
      <x:c r="M255" s="5" t="s">
        <x:v>1929</x:v>
      </x:c>
      <x:c r="N255" s="5" t="s">
        <x:v>1930</x:v>
      </x:c>
      <x:c r="O255" s="5" t="s">
        <x:v>1931</x:v>
      </x:c>
      <x:c r="P255" s="5"/>
    </x:row>
    <x:row r="256" ht="85.25" customHeight="1">
      <x:c r="C256" s="5"/>
      <x:c r="D256" s="5"/>
      <x:c r="E256" s="5"/>
      <x:c r="F256" s="5"/>
      <x:c r="G256" s="5" t="s">
        <x:v>1932</x:v>
      </x:c>
      <x:c r="H256" s="6" t="s">
        <x:v>120</x:v>
      </x:c>
      <x:c r="I256" s="5" t="s">
        <x:v>1933</x:v>
      </x:c>
      <x:c r="J256" s="5" t="s">
        <x:v>1934</x:v>
      </x:c>
      <x:c r="K256" s="5" t="s">
        <x:v>1935</x:v>
      </x:c>
      <x:c r="L256" s="5" t="s">
        <x:v>1936</x:v>
      </x:c>
      <x:c r="M256" s="5" t="s">
        <x:v>1937</x:v>
      </x:c>
      <x:c r="N256" s="5" t="s">
        <x:v>1938</x:v>
      </x:c>
      <x:c r="O256" s="5" t="s">
        <x:v>1923</x:v>
      </x:c>
      <x:c r="P256" s="5"/>
    </x:row>
    <x:row r="257" ht="170.75" customHeight="1">
      <x:c r="C257" s="5" t="s">
        <x:v>1798</x:v>
      </x:c>
      <x:c r="D257" s="5" t="s">
        <x:v>1939</x:v>
      </x:c>
      <x:c r="E257" s="5" t="s">
        <x:v>1940</x:v>
      </x:c>
      <x:c r="F257" s="5" t="s">
        <x:v>1941</x:v>
      </x:c>
      <x:c r="G257" s="5" t="s">
        <x:v>1942</x:v>
      </x:c>
      <x:c r="H257" s="6" t="s">
        <x:v>154</x:v>
      </x:c>
      <x:c r="I257" s="5" t="s">
        <x:v>1878</x:v>
      </x:c>
      <x:c r="J257" s="5" t="s">
        <x:v>1943</x:v>
      </x:c>
      <x:c r="K257" s="5" t="s">
        <x:v>1944</x:v>
      </x:c>
      <x:c r="L257" s="5" t="s">
        <x:v>1945</x:v>
      </x:c>
      <x:c r="M257" s="5" t="s">
        <x:v>1946</x:v>
      </x:c>
      <x:c r="N257" s="5" t="s">
        <x:v>1947</x:v>
      </x:c>
      <x:c r="O257" s="5" t="s">
        <x:v>1948</x:v>
      </x:c>
      <x:c r="P257" s="5"/>
    </x:row>
    <x:row r="258" ht="85.25" customHeight="1">
      <x:c r="C258" s="5"/>
      <x:c r="D258" s="5"/>
      <x:c r="E258" s="5"/>
      <x:c r="F258" s="5"/>
      <x:c r="G258" s="5" t="s">
        <x:v>1949</x:v>
      </x:c>
      <x:c r="H258" s="6" t="s">
        <x:v>154</x:v>
      </x:c>
      <x:c r="I258" s="5" t="s">
        <x:v>1950</x:v>
      </x:c>
      <x:c r="J258" s="5" t="s">
        <x:v>1951</x:v>
      </x:c>
      <x:c r="K258" s="5" t="s">
        <x:v>1952</x:v>
      </x:c>
      <x:c r="L258" s="5" t="s">
        <x:v>1945</x:v>
      </x:c>
      <x:c r="M258" s="5" t="s">
        <x:v>1953</x:v>
      </x:c>
      <x:c r="N258" s="5" t="s">
        <x:v>1954</x:v>
      </x:c>
      <x:c r="O258" s="5" t="s">
        <x:v>1948</x:v>
      </x:c>
      <x:c r="P258" s="5"/>
    </x:row>
    <x:row r="259" ht="57" customHeight="1">
      <x:c r="C259" s="5"/>
      <x:c r="D259" s="5"/>
      <x:c r="E259" s="5"/>
      <x:c r="F259" s="5"/>
      <x:c r="G259" s="5" t="s">
        <x:v>1955</x:v>
      </x:c>
      <x:c r="H259" s="6" t="s">
        <x:v>120</x:v>
      </x:c>
      <x:c r="I259" s="5" t="s">
        <x:v>1956</x:v>
      </x:c>
      <x:c r="J259" s="5" t="s">
        <x:v>1957</x:v>
      </x:c>
      <x:c r="K259" s="5" t="s">
        <x:v>1958</x:v>
      </x:c>
      <x:c r="L259" s="5" t="s">
        <x:v>1945</x:v>
      </x:c>
      <x:c r="M259" s="5" t="s">
        <x:v>1959</x:v>
      </x:c>
      <x:c r="N259" s="5" t="s">
        <x:v>1960</x:v>
      </x:c>
      <x:c r="O259" s="5" t="s">
        <x:v>1948</x:v>
      </x:c>
      <x:c r="P259" s="5"/>
    </x:row>
  </x:sheetData>
  <x:pageMargins left="0.7" right="0.7" top="0.75" bottom="0.75" header="0.3" footer="0.3"/>
</x:worksheet>
</file>

<file path=xl/worksheets/sheet4.xml><?xml version="1.0" encoding="utf-8"?>
<worksheet xmlns="http://schemas.openxmlformats.org/spreadsheetml/2006/main">
  <sheetFormatPr baseColWidth="10" defaultColWidth="8.83203125" defaultRowHeight="13"/>
  <sheetData>
    <row r="1">
      <c r="A1" t="s">
        <v>1961</v>
      </c>
      <c r="B1" t="s">
        <v>1962</v>
      </c>
    </row>
    <row r="2">
      <c r="A2" t="s">
        <v>63</v>
      </c>
      <c r="B2" t="s">
        <v>129</v>
      </c>
    </row>
    <row r="3">
      <c r="A3" t="s">
        <v>63</v>
      </c>
      <c r="B3" t="s">
        <v>97</v>
      </c>
    </row>
    <row r="4">
      <c r="A4" t="s">
        <v>63</v>
      </c>
      <c r="B4" t="s">
        <v>154</v>
      </c>
    </row>
    <row r="5">
      <c r="A5" t="s">
        <v>63</v>
      </c>
      <c r="B5" t="s">
        <v>120</v>
      </c>
    </row>
    <row r="6">
      <c r="A6" t="s">
        <v>1963</v>
      </c>
      <c r="B6" t="s">
        <v>105</v>
      </c>
    </row>
    <row r="7">
      <c r="A7" t="s">
        <v>1963</v>
      </c>
      <c r="B7" t="s">
        <v>1964</v>
      </c>
    </row>
    <row r="8">
      <c r="A8" t="s">
        <v>1963</v>
      </c>
      <c r="B8" t="s">
        <v>1965</v>
      </c>
    </row>
    <row r="9">
      <c r="A9" t="s">
        <v>1963</v>
      </c>
      <c r="B9" t="s">
        <v>1966</v>
      </c>
    </row>
    <row r="10">
      <c r="A10" t="s">
        <v>1963</v>
      </c>
      <c r="B10" t="s">
        <v>1967</v>
      </c>
    </row>
    <row r="11">
      <c r="A11" t="s">
        <v>1963</v>
      </c>
      <c r="B11" t="s">
        <v>1968</v>
      </c>
    </row>
    <row r="12">
      <c r="A12" t="s">
        <v>87</v>
      </c>
      <c r="B12" t="s">
        <v>628</v>
      </c>
    </row>
    <row r="13">
      <c r="A13" t="s">
        <v>87</v>
      </c>
      <c r="B13" t="s">
        <v>606</v>
      </c>
    </row>
    <row r="14">
      <c r="A14" t="s">
        <v>87</v>
      </c>
      <c r="B14" t="s">
        <v>614</v>
      </c>
    </row>
    <row r="15">
      <c r="A15" t="s">
        <v>87</v>
      </c>
      <c r="B15" t="s">
        <v>1194</v>
      </c>
    </row>
    <row r="16">
      <c r="A16" t="s">
        <v>87</v>
      </c>
      <c r="B16" t="s">
        <v>565</v>
      </c>
    </row>
    <row r="17">
      <c r="A17" t="s">
        <v>87</v>
      </c>
      <c r="B17" t="s">
        <v>133</v>
      </c>
    </row>
    <row r="18">
      <c r="A18" t="s">
        <v>87</v>
      </c>
      <c r="B18" t="s">
        <v>149</v>
      </c>
    </row>
    <row r="19">
      <c r="A19" t="s">
        <v>87</v>
      </c>
      <c r="B19" t="s">
        <v>141</v>
      </c>
    </row>
    <row r="20">
      <c r="A20" t="s">
        <v>87</v>
      </c>
      <c r="B20" t="s">
        <v>101</v>
      </c>
    </row>
    <row r="21">
      <c r="A21" t="s">
        <v>87</v>
      </c>
      <c r="B21" t="s">
        <v>158</v>
      </c>
    </row>
    <row r="22">
      <c r="A22" t="s">
        <v>87</v>
      </c>
      <c r="B22" t="s">
        <v>124</v>
      </c>
    </row>
    <row r="23">
      <c r="A23" t="s">
        <v>87</v>
      </c>
      <c r="B23" t="s">
        <v>397</v>
      </c>
    </row>
    <row r="24">
      <c r="A24" t="s">
        <v>87</v>
      </c>
      <c r="B24" t="s">
        <v>201</v>
      </c>
    </row>
    <row r="25">
      <c r="A25" t="s">
        <v>87</v>
      </c>
      <c r="B25" t="s">
        <v>195</v>
      </c>
    </row>
    <row r="26">
      <c r="A26" t="s">
        <v>87</v>
      </c>
      <c r="B26" t="s">
        <v>471</v>
      </c>
    </row>
    <row r="27">
      <c r="A27" t="s">
        <v>87</v>
      </c>
      <c r="B27" t="s">
        <v>584</v>
      </c>
    </row>
    <row r="28">
      <c r="A28" t="s">
        <v>87</v>
      </c>
      <c r="B28" t="s">
        <v>597</v>
      </c>
    </row>
    <row r="29">
      <c r="A29" t="s">
        <v>87</v>
      </c>
      <c r="B29" t="s">
        <v>519</v>
      </c>
    </row>
    <row r="30">
      <c r="A30" t="s">
        <v>87</v>
      </c>
      <c r="B30" t="s">
        <v>573</v>
      </c>
    </row>
    <row r="31">
      <c r="A31" t="s">
        <v>87</v>
      </c>
      <c r="B31" t="s">
        <v>1636</v>
      </c>
    </row>
    <row r="32">
      <c r="A32" t="s">
        <v>87</v>
      </c>
      <c r="B32" t="s">
        <v>1124</v>
      </c>
    </row>
    <row r="33">
      <c r="A33" t="s">
        <v>87</v>
      </c>
      <c r="B33" t="s">
        <v>1267</v>
      </c>
    </row>
    <row r="34">
      <c r="A34" t="s">
        <v>87</v>
      </c>
      <c r="B34" t="s">
        <v>1253</v>
      </c>
    </row>
    <row r="35">
      <c r="A35" t="s">
        <v>87</v>
      </c>
      <c r="B35" t="s">
        <v>1238</v>
      </c>
    </row>
    <row r="36">
      <c r="A36" t="s">
        <v>87</v>
      </c>
      <c r="B36" t="s">
        <v>1205</v>
      </c>
    </row>
    <row r="37">
      <c r="A37" t="s">
        <v>87</v>
      </c>
      <c r="B37" t="s">
        <v>1316</v>
      </c>
    </row>
    <row r="38">
      <c r="A38" t="s">
        <v>87</v>
      </c>
      <c r="B38" t="s">
        <v>1819</v>
      </c>
    </row>
    <row r="39">
      <c r="A39" t="s">
        <v>87</v>
      </c>
      <c r="B39" t="s">
        <v>1881</v>
      </c>
    </row>
    <row r="40">
      <c r="A40" t="s">
        <v>87</v>
      </c>
      <c r="B40" t="s">
        <v>1894</v>
      </c>
    </row>
    <row r="41">
      <c r="A41" t="s">
        <v>87</v>
      </c>
      <c r="B41" t="s">
        <v>1865</v>
      </c>
    </row>
    <row r="42">
      <c r="A42" t="s">
        <v>87</v>
      </c>
      <c r="B42" t="s">
        <v>1068</v>
      </c>
    </row>
    <row r="43">
      <c r="A43" t="s">
        <v>87</v>
      </c>
      <c r="B43" t="s">
        <v>1338</v>
      </c>
    </row>
    <row r="44">
      <c r="A44" t="s">
        <v>87</v>
      </c>
      <c r="B44" t="s">
        <v>1582</v>
      </c>
    </row>
    <row r="45">
      <c r="A45" t="s">
        <v>87</v>
      </c>
      <c r="B45" t="s">
        <v>1589</v>
      </c>
    </row>
    <row r="46">
      <c r="A46" t="s">
        <v>87</v>
      </c>
      <c r="B46" t="s">
        <v>1570</v>
      </c>
    </row>
    <row r="47">
      <c r="A47" t="s">
        <v>87</v>
      </c>
      <c r="B47" t="s">
        <v>1105</v>
      </c>
    </row>
    <row r="48">
      <c r="A48" t="s">
        <v>87</v>
      </c>
      <c r="B48" t="s">
        <v>1117</v>
      </c>
    </row>
    <row r="49">
      <c r="A49" t="s">
        <v>87</v>
      </c>
      <c r="B49" t="s">
        <v>997</v>
      </c>
    </row>
    <row r="50">
      <c r="A50" t="s">
        <v>87</v>
      </c>
      <c r="B50" t="s">
        <v>1054</v>
      </c>
    </row>
    <row r="51">
      <c r="A51" t="s">
        <v>87</v>
      </c>
      <c r="B51" t="s">
        <v>977</v>
      </c>
    </row>
    <row r="52">
      <c r="A52" t="s">
        <v>87</v>
      </c>
      <c r="B52" t="s">
        <v>1077</v>
      </c>
    </row>
    <row r="53">
      <c r="A53" t="s">
        <v>87</v>
      </c>
      <c r="B53" t="s">
        <v>966</v>
      </c>
    </row>
    <row r="54">
      <c r="A54" t="s">
        <v>87</v>
      </c>
      <c r="B54" t="s">
        <v>1674</v>
      </c>
    </row>
    <row r="55">
      <c r="A55" t="s">
        <v>87</v>
      </c>
      <c r="B55" t="s">
        <v>1739</v>
      </c>
    </row>
    <row r="56">
      <c r="A56" t="s">
        <v>87</v>
      </c>
      <c r="B56" t="s">
        <v>1616</v>
      </c>
    </row>
    <row r="57">
      <c r="A57" t="s">
        <v>87</v>
      </c>
      <c r="B57" t="s">
        <v>1608</v>
      </c>
    </row>
    <row r="58">
      <c r="A58" t="s">
        <v>87</v>
      </c>
      <c r="B58" t="s">
        <v>1600</v>
      </c>
    </row>
    <row r="59">
      <c r="A59" t="s">
        <v>87</v>
      </c>
      <c r="B59" t="s">
        <v>1709</v>
      </c>
    </row>
    <row r="60">
      <c r="A60" t="s">
        <v>87</v>
      </c>
      <c r="B60" t="s">
        <v>1717</v>
      </c>
    </row>
    <row r="61">
      <c r="A61" t="s">
        <v>87</v>
      </c>
      <c r="B61" t="s">
        <v>1543</v>
      </c>
    </row>
    <row r="62">
      <c r="A62" t="s">
        <v>87</v>
      </c>
      <c r="B62" t="s">
        <v>1535</v>
      </c>
    </row>
    <row r="63">
      <c r="A63" t="s">
        <v>87</v>
      </c>
      <c r="B63" t="s">
        <v>1528</v>
      </c>
    </row>
    <row r="64">
      <c r="A64" t="s">
        <v>87</v>
      </c>
      <c r="B64" t="s">
        <v>1559</v>
      </c>
    </row>
    <row r="65">
      <c r="A65" t="s">
        <v>87</v>
      </c>
      <c r="B65" t="s">
        <v>1551</v>
      </c>
    </row>
    <row r="66">
      <c r="A66" t="s">
        <v>87</v>
      </c>
      <c r="B66" t="s">
        <v>1324</v>
      </c>
    </row>
    <row r="67">
      <c r="A67" t="s">
        <v>87</v>
      </c>
      <c r="B67" t="s">
        <v>1348</v>
      </c>
    </row>
    <row r="68">
      <c r="A68" t="s">
        <v>87</v>
      </c>
      <c r="B68" t="s">
        <v>1156</v>
      </c>
    </row>
    <row r="69">
      <c r="A69" t="s">
        <v>87</v>
      </c>
      <c r="B69" t="s">
        <v>1493</v>
      </c>
    </row>
    <row r="70">
      <c r="A70" t="s">
        <v>87</v>
      </c>
      <c r="B70" t="s">
        <v>1178</v>
      </c>
    </row>
    <row r="71">
      <c r="A71" t="s">
        <v>87</v>
      </c>
      <c r="B71" t="s">
        <v>1186</v>
      </c>
    </row>
    <row r="72">
      <c r="A72" t="s">
        <v>87</v>
      </c>
      <c r="B72" t="s">
        <v>1164</v>
      </c>
    </row>
    <row r="73">
      <c r="A73" t="s">
        <v>87</v>
      </c>
      <c r="B73" t="s">
        <v>1135</v>
      </c>
    </row>
    <row r="74">
      <c r="A74" t="s">
        <v>87</v>
      </c>
      <c r="B74" t="s">
        <v>1149</v>
      </c>
    </row>
    <row r="75">
      <c r="A75" t="s">
        <v>87</v>
      </c>
      <c r="B75" t="s">
        <v>1624</v>
      </c>
    </row>
    <row r="76">
      <c r="A76" t="s">
        <v>87</v>
      </c>
      <c r="B76" t="s">
        <v>1840</v>
      </c>
    </row>
    <row r="77">
      <c r="A77" t="s">
        <v>87</v>
      </c>
      <c r="B77" t="s">
        <v>1806</v>
      </c>
    </row>
    <row r="78">
      <c r="A78" t="s">
        <v>87</v>
      </c>
      <c r="B78" t="s">
        <v>1851</v>
      </c>
    </row>
    <row r="79">
      <c r="A79" t="s">
        <v>87</v>
      </c>
      <c r="B79" t="s">
        <v>1826</v>
      </c>
    </row>
    <row r="80">
      <c r="A80" t="s">
        <v>87</v>
      </c>
      <c r="B80" t="s">
        <v>1871</v>
      </c>
    </row>
    <row r="81">
      <c r="A81" t="s">
        <v>87</v>
      </c>
      <c r="B81" t="s">
        <v>1858</v>
      </c>
    </row>
    <row r="82">
      <c r="A82" t="s">
        <v>87</v>
      </c>
      <c r="B82" t="s">
        <v>1306</v>
      </c>
    </row>
    <row r="83">
      <c r="A83" t="s">
        <v>87</v>
      </c>
      <c r="B83" t="s">
        <v>1298</v>
      </c>
    </row>
    <row r="84">
      <c r="A84" t="s">
        <v>87</v>
      </c>
      <c r="B84" t="s">
        <v>1291</v>
      </c>
    </row>
    <row r="85">
      <c r="A85" t="s">
        <v>87</v>
      </c>
      <c r="B85" t="s">
        <v>1283</v>
      </c>
    </row>
    <row r="86">
      <c r="A86" t="s">
        <v>87</v>
      </c>
      <c r="B86" t="s">
        <v>1414</v>
      </c>
    </row>
    <row r="87">
      <c r="A87" t="s">
        <v>87</v>
      </c>
      <c r="B87" t="s">
        <v>1406</v>
      </c>
    </row>
    <row r="88">
      <c r="A88" t="s">
        <v>87</v>
      </c>
      <c r="B88" t="s">
        <v>1386</v>
      </c>
    </row>
    <row r="89">
      <c r="A89" t="s">
        <v>87</v>
      </c>
      <c r="B89" t="s">
        <v>1376</v>
      </c>
    </row>
    <row r="90">
      <c r="A90" t="s">
        <v>87</v>
      </c>
      <c r="B90" t="s">
        <v>1477</v>
      </c>
    </row>
    <row r="91">
      <c r="A91" t="s">
        <v>87</v>
      </c>
      <c r="B91" t="s">
        <v>1459</v>
      </c>
    </row>
    <row r="92">
      <c r="A92" t="s">
        <v>87</v>
      </c>
      <c r="B92" t="s">
        <v>1928</v>
      </c>
    </row>
    <row r="93">
      <c r="A93" t="s">
        <v>87</v>
      </c>
      <c r="B93" t="s">
        <v>1424</v>
      </c>
    </row>
    <row r="94">
      <c r="A94" t="s">
        <v>87</v>
      </c>
      <c r="B94" t="s">
        <v>1832</v>
      </c>
    </row>
    <row r="95">
      <c r="A95" t="s">
        <v>87</v>
      </c>
      <c r="B95" t="s">
        <v>1449</v>
      </c>
    </row>
    <row r="96">
      <c r="A96" t="s">
        <v>87</v>
      </c>
      <c r="B96" t="s">
        <v>1506</v>
      </c>
    </row>
    <row r="97">
      <c r="A97" t="s">
        <v>87</v>
      </c>
      <c r="B97" t="s">
        <v>1781</v>
      </c>
    </row>
    <row r="98">
      <c r="A98" t="s">
        <v>87</v>
      </c>
      <c r="B98" t="s">
        <v>1945</v>
      </c>
    </row>
    <row r="99">
      <c r="A99" t="s">
        <v>87</v>
      </c>
      <c r="B99" t="s">
        <v>786</v>
      </c>
    </row>
    <row r="100">
      <c r="A100" t="s">
        <v>87</v>
      </c>
      <c r="B100" t="s">
        <v>929</v>
      </c>
    </row>
    <row r="101">
      <c r="A101" t="s">
        <v>87</v>
      </c>
      <c r="B101" t="s">
        <v>459</v>
      </c>
    </row>
    <row r="102">
      <c r="A102" t="s">
        <v>87</v>
      </c>
      <c r="B102" t="s">
        <v>840</v>
      </c>
    </row>
    <row r="103">
      <c r="A103" t="s">
        <v>87</v>
      </c>
      <c r="B103" t="s">
        <v>830</v>
      </c>
    </row>
    <row r="104">
      <c r="A104" t="s">
        <v>87</v>
      </c>
      <c r="B104" t="s">
        <v>854</v>
      </c>
    </row>
    <row r="105">
      <c r="A105" t="s">
        <v>87</v>
      </c>
      <c r="B105" t="s">
        <v>717</v>
      </c>
    </row>
    <row r="106">
      <c r="A106" t="s">
        <v>87</v>
      </c>
      <c r="B106" t="s">
        <v>893</v>
      </c>
    </row>
    <row r="107">
      <c r="A107" t="s">
        <v>87</v>
      </c>
      <c r="B107" t="s">
        <v>902</v>
      </c>
    </row>
    <row r="108">
      <c r="A108" t="s">
        <v>87</v>
      </c>
      <c r="B108" t="s">
        <v>811</v>
      </c>
    </row>
    <row r="109">
      <c r="A109" t="s">
        <v>87</v>
      </c>
      <c r="B109" t="s">
        <v>725</v>
      </c>
    </row>
    <row r="110">
      <c r="A110" t="s">
        <v>87</v>
      </c>
      <c r="B110" t="s">
        <v>761</v>
      </c>
    </row>
    <row r="111">
      <c r="A111" t="s">
        <v>87</v>
      </c>
      <c r="B111" t="s">
        <v>803</v>
      </c>
    </row>
    <row r="112">
      <c r="A112" t="s">
        <v>87</v>
      </c>
      <c r="B112" t="s">
        <v>740</v>
      </c>
    </row>
    <row r="113">
      <c r="A113" t="s">
        <v>87</v>
      </c>
      <c r="B113" t="s">
        <v>710</v>
      </c>
    </row>
    <row r="114">
      <c r="A114" t="s">
        <v>87</v>
      </c>
      <c r="B114" t="s">
        <v>687</v>
      </c>
    </row>
    <row r="115">
      <c r="A115" t="s">
        <v>87</v>
      </c>
      <c r="B115" t="s">
        <v>694</v>
      </c>
    </row>
    <row r="116">
      <c r="A116" t="s">
        <v>87</v>
      </c>
      <c r="B116" t="s">
        <v>1901</v>
      </c>
    </row>
    <row r="117">
      <c r="A117" t="s">
        <v>87</v>
      </c>
      <c r="B117" t="s">
        <v>1909</v>
      </c>
    </row>
    <row r="118">
      <c r="A118" t="s">
        <v>87</v>
      </c>
      <c r="B118" t="s">
        <v>1432</v>
      </c>
    </row>
    <row r="119">
      <c r="A119" t="s">
        <v>87</v>
      </c>
      <c r="B119" t="s">
        <v>1936</v>
      </c>
    </row>
    <row r="120">
      <c r="A120" t="s">
        <v>87</v>
      </c>
      <c r="B120" t="s">
        <v>1920</v>
      </c>
    </row>
    <row r="121">
      <c r="A121" t="s">
        <v>87</v>
      </c>
      <c r="B121" t="s">
        <v>528</v>
      </c>
    </row>
    <row r="122">
      <c r="A122" t="s">
        <v>87</v>
      </c>
      <c r="B122" t="s">
        <v>542</v>
      </c>
    </row>
    <row r="123">
      <c r="A123" t="s">
        <v>87</v>
      </c>
      <c r="B123" t="s">
        <v>675</v>
      </c>
    </row>
    <row r="124">
      <c r="A124" t="s">
        <v>87</v>
      </c>
      <c r="B124" t="s">
        <v>660</v>
      </c>
    </row>
    <row r="125">
      <c r="A125" t="s">
        <v>87</v>
      </c>
      <c r="B125" t="s">
        <v>283</v>
      </c>
    </row>
    <row r="126">
      <c r="A126" t="s">
        <v>87</v>
      </c>
      <c r="B126" t="s">
        <v>309</v>
      </c>
    </row>
    <row r="127">
      <c r="A127" t="s">
        <v>87</v>
      </c>
      <c r="B127" t="s">
        <v>244</v>
      </c>
    </row>
    <row r="128">
      <c r="A128" t="s">
        <v>87</v>
      </c>
      <c r="B128" t="s">
        <v>168</v>
      </c>
    </row>
    <row r="129">
      <c r="A129" t="s">
        <v>87</v>
      </c>
      <c r="B129" t="s">
        <v>299</v>
      </c>
    </row>
    <row r="130">
      <c r="A130" t="s">
        <v>87</v>
      </c>
      <c r="B130" t="s">
        <v>336</v>
      </c>
    </row>
    <row r="131">
      <c r="A131" t="s">
        <v>87</v>
      </c>
      <c r="B131" t="s">
        <v>208</v>
      </c>
    </row>
    <row r="132">
      <c r="A132" t="s">
        <v>87</v>
      </c>
      <c r="B132" t="s">
        <v>382</v>
      </c>
    </row>
    <row r="133">
      <c r="A133" t="s">
        <v>87</v>
      </c>
      <c r="B133" t="s">
        <v>347</v>
      </c>
    </row>
    <row r="134">
      <c r="A134" t="s">
        <v>87</v>
      </c>
      <c r="B134" t="s">
        <v>413</v>
      </c>
    </row>
    <row r="135">
      <c r="A135" t="s">
        <v>87</v>
      </c>
      <c r="B135" t="s">
        <v>451</v>
      </c>
    </row>
    <row r="136">
      <c r="A136" t="s">
        <v>87</v>
      </c>
      <c r="B136" t="s">
        <v>326</v>
      </c>
    </row>
    <row r="137">
      <c r="A137" t="s">
        <v>87</v>
      </c>
      <c r="B137" t="s">
        <v>427</v>
      </c>
    </row>
    <row r="138">
      <c r="A138" t="s">
        <v>87</v>
      </c>
      <c r="B138" t="s">
        <v>443</v>
      </c>
    </row>
    <row r="139">
      <c r="A139" t="s">
        <v>87</v>
      </c>
      <c r="B139" t="s">
        <v>436</v>
      </c>
    </row>
    <row r="140">
      <c r="A140" t="s">
        <v>87</v>
      </c>
      <c r="B140" t="s">
        <v>222</v>
      </c>
    </row>
    <row r="141">
      <c r="A141" t="s">
        <v>87</v>
      </c>
      <c r="B141" t="s">
        <v>181</v>
      </c>
    </row>
    <row r="142">
      <c r="A142" t="s">
        <v>87</v>
      </c>
      <c r="B142" t="s">
        <v>267</v>
      </c>
    </row>
    <row r="143">
      <c r="A143" t="s">
        <v>87</v>
      </c>
      <c r="B143" t="s">
        <v>552</v>
      </c>
    </row>
    <row r="144">
      <c r="A144" t="s">
        <v>1969</v>
      </c>
      <c r="B144" t="s">
        <v>1884</v>
      </c>
    </row>
    <row r="145">
      <c r="A145" t="s">
        <v>1969</v>
      </c>
      <c r="B145" t="s">
        <v>1904</v>
      </c>
    </row>
    <row r="146">
      <c r="A146" t="s">
        <v>1969</v>
      </c>
      <c r="B146" t="s">
        <v>1912</v>
      </c>
    </row>
    <row r="147">
      <c r="A147" t="s">
        <v>1969</v>
      </c>
      <c r="B147" t="s">
        <v>678</v>
      </c>
    </row>
    <row r="148">
      <c r="A148" t="s">
        <v>1969</v>
      </c>
      <c r="B148" t="s">
        <v>422</v>
      </c>
    </row>
    <row r="149">
      <c r="A149" t="s">
        <v>1969</v>
      </c>
      <c r="B149" t="s">
        <v>1809</v>
      </c>
    </row>
    <row r="150">
      <c r="A150" t="s">
        <v>1969</v>
      </c>
      <c r="B150" t="s">
        <v>1835</v>
      </c>
    </row>
    <row r="151">
      <c r="A151" t="s">
        <v>1969</v>
      </c>
      <c r="B151" t="s">
        <v>1843</v>
      </c>
    </row>
    <row r="152">
      <c r="A152" t="s">
        <v>1969</v>
      </c>
      <c r="B152" t="s">
        <v>1854</v>
      </c>
    </row>
    <row r="153">
      <c r="A153" t="s">
        <v>1969</v>
      </c>
      <c r="B153" t="s">
        <v>1742</v>
      </c>
    </row>
    <row r="154">
      <c r="A154" t="s">
        <v>1969</v>
      </c>
      <c r="B154" t="s">
        <v>952</v>
      </c>
    </row>
    <row r="155">
      <c r="A155" t="s">
        <v>1969</v>
      </c>
      <c r="B155" t="s">
        <v>640</v>
      </c>
    </row>
    <row r="156">
      <c r="A156" t="s">
        <v>1969</v>
      </c>
      <c r="B156" t="s">
        <v>957</v>
      </c>
    </row>
    <row r="157">
      <c r="A157" t="s">
        <v>1969</v>
      </c>
      <c r="B157" t="s">
        <v>462</v>
      </c>
    </row>
    <row r="158">
      <c r="A158" t="s">
        <v>1969</v>
      </c>
      <c r="B158" t="s">
        <v>568</v>
      </c>
    </row>
    <row r="159">
      <c r="A159" t="s">
        <v>1969</v>
      </c>
      <c r="B159" t="s">
        <v>1127</v>
      </c>
    </row>
    <row r="160">
      <c r="A160" t="s">
        <v>1969</v>
      </c>
      <c r="B160" t="s">
        <v>555</v>
      </c>
    </row>
    <row r="161">
      <c r="A161" t="s">
        <v>1969</v>
      </c>
      <c r="B161" t="s">
        <v>576</v>
      </c>
    </row>
    <row r="162">
      <c r="A162" t="s">
        <v>1969</v>
      </c>
      <c r="B162" t="s">
        <v>1256</v>
      </c>
    </row>
    <row r="163">
      <c r="A163" t="s">
        <v>1969</v>
      </c>
      <c r="B163" t="s">
        <v>1270</v>
      </c>
    </row>
    <row r="164">
      <c r="A164" t="s">
        <v>1969</v>
      </c>
      <c r="B164" t="s">
        <v>1247</v>
      </c>
    </row>
    <row r="165">
      <c r="A165" t="s">
        <v>1969</v>
      </c>
      <c r="B165" t="s">
        <v>1208</v>
      </c>
    </row>
    <row r="166">
      <c r="A166" t="s">
        <v>1969</v>
      </c>
      <c r="B166" t="s">
        <v>1241</v>
      </c>
    </row>
    <row r="167">
      <c r="A167" t="s">
        <v>1969</v>
      </c>
      <c r="B167" t="s">
        <v>789</v>
      </c>
    </row>
    <row r="168">
      <c r="A168" t="s">
        <v>1969</v>
      </c>
      <c r="B168" t="s">
        <v>888</v>
      </c>
    </row>
    <row r="169">
      <c r="A169" t="s">
        <v>1969</v>
      </c>
      <c r="B169" t="s">
        <v>876</v>
      </c>
    </row>
    <row r="170">
      <c r="A170" t="s">
        <v>1969</v>
      </c>
      <c r="B170" t="s">
        <v>1791</v>
      </c>
    </row>
    <row r="171">
      <c r="A171" t="s">
        <v>1969</v>
      </c>
      <c r="B171" t="s">
        <v>1784</v>
      </c>
    </row>
    <row r="172">
      <c r="A172" t="s">
        <v>1969</v>
      </c>
      <c r="B172" t="s">
        <v>312</v>
      </c>
    </row>
    <row r="173">
      <c r="A173" t="s">
        <v>1969</v>
      </c>
      <c r="B173" t="s">
        <v>507</v>
      </c>
    </row>
    <row r="174">
      <c r="A174" t="s">
        <v>1969</v>
      </c>
      <c r="B174" t="s">
        <v>1341</v>
      </c>
    </row>
    <row r="175">
      <c r="A175" t="s">
        <v>1969</v>
      </c>
      <c r="B175" t="s">
        <v>474</v>
      </c>
    </row>
    <row r="176">
      <c r="A176" t="s">
        <v>1969</v>
      </c>
      <c r="B176" t="s">
        <v>514</v>
      </c>
    </row>
    <row r="177">
      <c r="A177" t="s">
        <v>1969</v>
      </c>
      <c r="B177" t="s">
        <v>487</v>
      </c>
    </row>
    <row r="178">
      <c r="A178" t="s">
        <v>1969</v>
      </c>
      <c r="B178" t="s">
        <v>545</v>
      </c>
    </row>
    <row r="179">
      <c r="A179" t="s">
        <v>1969</v>
      </c>
      <c r="B179" t="s">
        <v>531</v>
      </c>
    </row>
    <row r="180">
      <c r="A180" t="s">
        <v>1969</v>
      </c>
      <c r="B180" t="s">
        <v>127</v>
      </c>
    </row>
    <row r="181">
      <c r="A181" t="s">
        <v>1969</v>
      </c>
      <c r="B181" t="s">
        <v>980</v>
      </c>
    </row>
    <row r="182">
      <c r="A182" t="s">
        <v>1969</v>
      </c>
      <c r="B182" t="s">
        <v>1000</v>
      </c>
    </row>
    <row r="183">
      <c r="A183" t="s">
        <v>1969</v>
      </c>
      <c r="B183" t="s">
        <v>1086</v>
      </c>
    </row>
    <row r="184">
      <c r="A184" t="s">
        <v>1969</v>
      </c>
      <c r="B184" t="s">
        <v>1080</v>
      </c>
    </row>
    <row r="185">
      <c r="A185" t="s">
        <v>1969</v>
      </c>
      <c r="B185" t="s">
        <v>825</v>
      </c>
    </row>
    <row r="186">
      <c r="A186" t="s">
        <v>1969</v>
      </c>
      <c r="B186" t="s">
        <v>814</v>
      </c>
    </row>
    <row r="187">
      <c r="A187" t="s">
        <v>1969</v>
      </c>
      <c r="B187" t="s">
        <v>1120</v>
      </c>
    </row>
    <row r="188">
      <c r="A188" t="s">
        <v>1969</v>
      </c>
      <c r="B188" t="s">
        <v>1108</v>
      </c>
    </row>
    <row r="189">
      <c r="A189" t="s">
        <v>1969</v>
      </c>
      <c r="B189" t="s">
        <v>1093</v>
      </c>
    </row>
    <row r="190">
      <c r="A190" t="s">
        <v>1969</v>
      </c>
      <c r="B190" t="s">
        <v>1071</v>
      </c>
    </row>
    <row r="191">
      <c r="A191" t="s">
        <v>1969</v>
      </c>
      <c r="B191" t="s">
        <v>1702</v>
      </c>
    </row>
    <row r="192">
      <c r="A192" t="s">
        <v>1969</v>
      </c>
      <c r="B192" t="s">
        <v>1677</v>
      </c>
    </row>
    <row r="193">
      <c r="A193" t="s">
        <v>1969</v>
      </c>
      <c r="B193" t="s">
        <v>135</v>
      </c>
    </row>
    <row r="194">
      <c r="A194" t="s">
        <v>1969</v>
      </c>
      <c r="B194" t="s">
        <v>932</v>
      </c>
    </row>
    <row r="195">
      <c r="A195" t="s">
        <v>1969</v>
      </c>
      <c r="B195" t="s">
        <v>905</v>
      </c>
    </row>
    <row r="196">
      <c r="A196" t="s">
        <v>1969</v>
      </c>
      <c r="B196" t="s">
        <v>339</v>
      </c>
    </row>
    <row r="197">
      <c r="A197" t="s">
        <v>1969</v>
      </c>
      <c r="B197" t="s">
        <v>755</v>
      </c>
    </row>
    <row r="198">
      <c r="A198" t="s">
        <v>1969</v>
      </c>
      <c r="B198" t="s">
        <v>774</v>
      </c>
    </row>
    <row r="199">
      <c r="A199" t="s">
        <v>1969</v>
      </c>
      <c r="B199" t="s">
        <v>720</v>
      </c>
    </row>
    <row r="200">
      <c r="A200" t="s">
        <v>1969</v>
      </c>
      <c r="B200" t="s">
        <v>152</v>
      </c>
    </row>
    <row r="201">
      <c r="A201" t="s">
        <v>1969</v>
      </c>
      <c r="B201" t="s">
        <v>690</v>
      </c>
    </row>
    <row r="202">
      <c r="A202" t="s">
        <v>1969</v>
      </c>
      <c r="B202" t="s">
        <v>849</v>
      </c>
    </row>
    <row r="203">
      <c r="A203" t="s">
        <v>1969</v>
      </c>
      <c r="B203" t="s">
        <v>833</v>
      </c>
    </row>
    <row r="204">
      <c r="A204" t="s">
        <v>1969</v>
      </c>
      <c r="B204" t="s">
        <v>924</v>
      </c>
    </row>
    <row r="205">
      <c r="A205" t="s">
        <v>1969</v>
      </c>
      <c r="B205" t="s">
        <v>653</v>
      </c>
    </row>
    <row r="206">
      <c r="A206" t="s">
        <v>1969</v>
      </c>
      <c r="B206" t="s">
        <v>1749</v>
      </c>
    </row>
    <row r="207">
      <c r="A207" t="s">
        <v>1969</v>
      </c>
      <c r="B207" t="s">
        <v>375</v>
      </c>
    </row>
    <row r="208">
      <c r="A208" t="s">
        <v>1969</v>
      </c>
      <c r="B208" t="s">
        <v>896</v>
      </c>
    </row>
    <row r="209">
      <c r="A209" t="s">
        <v>1969</v>
      </c>
      <c r="B209" t="s">
        <v>1603</v>
      </c>
    </row>
    <row r="210">
      <c r="A210" t="s">
        <v>1969</v>
      </c>
      <c r="B210" t="s">
        <v>1619</v>
      </c>
    </row>
    <row r="211">
      <c r="A211" t="s">
        <v>1969</v>
      </c>
      <c r="B211" t="s">
        <v>1611</v>
      </c>
    </row>
    <row r="212">
      <c r="A212" t="s">
        <v>1969</v>
      </c>
      <c r="B212" t="s">
        <v>1712</v>
      </c>
    </row>
    <row r="213">
      <c r="A213" t="s">
        <v>1969</v>
      </c>
      <c r="B213" t="s">
        <v>1462</v>
      </c>
    </row>
    <row r="214">
      <c r="A214" t="s">
        <v>1969</v>
      </c>
      <c r="B214" t="s">
        <v>1480</v>
      </c>
    </row>
    <row r="215">
      <c r="A215" t="s">
        <v>1969</v>
      </c>
      <c r="B215" t="s">
        <v>918</v>
      </c>
    </row>
    <row r="216">
      <c r="A216" t="s">
        <v>1969</v>
      </c>
      <c r="B216" t="s">
        <v>623</v>
      </c>
    </row>
    <row r="217">
      <c r="A217" t="s">
        <v>1969</v>
      </c>
      <c r="B217" t="s">
        <v>609</v>
      </c>
    </row>
    <row r="218">
      <c r="A218" t="s">
        <v>1969</v>
      </c>
      <c r="B218" t="s">
        <v>1573</v>
      </c>
    </row>
    <row r="219">
      <c r="A219" t="s">
        <v>1969</v>
      </c>
      <c r="B219" t="s">
        <v>1585</v>
      </c>
    </row>
    <row r="220">
      <c r="A220" t="s">
        <v>1969</v>
      </c>
      <c r="B220" t="s">
        <v>1592</v>
      </c>
    </row>
    <row r="221">
      <c r="A221" t="s">
        <v>1969</v>
      </c>
      <c r="B221" t="s">
        <v>1554</v>
      </c>
    </row>
    <row r="222">
      <c r="A222" t="s">
        <v>1969</v>
      </c>
      <c r="B222" t="s">
        <v>1538</v>
      </c>
    </row>
    <row r="223">
      <c r="A223" t="s">
        <v>1969</v>
      </c>
      <c r="B223" t="s">
        <v>1531</v>
      </c>
    </row>
    <row r="224">
      <c r="A224" t="s">
        <v>1969</v>
      </c>
      <c r="B224" t="s">
        <v>1562</v>
      </c>
    </row>
    <row r="225">
      <c r="A225" t="s">
        <v>1969</v>
      </c>
      <c r="B225" t="s">
        <v>1546</v>
      </c>
    </row>
    <row r="226">
      <c r="A226" t="s">
        <v>1969</v>
      </c>
      <c r="B226" t="s">
        <v>1319</v>
      </c>
    </row>
    <row r="227">
      <c r="A227" t="s">
        <v>1969</v>
      </c>
      <c r="B227" t="s">
        <v>1327</v>
      </c>
    </row>
    <row r="228">
      <c r="A228" t="s">
        <v>1969</v>
      </c>
      <c r="B228" t="s">
        <v>1365</v>
      </c>
    </row>
    <row r="229">
      <c r="A229" t="s">
        <v>1969</v>
      </c>
      <c r="B229" t="s">
        <v>1358</v>
      </c>
    </row>
    <row r="230">
      <c r="A230" t="s">
        <v>1969</v>
      </c>
      <c r="B230" t="s">
        <v>1351</v>
      </c>
    </row>
    <row r="231">
      <c r="A231" t="s">
        <v>1969</v>
      </c>
      <c r="B231" t="s">
        <v>670</v>
      </c>
    </row>
    <row r="232">
      <c r="A232" t="s">
        <v>1969</v>
      </c>
      <c r="B232" t="s">
        <v>663</v>
      </c>
    </row>
    <row r="233">
      <c r="A233" t="s">
        <v>1969</v>
      </c>
      <c r="B233" t="s">
        <v>631</v>
      </c>
    </row>
    <row r="234">
      <c r="A234" t="s">
        <v>1969</v>
      </c>
      <c r="B234" t="s">
        <v>969</v>
      </c>
    </row>
    <row r="235">
      <c r="A235" t="s">
        <v>1969</v>
      </c>
      <c r="B235" t="s">
        <v>1379</v>
      </c>
    </row>
    <row r="236">
      <c r="A236" t="s">
        <v>1969</v>
      </c>
      <c r="B236" t="s">
        <v>1496</v>
      </c>
    </row>
    <row r="237">
      <c r="A237" t="s">
        <v>1969</v>
      </c>
      <c r="B237" t="s">
        <v>393</v>
      </c>
    </row>
    <row r="238">
      <c r="A238" t="s">
        <v>1969</v>
      </c>
      <c r="B238" t="s">
        <v>197</v>
      </c>
    </row>
    <row r="239">
      <c r="A239" t="s">
        <v>1969</v>
      </c>
      <c r="B239" t="s">
        <v>406</v>
      </c>
    </row>
    <row r="240">
      <c r="A240" t="s">
        <v>1969</v>
      </c>
      <c r="B240" t="s">
        <v>203</v>
      </c>
    </row>
    <row r="241">
      <c r="A241" t="s">
        <v>1969</v>
      </c>
      <c r="B241" t="s">
        <v>286</v>
      </c>
    </row>
    <row r="242">
      <c r="A242" t="s">
        <v>1969</v>
      </c>
      <c r="B242" t="s">
        <v>302</v>
      </c>
    </row>
    <row r="243">
      <c r="A243" t="s">
        <v>1969</v>
      </c>
      <c r="B243" t="s">
        <v>350</v>
      </c>
    </row>
    <row r="244">
      <c r="A244" t="s">
        <v>1969</v>
      </c>
      <c r="B244" t="s">
        <v>171</v>
      </c>
    </row>
    <row r="245">
      <c r="A245" t="s">
        <v>1969</v>
      </c>
      <c r="B245" t="s">
        <v>104</v>
      </c>
    </row>
    <row r="246">
      <c r="A246" t="s">
        <v>1969</v>
      </c>
      <c r="B246" t="s">
        <v>270</v>
      </c>
    </row>
    <row r="247">
      <c r="A247" t="s">
        <v>1969</v>
      </c>
      <c r="B247" t="s">
        <v>1167</v>
      </c>
    </row>
    <row r="248">
      <c r="A248" t="s">
        <v>1969</v>
      </c>
      <c r="B248" t="s">
        <v>1181</v>
      </c>
    </row>
    <row r="249">
      <c r="A249" t="s">
        <v>1969</v>
      </c>
      <c r="B249" t="s">
        <v>1197</v>
      </c>
    </row>
    <row r="250">
      <c r="A250" t="s">
        <v>1969</v>
      </c>
      <c r="B250" t="s">
        <v>1138</v>
      </c>
    </row>
    <row r="251">
      <c r="A251" t="s">
        <v>1969</v>
      </c>
      <c r="B251" t="s">
        <v>1159</v>
      </c>
    </row>
    <row r="252">
      <c r="A252" t="s">
        <v>1969</v>
      </c>
      <c r="B252" t="s">
        <v>1189</v>
      </c>
    </row>
    <row r="253">
      <c r="A253" t="s">
        <v>1969</v>
      </c>
      <c r="B253" t="s">
        <v>319</v>
      </c>
    </row>
    <row r="254">
      <c r="A254" t="s">
        <v>1969</v>
      </c>
      <c r="B254" t="s">
        <v>1627</v>
      </c>
    </row>
    <row r="255">
      <c r="A255" t="s">
        <v>1969</v>
      </c>
      <c r="B255" t="s">
        <v>1639</v>
      </c>
    </row>
    <row r="256">
      <c r="A256" t="s">
        <v>1969</v>
      </c>
      <c r="B256" t="s">
        <v>1417</v>
      </c>
    </row>
    <row r="257">
      <c r="A257" t="s">
        <v>1969</v>
      </c>
      <c r="B257" t="s">
        <v>329</v>
      </c>
    </row>
    <row r="258">
      <c r="A258" t="s">
        <v>1969</v>
      </c>
      <c r="B258" t="s">
        <v>446</v>
      </c>
    </row>
    <row r="259">
      <c r="A259" t="s">
        <v>1969</v>
      </c>
      <c r="B259" t="s">
        <v>416</v>
      </c>
    </row>
    <row r="260">
      <c r="A260" t="s">
        <v>1969</v>
      </c>
      <c r="B260" t="s">
        <v>454</v>
      </c>
    </row>
    <row r="261">
      <c r="A261" t="s">
        <v>1969</v>
      </c>
      <c r="B261" t="s">
        <v>237</v>
      </c>
    </row>
    <row r="262">
      <c r="A262" t="s">
        <v>1969</v>
      </c>
      <c r="B262" t="s">
        <v>247</v>
      </c>
    </row>
    <row r="263">
      <c r="A263" t="s">
        <v>1969</v>
      </c>
      <c r="B263" t="s">
        <v>189</v>
      </c>
    </row>
    <row r="264">
      <c r="A264" t="s">
        <v>1969</v>
      </c>
      <c r="B264" t="s">
        <v>225</v>
      </c>
    </row>
    <row r="265">
      <c r="A265" t="s">
        <v>1969</v>
      </c>
      <c r="B265" t="s">
        <v>253</v>
      </c>
    </row>
    <row r="266">
      <c r="A266" t="s">
        <v>1969</v>
      </c>
      <c r="B266" t="s">
        <v>1309</v>
      </c>
    </row>
    <row r="267">
      <c r="A267" t="s">
        <v>1969</v>
      </c>
      <c r="B267" t="s">
        <v>1301</v>
      </c>
    </row>
    <row r="268">
      <c r="A268" t="s">
        <v>1969</v>
      </c>
      <c r="B268" t="s">
        <v>1286</v>
      </c>
    </row>
    <row r="269">
      <c r="A269" t="s">
        <v>1969</v>
      </c>
      <c r="B269" t="s">
        <v>1389</v>
      </c>
    </row>
    <row r="270">
      <c r="A270" t="s">
        <v>1969</v>
      </c>
      <c r="B270" t="s">
        <v>1409</v>
      </c>
    </row>
    <row r="271">
      <c r="A271" t="s">
        <v>1969</v>
      </c>
      <c r="B271" t="s">
        <v>1063</v>
      </c>
    </row>
    <row r="272">
      <c r="A272" t="s">
        <v>1969</v>
      </c>
      <c r="B272" t="s">
        <v>1049</v>
      </c>
    </row>
    <row r="273">
      <c r="A273" t="s">
        <v>1969</v>
      </c>
      <c r="B273" t="s">
        <v>1057</v>
      </c>
    </row>
    <row r="274">
      <c r="A274" t="s">
        <v>1969</v>
      </c>
      <c r="B274" t="s">
        <v>1028</v>
      </c>
    </row>
    <row r="275">
      <c r="A275" t="s">
        <v>1969</v>
      </c>
      <c r="B275" t="s">
        <v>1021</v>
      </c>
    </row>
    <row r="276">
      <c r="A276" t="s">
        <v>1969</v>
      </c>
      <c r="B276" t="s">
        <v>1427</v>
      </c>
    </row>
    <row r="277">
      <c r="A277" t="s">
        <v>1969</v>
      </c>
      <c r="B277" t="s">
        <v>1452</v>
      </c>
    </row>
    <row r="278">
      <c r="A278" t="s">
        <v>1969</v>
      </c>
      <c r="B278" t="s">
        <v>1931</v>
      </c>
    </row>
    <row r="279">
      <c r="A279" t="s">
        <v>1969</v>
      </c>
      <c r="B279" t="s">
        <v>1923</v>
      </c>
    </row>
    <row r="280">
      <c r="A280" t="s">
        <v>1969</v>
      </c>
      <c r="B280" t="s">
        <v>1948</v>
      </c>
    </row>
    <row r="281">
      <c r="A281" t="s">
        <v>1970</v>
      </c>
      <c r="B281" t="s">
        <v>1971</v>
      </c>
    </row>
    <row r="282">
      <c r="A282" t="s">
        <v>1970</v>
      </c>
      <c r="B282" t="s">
        <v>1972</v>
      </c>
    </row>
    <row r="283">
      <c r="A283" t="s">
        <v>1970</v>
      </c>
      <c r="B283" t="s">
        <v>1973</v>
      </c>
    </row>
    <row r="284">
      <c r="A284" t="s">
        <v>1974</v>
      </c>
      <c r="B284" t="s">
        <v>1975</v>
      </c>
    </row>
    <row r="285">
      <c r="A285" t="s">
        <v>1974</v>
      </c>
      <c r="B285" t="s">
        <v>1976</v>
      </c>
    </row>
    <row r="286">
      <c r="A286" t="s">
        <v>1974</v>
      </c>
      <c r="B286" t="s">
        <v>1977</v>
      </c>
    </row>
    <row r="287">
      <c r="A287" t="s">
        <v>1978</v>
      </c>
      <c r="B287" t="s">
        <v>1979</v>
      </c>
    </row>
    <row r="288">
      <c r="A288" t="s">
        <v>1978</v>
      </c>
      <c r="B288" t="s">
        <v>1980</v>
      </c>
    </row>
    <row r="289">
      <c r="A289" t="s">
        <v>1978</v>
      </c>
      <c r="B289" t="s">
        <v>1981</v>
      </c>
    </row>
    <row r="290">
      <c r="A290" t="s">
        <v>1978</v>
      </c>
      <c r="B290" t="s">
        <v>1982</v>
      </c>
    </row>
    <row r="291">
      <c r="A291" t="s">
        <v>1978</v>
      </c>
      <c r="B291" t="s">
        <v>1983</v>
      </c>
    </row>
    <row r="292">
      <c r="A292" t="s">
        <v>1978</v>
      </c>
      <c r="B292" t="s">
        <v>1984</v>
      </c>
    </row>
    <row r="293">
      <c r="A293" t="s">
        <v>1978</v>
      </c>
      <c r="B293" t="s">
        <v>1985</v>
      </c>
    </row>
    <row r="294">
      <c r="A294" t="s">
        <v>87</v>
      </c>
      <c r="B294" t="s">
        <v>1986</v>
      </c>
    </row>
    <row r="295">
      <c r="A295" t="s">
        <v>87</v>
      </c>
      <c r="B295" t="s">
        <v>1987</v>
      </c>
    </row>
    <row r="296">
      <c r="A296" t="s">
        <v>87</v>
      </c>
      <c r="B296" t="s">
        <v>1988</v>
      </c>
    </row>
    <row r="297">
      <c r="A297" t="s">
        <v>87</v>
      </c>
      <c r="B297" t="s">
        <v>1989</v>
      </c>
    </row>
    <row r="298">
      <c r="A298" t="s">
        <v>1990</v>
      </c>
      <c r="B298" t="s">
        <v>1991</v>
      </c>
    </row>
    <row r="299">
      <c r="A299" t="s">
        <v>1990</v>
      </c>
      <c r="B299" t="s">
        <v>1992</v>
      </c>
    </row>
    <row r="300">
      <c r="A300" t="s">
        <v>1990</v>
      </c>
      <c r="B300" t="s">
        <v>1993</v>
      </c>
    </row>
    <row r="301">
      <c r="A301" t="s">
        <v>1990</v>
      </c>
      <c r="B301" t="s">
        <v>1994</v>
      </c>
    </row>
    <row r="302">
      <c r="A302" t="s">
        <v>1990</v>
      </c>
      <c r="B302" t="s">
        <v>1995</v>
      </c>
    </row>
    <row r="303">
      <c r="A303" t="s">
        <v>1996</v>
      </c>
      <c r="B303" t="s">
        <v>1971</v>
      </c>
    </row>
    <row r="304">
      <c r="A304" t="s">
        <v>1996</v>
      </c>
      <c r="B304" t="s">
        <v>1997</v>
      </c>
    </row>
    <row r="305">
      <c r="A305" t="s">
        <v>1996</v>
      </c>
      <c r="B305" t="s">
        <v>1998</v>
      </c>
    </row>
    <row r="306">
      <c r="A306" t="s">
        <v>1996</v>
      </c>
      <c r="B306" t="s">
        <v>1972</v>
      </c>
    </row>
    <row r="307">
      <c r="A307" t="s">
        <v>1996</v>
      </c>
      <c r="B307" t="s">
        <v>1999</v>
      </c>
    </row>
    <row r="308">
      <c r="A308" t="s">
        <v>1996</v>
      </c>
      <c r="B308" t="s">
        <v>1995</v>
      </c>
    </row>
    <row r="309">
      <c r="A309" t="s">
        <v>2000</v>
      </c>
      <c r="B309" t="s">
        <v>2001</v>
      </c>
    </row>
    <row r="310">
      <c r="A310" t="s">
        <v>2000</v>
      </c>
      <c r="B310" t="s">
        <v>2002</v>
      </c>
    </row>
    <row r="311">
      <c r="A311" t="s">
        <v>2003</v>
      </c>
      <c r="B311" t="s">
        <v>2001</v>
      </c>
    </row>
    <row r="312">
      <c r="A312" t="s">
        <v>2003</v>
      </c>
      <c r="B312" t="s">
        <v>2002</v>
      </c>
    </row>
    <row r="313">
      <c r="A313" t="s">
        <v>1963</v>
      </c>
      <c r="B313" t="s">
        <v>2004</v>
      </c>
    </row>
    <row r="314">
      <c r="A314" t="s">
        <v>1963</v>
      </c>
      <c r="B314" t="s">
        <v>2005</v>
      </c>
    </row>
    <row r="315">
      <c r="A315" t="s">
        <v>1963</v>
      </c>
      <c r="B315" t="s">
        <v>2006</v>
      </c>
    </row>
    <row r="316">
      <c r="A316" t="s">
        <v>1963</v>
      </c>
      <c r="B316" t="s">
        <v>2007</v>
      </c>
    </row>
    <row r="317">
      <c r="A317" t="s">
        <v>1963</v>
      </c>
      <c r="B317" t="s">
        <v>2008</v>
      </c>
    </row>
    <row r="318">
      <c r="A318" t="s">
        <v>1963</v>
      </c>
      <c r="B318" t="s">
        <v>2009</v>
      </c>
    </row>
    <row r="319">
      <c r="A319" t="s">
        <v>1963</v>
      </c>
      <c r="B319" t="s">
        <v>2010</v>
      </c>
    </row>
    <row r="320">
      <c r="A320" t="s">
        <v>1963</v>
      </c>
      <c r="B320" t="s">
        <v>2011</v>
      </c>
    </row>
    <row r="321">
      <c r="A321" t="s">
        <v>1963</v>
      </c>
      <c r="B321" t="s">
        <v>2012</v>
      </c>
    </row>
    <row r="322">
      <c r="A322" t="s">
        <v>1963</v>
      </c>
      <c r="B322" t="s">
        <v>2013</v>
      </c>
    </row>
    <row r="323">
      <c r="A323" t="s">
        <v>1963</v>
      </c>
      <c r="B323" t="s">
        <v>2014</v>
      </c>
    </row>
    <row r="324" ht="42">
      <c r="A324" s="25" t="s">
        <v>1963</v>
      </c>
      <c r="B324" s="25" t="s">
        <v>2015</v>
      </c>
    </row>
    <row r="325" ht="42">
      <c r="A325" s="25" t="s">
        <v>1963</v>
      </c>
      <c r="B325" s="25" t="s">
        <v>2016</v>
      </c>
    </row>
    <row r="326" ht="42">
      <c r="A326" s="25" t="s">
        <v>1963</v>
      </c>
      <c r="B326" s="25" t="s">
        <v>2017</v>
      </c>
    </row>
    <row r="327" ht="56">
      <c r="A327" s="25" t="s">
        <v>1963</v>
      </c>
      <c r="B327" s="25" t="s">
        <v>2018</v>
      </c>
    </row>
    <row r="328" ht="42">
      <c r="A328" s="25" t="s">
        <v>1963</v>
      </c>
      <c r="B328" s="25" t="s">
        <v>2019</v>
      </c>
    </row>
    <row r="329" ht="42">
      <c r="A329" s="25" t="s">
        <v>1963</v>
      </c>
      <c r="B329" s="25" t="s">
        <v>2020</v>
      </c>
    </row>
    <row r="330" ht="42">
      <c r="A330" s="25" t="s">
        <v>1963</v>
      </c>
      <c r="B330" s="25" t="s">
        <v>2021</v>
      </c>
    </row>
    <row r="331" ht="56">
      <c r="A331" s="25" t="s">
        <v>1963</v>
      </c>
      <c r="B331" s="25" t="s">
        <v>2022</v>
      </c>
    </row>
    <row r="332" ht="42">
      <c r="A332" s="25" t="s">
        <v>1963</v>
      </c>
      <c r="B332" s="25" t="s">
        <v>2023</v>
      </c>
    </row>
    <row r="333" ht="56">
      <c r="A333" s="25" t="s">
        <v>1963</v>
      </c>
      <c r="B333" s="25" t="s">
        <v>2024</v>
      </c>
    </row>
    <row r="334" ht="42">
      <c r="A334" s="25" t="s">
        <v>1963</v>
      </c>
      <c r="B334" s="25" t="s">
        <v>2025</v>
      </c>
    </row>
    <row r="335" ht="56">
      <c r="A335" s="25" t="s">
        <v>1963</v>
      </c>
      <c r="B335" s="25" t="s">
        <v>2026</v>
      </c>
    </row>
    <row r="336" ht="56">
      <c r="A336" s="25" t="s">
        <v>1963</v>
      </c>
      <c r="B336" s="25" t="s">
        <v>2027</v>
      </c>
    </row>
    <row r="337" ht="56">
      <c r="A337" s="25" t="s">
        <v>87</v>
      </c>
      <c r="B337" s="25" t="s">
        <v>2028</v>
      </c>
    </row>
    <row r="338" ht="56">
      <c r="A338" s="25" t="s">
        <v>87</v>
      </c>
      <c r="B338" s="25" t="s">
        <v>2029</v>
      </c>
    </row>
    <row r="339" ht="56">
      <c r="A339" s="25" t="s">
        <v>87</v>
      </c>
      <c r="B339" s="25" t="s">
        <v>2030</v>
      </c>
    </row>
    <row r="340" ht="56">
      <c r="A340" s="25" t="s">
        <v>87</v>
      </c>
      <c r="B340" s="25" t="s">
        <v>2031</v>
      </c>
    </row>
    <row r="341" ht="42">
      <c r="A341" s="25" t="s">
        <v>87</v>
      </c>
      <c r="B341" s="25" t="s">
        <v>2032</v>
      </c>
    </row>
    <row r="342" ht="42">
      <c r="A342" s="25" t="s">
        <v>87</v>
      </c>
      <c r="B342" s="25" t="s">
        <v>2033</v>
      </c>
    </row>
    <row r="343" ht="70">
      <c r="A343" s="25" t="s">
        <v>87</v>
      </c>
      <c r="B343" s="25" t="s">
        <v>2034</v>
      </c>
    </row>
    <row r="344" ht="42">
      <c r="A344" s="25" t="s">
        <v>87</v>
      </c>
      <c r="B344" s="25" t="s">
        <v>2035</v>
      </c>
    </row>
    <row r="345" ht="56">
      <c r="A345" s="25" t="s">
        <v>87</v>
      </c>
      <c r="B345" s="25" t="s">
        <v>2036</v>
      </c>
    </row>
    <row r="346" ht="56">
      <c r="A346" s="25" t="s">
        <v>87</v>
      </c>
      <c r="B346" s="25" t="s">
        <v>2037</v>
      </c>
    </row>
    <row r="347" ht="84">
      <c r="A347" s="25" t="s">
        <v>87</v>
      </c>
      <c r="B347" s="25" t="s">
        <v>2038</v>
      </c>
    </row>
    <row r="348" ht="56">
      <c r="A348" s="25" t="s">
        <v>87</v>
      </c>
      <c r="B348" s="25" t="s">
        <v>2039</v>
      </c>
    </row>
    <row r="349" ht="70">
      <c r="A349" s="25" t="s">
        <v>87</v>
      </c>
      <c r="B349" s="25" t="s">
        <v>2040</v>
      </c>
    </row>
    <row r="350" ht="70">
      <c r="A350" s="25" t="s">
        <v>87</v>
      </c>
      <c r="B350" s="25" t="s">
        <v>2041</v>
      </c>
    </row>
    <row r="351">
      <c r="A351" t="s">
        <v>87</v>
      </c>
      <c r="B351" t="s">
        <v>2042</v>
      </c>
    </row>
    <row r="352">
      <c r="A352" t="s">
        <v>87</v>
      </c>
      <c r="B352" t="s">
        <v>2043</v>
      </c>
    </row>
    <row r="353">
      <c r="A353" t="s">
        <v>87</v>
      </c>
      <c r="B353" t="s">
        <v>2044</v>
      </c>
    </row>
    <row r="354">
      <c r="A354" t="s">
        <v>2045</v>
      </c>
      <c r="B354" t="s">
        <v>2046</v>
      </c>
    </row>
    <row r="355">
      <c r="A355" t="s">
        <v>2045</v>
      </c>
      <c r="B355" t="s">
        <v>2047</v>
      </c>
    </row>
    <row r="356">
      <c r="A356" t="s">
        <v>2045</v>
      </c>
      <c r="B356" t="s">
        <v>2048</v>
      </c>
    </row>
    <row r="357">
      <c r="A357" t="s">
        <v>2045</v>
      </c>
      <c r="B357" t="s">
        <v>2049</v>
      </c>
    </row>
    <row r="358">
      <c r="A358" t="s">
        <v>2050</v>
      </c>
      <c r="B358" t="s">
        <v>2051</v>
      </c>
    </row>
    <row r="359">
      <c r="A359" t="s">
        <v>2050</v>
      </c>
      <c r="B359" t="s">
        <v>2052</v>
      </c>
    </row>
    <row r="360">
      <c r="A360" t="s">
        <v>2050</v>
      </c>
      <c r="B360" t="s">
        <v>2053</v>
      </c>
    </row>
    <row r="361">
      <c r="A361" t="s">
        <v>2050</v>
      </c>
      <c r="B361" t="s">
        <v>2054</v>
      </c>
    </row>
    <row r="362">
      <c r="A362" t="s">
        <v>2050</v>
      </c>
      <c r="B362" t="s">
        <v>2055</v>
      </c>
    </row>
    <row r="363">
      <c r="A363" t="s">
        <v>2050</v>
      </c>
      <c r="B363" t="s">
        <v>2056</v>
      </c>
    </row>
    <row r="364">
      <c r="A364" t="s">
        <v>2050</v>
      </c>
      <c r="B364" t="s">
        <v>2057</v>
      </c>
    </row>
    <row r="365">
      <c r="A365" s="74" t="str">
        <v>Domain / Landscape</v>
      </c>
      <c r="B365" s="74" t="str">
        <v>8) Management &amp; Governance</v>
      </c>
    </row>
    <row r="366">
      <c r="A366" s="74" t="str">
        <v>Suite / Platform</v>
      </c>
      <c r="B366" s="74" t="str">
        <v>Management &amp; Governance Suite</v>
      </c>
    </row>
    <row r="367">
      <c r="A367" s="74" t="str">
        <v>Capability Group</v>
      </c>
      <c r="B367" s="74" t="str">
        <v>Enterprise Strategy &amp; Performance Management</v>
      </c>
    </row>
    <row r="368">
      <c r="A368" s="74" t="str">
        <v>Capability Group</v>
      </c>
      <c r="B368" s="74" t="str">
        <v>Delivery &amp; Execution Management</v>
      </c>
    </row>
    <row r="369">
      <c r="A369" s="74" t="str">
        <v>Capability Group</v>
      </c>
      <c r="B369" s="74" t="str">
        <v>Business Process &amp; Operational Management</v>
      </c>
    </row>
    <row r="370">
      <c r="A370" s="74" t="str">
        <v>Capability Group</v>
      </c>
      <c r="B370" s="74" t="str">
        <v>Decisioning, Reviews &amp; Management Cadence</v>
      </c>
    </row>
    <row r="371">
      <c r="A371" s="74" t="str">
        <v>Capability Group</v>
      </c>
      <c r="B371" s="74" t="str">
        <v>Policy, Authority &amp; Organizational Governance</v>
      </c>
    </row>
    <row r="372">
      <c r="A372" s="74" t="str">
        <v>Placement</v>
      </c>
      <c r="B372" s="74" t="str">
        <v>Domain App (Management &amp; Governance)</v>
      </c>
    </row>
    <row r="373">
      <c r="A373" s="74" t="str">
        <v>Release Scope</v>
      </c>
      <c r="B373" s="74" t="str">
        <v>M&amp;G Foundation</v>
      </c>
    </row>
    <row r="374">
      <c r="A374" s="74" t="str">
        <v>Release Scope</v>
      </c>
      <c r="B374" s="74" t="str">
        <v>M&amp;G Core</v>
      </c>
    </row>
    <row r="375">
      <c r="A375" s="74" t="str">
        <v>Release Scope</v>
      </c>
      <c r="B375" s="74" t="str">
        <v>M&amp;G Expansion</v>
      </c>
    </row>
    <row r="376">
      <c r="A376" s="74" t="str">
        <v>Implementation Phase</v>
      </c>
      <c r="B376" s="74" t="str">
        <v>Management Governance Foundation</v>
      </c>
    </row>
    <row r="377">
      <c r="A377" s="74" t="str">
        <v>Implementation Phase</v>
      </c>
      <c r="B377" s="74" t="str">
        <v>Management Governance Core</v>
      </c>
    </row>
    <row r="378">
      <c r="A378" s="74" t="str">
        <v>Implementation Phase</v>
      </c>
      <c r="B378" s="74" t="str">
        <v>Management Governance Expansion</v>
      </c>
    </row>
    <row r="379">
      <c r="A379" s="74" t="str">
        <v>Contract Bundle</v>
      </c>
      <c r="B379" s="74" t="str">
        <v>MG-STRATEGY-BUNDLE</v>
      </c>
    </row>
    <row r="380">
      <c r="A380" s="74" t="str">
        <v>Contract Bundle</v>
      </c>
      <c r="B380" s="74" t="str">
        <v>DWS-BUNDLE</v>
      </c>
    </row>
    <row r="381">
      <c r="A381" s="74" t="str">
        <v>Contract Bundle</v>
      </c>
      <c r="B381" s="74" t="str">
        <v>BPM-MODEL-BUNDLE</v>
      </c>
    </row>
    <row r="382">
      <c r="A382" s="74" t="str">
        <v>Contract Bundle</v>
      </c>
      <c r="B382" s="74" t="str">
        <v>REVIEW-CADENCE-BUNDLE</v>
      </c>
    </row>
    <row r="383">
      <c r="A383" s="74" t="str">
        <v>Contract Bundle</v>
      </c>
      <c r="B383" s="74" t="str">
        <v>AUTHORITY-BUNDLE</v>
      </c>
    </row>
    <row r="384">
      <c r="A384" s="74" t="str">
        <v>Contract Bundle</v>
      </c>
      <c r="B384" s="74" t="str">
        <v>GOVERNANCE-CHARTER-BUNDLE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FormatPr baseColWidth="10" defaultColWidth="8.83203125" defaultRowHeight="13"/>
  <cols>
    <col min="1" max="1" width="22" customWidth="1"/>
    <col min="2" max="2" width="37.83203125" customWidth="1"/>
    <col min="3" max="3" width="34.33203125" customWidth="1"/>
    <col min="4" max="4" width="22" customWidth="1"/>
    <col min="5" max="5" width="30.1640625" customWidth="1"/>
    <col min="6" max="6" width="29" customWidth="1"/>
    <col min="7" max="22" width="30" customWidth="1"/>
  </cols>
  <sheetData>
    <row r="1">
      <c r="A1" t="s">
        <v>2058</v>
      </c>
      <c r="B1" t="s">
        <v>62</v>
      </c>
      <c r="C1" t="s">
        <v>81</v>
      </c>
      <c r="D1" t="s">
        <v>82</v>
      </c>
      <c r="E1" t="s">
        <v>83</v>
      </c>
      <c r="F1" t="s">
        <v>61</v>
      </c>
      <c r="G1" t="s">
        <v>63</v>
      </c>
      <c r="H1" t="s">
        <v>84</v>
      </c>
      <c r="I1" t="s">
        <v>85</v>
      </c>
      <c r="J1" t="s">
        <v>86</v>
      </c>
      <c r="K1" t="s">
        <v>87</v>
      </c>
      <c r="L1" t="s">
        <v>88</v>
      </c>
      <c r="M1" t="s">
        <v>89</v>
      </c>
      <c r="N1" t="s">
        <v>90</v>
      </c>
      <c r="O1" t="s">
        <v>91</v>
      </c>
      <c r="P1" t="s">
        <v>2059</v>
      </c>
      <c r="Q1" t="s">
        <v>1996</v>
      </c>
      <c r="R1" t="s">
        <v>1990</v>
      </c>
      <c r="S1" t="s">
        <v>2060</v>
      </c>
      <c r="T1" t="s">
        <v>2061</v>
      </c>
      <c r="U1" t="s">
        <v>2062</v>
      </c>
      <c r="V1" t="s">
        <v>2063</v>
      </c>
      <c r="W1" t="s">
        <v>64</v>
      </c>
      <c r="X1" t="s">
        <v>2045</v>
      </c>
      <c r="Y1" t="s">
        <v>2064</v>
      </c>
      <c r="Z1" t="s">
        <v>2065</v>
      </c>
      <c r="AA1" t="s">
        <v>2066</v>
      </c>
      <c r="AB1" t="s">
        <v>2067</v>
      </c>
      <c r="AC1" t="s">
        <v>2068</v>
      </c>
      <c r="AD1" t="s">
        <v>2069</v>
      </c>
      <c r="AE1" t="s">
        <v>2003</v>
      </c>
      <c r="AF1" t="s">
        <v>2070</v>
      </c>
      <c r="AG1" t="s">
        <v>2000</v>
      </c>
    </row>
    <row r="2">
      <c r="A2" t="s">
        <v>2071</v>
      </c>
      <c r="B2" t="s">
        <v>92</v>
      </c>
      <c r="C2" t="s">
        <v>93</v>
      </c>
      <c r="D2" t="s">
        <v>94</v>
      </c>
      <c r="E2" t="s">
        <v>95</v>
      </c>
      <c r="F2" t="s">
        <v>96</v>
      </c>
      <c r="G2" t="s">
        <v>129</v>
      </c>
      <c r="H2" t="s">
        <v>98</v>
      </c>
      <c r="I2" t="s">
        <v>99</v>
      </c>
      <c r="J2" t="s">
        <v>100</v>
      </c>
      <c r="K2" t="s">
        <v>101</v>
      </c>
      <c r="L2" t="s">
        <v>102</v>
      </c>
      <c r="M2" t="s">
        <v>103</v>
      </c>
      <c r="N2" t="s">
        <v>2072</v>
      </c>
      <c r="O2" t="s">
        <v>105</v>
      </c>
      <c r="P2" t="s">
        <v>1979</v>
      </c>
      <c r="Q2" t="s">
        <v>1971</v>
      </c>
      <c r="R2" t="s">
        <v>1991</v>
      </c>
      <c r="S2" t="s">
        <v>2073</v>
      </c>
      <c r="T2" t="s">
        <v>2074</v>
      </c>
      <c r="U2" t="s">
        <v>2075</v>
      </c>
      <c r="V2" t="s">
        <v>2076</v>
      </c>
      <c r="W2" t="s">
        <v>2077</v>
      </c>
      <c r="X2" t="s">
        <v>2078</v>
      </c>
      <c r="Y2" t="s">
        <v>1995</v>
      </c>
      <c r="Z2" t="s">
        <v>1995</v>
      </c>
      <c r="AA2" t="s">
        <v>1995</v>
      </c>
      <c r="AB2" t="s">
        <v>1995</v>
      </c>
      <c r="AC2" t="s">
        <v>110</v>
      </c>
      <c r="AD2" t="s">
        <v>102</v>
      </c>
      <c r="AE2" t="s">
        <v>2001</v>
      </c>
      <c r="AG2" t="s">
        <v>2002</v>
      </c>
    </row>
    <row r="3">
      <c r="A3" t="s">
        <v>2079</v>
      </c>
      <c r="B3" t="s">
        <v>92</v>
      </c>
      <c r="C3" t="s">
        <v>93</v>
      </c>
      <c r="D3" t="s">
        <v>94</v>
      </c>
      <c r="E3" t="s">
        <v>95</v>
      </c>
      <c r="F3" t="s">
        <v>106</v>
      </c>
      <c r="G3" t="s">
        <v>97</v>
      </c>
      <c r="H3" t="s">
        <v>107</v>
      </c>
      <c r="I3" t="s">
        <v>108</v>
      </c>
      <c r="J3" t="s">
        <v>109</v>
      </c>
      <c r="K3" t="s">
        <v>101</v>
      </c>
      <c r="L3" t="s">
        <v>110</v>
      </c>
      <c r="M3" t="s">
        <v>111</v>
      </c>
      <c r="N3" t="s">
        <v>2072</v>
      </c>
      <c r="O3" t="s">
        <v>112</v>
      </c>
      <c r="P3" t="s">
        <v>1979</v>
      </c>
      <c r="Q3" t="s">
        <v>1971</v>
      </c>
      <c r="R3" t="s">
        <v>1991</v>
      </c>
      <c r="S3" t="s">
        <v>2073</v>
      </c>
      <c r="T3" t="s">
        <v>2074</v>
      </c>
      <c r="U3" t="s">
        <v>2075</v>
      </c>
      <c r="V3" t="s">
        <v>2080</v>
      </c>
      <c r="W3" t="s">
        <v>2078</v>
      </c>
      <c r="X3" t="s">
        <v>2078</v>
      </c>
      <c r="Y3" t="s">
        <v>1995</v>
      </c>
      <c r="Z3" t="s">
        <v>1995</v>
      </c>
      <c r="AA3" t="s">
        <v>1995</v>
      </c>
      <c r="AB3" t="s">
        <v>1995</v>
      </c>
      <c r="AC3" t="s">
        <v>110</v>
      </c>
      <c r="AD3" t="s">
        <v>110</v>
      </c>
      <c r="AE3" t="s">
        <v>2001</v>
      </c>
      <c r="AG3" t="s">
        <v>2002</v>
      </c>
    </row>
    <row r="4">
      <c r="A4" t="s">
        <v>2081</v>
      </c>
      <c r="B4" t="s">
        <v>92</v>
      </c>
      <c r="C4" t="s">
        <v>93</v>
      </c>
      <c r="D4" t="s">
        <v>94</v>
      </c>
      <c r="E4" t="s">
        <v>95</v>
      </c>
      <c r="F4" t="s">
        <v>113</v>
      </c>
      <c r="G4" t="s">
        <v>97</v>
      </c>
      <c r="H4" t="s">
        <v>106</v>
      </c>
      <c r="I4" t="s">
        <v>114</v>
      </c>
      <c r="J4" t="s">
        <v>115</v>
      </c>
      <c r="K4" t="s">
        <v>101</v>
      </c>
      <c r="L4" t="s">
        <v>116</v>
      </c>
      <c r="M4" t="s">
        <v>117</v>
      </c>
      <c r="N4" t="s">
        <v>2072</v>
      </c>
      <c r="O4" t="s">
        <v>118</v>
      </c>
      <c r="P4" t="s">
        <v>1979</v>
      </c>
      <c r="Q4" t="s">
        <v>1971</v>
      </c>
      <c r="R4" t="s">
        <v>1991</v>
      </c>
      <c r="S4" t="s">
        <v>2073</v>
      </c>
      <c r="T4" t="s">
        <v>2074</v>
      </c>
      <c r="U4" t="s">
        <v>2075</v>
      </c>
      <c r="V4" t="s">
        <v>2082</v>
      </c>
      <c r="W4" t="s">
        <v>2078</v>
      </c>
      <c r="X4" t="s">
        <v>2078</v>
      </c>
      <c r="Y4" t="s">
        <v>1995</v>
      </c>
      <c r="Z4" t="s">
        <v>1995</v>
      </c>
      <c r="AA4" t="s">
        <v>1995</v>
      </c>
      <c r="AB4" t="s">
        <v>1995</v>
      </c>
      <c r="AC4" t="s">
        <v>2083</v>
      </c>
      <c r="AD4" t="s">
        <v>116</v>
      </c>
      <c r="AE4" t="s">
        <v>2001</v>
      </c>
      <c r="AG4" t="s">
        <v>2002</v>
      </c>
    </row>
    <row r="5">
      <c r="A5" t="s">
        <v>2084</v>
      </c>
      <c r="B5" t="s">
        <v>92</v>
      </c>
      <c r="C5" t="s">
        <v>93</v>
      </c>
      <c r="D5" t="s">
        <v>94</v>
      </c>
      <c r="E5" t="s">
        <v>95</v>
      </c>
      <c r="F5" t="s">
        <v>119</v>
      </c>
      <c r="G5" s="15" t="s">
        <v>97</v>
      </c>
      <c r="H5" t="s">
        <v>121</v>
      </c>
      <c r="I5" t="s">
        <v>122</v>
      </c>
      <c r="J5" t="s">
        <v>123</v>
      </c>
      <c r="K5" t="s">
        <v>124</v>
      </c>
      <c r="L5" t="s">
        <v>125</v>
      </c>
      <c r="M5" t="s">
        <v>126</v>
      </c>
      <c r="N5" t="s">
        <v>2072</v>
      </c>
      <c r="O5" t="s">
        <v>118</v>
      </c>
      <c r="P5" t="s">
        <v>1979</v>
      </c>
      <c r="Q5" t="s">
        <v>1971</v>
      </c>
      <c r="R5" t="s">
        <v>1991</v>
      </c>
      <c r="S5" t="s">
        <v>2073</v>
      </c>
      <c r="T5" t="s">
        <v>2074</v>
      </c>
      <c r="U5" t="s">
        <v>2075</v>
      </c>
      <c r="V5" t="s">
        <v>2085</v>
      </c>
      <c r="Y5" t="s">
        <v>1995</v>
      </c>
      <c r="Z5" t="s">
        <v>1995</v>
      </c>
      <c r="AA5" t="s">
        <v>1995</v>
      </c>
      <c r="AB5" t="s">
        <v>1995</v>
      </c>
      <c r="AC5" t="s">
        <v>2086</v>
      </c>
      <c r="AD5" t="s">
        <v>125</v>
      </c>
      <c r="AE5" t="s">
        <v>2001</v>
      </c>
      <c r="AG5" t="s">
        <v>2002</v>
      </c>
    </row>
    <row r="6">
      <c r="A6" t="s">
        <v>2087</v>
      </c>
      <c r="B6" t="s">
        <v>92</v>
      </c>
      <c r="C6" t="s">
        <v>93</v>
      </c>
      <c r="D6" t="s">
        <v>94</v>
      </c>
      <c r="E6" t="s">
        <v>95</v>
      </c>
      <c r="F6" t="s">
        <v>128</v>
      </c>
      <c r="G6" t="s">
        <v>129</v>
      </c>
      <c r="H6" t="s">
        <v>130</v>
      </c>
      <c r="I6" t="s">
        <v>131</v>
      </c>
      <c r="J6" t="s">
        <v>132</v>
      </c>
      <c r="K6" t="s">
        <v>133</v>
      </c>
      <c r="L6" t="s">
        <v>110</v>
      </c>
      <c r="M6" t="s">
        <v>134</v>
      </c>
      <c r="N6" t="s">
        <v>2072</v>
      </c>
      <c r="O6" t="s">
        <v>136</v>
      </c>
      <c r="P6" t="s">
        <v>1979</v>
      </c>
      <c r="Q6" t="s">
        <v>1971</v>
      </c>
      <c r="R6" t="s">
        <v>1991</v>
      </c>
      <c r="S6" t="s">
        <v>2073</v>
      </c>
      <c r="T6" t="s">
        <v>2074</v>
      </c>
      <c r="U6" t="s">
        <v>2075</v>
      </c>
      <c r="V6" t="s">
        <v>2088</v>
      </c>
      <c r="W6" t="s">
        <v>2078</v>
      </c>
      <c r="X6" t="s">
        <v>2078</v>
      </c>
      <c r="Y6" t="s">
        <v>1995</v>
      </c>
      <c r="Z6" t="s">
        <v>1995</v>
      </c>
      <c r="AA6" t="s">
        <v>1995</v>
      </c>
      <c r="AB6" t="s">
        <v>1995</v>
      </c>
      <c r="AC6" t="s">
        <v>110</v>
      </c>
      <c r="AD6" t="s">
        <v>110</v>
      </c>
      <c r="AE6" t="s">
        <v>2001</v>
      </c>
      <c r="AG6" t="s">
        <v>2002</v>
      </c>
    </row>
    <row r="7">
      <c r="A7" t="s">
        <v>2089</v>
      </c>
      <c r="B7" t="s">
        <v>92</v>
      </c>
      <c r="C7" t="s">
        <v>93</v>
      </c>
      <c r="D7" t="s">
        <v>94</v>
      </c>
      <c r="E7" t="s">
        <v>95</v>
      </c>
      <c r="F7" t="s">
        <v>137</v>
      </c>
      <c r="G7" t="s">
        <v>97</v>
      </c>
      <c r="H7" t="s">
        <v>138</v>
      </c>
      <c r="I7" t="s">
        <v>139</v>
      </c>
      <c r="J7" t="s">
        <v>140</v>
      </c>
      <c r="K7" t="s">
        <v>141</v>
      </c>
      <c r="L7" t="s">
        <v>142</v>
      </c>
      <c r="M7" t="s">
        <v>143</v>
      </c>
      <c r="N7" t="s">
        <v>2072</v>
      </c>
      <c r="O7" t="s">
        <v>144</v>
      </c>
      <c r="P7" t="s">
        <v>1979</v>
      </c>
      <c r="Q7" t="s">
        <v>1971</v>
      </c>
      <c r="R7" t="s">
        <v>1991</v>
      </c>
      <c r="S7" t="s">
        <v>2073</v>
      </c>
      <c r="T7" t="s">
        <v>2074</v>
      </c>
      <c r="U7" t="s">
        <v>2075</v>
      </c>
      <c r="V7" t="s">
        <v>2090</v>
      </c>
      <c r="W7" t="s">
        <v>2078</v>
      </c>
      <c r="X7" t="s">
        <v>2078</v>
      </c>
      <c r="Y7" t="s">
        <v>1995</v>
      </c>
      <c r="Z7" t="s">
        <v>1995</v>
      </c>
      <c r="AA7" t="s">
        <v>1995</v>
      </c>
      <c r="AB7" t="s">
        <v>1995</v>
      </c>
      <c r="AC7" t="s">
        <v>2091</v>
      </c>
      <c r="AD7" t="s">
        <v>142</v>
      </c>
      <c r="AE7" t="s">
        <v>2001</v>
      </c>
      <c r="AG7" t="s">
        <v>2002</v>
      </c>
    </row>
    <row r="8">
      <c r="A8" t="s">
        <v>2092</v>
      </c>
      <c r="B8" t="s">
        <v>92</v>
      </c>
      <c r="C8" t="s">
        <v>93</v>
      </c>
      <c r="D8" t="s">
        <v>94</v>
      </c>
      <c r="E8" t="s">
        <v>95</v>
      </c>
      <c r="F8" t="s">
        <v>145</v>
      </c>
      <c r="G8" t="s">
        <v>129</v>
      </c>
      <c r="H8" t="s">
        <v>146</v>
      </c>
      <c r="I8" t="s">
        <v>147</v>
      </c>
      <c r="J8" t="s">
        <v>148</v>
      </c>
      <c r="K8" t="s">
        <v>149</v>
      </c>
      <c r="L8" t="s">
        <v>150</v>
      </c>
      <c r="M8" t="s">
        <v>151</v>
      </c>
      <c r="N8" t="s">
        <v>2072</v>
      </c>
      <c r="O8" t="s">
        <v>136</v>
      </c>
      <c r="P8" t="s">
        <v>1979</v>
      </c>
      <c r="Q8" t="s">
        <v>1971</v>
      </c>
      <c r="R8" t="s">
        <v>1991</v>
      </c>
      <c r="S8" t="s">
        <v>2073</v>
      </c>
      <c r="T8" t="s">
        <v>2074</v>
      </c>
      <c r="U8" t="s">
        <v>2075</v>
      </c>
      <c r="V8" t="s">
        <v>2093</v>
      </c>
      <c r="W8" t="s">
        <v>2077</v>
      </c>
      <c r="X8" t="s">
        <v>2078</v>
      </c>
      <c r="Y8" t="s">
        <v>1995</v>
      </c>
      <c r="Z8" t="s">
        <v>1995</v>
      </c>
      <c r="AA8" t="s">
        <v>1995</v>
      </c>
      <c r="AB8" t="s">
        <v>1995</v>
      </c>
      <c r="AC8" t="s">
        <v>2094</v>
      </c>
      <c r="AD8" t="s">
        <v>150</v>
      </c>
      <c r="AE8" t="s">
        <v>2001</v>
      </c>
      <c r="AG8" t="s">
        <v>2002</v>
      </c>
    </row>
    <row r="9">
      <c r="A9" t="s">
        <v>2095</v>
      </c>
      <c r="B9" t="s">
        <v>92</v>
      </c>
      <c r="C9" t="s">
        <v>93</v>
      </c>
      <c r="D9" t="s">
        <v>94</v>
      </c>
      <c r="E9" t="s">
        <v>95</v>
      </c>
      <c r="F9" t="s">
        <v>153</v>
      </c>
      <c r="G9" t="s">
        <v>154</v>
      </c>
      <c r="H9" t="s">
        <v>155</v>
      </c>
      <c r="I9" t="s">
        <v>156</v>
      </c>
      <c r="J9" t="s">
        <v>157</v>
      </c>
      <c r="K9" t="s">
        <v>158</v>
      </c>
      <c r="L9" t="s">
        <v>110</v>
      </c>
      <c r="M9" t="s">
        <v>159</v>
      </c>
      <c r="N9" t="s">
        <v>2072</v>
      </c>
      <c r="O9" t="s">
        <v>105</v>
      </c>
      <c r="P9" t="s">
        <v>1979</v>
      </c>
      <c r="Q9" t="s">
        <v>1971</v>
      </c>
      <c r="R9" t="s">
        <v>1991</v>
      </c>
      <c r="S9" t="s">
        <v>2073</v>
      </c>
      <c r="T9" t="s">
        <v>2074</v>
      </c>
      <c r="U9" t="s">
        <v>2075</v>
      </c>
      <c r="V9" t="s">
        <v>2096</v>
      </c>
      <c r="Y9" t="s">
        <v>1995</v>
      </c>
      <c r="Z9" t="s">
        <v>1995</v>
      </c>
      <c r="AA9" t="s">
        <v>1995</v>
      </c>
      <c r="AB9" t="s">
        <v>1995</v>
      </c>
      <c r="AC9" t="s">
        <v>110</v>
      </c>
      <c r="AD9" t="s">
        <v>110</v>
      </c>
      <c r="AE9" t="s">
        <v>2001</v>
      </c>
      <c r="AG9" t="s">
        <v>2002</v>
      </c>
    </row>
    <row r="10">
      <c r="A10" t="s">
        <v>2097</v>
      </c>
      <c r="B10" t="s">
        <v>160</v>
      </c>
      <c r="C10" t="s">
        <v>161</v>
      </c>
      <c r="D10" t="s">
        <v>162</v>
      </c>
      <c r="E10" t="s">
        <v>163</v>
      </c>
      <c r="F10" t="s">
        <v>164</v>
      </c>
      <c r="G10" t="s">
        <v>129</v>
      </c>
      <c r="H10" t="s">
        <v>165</v>
      </c>
      <c r="I10" t="s">
        <v>166</v>
      </c>
      <c r="J10" t="s">
        <v>167</v>
      </c>
      <c r="K10" t="s">
        <v>168</v>
      </c>
      <c r="L10" t="s">
        <v>169</v>
      </c>
      <c r="M10" t="s">
        <v>170</v>
      </c>
      <c r="N10" t="s">
        <v>2072</v>
      </c>
      <c r="O10" t="s">
        <v>1964</v>
      </c>
      <c r="P10" t="s">
        <v>1980</v>
      </c>
      <c r="Q10" t="s">
        <v>1971</v>
      </c>
      <c r="R10" t="s">
        <v>1991</v>
      </c>
      <c r="S10" t="s">
        <v>2073</v>
      </c>
      <c r="T10" t="s">
        <v>2074</v>
      </c>
      <c r="U10" t="s">
        <v>2075</v>
      </c>
      <c r="V10" t="s">
        <v>2098</v>
      </c>
      <c r="W10" t="s">
        <v>2077</v>
      </c>
      <c r="X10" t="s">
        <v>2078</v>
      </c>
      <c r="Y10" t="s">
        <v>1995</v>
      </c>
      <c r="Z10" t="s">
        <v>1995</v>
      </c>
      <c r="AA10" t="s">
        <v>1995</v>
      </c>
      <c r="AB10" t="s">
        <v>1995</v>
      </c>
      <c r="AC10" t="s">
        <v>2099</v>
      </c>
      <c r="AD10" t="s">
        <v>169</v>
      </c>
      <c r="AE10" t="s">
        <v>2001</v>
      </c>
      <c r="AG10" t="s">
        <v>2002</v>
      </c>
    </row>
    <row r="11">
      <c r="A11" t="s">
        <v>2100</v>
      </c>
      <c r="B11" t="s">
        <v>160</v>
      </c>
      <c r="C11" t="s">
        <v>161</v>
      </c>
      <c r="D11" t="s">
        <v>162</v>
      </c>
      <c r="E11" t="s">
        <v>163</v>
      </c>
      <c r="F11" t="s">
        <v>172</v>
      </c>
      <c r="G11" t="s">
        <v>129</v>
      </c>
      <c r="H11" t="s">
        <v>2101</v>
      </c>
      <c r="I11" t="s">
        <v>173</v>
      </c>
      <c r="J11" t="s">
        <v>174</v>
      </c>
      <c r="K11" t="s">
        <v>168</v>
      </c>
      <c r="L11" t="s">
        <v>175</v>
      </c>
      <c r="M11" t="s">
        <v>176</v>
      </c>
      <c r="N11" t="s">
        <v>2072</v>
      </c>
      <c r="O11" t="s">
        <v>1964</v>
      </c>
      <c r="P11" t="s">
        <v>1980</v>
      </c>
      <c r="Q11" t="s">
        <v>1971</v>
      </c>
      <c r="R11" t="s">
        <v>1991</v>
      </c>
      <c r="S11" t="s">
        <v>2073</v>
      </c>
      <c r="T11" t="s">
        <v>2074</v>
      </c>
      <c r="U11" t="s">
        <v>2075</v>
      </c>
      <c r="V11" t="s">
        <v>2102</v>
      </c>
      <c r="W11" t="s">
        <v>2078</v>
      </c>
      <c r="X11" t="s">
        <v>2078</v>
      </c>
      <c r="Y11" t="s">
        <v>1995</v>
      </c>
      <c r="Z11" t="s">
        <v>1995</v>
      </c>
      <c r="AA11" t="s">
        <v>1995</v>
      </c>
      <c r="AB11" t="s">
        <v>1995</v>
      </c>
      <c r="AC11" t="s">
        <v>2103</v>
      </c>
      <c r="AD11" t="s">
        <v>175</v>
      </c>
      <c r="AE11" t="s">
        <v>2001</v>
      </c>
      <c r="AG11" t="s">
        <v>2002</v>
      </c>
    </row>
    <row r="12">
      <c r="A12" t="s">
        <v>2104</v>
      </c>
      <c r="B12" t="s">
        <v>160</v>
      </c>
      <c r="C12" t="s">
        <v>161</v>
      </c>
      <c r="D12" t="s">
        <v>162</v>
      </c>
      <c r="E12" t="s">
        <v>163</v>
      </c>
      <c r="F12" t="s">
        <v>177</v>
      </c>
      <c r="G12" t="s">
        <v>154</v>
      </c>
      <c r="H12" t="s">
        <v>178</v>
      </c>
      <c r="I12" t="s">
        <v>179</v>
      </c>
      <c r="J12" t="s">
        <v>180</v>
      </c>
      <c r="K12" t="s">
        <v>181</v>
      </c>
      <c r="L12" t="s">
        <v>182</v>
      </c>
      <c r="M12" t="s">
        <v>183</v>
      </c>
      <c r="N12" t="s">
        <v>2072</v>
      </c>
      <c r="O12" t="s">
        <v>1964</v>
      </c>
      <c r="P12" t="s">
        <v>1980</v>
      </c>
      <c r="Q12" t="s">
        <v>1971</v>
      </c>
      <c r="R12" t="s">
        <v>1991</v>
      </c>
      <c r="S12" t="s">
        <v>2073</v>
      </c>
      <c r="T12" t="s">
        <v>2074</v>
      </c>
      <c r="U12" t="s">
        <v>2075</v>
      </c>
      <c r="V12" t="s">
        <v>2105</v>
      </c>
      <c r="Y12" t="s">
        <v>1995</v>
      </c>
      <c r="Z12" t="s">
        <v>1995</v>
      </c>
      <c r="AA12" t="s">
        <v>1995</v>
      </c>
      <c r="AB12" t="s">
        <v>1995</v>
      </c>
      <c r="AC12" t="s">
        <v>2106</v>
      </c>
      <c r="AD12" t="s">
        <v>182</v>
      </c>
      <c r="AE12" t="s">
        <v>2001</v>
      </c>
      <c r="AG12" t="s">
        <v>2002</v>
      </c>
    </row>
    <row r="13">
      <c r="A13" t="s">
        <v>2107</v>
      </c>
      <c r="B13" t="s">
        <v>160</v>
      </c>
      <c r="C13" t="s">
        <v>161</v>
      </c>
      <c r="D13" t="s">
        <v>162</v>
      </c>
      <c r="E13" t="s">
        <v>163</v>
      </c>
      <c r="F13" t="s">
        <v>184</v>
      </c>
      <c r="G13" t="s">
        <v>129</v>
      </c>
      <c r="H13" t="s">
        <v>164</v>
      </c>
      <c r="I13" t="s">
        <v>185</v>
      </c>
      <c r="J13" t="s">
        <v>186</v>
      </c>
      <c r="K13" t="s">
        <v>181</v>
      </c>
      <c r="L13" t="s">
        <v>187</v>
      </c>
      <c r="M13" t="s">
        <v>188</v>
      </c>
      <c r="N13" t="s">
        <v>2072</v>
      </c>
      <c r="O13" t="s">
        <v>1964</v>
      </c>
      <c r="P13" t="s">
        <v>1980</v>
      </c>
      <c r="Q13" t="s">
        <v>1971</v>
      </c>
      <c r="R13" t="s">
        <v>1991</v>
      </c>
      <c r="S13" t="s">
        <v>2073</v>
      </c>
      <c r="T13" t="s">
        <v>2074</v>
      </c>
      <c r="U13" t="s">
        <v>2075</v>
      </c>
      <c r="V13" t="s">
        <v>2108</v>
      </c>
      <c r="W13" t="s">
        <v>2078</v>
      </c>
      <c r="X13" t="s">
        <v>2078</v>
      </c>
      <c r="Y13" t="s">
        <v>1995</v>
      </c>
      <c r="Z13" t="s">
        <v>1995</v>
      </c>
      <c r="AA13" t="s">
        <v>1995</v>
      </c>
      <c r="AB13" t="s">
        <v>1995</v>
      </c>
      <c r="AC13" t="s">
        <v>2109</v>
      </c>
      <c r="AD13" t="s">
        <v>187</v>
      </c>
      <c r="AE13" t="s">
        <v>2001</v>
      </c>
      <c r="AG13" t="s">
        <v>2002</v>
      </c>
    </row>
    <row r="14">
      <c r="A14" t="s">
        <v>2110</v>
      </c>
      <c r="B14" t="s">
        <v>160</v>
      </c>
      <c r="C14" t="s">
        <v>161</v>
      </c>
      <c r="D14" t="s">
        <v>190</v>
      </c>
      <c r="E14" t="s">
        <v>191</v>
      </c>
      <c r="F14" t="s">
        <v>192</v>
      </c>
      <c r="G14" t="s">
        <v>129</v>
      </c>
      <c r="H14" t="s">
        <v>172</v>
      </c>
      <c r="I14" t="s">
        <v>193</v>
      </c>
      <c r="J14" t="s">
        <v>194</v>
      </c>
      <c r="K14" t="s">
        <v>195</v>
      </c>
      <c r="L14" t="s">
        <v>110</v>
      </c>
      <c r="M14" t="s">
        <v>196</v>
      </c>
      <c r="N14" t="s">
        <v>2072</v>
      </c>
      <c r="O14" t="s">
        <v>105</v>
      </c>
      <c r="P14" t="s">
        <v>1979</v>
      </c>
      <c r="Q14" t="s">
        <v>1971</v>
      </c>
      <c r="R14" t="s">
        <v>1991</v>
      </c>
      <c r="S14" t="s">
        <v>2073</v>
      </c>
      <c r="T14" t="s">
        <v>2074</v>
      </c>
      <c r="U14" t="s">
        <v>2075</v>
      </c>
      <c r="V14" t="s">
        <v>2111</v>
      </c>
      <c r="W14" t="s">
        <v>2078</v>
      </c>
      <c r="X14" t="s">
        <v>2078</v>
      </c>
      <c r="Y14" t="s">
        <v>1995</v>
      </c>
      <c r="Z14" t="s">
        <v>1995</v>
      </c>
      <c r="AA14" t="s">
        <v>1995</v>
      </c>
      <c r="AB14" t="s">
        <v>1995</v>
      </c>
      <c r="AC14" t="s">
        <v>110</v>
      </c>
      <c r="AD14" t="s">
        <v>110</v>
      </c>
      <c r="AE14" t="s">
        <v>2001</v>
      </c>
      <c r="AG14" t="s">
        <v>2002</v>
      </c>
    </row>
    <row r="15">
      <c r="A15" t="s">
        <v>2112</v>
      </c>
      <c r="B15" t="s">
        <v>160</v>
      </c>
      <c r="C15" t="s">
        <v>161</v>
      </c>
      <c r="D15" t="s">
        <v>190</v>
      </c>
      <c r="E15" t="s">
        <v>191</v>
      </c>
      <c r="F15" t="s">
        <v>198</v>
      </c>
      <c r="G15" t="s">
        <v>129</v>
      </c>
      <c r="H15" t="s">
        <v>192</v>
      </c>
      <c r="I15" t="s">
        <v>199</v>
      </c>
      <c r="J15" t="s">
        <v>200</v>
      </c>
      <c r="K15" t="s">
        <v>201</v>
      </c>
      <c r="L15" t="s">
        <v>110</v>
      </c>
      <c r="M15" t="s">
        <v>202</v>
      </c>
      <c r="N15" t="s">
        <v>2072</v>
      </c>
      <c r="O15" t="s">
        <v>105</v>
      </c>
      <c r="P15" t="s">
        <v>1979</v>
      </c>
      <c r="Q15" t="s">
        <v>1971</v>
      </c>
      <c r="R15" t="s">
        <v>1991</v>
      </c>
      <c r="S15" t="s">
        <v>2073</v>
      </c>
      <c r="T15" t="s">
        <v>2074</v>
      </c>
      <c r="U15" t="s">
        <v>2075</v>
      </c>
      <c r="V15" t="s">
        <v>2113</v>
      </c>
      <c r="W15" t="s">
        <v>2077</v>
      </c>
      <c r="X15" t="s">
        <v>2078</v>
      </c>
      <c r="Y15" t="s">
        <v>1995</v>
      </c>
      <c r="Z15" t="s">
        <v>1995</v>
      </c>
      <c r="AA15" t="s">
        <v>1995</v>
      </c>
      <c r="AB15" t="s">
        <v>1995</v>
      </c>
      <c r="AC15" t="s">
        <v>110</v>
      </c>
      <c r="AD15" t="s">
        <v>110</v>
      </c>
      <c r="AE15" t="s">
        <v>2001</v>
      </c>
      <c r="AG15" t="s">
        <v>2002</v>
      </c>
    </row>
    <row r="16">
      <c r="A16" t="s">
        <v>2114</v>
      </c>
      <c r="B16" t="s">
        <v>160</v>
      </c>
      <c r="C16" t="s">
        <v>161</v>
      </c>
      <c r="D16" t="s">
        <v>190</v>
      </c>
      <c r="E16" t="s">
        <v>191</v>
      </c>
      <c r="F16" t="s">
        <v>204</v>
      </c>
      <c r="G16" t="s">
        <v>154</v>
      </c>
      <c r="H16" t="s">
        <v>205</v>
      </c>
      <c r="I16" t="s">
        <v>206</v>
      </c>
      <c r="J16" t="s">
        <v>207</v>
      </c>
      <c r="K16" t="s">
        <v>208</v>
      </c>
      <c r="L16" t="s">
        <v>209</v>
      </c>
      <c r="M16" t="s">
        <v>210</v>
      </c>
      <c r="N16" t="s">
        <v>2072</v>
      </c>
      <c r="O16" t="s">
        <v>1967</v>
      </c>
      <c r="P16" t="s">
        <v>1980</v>
      </c>
      <c r="Q16" t="s">
        <v>1971</v>
      </c>
      <c r="R16" t="s">
        <v>1991</v>
      </c>
      <c r="S16" t="s">
        <v>2073</v>
      </c>
      <c r="T16" t="s">
        <v>2074</v>
      </c>
      <c r="U16" t="s">
        <v>2075</v>
      </c>
      <c r="Y16" t="s">
        <v>1995</v>
      </c>
      <c r="Z16" t="s">
        <v>1995</v>
      </c>
      <c r="AA16" t="s">
        <v>1995</v>
      </c>
      <c r="AB16" t="s">
        <v>1995</v>
      </c>
      <c r="AC16" t="s">
        <v>2115</v>
      </c>
      <c r="AD16" t="s">
        <v>209</v>
      </c>
      <c r="AE16" t="s">
        <v>2002</v>
      </c>
      <c r="AF16" t="s">
        <v>2116</v>
      </c>
      <c r="AG16" t="s">
        <v>2002</v>
      </c>
    </row>
    <row r="17">
      <c r="A17" t="s">
        <v>2117</v>
      </c>
      <c r="B17" t="s">
        <v>160</v>
      </c>
      <c r="C17" t="s">
        <v>161</v>
      </c>
      <c r="D17" t="s">
        <v>190</v>
      </c>
      <c r="E17" t="s">
        <v>191</v>
      </c>
      <c r="F17" t="s">
        <v>211</v>
      </c>
      <c r="G17" t="s">
        <v>120</v>
      </c>
      <c r="H17" t="s">
        <v>204</v>
      </c>
      <c r="I17" t="s">
        <v>212</v>
      </c>
      <c r="J17" t="s">
        <v>213</v>
      </c>
      <c r="K17" t="s">
        <v>208</v>
      </c>
      <c r="L17" t="s">
        <v>214</v>
      </c>
      <c r="M17" t="s">
        <v>215</v>
      </c>
      <c r="N17" t="s">
        <v>2072</v>
      </c>
      <c r="O17" t="s">
        <v>1967</v>
      </c>
      <c r="P17" t="s">
        <v>1980</v>
      </c>
      <c r="Q17" t="s">
        <v>1971</v>
      </c>
      <c r="R17" t="s">
        <v>1991</v>
      </c>
      <c r="S17" t="s">
        <v>2073</v>
      </c>
      <c r="T17" t="s">
        <v>2074</v>
      </c>
      <c r="U17" t="s">
        <v>2075</v>
      </c>
      <c r="V17" t="s">
        <v>2118</v>
      </c>
      <c r="Y17" t="s">
        <v>1995</v>
      </c>
      <c r="Z17" t="s">
        <v>1995</v>
      </c>
      <c r="AA17" t="s">
        <v>1995</v>
      </c>
      <c r="AB17" t="s">
        <v>1995</v>
      </c>
      <c r="AC17" t="s">
        <v>2119</v>
      </c>
      <c r="AD17" t="s">
        <v>214</v>
      </c>
      <c r="AE17" t="s">
        <v>2001</v>
      </c>
      <c r="AG17" t="s">
        <v>2002</v>
      </c>
    </row>
    <row r="18">
      <c r="A18" t="s">
        <v>2120</v>
      </c>
      <c r="B18" t="s">
        <v>160</v>
      </c>
      <c r="C18" t="s">
        <v>216</v>
      </c>
      <c r="D18" t="s">
        <v>217</v>
      </c>
      <c r="E18" t="s">
        <v>218</v>
      </c>
      <c r="F18" t="s">
        <v>219</v>
      </c>
      <c r="G18" t="s">
        <v>129</v>
      </c>
      <c r="H18" t="s">
        <v>2121</v>
      </c>
      <c r="I18" t="s">
        <v>220</v>
      </c>
      <c r="J18" t="s">
        <v>221</v>
      </c>
      <c r="K18" t="s">
        <v>222</v>
      </c>
      <c r="L18" t="s">
        <v>223</v>
      </c>
      <c r="M18" t="s">
        <v>224</v>
      </c>
      <c r="N18" t="s">
        <v>2072</v>
      </c>
      <c r="O18" t="s">
        <v>1964</v>
      </c>
      <c r="P18" t="s">
        <v>1980</v>
      </c>
      <c r="Q18" t="s">
        <v>1971</v>
      </c>
      <c r="R18" t="s">
        <v>1991</v>
      </c>
      <c r="S18" t="s">
        <v>2073</v>
      </c>
      <c r="T18" t="s">
        <v>2074</v>
      </c>
      <c r="U18" t="s">
        <v>2075</v>
      </c>
      <c r="V18" t="s">
        <v>2122</v>
      </c>
      <c r="W18" t="s">
        <v>2077</v>
      </c>
      <c r="X18" t="s">
        <v>2078</v>
      </c>
      <c r="Y18" t="s">
        <v>1995</v>
      </c>
      <c r="Z18" t="s">
        <v>1995</v>
      </c>
      <c r="AA18" t="s">
        <v>1995</v>
      </c>
      <c r="AB18" t="s">
        <v>1995</v>
      </c>
      <c r="AC18" t="s">
        <v>2123</v>
      </c>
      <c r="AD18" t="s">
        <v>223</v>
      </c>
      <c r="AE18" t="s">
        <v>2001</v>
      </c>
      <c r="AG18" t="s">
        <v>2002</v>
      </c>
    </row>
    <row r="19">
      <c r="A19" t="s">
        <v>2124</v>
      </c>
      <c r="B19" t="s">
        <v>160</v>
      </c>
      <c r="C19" t="s">
        <v>216</v>
      </c>
      <c r="D19" t="s">
        <v>217</v>
      </c>
      <c r="E19" t="s">
        <v>218</v>
      </c>
      <c r="F19" t="s">
        <v>226</v>
      </c>
      <c r="G19" t="s">
        <v>129</v>
      </c>
      <c r="H19" t="s">
        <v>219</v>
      </c>
      <c r="I19" t="s">
        <v>227</v>
      </c>
      <c r="J19" t="s">
        <v>228</v>
      </c>
      <c r="K19" t="s">
        <v>222</v>
      </c>
      <c r="L19" t="s">
        <v>229</v>
      </c>
      <c r="M19" t="s">
        <v>230</v>
      </c>
      <c r="N19" t="s">
        <v>2072</v>
      </c>
      <c r="O19" t="s">
        <v>1964</v>
      </c>
      <c r="P19" t="s">
        <v>1980</v>
      </c>
      <c r="Q19" t="s">
        <v>1971</v>
      </c>
      <c r="R19" t="s">
        <v>1991</v>
      </c>
      <c r="S19" t="s">
        <v>2073</v>
      </c>
      <c r="T19" t="s">
        <v>2074</v>
      </c>
      <c r="U19" t="s">
        <v>2075</v>
      </c>
      <c r="V19" t="s">
        <v>2125</v>
      </c>
      <c r="W19" t="s">
        <v>2077</v>
      </c>
      <c r="X19" t="s">
        <v>2078</v>
      </c>
      <c r="Y19" t="s">
        <v>1995</v>
      </c>
      <c r="Z19" t="s">
        <v>1995</v>
      </c>
      <c r="AA19" t="s">
        <v>1995</v>
      </c>
      <c r="AB19" t="s">
        <v>1995</v>
      </c>
      <c r="AC19" t="s">
        <v>2126</v>
      </c>
      <c r="AD19" t="s">
        <v>229</v>
      </c>
      <c r="AE19" t="s">
        <v>2001</v>
      </c>
      <c r="AG19" t="s">
        <v>2002</v>
      </c>
    </row>
    <row r="20">
      <c r="A20" t="s">
        <v>2127</v>
      </c>
      <c r="B20" t="s">
        <v>160</v>
      </c>
      <c r="C20" t="s">
        <v>216</v>
      </c>
      <c r="D20" t="s">
        <v>217</v>
      </c>
      <c r="E20" t="s">
        <v>218</v>
      </c>
      <c r="F20" t="s">
        <v>231</v>
      </c>
      <c r="G20" t="s">
        <v>154</v>
      </c>
      <c r="H20" t="s">
        <v>232</v>
      </c>
      <c r="I20" t="s">
        <v>233</v>
      </c>
      <c r="J20" t="s">
        <v>234</v>
      </c>
      <c r="K20" t="s">
        <v>222</v>
      </c>
      <c r="L20" t="s">
        <v>235</v>
      </c>
      <c r="M20" t="s">
        <v>236</v>
      </c>
      <c r="N20" t="s">
        <v>2072</v>
      </c>
      <c r="O20" t="s">
        <v>1964</v>
      </c>
      <c r="P20" t="s">
        <v>1980</v>
      </c>
      <c r="Q20" t="s">
        <v>1971</v>
      </c>
      <c r="R20" t="s">
        <v>1991</v>
      </c>
      <c r="S20" t="s">
        <v>2073</v>
      </c>
      <c r="T20" t="s">
        <v>2074</v>
      </c>
      <c r="U20" t="s">
        <v>2075</v>
      </c>
      <c r="V20" t="s">
        <v>2128</v>
      </c>
      <c r="Y20" t="s">
        <v>1995</v>
      </c>
      <c r="Z20" t="s">
        <v>1995</v>
      </c>
      <c r="AA20" t="s">
        <v>1995</v>
      </c>
      <c r="AB20" t="s">
        <v>1995</v>
      </c>
      <c r="AC20" t="s">
        <v>2129</v>
      </c>
      <c r="AD20" t="s">
        <v>235</v>
      </c>
      <c r="AE20" t="s">
        <v>2001</v>
      </c>
      <c r="AG20" t="s">
        <v>2002</v>
      </c>
    </row>
    <row r="21">
      <c r="A21" t="s">
        <v>2130</v>
      </c>
      <c r="B21" t="s">
        <v>160</v>
      </c>
      <c r="C21" t="s">
        <v>216</v>
      </c>
      <c r="D21" t="s">
        <v>238</v>
      </c>
      <c r="E21" t="s">
        <v>239</v>
      </c>
      <c r="F21" t="s">
        <v>240</v>
      </c>
      <c r="G21" t="s">
        <v>154</v>
      </c>
      <c r="H21" t="s">
        <v>241</v>
      </c>
      <c r="I21" t="s">
        <v>242</v>
      </c>
      <c r="J21" t="s">
        <v>243</v>
      </c>
      <c r="K21" t="s">
        <v>244</v>
      </c>
      <c r="L21" t="s">
        <v>245</v>
      </c>
      <c r="M21" t="s">
        <v>246</v>
      </c>
      <c r="N21" t="s">
        <v>2072</v>
      </c>
      <c r="O21" t="s">
        <v>1964</v>
      </c>
      <c r="P21" t="s">
        <v>1980</v>
      </c>
      <c r="Q21" t="s">
        <v>1971</v>
      </c>
      <c r="R21" t="s">
        <v>1991</v>
      </c>
      <c r="S21" t="s">
        <v>2073</v>
      </c>
      <c r="T21" t="s">
        <v>2074</v>
      </c>
      <c r="U21" t="s">
        <v>2075</v>
      </c>
      <c r="V21" t="s">
        <v>2131</v>
      </c>
      <c r="Y21" t="s">
        <v>1995</v>
      </c>
      <c r="Z21" t="s">
        <v>1995</v>
      </c>
      <c r="AA21" t="s">
        <v>1995</v>
      </c>
      <c r="AB21" t="s">
        <v>1995</v>
      </c>
      <c r="AC21" t="s">
        <v>2132</v>
      </c>
      <c r="AD21" t="s">
        <v>245</v>
      </c>
      <c r="AE21" t="s">
        <v>2001</v>
      </c>
      <c r="AG21" t="s">
        <v>2002</v>
      </c>
    </row>
    <row r="22">
      <c r="A22" t="s">
        <v>2133</v>
      </c>
      <c r="B22" t="s">
        <v>160</v>
      </c>
      <c r="C22" t="s">
        <v>216</v>
      </c>
      <c r="D22" t="s">
        <v>238</v>
      </c>
      <c r="E22" t="s">
        <v>239</v>
      </c>
      <c r="F22" t="s">
        <v>248</v>
      </c>
      <c r="G22" t="s">
        <v>129</v>
      </c>
      <c r="H22" t="s">
        <v>219</v>
      </c>
      <c r="I22" t="s">
        <v>249</v>
      </c>
      <c r="J22" t="s">
        <v>250</v>
      </c>
      <c r="K22" t="s">
        <v>244</v>
      </c>
      <c r="L22" t="s">
        <v>251</v>
      </c>
      <c r="M22" t="s">
        <v>252</v>
      </c>
      <c r="N22" t="s">
        <v>2072</v>
      </c>
      <c r="O22" t="s">
        <v>1964</v>
      </c>
      <c r="P22" t="s">
        <v>1980</v>
      </c>
      <c r="Q22" t="s">
        <v>1971</v>
      </c>
      <c r="R22" t="s">
        <v>1991</v>
      </c>
      <c r="S22" t="s">
        <v>2073</v>
      </c>
      <c r="T22" t="s">
        <v>2074</v>
      </c>
      <c r="U22" t="s">
        <v>2075</v>
      </c>
      <c r="V22" t="s">
        <v>2134</v>
      </c>
      <c r="W22" t="s">
        <v>2077</v>
      </c>
      <c r="X22" t="s">
        <v>2078</v>
      </c>
      <c r="Y22" t="s">
        <v>1995</v>
      </c>
      <c r="Z22" t="s">
        <v>1995</v>
      </c>
      <c r="AA22" t="s">
        <v>1995</v>
      </c>
      <c r="AB22" t="s">
        <v>1995</v>
      </c>
      <c r="AC22" t="s">
        <v>2135</v>
      </c>
      <c r="AD22" t="s">
        <v>251</v>
      </c>
      <c r="AE22" t="s">
        <v>2001</v>
      </c>
      <c r="AG22" t="s">
        <v>2002</v>
      </c>
    </row>
    <row r="23">
      <c r="A23" t="s">
        <v>2136</v>
      </c>
      <c r="B23" t="s">
        <v>160</v>
      </c>
      <c r="C23" t="s">
        <v>216</v>
      </c>
      <c r="D23" t="s">
        <v>238</v>
      </c>
      <c r="E23" t="s">
        <v>239</v>
      </c>
      <c r="F23" t="s">
        <v>254</v>
      </c>
      <c r="G23" s="15" t="s">
        <v>97</v>
      </c>
      <c r="H23" t="s">
        <v>2137</v>
      </c>
      <c r="I23" t="s">
        <v>256</v>
      </c>
      <c r="J23" t="s">
        <v>257</v>
      </c>
      <c r="K23" t="s">
        <v>244</v>
      </c>
      <c r="L23" t="s">
        <v>258</v>
      </c>
      <c r="M23" t="s">
        <v>259</v>
      </c>
      <c r="N23" t="s">
        <v>2072</v>
      </c>
      <c r="O23" t="s">
        <v>1964</v>
      </c>
      <c r="P23" t="s">
        <v>1980</v>
      </c>
      <c r="Q23" t="s">
        <v>1971</v>
      </c>
      <c r="R23" t="s">
        <v>1991</v>
      </c>
      <c r="S23" t="s">
        <v>2073</v>
      </c>
      <c r="T23" t="s">
        <v>2074</v>
      </c>
      <c r="U23" t="s">
        <v>2075</v>
      </c>
      <c r="V23" t="s">
        <v>2138</v>
      </c>
      <c r="Y23" t="s">
        <v>1995</v>
      </c>
      <c r="Z23" t="s">
        <v>1995</v>
      </c>
      <c r="AA23" t="s">
        <v>1995</v>
      </c>
      <c r="AB23" t="s">
        <v>1995</v>
      </c>
      <c r="AC23" t="s">
        <v>2139</v>
      </c>
      <c r="AD23" t="s">
        <v>258</v>
      </c>
      <c r="AE23" t="s">
        <v>2001</v>
      </c>
      <c r="AG23" t="s">
        <v>2002</v>
      </c>
    </row>
    <row r="24">
      <c r="A24" t="s">
        <v>2140</v>
      </c>
      <c r="B24" t="s">
        <v>160</v>
      </c>
      <c r="C24" t="s">
        <v>260</v>
      </c>
      <c r="D24" t="s">
        <v>261</v>
      </c>
      <c r="E24" t="s">
        <v>262</v>
      </c>
      <c r="F24" t="s">
        <v>263</v>
      </c>
      <c r="G24" t="s">
        <v>129</v>
      </c>
      <c r="H24" t="s">
        <v>264</v>
      </c>
      <c r="I24" t="s">
        <v>265</v>
      </c>
      <c r="J24" t="s">
        <v>266</v>
      </c>
      <c r="K24" t="s">
        <v>267</v>
      </c>
      <c r="L24" t="s">
        <v>268</v>
      </c>
      <c r="M24" t="s">
        <v>269</v>
      </c>
      <c r="N24" t="s">
        <v>2072</v>
      </c>
      <c r="O24" t="s">
        <v>1964</v>
      </c>
      <c r="P24" t="s">
        <v>1980</v>
      </c>
      <c r="Q24" t="s">
        <v>1971</v>
      </c>
      <c r="R24" t="s">
        <v>1991</v>
      </c>
      <c r="S24" t="s">
        <v>2073</v>
      </c>
      <c r="T24" t="s">
        <v>2074</v>
      </c>
      <c r="U24" t="s">
        <v>2075</v>
      </c>
      <c r="V24" t="s">
        <v>2141</v>
      </c>
      <c r="W24" t="s">
        <v>2077</v>
      </c>
      <c r="X24" t="s">
        <v>2078</v>
      </c>
      <c r="Y24" t="s">
        <v>1995</v>
      </c>
      <c r="Z24" t="s">
        <v>1995</v>
      </c>
      <c r="AA24" t="s">
        <v>1995</v>
      </c>
      <c r="AB24" t="s">
        <v>1995</v>
      </c>
      <c r="AC24" t="s">
        <v>2142</v>
      </c>
      <c r="AD24" t="s">
        <v>268</v>
      </c>
      <c r="AE24" t="s">
        <v>2001</v>
      </c>
      <c r="AG24" t="s">
        <v>2002</v>
      </c>
    </row>
    <row r="25">
      <c r="A25" t="s">
        <v>2143</v>
      </c>
      <c r="B25" t="s">
        <v>160</v>
      </c>
      <c r="C25" t="s">
        <v>260</v>
      </c>
      <c r="D25" t="s">
        <v>261</v>
      </c>
      <c r="E25" t="s">
        <v>262</v>
      </c>
      <c r="F25" t="s">
        <v>271</v>
      </c>
      <c r="G25" t="s">
        <v>97</v>
      </c>
      <c r="H25" t="s">
        <v>272</v>
      </c>
      <c r="I25" t="s">
        <v>273</v>
      </c>
      <c r="J25" t="s">
        <v>274</v>
      </c>
      <c r="K25" t="s">
        <v>267</v>
      </c>
      <c r="L25" t="s">
        <v>275</v>
      </c>
      <c r="M25" t="s">
        <v>276</v>
      </c>
      <c r="N25" t="s">
        <v>2072</v>
      </c>
      <c r="O25" t="s">
        <v>1964</v>
      </c>
      <c r="P25" t="s">
        <v>1980</v>
      </c>
      <c r="Q25" t="s">
        <v>1971</v>
      </c>
      <c r="R25" t="s">
        <v>1991</v>
      </c>
      <c r="S25" t="s">
        <v>2073</v>
      </c>
      <c r="T25" t="s">
        <v>2074</v>
      </c>
      <c r="U25" t="s">
        <v>2075</v>
      </c>
      <c r="V25" t="s">
        <v>2144</v>
      </c>
      <c r="W25" t="s">
        <v>2078</v>
      </c>
      <c r="X25" t="s">
        <v>2078</v>
      </c>
      <c r="Y25" t="s">
        <v>1995</v>
      </c>
      <c r="Z25" t="s">
        <v>1995</v>
      </c>
      <c r="AA25" t="s">
        <v>1995</v>
      </c>
      <c r="AB25" t="s">
        <v>1995</v>
      </c>
      <c r="AC25" t="s">
        <v>2145</v>
      </c>
      <c r="AD25" t="s">
        <v>275</v>
      </c>
      <c r="AE25" t="s">
        <v>2001</v>
      </c>
      <c r="AG25" t="s">
        <v>2002</v>
      </c>
    </row>
    <row r="26">
      <c r="A26" t="s">
        <v>2146</v>
      </c>
      <c r="B26" t="s">
        <v>160</v>
      </c>
      <c r="C26" t="s">
        <v>260</v>
      </c>
      <c r="D26" t="s">
        <v>277</v>
      </c>
      <c r="E26" t="s">
        <v>278</v>
      </c>
      <c r="F26" t="s">
        <v>279</v>
      </c>
      <c r="G26" t="s">
        <v>97</v>
      </c>
      <c r="H26" t="s">
        <v>280</v>
      </c>
      <c r="I26" t="s">
        <v>281</v>
      </c>
      <c r="J26" t="s">
        <v>282</v>
      </c>
      <c r="K26" t="s">
        <v>283</v>
      </c>
      <c r="L26" t="s">
        <v>284</v>
      </c>
      <c r="M26" t="s">
        <v>285</v>
      </c>
      <c r="N26" t="s">
        <v>2072</v>
      </c>
      <c r="O26" t="s">
        <v>1964</v>
      </c>
      <c r="P26" t="s">
        <v>1980</v>
      </c>
      <c r="Q26" t="s">
        <v>1971</v>
      </c>
      <c r="R26" t="s">
        <v>1991</v>
      </c>
      <c r="S26" t="s">
        <v>2073</v>
      </c>
      <c r="T26" t="s">
        <v>2074</v>
      </c>
      <c r="U26" t="s">
        <v>2075</v>
      </c>
      <c r="V26" t="s">
        <v>2147</v>
      </c>
      <c r="W26" t="s">
        <v>2078</v>
      </c>
      <c r="X26" t="s">
        <v>2078</v>
      </c>
      <c r="Y26" t="s">
        <v>1995</v>
      </c>
      <c r="Z26" t="s">
        <v>1995</v>
      </c>
      <c r="AA26" t="s">
        <v>1995</v>
      </c>
      <c r="AB26" t="s">
        <v>1995</v>
      </c>
      <c r="AC26" t="s">
        <v>2148</v>
      </c>
      <c r="AD26" t="s">
        <v>284</v>
      </c>
      <c r="AE26" t="s">
        <v>2001</v>
      </c>
      <c r="AG26" t="s">
        <v>2002</v>
      </c>
    </row>
    <row r="27">
      <c r="A27" t="s">
        <v>2149</v>
      </c>
      <c r="B27" t="s">
        <v>160</v>
      </c>
      <c r="C27" t="s">
        <v>260</v>
      </c>
      <c r="D27" t="s">
        <v>277</v>
      </c>
      <c r="E27" t="s">
        <v>278</v>
      </c>
      <c r="F27" t="s">
        <v>287</v>
      </c>
      <c r="G27" t="s">
        <v>97</v>
      </c>
      <c r="H27" t="s">
        <v>288</v>
      </c>
      <c r="I27" t="s">
        <v>289</v>
      </c>
      <c r="J27" t="s">
        <v>290</v>
      </c>
      <c r="K27" t="s">
        <v>283</v>
      </c>
      <c r="L27" t="s">
        <v>291</v>
      </c>
      <c r="M27" t="s">
        <v>292</v>
      </c>
      <c r="N27" t="s">
        <v>2072</v>
      </c>
      <c r="O27" t="s">
        <v>1964</v>
      </c>
      <c r="P27" t="s">
        <v>1980</v>
      </c>
      <c r="Q27" t="s">
        <v>1971</v>
      </c>
      <c r="R27" t="s">
        <v>1991</v>
      </c>
      <c r="S27" t="s">
        <v>2073</v>
      </c>
      <c r="T27" t="s">
        <v>2074</v>
      </c>
      <c r="U27" t="s">
        <v>2075</v>
      </c>
      <c r="V27" t="s">
        <v>2150</v>
      </c>
      <c r="W27" t="s">
        <v>2078</v>
      </c>
      <c r="X27" t="s">
        <v>2078</v>
      </c>
      <c r="Y27" t="s">
        <v>1995</v>
      </c>
      <c r="Z27" t="s">
        <v>1995</v>
      </c>
      <c r="AA27" t="s">
        <v>1995</v>
      </c>
      <c r="AB27" t="s">
        <v>1995</v>
      </c>
      <c r="AC27" t="s">
        <v>2151</v>
      </c>
      <c r="AD27" t="s">
        <v>291</v>
      </c>
      <c r="AE27" t="s">
        <v>2001</v>
      </c>
      <c r="AG27" t="s">
        <v>2002</v>
      </c>
    </row>
    <row r="28">
      <c r="A28" t="s">
        <v>2152</v>
      </c>
      <c r="B28" t="s">
        <v>160</v>
      </c>
      <c r="C28" t="s">
        <v>260</v>
      </c>
      <c r="D28" t="s">
        <v>293</v>
      </c>
      <c r="E28" t="s">
        <v>294</v>
      </c>
      <c r="F28" t="s">
        <v>295</v>
      </c>
      <c r="G28" t="s">
        <v>97</v>
      </c>
      <c r="H28" t="s">
        <v>2153</v>
      </c>
      <c r="I28" t="s">
        <v>297</v>
      </c>
      <c r="J28" t="s">
        <v>298</v>
      </c>
      <c r="K28" t="s">
        <v>299</v>
      </c>
      <c r="L28" t="s">
        <v>300</v>
      </c>
      <c r="M28" t="s">
        <v>301</v>
      </c>
      <c r="N28" t="s">
        <v>2072</v>
      </c>
      <c r="O28" t="s">
        <v>1964</v>
      </c>
      <c r="P28" t="s">
        <v>1980</v>
      </c>
      <c r="Q28" t="s">
        <v>1971</v>
      </c>
      <c r="R28" t="s">
        <v>1991</v>
      </c>
      <c r="S28" t="s">
        <v>2073</v>
      </c>
      <c r="T28" t="s">
        <v>2074</v>
      </c>
      <c r="U28" t="s">
        <v>2075</v>
      </c>
      <c r="V28" t="s">
        <v>2154</v>
      </c>
      <c r="W28" t="s">
        <v>2078</v>
      </c>
      <c r="X28" t="s">
        <v>2078</v>
      </c>
      <c r="Y28" t="s">
        <v>1995</v>
      </c>
      <c r="Z28" t="s">
        <v>1995</v>
      </c>
      <c r="AA28" t="s">
        <v>1995</v>
      </c>
      <c r="AB28" t="s">
        <v>1995</v>
      </c>
      <c r="AC28" t="s">
        <v>2155</v>
      </c>
      <c r="AD28" t="s">
        <v>300</v>
      </c>
      <c r="AE28" t="s">
        <v>2001</v>
      </c>
      <c r="AG28" t="s">
        <v>2002</v>
      </c>
    </row>
    <row r="29">
      <c r="A29" t="s">
        <v>2156</v>
      </c>
      <c r="B29" t="s">
        <v>160</v>
      </c>
      <c r="C29" t="s">
        <v>303</v>
      </c>
      <c r="D29" t="s">
        <v>304</v>
      </c>
      <c r="E29" t="s">
        <v>305</v>
      </c>
      <c r="F29" t="s">
        <v>2157</v>
      </c>
      <c r="G29" t="s">
        <v>129</v>
      </c>
      <c r="H29" t="s">
        <v>2158</v>
      </c>
      <c r="I29" t="s">
        <v>307</v>
      </c>
      <c r="J29" t="s">
        <v>308</v>
      </c>
      <c r="K29" t="s">
        <v>309</v>
      </c>
      <c r="L29" t="s">
        <v>310</v>
      </c>
      <c r="M29" t="s">
        <v>311</v>
      </c>
      <c r="N29" t="s">
        <v>2072</v>
      </c>
      <c r="O29" t="s">
        <v>1964</v>
      </c>
      <c r="P29" t="s">
        <v>1980</v>
      </c>
      <c r="Q29" t="s">
        <v>1971</v>
      </c>
      <c r="R29" t="s">
        <v>1991</v>
      </c>
      <c r="S29" t="s">
        <v>2073</v>
      </c>
      <c r="T29" t="s">
        <v>2074</v>
      </c>
      <c r="U29" t="s">
        <v>2075</v>
      </c>
      <c r="V29" t="s">
        <v>2159</v>
      </c>
      <c r="W29" t="s">
        <v>2077</v>
      </c>
      <c r="X29" t="s">
        <v>2078</v>
      </c>
      <c r="Y29" t="s">
        <v>1995</v>
      </c>
      <c r="Z29" t="s">
        <v>1995</v>
      </c>
      <c r="AA29" t="s">
        <v>1995</v>
      </c>
      <c r="AB29" t="s">
        <v>1995</v>
      </c>
      <c r="AC29" t="s">
        <v>2160</v>
      </c>
      <c r="AD29" t="s">
        <v>310</v>
      </c>
      <c r="AE29" t="s">
        <v>2001</v>
      </c>
      <c r="AG29" t="s">
        <v>2002</v>
      </c>
    </row>
    <row r="30">
      <c r="A30" t="s">
        <v>2161</v>
      </c>
      <c r="B30" t="s">
        <v>160</v>
      </c>
      <c r="C30" t="s">
        <v>303</v>
      </c>
      <c r="D30" t="s">
        <v>304</v>
      </c>
      <c r="E30" t="s">
        <v>305</v>
      </c>
      <c r="F30" t="s">
        <v>313</v>
      </c>
      <c r="G30" t="s">
        <v>154</v>
      </c>
      <c r="H30" t="s">
        <v>314</v>
      </c>
      <c r="I30" t="s">
        <v>315</v>
      </c>
      <c r="J30" t="s">
        <v>316</v>
      </c>
      <c r="K30" t="s">
        <v>309</v>
      </c>
      <c r="L30" t="s">
        <v>317</v>
      </c>
      <c r="M30" t="s">
        <v>318</v>
      </c>
      <c r="N30" t="s">
        <v>2072</v>
      </c>
      <c r="O30" t="s">
        <v>1964</v>
      </c>
      <c r="P30" t="s">
        <v>1980</v>
      </c>
      <c r="Q30" t="s">
        <v>1971</v>
      </c>
      <c r="R30" t="s">
        <v>1991</v>
      </c>
      <c r="S30" t="s">
        <v>2073</v>
      </c>
      <c r="T30" t="s">
        <v>2074</v>
      </c>
      <c r="U30" t="s">
        <v>2075</v>
      </c>
      <c r="V30" t="s">
        <v>2162</v>
      </c>
      <c r="Y30" t="s">
        <v>1995</v>
      </c>
      <c r="Z30" t="s">
        <v>1995</v>
      </c>
      <c r="AA30" t="s">
        <v>1995</v>
      </c>
      <c r="AB30" t="s">
        <v>1995</v>
      </c>
      <c r="AC30" t="s">
        <v>2163</v>
      </c>
      <c r="AD30" t="s">
        <v>317</v>
      </c>
      <c r="AE30" t="s">
        <v>2001</v>
      </c>
      <c r="AG30" t="s">
        <v>2002</v>
      </c>
    </row>
    <row r="31">
      <c r="A31" t="s">
        <v>2164</v>
      </c>
      <c r="B31" t="s">
        <v>160</v>
      </c>
      <c r="C31" t="s">
        <v>303</v>
      </c>
      <c r="D31" t="s">
        <v>320</v>
      </c>
      <c r="E31" t="s">
        <v>321</v>
      </c>
      <c r="F31" t="s">
        <v>322</v>
      </c>
      <c r="G31" s="15" t="s">
        <v>154</v>
      </c>
      <c r="H31" t="s">
        <v>323</v>
      </c>
      <c r="I31" t="s">
        <v>324</v>
      </c>
      <c r="J31" t="s">
        <v>325</v>
      </c>
      <c r="K31" t="s">
        <v>326</v>
      </c>
      <c r="L31" t="s">
        <v>327</v>
      </c>
      <c r="M31" t="s">
        <v>328</v>
      </c>
      <c r="N31" t="s">
        <v>2072</v>
      </c>
      <c r="O31" t="s">
        <v>1964</v>
      </c>
      <c r="P31" t="s">
        <v>1980</v>
      </c>
      <c r="Q31" t="s">
        <v>1971</v>
      </c>
      <c r="R31" t="s">
        <v>1991</v>
      </c>
      <c r="S31" t="s">
        <v>2073</v>
      </c>
      <c r="T31" t="s">
        <v>2074</v>
      </c>
      <c r="U31" t="s">
        <v>2075</v>
      </c>
      <c r="V31" t="s">
        <v>2165</v>
      </c>
      <c r="Y31" t="s">
        <v>1995</v>
      </c>
      <c r="Z31" t="s">
        <v>1995</v>
      </c>
      <c r="AA31" t="s">
        <v>1995</v>
      </c>
      <c r="AB31" t="s">
        <v>1995</v>
      </c>
      <c r="AC31" t="s">
        <v>2166</v>
      </c>
      <c r="AD31" t="s">
        <v>327</v>
      </c>
      <c r="AE31" t="s">
        <v>2001</v>
      </c>
      <c r="AG31" t="s">
        <v>2002</v>
      </c>
    </row>
    <row r="32">
      <c r="A32" t="s">
        <v>2167</v>
      </c>
      <c r="B32" t="s">
        <v>160</v>
      </c>
      <c r="C32" t="s">
        <v>303</v>
      </c>
      <c r="D32" t="s">
        <v>330</v>
      </c>
      <c r="E32" t="s">
        <v>331</v>
      </c>
      <c r="F32" t="s">
        <v>332</v>
      </c>
      <c r="G32" t="s">
        <v>120</v>
      </c>
      <c r="H32" t="s">
        <v>333</v>
      </c>
      <c r="I32" t="s">
        <v>334</v>
      </c>
      <c r="J32" t="s">
        <v>335</v>
      </c>
      <c r="K32" t="s">
        <v>336</v>
      </c>
      <c r="L32" t="s">
        <v>337</v>
      </c>
      <c r="M32" t="s">
        <v>338</v>
      </c>
      <c r="N32" t="s">
        <v>2072</v>
      </c>
      <c r="O32" t="s">
        <v>1964</v>
      </c>
      <c r="P32" t="s">
        <v>1980</v>
      </c>
      <c r="Q32" t="s">
        <v>1971</v>
      </c>
      <c r="R32" t="s">
        <v>1991</v>
      </c>
      <c r="S32" t="s">
        <v>2073</v>
      </c>
      <c r="T32" t="s">
        <v>2074</v>
      </c>
      <c r="U32" t="s">
        <v>2075</v>
      </c>
      <c r="V32" t="s">
        <v>2168</v>
      </c>
      <c r="Y32" t="s">
        <v>1995</v>
      </c>
      <c r="Z32" t="s">
        <v>1995</v>
      </c>
      <c r="AA32" t="s">
        <v>1995</v>
      </c>
      <c r="AB32" t="s">
        <v>1995</v>
      </c>
      <c r="AC32" t="s">
        <v>2169</v>
      </c>
      <c r="AD32" t="s">
        <v>337</v>
      </c>
      <c r="AE32" t="s">
        <v>2001</v>
      </c>
      <c r="AG32" t="s">
        <v>2002</v>
      </c>
    </row>
    <row r="33">
      <c r="A33" t="s">
        <v>2170</v>
      </c>
      <c r="B33" t="s">
        <v>160</v>
      </c>
      <c r="C33" t="s">
        <v>340</v>
      </c>
      <c r="D33" t="s">
        <v>341</v>
      </c>
      <c r="E33" t="s">
        <v>342</v>
      </c>
      <c r="F33" t="s">
        <v>343</v>
      </c>
      <c r="G33" t="s">
        <v>129</v>
      </c>
      <c r="H33" s="15" t="s">
        <v>2171</v>
      </c>
      <c r="I33" t="s">
        <v>345</v>
      </c>
      <c r="J33" t="s">
        <v>346</v>
      </c>
      <c r="K33" t="s">
        <v>347</v>
      </c>
      <c r="L33" t="s">
        <v>348</v>
      </c>
      <c r="M33" t="s">
        <v>349</v>
      </c>
      <c r="N33" t="s">
        <v>2072</v>
      </c>
      <c r="O33" t="s">
        <v>1964</v>
      </c>
      <c r="P33" t="s">
        <v>1980</v>
      </c>
      <c r="Q33" t="s">
        <v>1971</v>
      </c>
      <c r="R33" t="s">
        <v>1991</v>
      </c>
      <c r="S33" t="s">
        <v>2073</v>
      </c>
      <c r="T33" t="s">
        <v>2074</v>
      </c>
      <c r="U33" t="s">
        <v>2075</v>
      </c>
      <c r="W33" t="s">
        <v>2078</v>
      </c>
      <c r="X33" t="s">
        <v>2078</v>
      </c>
      <c r="Y33" t="s">
        <v>1995</v>
      </c>
      <c r="Z33" t="s">
        <v>1995</v>
      </c>
      <c r="AA33" t="s">
        <v>1995</v>
      </c>
      <c r="AB33" t="s">
        <v>1995</v>
      </c>
      <c r="AC33" t="s">
        <v>2172</v>
      </c>
      <c r="AD33" t="s">
        <v>348</v>
      </c>
      <c r="AE33" t="s">
        <v>2002</v>
      </c>
      <c r="AF33" t="s">
        <v>2173</v>
      </c>
      <c r="AG33" t="s">
        <v>2002</v>
      </c>
    </row>
    <row r="34">
      <c r="A34" t="s">
        <v>2174</v>
      </c>
      <c r="B34" t="s">
        <v>160</v>
      </c>
      <c r="C34" t="s">
        <v>340</v>
      </c>
      <c r="D34" t="s">
        <v>341</v>
      </c>
      <c r="E34" t="s">
        <v>342</v>
      </c>
      <c r="F34" t="s">
        <v>351</v>
      </c>
      <c r="G34" t="s">
        <v>97</v>
      </c>
      <c r="H34" t="s">
        <v>352</v>
      </c>
      <c r="I34" t="s">
        <v>353</v>
      </c>
      <c r="J34" t="s">
        <v>354</v>
      </c>
      <c r="K34" t="s">
        <v>347</v>
      </c>
      <c r="L34" t="s">
        <v>355</v>
      </c>
      <c r="M34" t="s">
        <v>356</v>
      </c>
      <c r="N34" t="s">
        <v>2072</v>
      </c>
      <c r="O34" t="s">
        <v>1964</v>
      </c>
      <c r="P34" t="s">
        <v>1980</v>
      </c>
      <c r="Q34" t="s">
        <v>1971</v>
      </c>
      <c r="R34" t="s">
        <v>1991</v>
      </c>
      <c r="S34" t="s">
        <v>2073</v>
      </c>
      <c r="T34" t="s">
        <v>2074</v>
      </c>
      <c r="U34" t="s">
        <v>2075</v>
      </c>
      <c r="V34" t="s">
        <v>2175</v>
      </c>
      <c r="W34" t="s">
        <v>2078</v>
      </c>
      <c r="X34" t="s">
        <v>2078</v>
      </c>
      <c r="Y34" t="s">
        <v>1995</v>
      </c>
      <c r="Z34" t="s">
        <v>1995</v>
      </c>
      <c r="AA34" t="s">
        <v>1995</v>
      </c>
      <c r="AB34" t="s">
        <v>1995</v>
      </c>
      <c r="AC34" t="s">
        <v>2176</v>
      </c>
      <c r="AD34" t="s">
        <v>355</v>
      </c>
      <c r="AE34" t="s">
        <v>2001</v>
      </c>
      <c r="AG34" t="s">
        <v>2002</v>
      </c>
    </row>
    <row r="35">
      <c r="A35" t="s">
        <v>2177</v>
      </c>
      <c r="B35" t="s">
        <v>160</v>
      </c>
      <c r="C35" t="s">
        <v>340</v>
      </c>
      <c r="D35" t="s">
        <v>341</v>
      </c>
      <c r="E35" t="s">
        <v>342</v>
      </c>
      <c r="F35" t="s">
        <v>357</v>
      </c>
      <c r="G35" t="s">
        <v>97</v>
      </c>
      <c r="H35" t="s">
        <v>358</v>
      </c>
      <c r="I35" t="s">
        <v>359</v>
      </c>
      <c r="J35" t="s">
        <v>360</v>
      </c>
      <c r="K35" t="s">
        <v>347</v>
      </c>
      <c r="L35" t="s">
        <v>361</v>
      </c>
      <c r="M35" t="s">
        <v>362</v>
      </c>
      <c r="N35" t="s">
        <v>2072</v>
      </c>
      <c r="O35" t="s">
        <v>1964</v>
      </c>
      <c r="P35" t="s">
        <v>1980</v>
      </c>
      <c r="Q35" t="s">
        <v>1971</v>
      </c>
      <c r="R35" t="s">
        <v>1991</v>
      </c>
      <c r="S35" t="s">
        <v>2073</v>
      </c>
      <c r="T35" t="s">
        <v>2074</v>
      </c>
      <c r="U35" t="s">
        <v>2075</v>
      </c>
      <c r="V35" t="s">
        <v>2178</v>
      </c>
      <c r="W35" t="s">
        <v>2078</v>
      </c>
      <c r="X35" t="s">
        <v>2078</v>
      </c>
      <c r="Y35" t="s">
        <v>1995</v>
      </c>
      <c r="Z35" t="s">
        <v>1995</v>
      </c>
      <c r="AA35" t="s">
        <v>1995</v>
      </c>
      <c r="AB35" t="s">
        <v>1995</v>
      </c>
      <c r="AC35" t="s">
        <v>2179</v>
      </c>
      <c r="AD35" t="s">
        <v>361</v>
      </c>
      <c r="AE35" t="s">
        <v>2001</v>
      </c>
      <c r="AG35" t="s">
        <v>2002</v>
      </c>
    </row>
    <row r="36">
      <c r="A36" t="s">
        <v>2180</v>
      </c>
      <c r="B36" t="s">
        <v>160</v>
      </c>
      <c r="C36" t="s">
        <v>340</v>
      </c>
      <c r="D36" t="s">
        <v>341</v>
      </c>
      <c r="E36" t="s">
        <v>342</v>
      </c>
      <c r="F36" t="s">
        <v>363</v>
      </c>
      <c r="G36" t="s">
        <v>97</v>
      </c>
      <c r="H36" t="s">
        <v>2181</v>
      </c>
      <c r="I36" t="s">
        <v>365</v>
      </c>
      <c r="J36" t="s">
        <v>366</v>
      </c>
      <c r="K36" t="s">
        <v>347</v>
      </c>
      <c r="L36" t="s">
        <v>367</v>
      </c>
      <c r="M36" t="s">
        <v>368</v>
      </c>
      <c r="N36" t="s">
        <v>2072</v>
      </c>
      <c r="O36" t="s">
        <v>1964</v>
      </c>
      <c r="P36" t="s">
        <v>1980</v>
      </c>
      <c r="Q36" t="s">
        <v>1971</v>
      </c>
      <c r="R36" t="s">
        <v>1991</v>
      </c>
      <c r="S36" t="s">
        <v>2073</v>
      </c>
      <c r="T36" t="s">
        <v>2074</v>
      </c>
      <c r="U36" t="s">
        <v>2075</v>
      </c>
      <c r="V36" t="s">
        <v>2182</v>
      </c>
      <c r="W36" t="s">
        <v>2078</v>
      </c>
      <c r="X36" t="s">
        <v>2078</v>
      </c>
      <c r="Y36" t="s">
        <v>1995</v>
      </c>
      <c r="Z36" t="s">
        <v>1995</v>
      </c>
      <c r="AA36" t="s">
        <v>1995</v>
      </c>
      <c r="AB36" t="s">
        <v>1995</v>
      </c>
      <c r="AC36" t="s">
        <v>2183</v>
      </c>
      <c r="AD36" t="s">
        <v>367</v>
      </c>
      <c r="AE36" t="s">
        <v>2001</v>
      </c>
      <c r="AG36" t="s">
        <v>2002</v>
      </c>
    </row>
    <row r="37">
      <c r="A37" t="s">
        <v>2184</v>
      </c>
      <c r="B37" t="s">
        <v>160</v>
      </c>
      <c r="C37" t="s">
        <v>340</v>
      </c>
      <c r="D37" t="s">
        <v>341</v>
      </c>
      <c r="E37" t="s">
        <v>342</v>
      </c>
      <c r="F37" t="s">
        <v>369</v>
      </c>
      <c r="G37" t="s">
        <v>120</v>
      </c>
      <c r="H37" t="s">
        <v>2185</v>
      </c>
      <c r="I37" t="s">
        <v>371</v>
      </c>
      <c r="J37" t="s">
        <v>372</v>
      </c>
      <c r="K37" t="s">
        <v>347</v>
      </c>
      <c r="L37" t="s">
        <v>373</v>
      </c>
      <c r="M37" t="s">
        <v>374</v>
      </c>
      <c r="N37" t="s">
        <v>2072</v>
      </c>
      <c r="O37" t="s">
        <v>1964</v>
      </c>
      <c r="P37" t="s">
        <v>1980</v>
      </c>
      <c r="Q37" t="s">
        <v>1971</v>
      </c>
      <c r="R37" t="s">
        <v>1991</v>
      </c>
      <c r="S37" t="s">
        <v>2073</v>
      </c>
      <c r="T37" t="s">
        <v>2074</v>
      </c>
      <c r="U37" t="s">
        <v>2075</v>
      </c>
      <c r="V37" t="s">
        <v>2186</v>
      </c>
      <c r="Y37" t="s">
        <v>1995</v>
      </c>
      <c r="Z37" t="s">
        <v>1995</v>
      </c>
      <c r="AA37" t="s">
        <v>1995</v>
      </c>
      <c r="AB37" t="s">
        <v>1995</v>
      </c>
      <c r="AC37" t="s">
        <v>2187</v>
      </c>
      <c r="AD37" t="s">
        <v>373</v>
      </c>
      <c r="AE37" t="s">
        <v>2001</v>
      </c>
      <c r="AG37" t="s">
        <v>2002</v>
      </c>
    </row>
    <row r="38">
      <c r="A38" t="s">
        <v>2188</v>
      </c>
      <c r="B38" t="s">
        <v>160</v>
      </c>
      <c r="C38" t="s">
        <v>340</v>
      </c>
      <c r="D38" t="s">
        <v>376</v>
      </c>
      <c r="E38" t="s">
        <v>377</v>
      </c>
      <c r="F38" t="s">
        <v>378</v>
      </c>
      <c r="G38" t="s">
        <v>97</v>
      </c>
      <c r="H38" t="s">
        <v>379</v>
      </c>
      <c r="I38" t="s">
        <v>380</v>
      </c>
      <c r="J38" t="s">
        <v>381</v>
      </c>
      <c r="K38" t="s">
        <v>382</v>
      </c>
      <c r="L38" t="s">
        <v>383</v>
      </c>
      <c r="M38" t="s">
        <v>384</v>
      </c>
      <c r="N38" t="s">
        <v>2072</v>
      </c>
      <c r="O38" t="s">
        <v>1964</v>
      </c>
      <c r="P38" t="s">
        <v>1980</v>
      </c>
      <c r="Q38" t="s">
        <v>1971</v>
      </c>
      <c r="R38" t="s">
        <v>1991</v>
      </c>
      <c r="S38" t="s">
        <v>2073</v>
      </c>
      <c r="T38" t="s">
        <v>2074</v>
      </c>
      <c r="U38" t="s">
        <v>2075</v>
      </c>
      <c r="V38" t="s">
        <v>2189</v>
      </c>
      <c r="W38" t="s">
        <v>2078</v>
      </c>
      <c r="X38" t="s">
        <v>2078</v>
      </c>
      <c r="Y38" t="s">
        <v>1995</v>
      </c>
      <c r="Z38" t="s">
        <v>1995</v>
      </c>
      <c r="AA38" t="s">
        <v>1995</v>
      </c>
      <c r="AB38" t="s">
        <v>1995</v>
      </c>
      <c r="AC38" t="s">
        <v>2190</v>
      </c>
      <c r="AD38" t="s">
        <v>383</v>
      </c>
      <c r="AE38" t="s">
        <v>2001</v>
      </c>
      <c r="AG38" t="s">
        <v>2002</v>
      </c>
    </row>
    <row r="39">
      <c r="A39" t="s">
        <v>2191</v>
      </c>
      <c r="B39" t="s">
        <v>160</v>
      </c>
      <c r="C39" t="s">
        <v>340</v>
      </c>
      <c r="D39" t="s">
        <v>385</v>
      </c>
      <c r="E39" t="s">
        <v>386</v>
      </c>
      <c r="F39" t="s">
        <v>387</v>
      </c>
      <c r="G39" t="s">
        <v>97</v>
      </c>
      <c r="H39" t="s">
        <v>388</v>
      </c>
      <c r="I39" t="s">
        <v>389</v>
      </c>
      <c r="J39" t="s">
        <v>390</v>
      </c>
      <c r="K39" t="s">
        <v>195</v>
      </c>
      <c r="L39" t="s">
        <v>391</v>
      </c>
      <c r="M39" t="s">
        <v>392</v>
      </c>
      <c r="N39" t="s">
        <v>2072</v>
      </c>
      <c r="O39" t="s">
        <v>105</v>
      </c>
      <c r="P39" t="s">
        <v>1979</v>
      </c>
      <c r="Q39" t="s">
        <v>1971</v>
      </c>
      <c r="R39" t="s">
        <v>1991</v>
      </c>
      <c r="S39" t="s">
        <v>2073</v>
      </c>
      <c r="T39" t="s">
        <v>2074</v>
      </c>
      <c r="U39" t="s">
        <v>2075</v>
      </c>
      <c r="V39" t="s">
        <v>2192</v>
      </c>
      <c r="W39" t="s">
        <v>2078</v>
      </c>
      <c r="X39" t="s">
        <v>2078</v>
      </c>
      <c r="Y39" t="s">
        <v>1995</v>
      </c>
      <c r="Z39" t="s">
        <v>1995</v>
      </c>
      <c r="AA39" t="s">
        <v>1995</v>
      </c>
      <c r="AB39" t="s">
        <v>1995</v>
      </c>
      <c r="AC39" t="s">
        <v>110</v>
      </c>
      <c r="AD39" t="s">
        <v>391</v>
      </c>
      <c r="AE39" t="s">
        <v>2001</v>
      </c>
      <c r="AG39" t="s">
        <v>2002</v>
      </c>
    </row>
    <row r="40">
      <c r="A40" t="s">
        <v>2193</v>
      </c>
      <c r="B40" t="s">
        <v>160</v>
      </c>
      <c r="C40" t="s">
        <v>340</v>
      </c>
      <c r="D40" t="s">
        <v>385</v>
      </c>
      <c r="E40" t="s">
        <v>386</v>
      </c>
      <c r="F40" t="s">
        <v>394</v>
      </c>
      <c r="G40" t="s">
        <v>97</v>
      </c>
      <c r="H40" t="s">
        <v>113</v>
      </c>
      <c r="I40" t="s">
        <v>395</v>
      </c>
      <c r="J40" t="s">
        <v>396</v>
      </c>
      <c r="K40" t="s">
        <v>397</v>
      </c>
      <c r="L40" t="s">
        <v>398</v>
      </c>
      <c r="M40" t="s">
        <v>399</v>
      </c>
      <c r="N40" t="s">
        <v>2072</v>
      </c>
      <c r="O40" t="s">
        <v>105</v>
      </c>
      <c r="P40" t="s">
        <v>1979</v>
      </c>
      <c r="Q40" t="s">
        <v>1971</v>
      </c>
      <c r="R40" t="s">
        <v>1991</v>
      </c>
      <c r="S40" t="s">
        <v>2073</v>
      </c>
      <c r="T40" t="s">
        <v>2074</v>
      </c>
      <c r="U40" t="s">
        <v>2075</v>
      </c>
      <c r="V40" t="s">
        <v>2194</v>
      </c>
      <c r="W40" t="s">
        <v>2078</v>
      </c>
      <c r="X40" t="s">
        <v>2078</v>
      </c>
      <c r="Y40" t="s">
        <v>1995</v>
      </c>
      <c r="Z40" t="s">
        <v>1995</v>
      </c>
      <c r="AA40" t="s">
        <v>1995</v>
      </c>
      <c r="AB40" t="s">
        <v>1995</v>
      </c>
      <c r="AC40" t="s">
        <v>2195</v>
      </c>
      <c r="AD40" t="s">
        <v>398</v>
      </c>
      <c r="AE40" t="s">
        <v>2001</v>
      </c>
      <c r="AG40" t="s">
        <v>2002</v>
      </c>
    </row>
    <row r="41">
      <c r="A41" t="s">
        <v>2196</v>
      </c>
      <c r="B41" t="s">
        <v>160</v>
      </c>
      <c r="C41" t="s">
        <v>340</v>
      </c>
      <c r="D41" t="s">
        <v>385</v>
      </c>
      <c r="E41" t="s">
        <v>386</v>
      </c>
      <c r="F41" t="s">
        <v>400</v>
      </c>
      <c r="G41" t="s">
        <v>97</v>
      </c>
      <c r="H41" t="s">
        <v>401</v>
      </c>
      <c r="I41" t="s">
        <v>402</v>
      </c>
      <c r="J41" t="s">
        <v>403</v>
      </c>
      <c r="K41" t="s">
        <v>195</v>
      </c>
      <c r="L41" t="s">
        <v>404</v>
      </c>
      <c r="M41" t="s">
        <v>405</v>
      </c>
      <c r="N41" t="s">
        <v>2072</v>
      </c>
      <c r="O41" t="s">
        <v>105</v>
      </c>
      <c r="P41" t="s">
        <v>1979</v>
      </c>
      <c r="Q41" t="s">
        <v>1971</v>
      </c>
      <c r="R41" t="s">
        <v>1991</v>
      </c>
      <c r="S41" t="s">
        <v>2073</v>
      </c>
      <c r="T41" t="s">
        <v>2074</v>
      </c>
      <c r="U41" t="s">
        <v>2075</v>
      </c>
      <c r="V41" t="s">
        <v>2197</v>
      </c>
      <c r="W41" t="s">
        <v>2078</v>
      </c>
      <c r="X41" t="s">
        <v>2078</v>
      </c>
      <c r="Y41" t="s">
        <v>1995</v>
      </c>
      <c r="Z41" t="s">
        <v>1995</v>
      </c>
      <c r="AA41" t="s">
        <v>1995</v>
      </c>
      <c r="AB41" t="s">
        <v>1995</v>
      </c>
      <c r="AC41" t="s">
        <v>2198</v>
      </c>
      <c r="AD41" t="s">
        <v>404</v>
      </c>
      <c r="AE41" t="s">
        <v>2001</v>
      </c>
      <c r="AG41" t="s">
        <v>2002</v>
      </c>
    </row>
    <row r="42">
      <c r="A42" t="s">
        <v>2199</v>
      </c>
      <c r="B42" t="s">
        <v>160</v>
      </c>
      <c r="C42" t="s">
        <v>407</v>
      </c>
      <c r="D42" t="s">
        <v>408</v>
      </c>
      <c r="E42" t="s">
        <v>409</v>
      </c>
      <c r="F42" t="s">
        <v>410</v>
      </c>
      <c r="G42" t="s">
        <v>129</v>
      </c>
      <c r="H42" t="s">
        <v>2200</v>
      </c>
      <c r="I42" t="s">
        <v>411</v>
      </c>
      <c r="J42" t="s">
        <v>412</v>
      </c>
      <c r="K42" t="s">
        <v>413</v>
      </c>
      <c r="L42" t="s">
        <v>414</v>
      </c>
      <c r="M42" t="s">
        <v>415</v>
      </c>
      <c r="N42" t="s">
        <v>2072</v>
      </c>
      <c r="O42" t="s">
        <v>1964</v>
      </c>
      <c r="P42" t="s">
        <v>1980</v>
      </c>
      <c r="Q42" t="s">
        <v>1971</v>
      </c>
      <c r="R42" t="s">
        <v>1991</v>
      </c>
      <c r="S42" t="s">
        <v>2073</v>
      </c>
      <c r="T42" t="s">
        <v>2074</v>
      </c>
      <c r="U42" t="s">
        <v>2075</v>
      </c>
      <c r="V42" t="s">
        <v>2201</v>
      </c>
      <c r="W42" t="s">
        <v>2078</v>
      </c>
      <c r="X42" t="s">
        <v>2078</v>
      </c>
      <c r="Y42" t="s">
        <v>1995</v>
      </c>
      <c r="Z42" t="s">
        <v>1995</v>
      </c>
      <c r="AA42" t="s">
        <v>1995</v>
      </c>
      <c r="AB42" t="s">
        <v>1995</v>
      </c>
      <c r="AC42" t="s">
        <v>2202</v>
      </c>
      <c r="AD42" t="s">
        <v>414</v>
      </c>
      <c r="AE42" t="s">
        <v>2001</v>
      </c>
      <c r="AG42" t="s">
        <v>2002</v>
      </c>
    </row>
    <row r="43">
      <c r="A43" t="s">
        <v>2203</v>
      </c>
      <c r="B43" t="s">
        <v>160</v>
      </c>
      <c r="C43" t="s">
        <v>407</v>
      </c>
      <c r="D43" t="s">
        <v>408</v>
      </c>
      <c r="E43" t="s">
        <v>409</v>
      </c>
      <c r="F43" t="s">
        <v>417</v>
      </c>
      <c r="G43" t="s">
        <v>97</v>
      </c>
      <c r="H43" t="s">
        <v>410</v>
      </c>
      <c r="I43" t="s">
        <v>418</v>
      </c>
      <c r="J43" t="s">
        <v>419</v>
      </c>
      <c r="K43" t="s">
        <v>413</v>
      </c>
      <c r="L43" t="s">
        <v>420</v>
      </c>
      <c r="M43" t="s">
        <v>421</v>
      </c>
      <c r="N43" t="s">
        <v>2072</v>
      </c>
      <c r="O43" t="s">
        <v>1964</v>
      </c>
      <c r="P43" t="s">
        <v>1980</v>
      </c>
      <c r="Q43" t="s">
        <v>1971</v>
      </c>
      <c r="R43" t="s">
        <v>1991</v>
      </c>
      <c r="S43" t="s">
        <v>2073</v>
      </c>
      <c r="T43" t="s">
        <v>2074</v>
      </c>
      <c r="U43" t="s">
        <v>2075</v>
      </c>
      <c r="V43" t="s">
        <v>2204</v>
      </c>
      <c r="W43" t="s">
        <v>2078</v>
      </c>
      <c r="X43" t="s">
        <v>2078</v>
      </c>
      <c r="Y43" t="s">
        <v>1995</v>
      </c>
      <c r="Z43" t="s">
        <v>1995</v>
      </c>
      <c r="AA43" t="s">
        <v>1995</v>
      </c>
      <c r="AB43" t="s">
        <v>1995</v>
      </c>
      <c r="AC43" t="s">
        <v>2205</v>
      </c>
      <c r="AD43" t="s">
        <v>420</v>
      </c>
      <c r="AE43" t="s">
        <v>2001</v>
      </c>
      <c r="AG43" t="s">
        <v>2002</v>
      </c>
    </row>
    <row r="44">
      <c r="A44" t="s">
        <v>2206</v>
      </c>
      <c r="B44" t="s">
        <v>160</v>
      </c>
      <c r="C44" t="s">
        <v>407</v>
      </c>
      <c r="D44" t="s">
        <v>408</v>
      </c>
      <c r="E44" t="s">
        <v>409</v>
      </c>
      <c r="F44" t="s">
        <v>423</v>
      </c>
      <c r="G44" t="s">
        <v>154</v>
      </c>
      <c r="H44" t="s">
        <v>424</v>
      </c>
      <c r="I44" t="s">
        <v>425</v>
      </c>
      <c r="J44" t="s">
        <v>426</v>
      </c>
      <c r="K44" t="s">
        <v>427</v>
      </c>
      <c r="L44" t="s">
        <v>428</v>
      </c>
      <c r="M44" t="s">
        <v>429</v>
      </c>
      <c r="N44" t="s">
        <v>2072</v>
      </c>
      <c r="O44" t="s">
        <v>1967</v>
      </c>
      <c r="P44" t="s">
        <v>1980</v>
      </c>
      <c r="Q44" t="s">
        <v>1971</v>
      </c>
      <c r="R44" t="s">
        <v>1991</v>
      </c>
      <c r="S44" t="s">
        <v>2073</v>
      </c>
      <c r="T44" t="s">
        <v>2074</v>
      </c>
      <c r="U44" t="s">
        <v>2075</v>
      </c>
      <c r="V44" t="s">
        <v>2207</v>
      </c>
      <c r="Y44" t="s">
        <v>1995</v>
      </c>
      <c r="Z44" t="s">
        <v>1995</v>
      </c>
      <c r="AA44" t="s">
        <v>1995</v>
      </c>
      <c r="AB44" t="s">
        <v>1995</v>
      </c>
      <c r="AC44" t="s">
        <v>2208</v>
      </c>
      <c r="AD44" t="s">
        <v>428</v>
      </c>
      <c r="AE44" t="s">
        <v>2001</v>
      </c>
      <c r="AG44" t="s">
        <v>2002</v>
      </c>
    </row>
    <row r="45">
      <c r="A45" t="s">
        <v>2209</v>
      </c>
      <c r="B45" t="s">
        <v>160</v>
      </c>
      <c r="C45" t="s">
        <v>407</v>
      </c>
      <c r="D45" t="s">
        <v>430</v>
      </c>
      <c r="E45" t="s">
        <v>431</v>
      </c>
      <c r="F45" t="s">
        <v>432</v>
      </c>
      <c r="G45" t="s">
        <v>154</v>
      </c>
      <c r="H45" t="s">
        <v>433</v>
      </c>
      <c r="I45" t="s">
        <v>434</v>
      </c>
      <c r="J45" t="s">
        <v>435</v>
      </c>
      <c r="K45" t="s">
        <v>436</v>
      </c>
      <c r="L45" t="s">
        <v>437</v>
      </c>
      <c r="M45" t="s">
        <v>438</v>
      </c>
      <c r="N45" t="s">
        <v>2072</v>
      </c>
      <c r="O45" t="s">
        <v>1964</v>
      </c>
      <c r="P45" t="s">
        <v>1980</v>
      </c>
      <c r="Q45" t="s">
        <v>1971</v>
      </c>
      <c r="R45" t="s">
        <v>1991</v>
      </c>
      <c r="S45" t="s">
        <v>2073</v>
      </c>
      <c r="T45" t="s">
        <v>2074</v>
      </c>
      <c r="U45" t="s">
        <v>2075</v>
      </c>
      <c r="V45" t="s">
        <v>2210</v>
      </c>
      <c r="Y45" t="s">
        <v>1995</v>
      </c>
      <c r="Z45" t="s">
        <v>1995</v>
      </c>
      <c r="AA45" t="s">
        <v>1995</v>
      </c>
      <c r="AB45" t="s">
        <v>1995</v>
      </c>
      <c r="AC45" t="s">
        <v>2211</v>
      </c>
      <c r="AD45" t="s">
        <v>437</v>
      </c>
      <c r="AE45" t="s">
        <v>2001</v>
      </c>
      <c r="AG45" t="s">
        <v>2002</v>
      </c>
    </row>
    <row r="46">
      <c r="A46" t="s">
        <v>2212</v>
      </c>
      <c r="B46" t="s">
        <v>160</v>
      </c>
      <c r="C46" t="s">
        <v>407</v>
      </c>
      <c r="D46" t="s">
        <v>430</v>
      </c>
      <c r="E46" t="s">
        <v>431</v>
      </c>
      <c r="F46" t="s">
        <v>439</v>
      </c>
      <c r="G46" t="s">
        <v>120</v>
      </c>
      <c r="H46" t="s">
        <v>440</v>
      </c>
      <c r="I46" t="s">
        <v>441</v>
      </c>
      <c r="J46" t="s">
        <v>442</v>
      </c>
      <c r="K46" t="s">
        <v>443</v>
      </c>
      <c r="L46" t="s">
        <v>444</v>
      </c>
      <c r="M46" t="s">
        <v>445</v>
      </c>
      <c r="N46" t="s">
        <v>2072</v>
      </c>
      <c r="O46" t="s">
        <v>1967</v>
      </c>
      <c r="P46" t="s">
        <v>1980</v>
      </c>
      <c r="Q46" t="s">
        <v>1971</v>
      </c>
      <c r="R46" t="s">
        <v>1991</v>
      </c>
      <c r="S46" t="s">
        <v>2073</v>
      </c>
      <c r="T46" t="s">
        <v>2074</v>
      </c>
      <c r="U46" t="s">
        <v>2075</v>
      </c>
      <c r="V46" t="s">
        <v>2213</v>
      </c>
      <c r="Y46" t="s">
        <v>1995</v>
      </c>
      <c r="Z46" t="s">
        <v>1995</v>
      </c>
      <c r="AA46" t="s">
        <v>1995</v>
      </c>
      <c r="AB46" t="s">
        <v>1995</v>
      </c>
      <c r="AC46" t="s">
        <v>2214</v>
      </c>
      <c r="AD46" t="s">
        <v>444</v>
      </c>
      <c r="AE46" t="s">
        <v>2001</v>
      </c>
      <c r="AG46" t="s">
        <v>2002</v>
      </c>
    </row>
    <row r="47">
      <c r="A47" t="s">
        <v>2215</v>
      </c>
      <c r="B47" t="s">
        <v>160</v>
      </c>
      <c r="C47" t="s">
        <v>407</v>
      </c>
      <c r="D47" t="s">
        <v>430</v>
      </c>
      <c r="E47" t="s">
        <v>431</v>
      </c>
      <c r="F47" t="s">
        <v>447</v>
      </c>
      <c r="G47" t="s">
        <v>120</v>
      </c>
      <c r="H47" t="s">
        <v>448</v>
      </c>
      <c r="I47" t="s">
        <v>449</v>
      </c>
      <c r="J47" t="s">
        <v>450</v>
      </c>
      <c r="K47" t="s">
        <v>451</v>
      </c>
      <c r="L47" t="s">
        <v>452</v>
      </c>
      <c r="M47" t="s">
        <v>453</v>
      </c>
      <c r="N47" t="s">
        <v>2072</v>
      </c>
      <c r="O47" t="s">
        <v>1964</v>
      </c>
      <c r="P47" t="s">
        <v>1980</v>
      </c>
      <c r="Q47" t="s">
        <v>1971</v>
      </c>
      <c r="R47" t="s">
        <v>1991</v>
      </c>
      <c r="S47" t="s">
        <v>2073</v>
      </c>
      <c r="T47" t="s">
        <v>2074</v>
      </c>
      <c r="U47" t="s">
        <v>2075</v>
      </c>
      <c r="V47" t="s">
        <v>2216</v>
      </c>
      <c r="Y47" t="s">
        <v>1995</v>
      </c>
      <c r="Z47" t="s">
        <v>1995</v>
      </c>
      <c r="AA47" t="s">
        <v>1995</v>
      </c>
      <c r="AB47" t="s">
        <v>1995</v>
      </c>
      <c r="AC47" t="s">
        <v>2217</v>
      </c>
      <c r="AD47" t="s">
        <v>452</v>
      </c>
      <c r="AE47" t="s">
        <v>2001</v>
      </c>
      <c r="AG47" t="s">
        <v>2002</v>
      </c>
    </row>
    <row r="48">
      <c r="A48" t="s">
        <v>2218</v>
      </c>
      <c r="B48" t="s">
        <v>160</v>
      </c>
      <c r="C48" t="s">
        <v>407</v>
      </c>
      <c r="D48" t="s">
        <v>430</v>
      </c>
      <c r="E48" t="s">
        <v>431</v>
      </c>
      <c r="F48" t="s">
        <v>455</v>
      </c>
      <c r="G48" t="s">
        <v>120</v>
      </c>
      <c r="H48" t="s">
        <v>456</v>
      </c>
      <c r="I48" t="s">
        <v>457</v>
      </c>
      <c r="J48" t="s">
        <v>458</v>
      </c>
      <c r="K48" t="s">
        <v>459</v>
      </c>
      <c r="L48" t="s">
        <v>460</v>
      </c>
      <c r="M48" t="s">
        <v>461</v>
      </c>
      <c r="N48" t="s">
        <v>2219</v>
      </c>
      <c r="O48" t="s">
        <v>1966</v>
      </c>
      <c r="P48" t="s">
        <v>1982</v>
      </c>
      <c r="Q48" t="s">
        <v>1971</v>
      </c>
      <c r="R48" t="s">
        <v>1991</v>
      </c>
      <c r="S48" t="s">
        <v>2073</v>
      </c>
      <c r="T48" t="s">
        <v>2220</v>
      </c>
      <c r="U48" t="s">
        <v>2221</v>
      </c>
      <c r="V48" t="s">
        <v>2222</v>
      </c>
      <c r="Y48" t="s">
        <v>1995</v>
      </c>
      <c r="Z48" t="s">
        <v>1995</v>
      </c>
      <c r="AA48" t="s">
        <v>1995</v>
      </c>
      <c r="AB48" t="s">
        <v>1995</v>
      </c>
      <c r="AC48" t="s">
        <v>2223</v>
      </c>
      <c r="AD48" t="s">
        <v>460</v>
      </c>
      <c r="AE48" t="s">
        <v>2001</v>
      </c>
      <c r="AG48" t="s">
        <v>2002</v>
      </c>
    </row>
    <row r="49">
      <c r="A49" t="s">
        <v>2224</v>
      </c>
      <c r="B49" t="s">
        <v>463</v>
      </c>
      <c r="C49" t="s">
        <v>464</v>
      </c>
      <c r="D49" t="s">
        <v>465</v>
      </c>
      <c r="E49" t="s">
        <v>466</v>
      </c>
      <c r="F49" t="s">
        <v>467</v>
      </c>
      <c r="G49" t="s">
        <v>154</v>
      </c>
      <c r="H49" t="s">
        <v>468</v>
      </c>
      <c r="I49" t="s">
        <v>469</v>
      </c>
      <c r="J49" t="s">
        <v>470</v>
      </c>
      <c r="K49" t="s">
        <v>471</v>
      </c>
      <c r="L49" t="s">
        <v>472</v>
      </c>
      <c r="M49" t="s">
        <v>473</v>
      </c>
      <c r="N49" t="s">
        <v>2225</v>
      </c>
      <c r="O49" t="s">
        <v>1965</v>
      </c>
      <c r="P49" t="s">
        <v>1981</v>
      </c>
      <c r="Q49" t="s">
        <v>1971</v>
      </c>
      <c r="R49" t="s">
        <v>1992</v>
      </c>
      <c r="S49" t="s">
        <v>2073</v>
      </c>
      <c r="T49" t="s">
        <v>2226</v>
      </c>
      <c r="U49" t="s">
        <v>2227</v>
      </c>
      <c r="V49" t="s">
        <v>2228</v>
      </c>
      <c r="Y49" t="s">
        <v>1995</v>
      </c>
      <c r="Z49" t="s">
        <v>1995</v>
      </c>
      <c r="AA49" t="s">
        <v>1995</v>
      </c>
      <c r="AB49" t="s">
        <v>1995</v>
      </c>
      <c r="AC49" t="s">
        <v>2229</v>
      </c>
      <c r="AD49" t="s">
        <v>472</v>
      </c>
      <c r="AE49" t="s">
        <v>2001</v>
      </c>
      <c r="AG49" t="s">
        <v>2002</v>
      </c>
    </row>
    <row r="50">
      <c r="A50" t="s">
        <v>2230</v>
      </c>
      <c r="B50" t="s">
        <v>463</v>
      </c>
      <c r="C50" t="s">
        <v>464</v>
      </c>
      <c r="D50" t="s">
        <v>465</v>
      </c>
      <c r="E50" t="s">
        <v>466</v>
      </c>
      <c r="F50" t="s">
        <v>475</v>
      </c>
      <c r="G50" t="s">
        <v>120</v>
      </c>
      <c r="H50" t="s">
        <v>476</v>
      </c>
      <c r="I50" t="s">
        <v>477</v>
      </c>
      <c r="J50" t="s">
        <v>478</v>
      </c>
      <c r="K50" t="s">
        <v>471</v>
      </c>
      <c r="L50" t="s">
        <v>479</v>
      </c>
      <c r="M50" t="s">
        <v>480</v>
      </c>
      <c r="N50" t="s">
        <v>2225</v>
      </c>
      <c r="O50" t="s">
        <v>1965</v>
      </c>
      <c r="P50" t="s">
        <v>1981</v>
      </c>
      <c r="Q50" t="s">
        <v>1971</v>
      </c>
      <c r="R50" t="s">
        <v>1992</v>
      </c>
      <c r="S50" t="s">
        <v>2073</v>
      </c>
      <c r="T50" t="s">
        <v>2226</v>
      </c>
      <c r="U50" t="s">
        <v>2227</v>
      </c>
      <c r="V50" t="s">
        <v>2231</v>
      </c>
      <c r="Y50" t="s">
        <v>1995</v>
      </c>
      <c r="Z50" t="s">
        <v>1995</v>
      </c>
      <c r="AA50" t="s">
        <v>1995</v>
      </c>
      <c r="AB50" t="s">
        <v>1995</v>
      </c>
      <c r="AC50" t="s">
        <v>2232</v>
      </c>
      <c r="AD50" t="s">
        <v>479</v>
      </c>
      <c r="AE50" t="s">
        <v>2001</v>
      </c>
      <c r="AG50" t="s">
        <v>2002</v>
      </c>
    </row>
    <row r="51">
      <c r="A51" t="s">
        <v>2233</v>
      </c>
      <c r="B51" t="s">
        <v>463</v>
      </c>
      <c r="C51" t="s">
        <v>464</v>
      </c>
      <c r="D51" t="s">
        <v>465</v>
      </c>
      <c r="E51" t="s">
        <v>466</v>
      </c>
      <c r="F51" t="s">
        <v>481</v>
      </c>
      <c r="G51" t="s">
        <v>120</v>
      </c>
      <c r="H51" t="s">
        <v>482</v>
      </c>
      <c r="I51" t="s">
        <v>483</v>
      </c>
      <c r="J51" t="s">
        <v>484</v>
      </c>
      <c r="K51" t="s">
        <v>471</v>
      </c>
      <c r="L51" t="s">
        <v>485</v>
      </c>
      <c r="M51" t="s">
        <v>486</v>
      </c>
      <c r="N51" t="s">
        <v>2225</v>
      </c>
      <c r="O51" t="s">
        <v>1965</v>
      </c>
      <c r="P51" t="s">
        <v>1981</v>
      </c>
      <c r="Q51" t="s">
        <v>1971</v>
      </c>
      <c r="R51" t="s">
        <v>1992</v>
      </c>
      <c r="S51" t="s">
        <v>2073</v>
      </c>
      <c r="T51" t="s">
        <v>2226</v>
      </c>
      <c r="U51" t="s">
        <v>2227</v>
      </c>
      <c r="V51" t="s">
        <v>2234</v>
      </c>
      <c r="Y51" t="s">
        <v>1995</v>
      </c>
      <c r="Z51" t="s">
        <v>1995</v>
      </c>
      <c r="AA51" t="s">
        <v>1995</v>
      </c>
      <c r="AB51" t="s">
        <v>1995</v>
      </c>
      <c r="AC51" t="s">
        <v>2235</v>
      </c>
      <c r="AD51" t="s">
        <v>485</v>
      </c>
      <c r="AE51" t="s">
        <v>2001</v>
      </c>
      <c r="AG51" t="s">
        <v>2002</v>
      </c>
    </row>
    <row r="52">
      <c r="A52" t="s">
        <v>2236</v>
      </c>
      <c r="B52" t="s">
        <v>463</v>
      </c>
      <c r="C52" t="s">
        <v>464</v>
      </c>
      <c r="D52" t="s">
        <v>465</v>
      </c>
      <c r="E52" t="s">
        <v>466</v>
      </c>
      <c r="F52" t="s">
        <v>488</v>
      </c>
      <c r="G52" t="s">
        <v>120</v>
      </c>
      <c r="H52" t="s">
        <v>489</v>
      </c>
      <c r="I52" t="s">
        <v>490</v>
      </c>
      <c r="J52" t="s">
        <v>491</v>
      </c>
      <c r="K52" t="s">
        <v>471</v>
      </c>
      <c r="L52" t="s">
        <v>492</v>
      </c>
      <c r="M52" t="s">
        <v>493</v>
      </c>
      <c r="N52" t="s">
        <v>2225</v>
      </c>
      <c r="O52" t="s">
        <v>1965</v>
      </c>
      <c r="P52" t="s">
        <v>1981</v>
      </c>
      <c r="Q52" t="s">
        <v>1971</v>
      </c>
      <c r="R52" t="s">
        <v>1992</v>
      </c>
      <c r="S52" t="s">
        <v>2073</v>
      </c>
      <c r="T52" t="s">
        <v>2226</v>
      </c>
      <c r="U52" t="s">
        <v>2227</v>
      </c>
      <c r="V52" t="s">
        <v>2237</v>
      </c>
      <c r="Y52" t="s">
        <v>1995</v>
      </c>
      <c r="Z52" t="s">
        <v>1995</v>
      </c>
      <c r="AA52" t="s">
        <v>1995</v>
      </c>
      <c r="AB52" t="s">
        <v>1995</v>
      </c>
      <c r="AC52" t="s">
        <v>2238</v>
      </c>
      <c r="AD52" t="s">
        <v>492</v>
      </c>
      <c r="AE52" t="s">
        <v>2001</v>
      </c>
      <c r="AG52" t="s">
        <v>2002</v>
      </c>
    </row>
    <row r="53">
      <c r="A53" t="s">
        <v>2239</v>
      </c>
      <c r="B53" t="s">
        <v>463</v>
      </c>
      <c r="C53" t="s">
        <v>464</v>
      </c>
      <c r="D53" t="s">
        <v>494</v>
      </c>
      <c r="E53" t="s">
        <v>495</v>
      </c>
      <c r="F53" t="s">
        <v>496</v>
      </c>
      <c r="G53" t="s">
        <v>154</v>
      </c>
      <c r="H53" t="s">
        <v>497</v>
      </c>
      <c r="I53" t="s">
        <v>498</v>
      </c>
      <c r="J53" t="s">
        <v>499</v>
      </c>
      <c r="K53" t="s">
        <v>471</v>
      </c>
      <c r="L53" t="s">
        <v>500</v>
      </c>
      <c r="M53" t="s">
        <v>501</v>
      </c>
      <c r="N53" t="s">
        <v>2225</v>
      </c>
      <c r="O53" t="s">
        <v>1965</v>
      </c>
      <c r="P53" t="s">
        <v>1981</v>
      </c>
      <c r="Q53" t="s">
        <v>1971</v>
      </c>
      <c r="R53" t="s">
        <v>1992</v>
      </c>
      <c r="S53" t="s">
        <v>2073</v>
      </c>
      <c r="T53" t="s">
        <v>2226</v>
      </c>
      <c r="U53" t="s">
        <v>2227</v>
      </c>
      <c r="V53" t="s">
        <v>2240</v>
      </c>
      <c r="Y53" t="s">
        <v>1995</v>
      </c>
      <c r="Z53" t="s">
        <v>1995</v>
      </c>
      <c r="AA53" t="s">
        <v>1995</v>
      </c>
      <c r="AB53" t="s">
        <v>1995</v>
      </c>
      <c r="AC53" t="s">
        <v>2241</v>
      </c>
      <c r="AD53" t="s">
        <v>500</v>
      </c>
      <c r="AE53" t="s">
        <v>2001</v>
      </c>
      <c r="AG53" t="s">
        <v>2002</v>
      </c>
    </row>
    <row r="54">
      <c r="A54" t="s">
        <v>2242</v>
      </c>
      <c r="B54" t="s">
        <v>463</v>
      </c>
      <c r="C54" t="s">
        <v>464</v>
      </c>
      <c r="D54" t="s">
        <v>494</v>
      </c>
      <c r="E54" t="s">
        <v>495</v>
      </c>
      <c r="F54" t="s">
        <v>502</v>
      </c>
      <c r="G54" t="s">
        <v>154</v>
      </c>
      <c r="H54" t="s">
        <v>496</v>
      </c>
      <c r="I54" t="s">
        <v>503</v>
      </c>
      <c r="J54" t="s">
        <v>504</v>
      </c>
      <c r="K54" t="s">
        <v>471</v>
      </c>
      <c r="L54" t="s">
        <v>505</v>
      </c>
      <c r="M54" t="s">
        <v>506</v>
      </c>
      <c r="N54" t="s">
        <v>2225</v>
      </c>
      <c r="O54" t="s">
        <v>1965</v>
      </c>
      <c r="P54" t="s">
        <v>1981</v>
      </c>
      <c r="Q54" t="s">
        <v>1971</v>
      </c>
      <c r="R54" t="s">
        <v>1992</v>
      </c>
      <c r="S54" t="s">
        <v>2073</v>
      </c>
      <c r="T54" t="s">
        <v>2226</v>
      </c>
      <c r="U54" t="s">
        <v>2227</v>
      </c>
      <c r="V54" t="s">
        <v>2243</v>
      </c>
      <c r="Y54" t="s">
        <v>1995</v>
      </c>
      <c r="Z54" t="s">
        <v>1995</v>
      </c>
      <c r="AA54" t="s">
        <v>1995</v>
      </c>
      <c r="AB54" t="s">
        <v>1995</v>
      </c>
      <c r="AC54" t="s">
        <v>2244</v>
      </c>
      <c r="AD54" t="s">
        <v>505</v>
      </c>
      <c r="AE54" t="s">
        <v>2001</v>
      </c>
      <c r="AG54" t="s">
        <v>2002</v>
      </c>
    </row>
    <row r="55">
      <c r="A55" t="s">
        <v>2245</v>
      </c>
      <c r="B55" t="s">
        <v>463</v>
      </c>
      <c r="C55" t="s">
        <v>464</v>
      </c>
      <c r="D55" t="s">
        <v>494</v>
      </c>
      <c r="E55" t="s">
        <v>495</v>
      </c>
      <c r="F55" t="s">
        <v>508</v>
      </c>
      <c r="G55" t="s">
        <v>154</v>
      </c>
      <c r="H55" t="s">
        <v>509</v>
      </c>
      <c r="I55" t="s">
        <v>510</v>
      </c>
      <c r="J55" t="s">
        <v>511</v>
      </c>
      <c r="K55" t="s">
        <v>471</v>
      </c>
      <c r="L55" t="s">
        <v>512</v>
      </c>
      <c r="M55" t="s">
        <v>513</v>
      </c>
      <c r="N55" t="s">
        <v>2225</v>
      </c>
      <c r="O55" t="s">
        <v>1965</v>
      </c>
      <c r="P55" t="s">
        <v>1981</v>
      </c>
      <c r="Q55" t="s">
        <v>1971</v>
      </c>
      <c r="R55" t="s">
        <v>1992</v>
      </c>
      <c r="S55" t="s">
        <v>2073</v>
      </c>
      <c r="T55" t="s">
        <v>2226</v>
      </c>
      <c r="U55" t="s">
        <v>2227</v>
      </c>
      <c r="V55" t="s">
        <v>2246</v>
      </c>
      <c r="Y55" t="s">
        <v>1995</v>
      </c>
      <c r="Z55" t="s">
        <v>1995</v>
      </c>
      <c r="AA55" t="s">
        <v>1995</v>
      </c>
      <c r="AB55" t="s">
        <v>1995</v>
      </c>
      <c r="AC55" t="s">
        <v>2247</v>
      </c>
      <c r="AD55" t="s">
        <v>512</v>
      </c>
      <c r="AE55" t="s">
        <v>2001</v>
      </c>
      <c r="AG55" t="s">
        <v>2002</v>
      </c>
    </row>
    <row r="56">
      <c r="A56" t="s">
        <v>2248</v>
      </c>
      <c r="B56" t="s">
        <v>463</v>
      </c>
      <c r="C56" t="s">
        <v>464</v>
      </c>
      <c r="D56" t="s">
        <v>494</v>
      </c>
      <c r="E56" t="s">
        <v>495</v>
      </c>
      <c r="F56" t="s">
        <v>515</v>
      </c>
      <c r="G56" t="s">
        <v>120</v>
      </c>
      <c r="H56" t="s">
        <v>516</v>
      </c>
      <c r="I56" t="s">
        <v>517</v>
      </c>
      <c r="J56" t="s">
        <v>518</v>
      </c>
      <c r="K56" t="s">
        <v>519</v>
      </c>
      <c r="L56" t="s">
        <v>520</v>
      </c>
      <c r="M56" t="s">
        <v>521</v>
      </c>
      <c r="N56" t="s">
        <v>2225</v>
      </c>
      <c r="O56" t="s">
        <v>1964</v>
      </c>
      <c r="P56" t="s">
        <v>1981</v>
      </c>
      <c r="Q56" t="s">
        <v>1971</v>
      </c>
      <c r="R56" t="s">
        <v>1991</v>
      </c>
      <c r="S56" t="s">
        <v>2073</v>
      </c>
      <c r="T56" t="s">
        <v>2226</v>
      </c>
      <c r="U56" t="s">
        <v>2227</v>
      </c>
      <c r="V56" t="s">
        <v>2249</v>
      </c>
      <c r="Y56" t="s">
        <v>1995</v>
      </c>
      <c r="Z56" t="s">
        <v>1995</v>
      </c>
      <c r="AA56" t="s">
        <v>1995</v>
      </c>
      <c r="AB56" t="s">
        <v>1995</v>
      </c>
      <c r="AC56" t="s">
        <v>2250</v>
      </c>
      <c r="AD56" t="s">
        <v>520</v>
      </c>
      <c r="AE56" t="s">
        <v>2001</v>
      </c>
      <c r="AG56" t="s">
        <v>2002</v>
      </c>
    </row>
    <row r="57">
      <c r="A57" t="s">
        <v>2251</v>
      </c>
      <c r="B57" t="s">
        <v>463</v>
      </c>
      <c r="C57" t="s">
        <v>464</v>
      </c>
      <c r="D57" t="s">
        <v>522</v>
      </c>
      <c r="E57" t="s">
        <v>523</v>
      </c>
      <c r="F57" t="s">
        <v>524</v>
      </c>
      <c r="G57" t="s">
        <v>120</v>
      </c>
      <c r="H57" t="s">
        <v>525</v>
      </c>
      <c r="I57" t="s">
        <v>526</v>
      </c>
      <c r="J57" t="s">
        <v>527</v>
      </c>
      <c r="K57" t="s">
        <v>528</v>
      </c>
      <c r="L57" t="s">
        <v>529</v>
      </c>
      <c r="M57" t="s">
        <v>530</v>
      </c>
      <c r="N57" t="s">
        <v>2225</v>
      </c>
      <c r="O57" t="s">
        <v>1967</v>
      </c>
      <c r="P57" t="s">
        <v>1981</v>
      </c>
      <c r="Q57" t="s">
        <v>1971</v>
      </c>
      <c r="R57" t="s">
        <v>1992</v>
      </c>
      <c r="S57" t="s">
        <v>2073</v>
      </c>
      <c r="T57" t="s">
        <v>2226</v>
      </c>
      <c r="U57" t="s">
        <v>2227</v>
      </c>
      <c r="Y57" t="s">
        <v>1995</v>
      </c>
      <c r="Z57" t="s">
        <v>1995</v>
      </c>
      <c r="AA57" t="s">
        <v>1995</v>
      </c>
      <c r="AB57" t="s">
        <v>1995</v>
      </c>
      <c r="AC57" t="s">
        <v>2252</v>
      </c>
      <c r="AD57" t="s">
        <v>529</v>
      </c>
      <c r="AE57" t="s">
        <v>2002</v>
      </c>
      <c r="AF57" t="s">
        <v>2253</v>
      </c>
      <c r="AG57" t="s">
        <v>2002</v>
      </c>
    </row>
    <row r="58">
      <c r="A58" t="s">
        <v>2254</v>
      </c>
      <c r="B58" t="s">
        <v>463</v>
      </c>
      <c r="C58" t="s">
        <v>464</v>
      </c>
      <c r="D58" t="s">
        <v>522</v>
      </c>
      <c r="E58" t="s">
        <v>523</v>
      </c>
      <c r="F58" t="s">
        <v>532</v>
      </c>
      <c r="G58" t="s">
        <v>120</v>
      </c>
      <c r="H58" t="s">
        <v>533</v>
      </c>
      <c r="I58" t="s">
        <v>534</v>
      </c>
      <c r="J58" t="s">
        <v>535</v>
      </c>
      <c r="K58" t="s">
        <v>471</v>
      </c>
      <c r="L58" t="s">
        <v>536</v>
      </c>
      <c r="M58" t="s">
        <v>537</v>
      </c>
      <c r="N58" t="s">
        <v>2225</v>
      </c>
      <c r="O58" t="s">
        <v>1965</v>
      </c>
      <c r="P58" t="s">
        <v>1981</v>
      </c>
      <c r="Q58" t="s">
        <v>1971</v>
      </c>
      <c r="R58" t="s">
        <v>1992</v>
      </c>
      <c r="S58" t="s">
        <v>2073</v>
      </c>
      <c r="T58" t="s">
        <v>2226</v>
      </c>
      <c r="U58" t="s">
        <v>2227</v>
      </c>
      <c r="V58" t="s">
        <v>2255</v>
      </c>
      <c r="Y58" t="s">
        <v>1995</v>
      </c>
      <c r="Z58" t="s">
        <v>1995</v>
      </c>
      <c r="AA58" t="s">
        <v>1995</v>
      </c>
      <c r="AB58" t="s">
        <v>1995</v>
      </c>
      <c r="AC58" t="s">
        <v>2256</v>
      </c>
      <c r="AD58" t="s">
        <v>536</v>
      </c>
      <c r="AE58" t="s">
        <v>2001</v>
      </c>
      <c r="AG58" t="s">
        <v>2002</v>
      </c>
    </row>
    <row r="59">
      <c r="A59" t="s">
        <v>2257</v>
      </c>
      <c r="B59" t="s">
        <v>463</v>
      </c>
      <c r="C59" t="s">
        <v>464</v>
      </c>
      <c r="D59" t="s">
        <v>522</v>
      </c>
      <c r="E59" t="s">
        <v>523</v>
      </c>
      <c r="F59" t="s">
        <v>538</v>
      </c>
      <c r="G59" t="s">
        <v>120</v>
      </c>
      <c r="H59" t="s">
        <v>539</v>
      </c>
      <c r="I59" t="s">
        <v>540</v>
      </c>
      <c r="J59" t="s">
        <v>541</v>
      </c>
      <c r="K59" t="s">
        <v>542</v>
      </c>
      <c r="L59" t="s">
        <v>543</v>
      </c>
      <c r="M59" t="s">
        <v>544</v>
      </c>
      <c r="N59" t="s">
        <v>2225</v>
      </c>
      <c r="O59" t="s">
        <v>1967</v>
      </c>
      <c r="P59" t="s">
        <v>1981</v>
      </c>
      <c r="Q59" t="s">
        <v>1971</v>
      </c>
      <c r="R59" t="s">
        <v>1992</v>
      </c>
      <c r="S59" t="s">
        <v>2073</v>
      </c>
      <c r="T59" t="s">
        <v>2226</v>
      </c>
      <c r="U59" t="s">
        <v>2227</v>
      </c>
      <c r="V59" t="s">
        <v>2258</v>
      </c>
      <c r="Y59" t="s">
        <v>1995</v>
      </c>
      <c r="Z59" t="s">
        <v>1995</v>
      </c>
      <c r="AA59" t="s">
        <v>1995</v>
      </c>
      <c r="AB59" t="s">
        <v>1995</v>
      </c>
      <c r="AC59" t="s">
        <v>2259</v>
      </c>
      <c r="AD59" t="s">
        <v>543</v>
      </c>
      <c r="AE59" t="s">
        <v>2001</v>
      </c>
      <c r="AG59" t="s">
        <v>2002</v>
      </c>
    </row>
    <row r="60">
      <c r="A60" t="s">
        <v>2260</v>
      </c>
      <c r="B60" t="s">
        <v>463</v>
      </c>
      <c r="C60" t="s">
        <v>464</v>
      </c>
      <c r="D60" t="s">
        <v>546</v>
      </c>
      <c r="E60" t="s">
        <v>547</v>
      </c>
      <c r="F60" t="s">
        <v>548</v>
      </c>
      <c r="G60" t="s">
        <v>120</v>
      </c>
      <c r="H60" t="s">
        <v>549</v>
      </c>
      <c r="I60" t="s">
        <v>550</v>
      </c>
      <c r="J60" t="s">
        <v>551</v>
      </c>
      <c r="K60" t="s">
        <v>552</v>
      </c>
      <c r="L60" t="s">
        <v>553</v>
      </c>
      <c r="M60" t="s">
        <v>554</v>
      </c>
      <c r="N60" t="s">
        <v>2225</v>
      </c>
      <c r="O60" t="s">
        <v>1967</v>
      </c>
      <c r="P60" t="s">
        <v>1981</v>
      </c>
      <c r="Q60" t="s">
        <v>1971</v>
      </c>
      <c r="R60" t="s">
        <v>1992</v>
      </c>
      <c r="S60" t="s">
        <v>2073</v>
      </c>
      <c r="T60" t="s">
        <v>2226</v>
      </c>
      <c r="U60" t="s">
        <v>2227</v>
      </c>
      <c r="V60" t="s">
        <v>2261</v>
      </c>
      <c r="Y60" t="s">
        <v>1995</v>
      </c>
      <c r="Z60" t="s">
        <v>1995</v>
      </c>
      <c r="AA60" t="s">
        <v>1995</v>
      </c>
      <c r="AB60" t="s">
        <v>1995</v>
      </c>
      <c r="AC60" t="s">
        <v>2262</v>
      </c>
      <c r="AD60" t="s">
        <v>553</v>
      </c>
      <c r="AE60" t="s">
        <v>2001</v>
      </c>
      <c r="AG60" t="s">
        <v>2002</v>
      </c>
    </row>
    <row r="61">
      <c r="A61" t="s">
        <v>2263</v>
      </c>
      <c r="B61" t="s">
        <v>463</v>
      </c>
      <c r="C61" t="s">
        <v>464</v>
      </c>
      <c r="D61" t="s">
        <v>546</v>
      </c>
      <c r="E61" t="s">
        <v>547</v>
      </c>
      <c r="F61" t="s">
        <v>556</v>
      </c>
      <c r="G61" t="s">
        <v>120</v>
      </c>
      <c r="H61" t="s">
        <v>548</v>
      </c>
      <c r="I61" t="s">
        <v>557</v>
      </c>
      <c r="J61" t="s">
        <v>558</v>
      </c>
      <c r="K61" t="s">
        <v>552</v>
      </c>
      <c r="L61" t="s">
        <v>559</v>
      </c>
      <c r="M61" t="s">
        <v>560</v>
      </c>
      <c r="N61" t="s">
        <v>2225</v>
      </c>
      <c r="O61" t="s">
        <v>1967</v>
      </c>
      <c r="P61" t="s">
        <v>1981</v>
      </c>
      <c r="Q61" t="s">
        <v>1971</v>
      </c>
      <c r="R61" t="s">
        <v>1992</v>
      </c>
      <c r="S61" t="s">
        <v>2073</v>
      </c>
      <c r="T61" t="s">
        <v>2226</v>
      </c>
      <c r="U61" t="s">
        <v>2227</v>
      </c>
      <c r="V61" t="s">
        <v>2264</v>
      </c>
      <c r="Y61" t="s">
        <v>1995</v>
      </c>
      <c r="Z61" t="s">
        <v>1995</v>
      </c>
      <c r="AA61" t="s">
        <v>1995</v>
      </c>
      <c r="AB61" t="s">
        <v>1995</v>
      </c>
      <c r="AC61" t="s">
        <v>2265</v>
      </c>
      <c r="AD61" t="s">
        <v>559</v>
      </c>
      <c r="AE61" t="s">
        <v>2001</v>
      </c>
      <c r="AG61" t="s">
        <v>2002</v>
      </c>
    </row>
    <row r="62">
      <c r="A62" t="s">
        <v>2266</v>
      </c>
      <c r="B62" t="s">
        <v>463</v>
      </c>
      <c r="C62" t="s">
        <v>464</v>
      </c>
      <c r="D62" t="s">
        <v>546</v>
      </c>
      <c r="E62" t="s">
        <v>547</v>
      </c>
      <c r="F62" t="s">
        <v>561</v>
      </c>
      <c r="G62" t="s">
        <v>120</v>
      </c>
      <c r="H62" t="s">
        <v>562</v>
      </c>
      <c r="I62" t="s">
        <v>563</v>
      </c>
      <c r="J62" t="s">
        <v>564</v>
      </c>
      <c r="K62" t="s">
        <v>565</v>
      </c>
      <c r="L62" t="s">
        <v>566</v>
      </c>
      <c r="M62" t="s">
        <v>567</v>
      </c>
      <c r="N62" t="s">
        <v>2225</v>
      </c>
      <c r="O62" t="s">
        <v>1967</v>
      </c>
      <c r="P62" t="s">
        <v>1981</v>
      </c>
      <c r="Q62" t="s">
        <v>1971</v>
      </c>
      <c r="R62" t="s">
        <v>1992</v>
      </c>
      <c r="S62" t="s">
        <v>2073</v>
      </c>
      <c r="T62" t="s">
        <v>2226</v>
      </c>
      <c r="U62" t="s">
        <v>2227</v>
      </c>
      <c r="Y62" t="s">
        <v>1995</v>
      </c>
      <c r="Z62" t="s">
        <v>1995</v>
      </c>
      <c r="AA62" t="s">
        <v>1995</v>
      </c>
      <c r="AB62" t="s">
        <v>1995</v>
      </c>
      <c r="AC62" t="s">
        <v>2267</v>
      </c>
      <c r="AD62" t="s">
        <v>566</v>
      </c>
      <c r="AE62" t="s">
        <v>2002</v>
      </c>
      <c r="AF62" t="s">
        <v>2268</v>
      </c>
      <c r="AG62" t="s">
        <v>2002</v>
      </c>
    </row>
    <row r="63">
      <c r="A63" t="s">
        <v>2269</v>
      </c>
      <c r="B63" t="s">
        <v>463</v>
      </c>
      <c r="C63" t="s">
        <v>464</v>
      </c>
      <c r="D63" t="s">
        <v>546</v>
      </c>
      <c r="E63" t="s">
        <v>547</v>
      </c>
      <c r="F63" t="s">
        <v>569</v>
      </c>
      <c r="G63" t="s">
        <v>120</v>
      </c>
      <c r="H63" t="s">
        <v>570</v>
      </c>
      <c r="I63" t="s">
        <v>571</v>
      </c>
      <c r="J63" t="s">
        <v>572</v>
      </c>
      <c r="K63" t="s">
        <v>573</v>
      </c>
      <c r="L63" t="s">
        <v>574</v>
      </c>
      <c r="M63" t="s">
        <v>575</v>
      </c>
      <c r="N63" t="s">
        <v>2225</v>
      </c>
      <c r="O63" t="s">
        <v>1967</v>
      </c>
      <c r="P63" t="s">
        <v>1981</v>
      </c>
      <c r="Q63" t="s">
        <v>1971</v>
      </c>
      <c r="R63" t="s">
        <v>1992</v>
      </c>
      <c r="S63" t="s">
        <v>2073</v>
      </c>
      <c r="T63" t="s">
        <v>2226</v>
      </c>
      <c r="U63" t="s">
        <v>2227</v>
      </c>
      <c r="V63" t="s">
        <v>2270</v>
      </c>
      <c r="Y63" t="s">
        <v>1995</v>
      </c>
      <c r="Z63" t="s">
        <v>1995</v>
      </c>
      <c r="AA63" t="s">
        <v>1995</v>
      </c>
      <c r="AB63" t="s">
        <v>1995</v>
      </c>
      <c r="AC63" t="s">
        <v>2271</v>
      </c>
      <c r="AD63" t="s">
        <v>574</v>
      </c>
      <c r="AE63" t="s">
        <v>2001</v>
      </c>
      <c r="AG63" t="s">
        <v>2002</v>
      </c>
    </row>
    <row r="64">
      <c r="A64" t="s">
        <v>2272</v>
      </c>
      <c r="B64" t="s">
        <v>463</v>
      </c>
      <c r="C64" t="s">
        <v>577</v>
      </c>
      <c r="D64" t="s">
        <v>578</v>
      </c>
      <c r="E64" t="s">
        <v>579</v>
      </c>
      <c r="F64" t="s">
        <v>580</v>
      </c>
      <c r="G64" t="s">
        <v>154</v>
      </c>
      <c r="H64" t="s">
        <v>581</v>
      </c>
      <c r="I64" t="s">
        <v>582</v>
      </c>
      <c r="J64" t="s">
        <v>583</v>
      </c>
      <c r="K64" t="s">
        <v>584</v>
      </c>
      <c r="L64" t="s">
        <v>585</v>
      </c>
      <c r="M64" t="s">
        <v>586</v>
      </c>
      <c r="N64" t="s">
        <v>2225</v>
      </c>
      <c r="O64" t="s">
        <v>1964</v>
      </c>
      <c r="P64" t="s">
        <v>1981</v>
      </c>
      <c r="Q64" t="s">
        <v>1971</v>
      </c>
      <c r="R64" t="s">
        <v>1992</v>
      </c>
      <c r="S64" t="s">
        <v>2073</v>
      </c>
      <c r="T64" t="s">
        <v>2226</v>
      </c>
      <c r="U64" t="s">
        <v>2227</v>
      </c>
      <c r="V64" t="s">
        <v>2273</v>
      </c>
      <c r="Y64" t="s">
        <v>1995</v>
      </c>
      <c r="Z64" t="s">
        <v>1995</v>
      </c>
      <c r="AA64" t="s">
        <v>1995</v>
      </c>
      <c r="AB64" t="s">
        <v>1995</v>
      </c>
      <c r="AC64" t="s">
        <v>2274</v>
      </c>
      <c r="AD64" t="s">
        <v>585</v>
      </c>
      <c r="AE64" t="s">
        <v>2001</v>
      </c>
      <c r="AG64" t="s">
        <v>2002</v>
      </c>
    </row>
    <row r="65">
      <c r="A65" t="s">
        <v>2275</v>
      </c>
      <c r="B65" t="s">
        <v>463</v>
      </c>
      <c r="C65" t="s">
        <v>577</v>
      </c>
      <c r="D65" t="s">
        <v>578</v>
      </c>
      <c r="E65" t="s">
        <v>579</v>
      </c>
      <c r="F65" t="s">
        <v>587</v>
      </c>
      <c r="G65" t="s">
        <v>154</v>
      </c>
      <c r="H65" t="s">
        <v>588</v>
      </c>
      <c r="I65" t="s">
        <v>589</v>
      </c>
      <c r="J65" t="s">
        <v>590</v>
      </c>
      <c r="K65" t="s">
        <v>584</v>
      </c>
      <c r="L65" t="s">
        <v>591</v>
      </c>
      <c r="M65" t="s">
        <v>592</v>
      </c>
      <c r="N65" t="s">
        <v>2225</v>
      </c>
      <c r="O65" t="s">
        <v>1964</v>
      </c>
      <c r="P65" t="s">
        <v>1981</v>
      </c>
      <c r="Q65" t="s">
        <v>1971</v>
      </c>
      <c r="R65" t="s">
        <v>1992</v>
      </c>
      <c r="S65" t="s">
        <v>2073</v>
      </c>
      <c r="T65" t="s">
        <v>2226</v>
      </c>
      <c r="U65" t="s">
        <v>2227</v>
      </c>
      <c r="V65" t="s">
        <v>2276</v>
      </c>
      <c r="Y65" t="s">
        <v>1995</v>
      </c>
      <c r="Z65" t="s">
        <v>1995</v>
      </c>
      <c r="AA65" t="s">
        <v>1995</v>
      </c>
      <c r="AB65" t="s">
        <v>1995</v>
      </c>
      <c r="AC65" t="s">
        <v>2277</v>
      </c>
      <c r="AD65" t="s">
        <v>591</v>
      </c>
      <c r="AE65" t="s">
        <v>2001</v>
      </c>
      <c r="AG65" t="s">
        <v>2002</v>
      </c>
    </row>
    <row r="66">
      <c r="A66" t="s">
        <v>2278</v>
      </c>
      <c r="B66" t="s">
        <v>463</v>
      </c>
      <c r="C66" t="s">
        <v>577</v>
      </c>
      <c r="D66" t="s">
        <v>578</v>
      </c>
      <c r="E66" t="s">
        <v>579</v>
      </c>
      <c r="F66" t="s">
        <v>593</v>
      </c>
      <c r="G66" t="s">
        <v>120</v>
      </c>
      <c r="H66" t="s">
        <v>594</v>
      </c>
      <c r="I66" t="s">
        <v>595</v>
      </c>
      <c r="J66" t="s">
        <v>596</v>
      </c>
      <c r="K66" t="s">
        <v>597</v>
      </c>
      <c r="L66" t="s">
        <v>598</v>
      </c>
      <c r="M66" t="s">
        <v>599</v>
      </c>
      <c r="N66" t="s">
        <v>2225</v>
      </c>
      <c r="O66" t="s">
        <v>1964</v>
      </c>
      <c r="P66" t="s">
        <v>1981</v>
      </c>
      <c r="Q66" t="s">
        <v>1971</v>
      </c>
      <c r="R66" t="s">
        <v>1992</v>
      </c>
      <c r="S66" t="s">
        <v>2073</v>
      </c>
      <c r="T66" t="s">
        <v>2226</v>
      </c>
      <c r="U66" t="s">
        <v>2227</v>
      </c>
      <c r="V66" t="s">
        <v>2279</v>
      </c>
      <c r="Y66" t="s">
        <v>1995</v>
      </c>
      <c r="Z66" t="s">
        <v>1995</v>
      </c>
      <c r="AA66" t="s">
        <v>1995</v>
      </c>
      <c r="AB66" t="s">
        <v>1995</v>
      </c>
      <c r="AC66" t="s">
        <v>2280</v>
      </c>
      <c r="AD66" t="s">
        <v>598</v>
      </c>
      <c r="AE66" t="s">
        <v>2001</v>
      </c>
      <c r="AG66" t="s">
        <v>2002</v>
      </c>
    </row>
    <row r="67">
      <c r="A67" t="s">
        <v>2281</v>
      </c>
      <c r="B67" t="s">
        <v>463</v>
      </c>
      <c r="C67" t="s">
        <v>577</v>
      </c>
      <c r="D67" t="s">
        <v>600</v>
      </c>
      <c r="E67" t="s">
        <v>601</v>
      </c>
      <c r="F67" t="s">
        <v>602</v>
      </c>
      <c r="G67" s="15" t="s">
        <v>97</v>
      </c>
      <c r="H67" t="s">
        <v>603</v>
      </c>
      <c r="I67" t="s">
        <v>604</v>
      </c>
      <c r="J67" t="s">
        <v>605</v>
      </c>
      <c r="K67" t="s">
        <v>606</v>
      </c>
      <c r="L67" t="s">
        <v>607</v>
      </c>
      <c r="M67" t="s">
        <v>608</v>
      </c>
      <c r="N67" t="s">
        <v>2225</v>
      </c>
      <c r="O67" t="s">
        <v>1967</v>
      </c>
      <c r="P67" t="s">
        <v>1981</v>
      </c>
      <c r="Q67" t="s">
        <v>1971</v>
      </c>
      <c r="R67" t="s">
        <v>1992</v>
      </c>
      <c r="S67" t="s">
        <v>2073</v>
      </c>
      <c r="T67" t="s">
        <v>2226</v>
      </c>
      <c r="U67" t="s">
        <v>2227</v>
      </c>
      <c r="V67" t="s">
        <v>2282</v>
      </c>
      <c r="Y67" t="s">
        <v>1995</v>
      </c>
      <c r="Z67" t="s">
        <v>1995</v>
      </c>
      <c r="AA67" t="s">
        <v>1995</v>
      </c>
      <c r="AB67" t="s">
        <v>1995</v>
      </c>
      <c r="AC67" t="s">
        <v>2283</v>
      </c>
      <c r="AD67" t="s">
        <v>607</v>
      </c>
      <c r="AE67" t="s">
        <v>2001</v>
      </c>
      <c r="AG67" t="s">
        <v>2002</v>
      </c>
    </row>
    <row r="68">
      <c r="A68" t="s">
        <v>2284</v>
      </c>
      <c r="B68" t="s">
        <v>463</v>
      </c>
      <c r="C68" t="s">
        <v>577</v>
      </c>
      <c r="D68" t="s">
        <v>600</v>
      </c>
      <c r="E68" t="s">
        <v>601</v>
      </c>
      <c r="F68" t="s">
        <v>610</v>
      </c>
      <c r="G68" s="15" t="s">
        <v>97</v>
      </c>
      <c r="H68" t="s">
        <v>611</v>
      </c>
      <c r="I68" t="s">
        <v>612</v>
      </c>
      <c r="J68" t="s">
        <v>613</v>
      </c>
      <c r="K68" t="s">
        <v>614</v>
      </c>
      <c r="L68" t="s">
        <v>615</v>
      </c>
      <c r="M68" t="s">
        <v>616</v>
      </c>
      <c r="N68" t="s">
        <v>2225</v>
      </c>
      <c r="O68" t="s">
        <v>1967</v>
      </c>
      <c r="P68" t="s">
        <v>1981</v>
      </c>
      <c r="Q68" t="s">
        <v>1971</v>
      </c>
      <c r="R68" t="s">
        <v>1991</v>
      </c>
      <c r="S68" t="s">
        <v>2073</v>
      </c>
      <c r="T68" t="s">
        <v>2226</v>
      </c>
      <c r="U68" t="s">
        <v>2227</v>
      </c>
      <c r="V68" t="s">
        <v>2285</v>
      </c>
      <c r="Y68" t="s">
        <v>1995</v>
      </c>
      <c r="Z68" t="s">
        <v>1995</v>
      </c>
      <c r="AA68" t="s">
        <v>1995</v>
      </c>
      <c r="AB68" t="s">
        <v>1995</v>
      </c>
      <c r="AC68" t="s">
        <v>2286</v>
      </c>
      <c r="AD68" t="s">
        <v>615</v>
      </c>
      <c r="AE68" t="s">
        <v>2001</v>
      </c>
      <c r="AG68" t="s">
        <v>2002</v>
      </c>
    </row>
    <row r="69">
      <c r="A69" t="s">
        <v>2287</v>
      </c>
      <c r="B69" t="s">
        <v>463</v>
      </c>
      <c r="C69" t="s">
        <v>577</v>
      </c>
      <c r="D69" t="s">
        <v>600</v>
      </c>
      <c r="E69" t="s">
        <v>601</v>
      </c>
      <c r="F69" t="s">
        <v>617</v>
      </c>
      <c r="G69" s="15" t="s">
        <v>97</v>
      </c>
      <c r="H69" t="s">
        <v>618</v>
      </c>
      <c r="I69" t="s">
        <v>619</v>
      </c>
      <c r="J69" t="s">
        <v>620</v>
      </c>
      <c r="K69" t="s">
        <v>606</v>
      </c>
      <c r="L69" t="s">
        <v>621</v>
      </c>
      <c r="M69" t="s">
        <v>622</v>
      </c>
      <c r="N69" t="s">
        <v>2225</v>
      </c>
      <c r="O69" t="s">
        <v>1967</v>
      </c>
      <c r="P69" t="s">
        <v>1981</v>
      </c>
      <c r="Q69" t="s">
        <v>1971</v>
      </c>
      <c r="R69" t="s">
        <v>1992</v>
      </c>
      <c r="S69" t="s">
        <v>2073</v>
      </c>
      <c r="T69" t="s">
        <v>2226</v>
      </c>
      <c r="U69" t="s">
        <v>2227</v>
      </c>
      <c r="V69" t="s">
        <v>2288</v>
      </c>
      <c r="Y69" t="s">
        <v>1995</v>
      </c>
      <c r="Z69" t="s">
        <v>1995</v>
      </c>
      <c r="AA69" t="s">
        <v>1995</v>
      </c>
      <c r="AB69" t="s">
        <v>1995</v>
      </c>
      <c r="AC69" t="s">
        <v>2289</v>
      </c>
      <c r="AD69" t="s">
        <v>621</v>
      </c>
      <c r="AE69" t="s">
        <v>2001</v>
      </c>
      <c r="AG69" t="s">
        <v>2002</v>
      </c>
    </row>
    <row r="70">
      <c r="A70" t="s">
        <v>2290</v>
      </c>
      <c r="B70" t="s">
        <v>463</v>
      </c>
      <c r="C70" t="s">
        <v>577</v>
      </c>
      <c r="D70" t="s">
        <v>600</v>
      </c>
      <c r="E70" t="s">
        <v>601</v>
      </c>
      <c r="F70" t="s">
        <v>624</v>
      </c>
      <c r="G70" s="15" t="s">
        <v>97</v>
      </c>
      <c r="H70" t="s">
        <v>625</v>
      </c>
      <c r="I70" t="s">
        <v>626</v>
      </c>
      <c r="J70" t="s">
        <v>627</v>
      </c>
      <c r="K70" t="s">
        <v>628</v>
      </c>
      <c r="L70" t="s">
        <v>629</v>
      </c>
      <c r="M70" t="s">
        <v>630</v>
      </c>
      <c r="N70" t="s">
        <v>2225</v>
      </c>
      <c r="O70" t="s">
        <v>1967</v>
      </c>
      <c r="P70" t="s">
        <v>1981</v>
      </c>
      <c r="Q70" t="s">
        <v>1971</v>
      </c>
      <c r="R70" t="s">
        <v>1992</v>
      </c>
      <c r="S70" t="s">
        <v>2073</v>
      </c>
      <c r="T70" t="s">
        <v>2226</v>
      </c>
      <c r="U70" t="s">
        <v>2227</v>
      </c>
      <c r="V70" t="s">
        <v>2291</v>
      </c>
      <c r="Y70" t="s">
        <v>1995</v>
      </c>
      <c r="Z70" t="s">
        <v>1995</v>
      </c>
      <c r="AA70" t="s">
        <v>1995</v>
      </c>
      <c r="AB70" t="s">
        <v>1995</v>
      </c>
      <c r="AC70" t="s">
        <v>2292</v>
      </c>
      <c r="AD70" t="s">
        <v>629</v>
      </c>
      <c r="AE70" t="s">
        <v>2001</v>
      </c>
      <c r="AG70" t="s">
        <v>2002</v>
      </c>
    </row>
    <row r="71">
      <c r="A71" t="s">
        <v>2293</v>
      </c>
      <c r="B71" t="s">
        <v>463</v>
      </c>
      <c r="C71" t="s">
        <v>577</v>
      </c>
      <c r="D71" t="s">
        <v>632</v>
      </c>
      <c r="E71" t="s">
        <v>633</v>
      </c>
      <c r="F71" t="s">
        <v>634</v>
      </c>
      <c r="G71" t="s">
        <v>120</v>
      </c>
      <c r="H71" t="s">
        <v>635</v>
      </c>
      <c r="I71" t="s">
        <v>636</v>
      </c>
      <c r="J71" t="s">
        <v>637</v>
      </c>
      <c r="K71" t="s">
        <v>573</v>
      </c>
      <c r="L71" t="s">
        <v>638</v>
      </c>
      <c r="M71" t="s">
        <v>639</v>
      </c>
      <c r="N71" t="s">
        <v>2225</v>
      </c>
      <c r="O71" t="s">
        <v>1967</v>
      </c>
      <c r="P71" t="s">
        <v>1981</v>
      </c>
      <c r="Q71" t="s">
        <v>1971</v>
      </c>
      <c r="R71" t="s">
        <v>1992</v>
      </c>
      <c r="S71" t="s">
        <v>2073</v>
      </c>
      <c r="T71" t="s">
        <v>2226</v>
      </c>
      <c r="U71" t="s">
        <v>2227</v>
      </c>
      <c r="V71" t="s">
        <v>2294</v>
      </c>
      <c r="Y71" t="s">
        <v>1995</v>
      </c>
      <c r="Z71" t="s">
        <v>1995</v>
      </c>
      <c r="AA71" t="s">
        <v>1995</v>
      </c>
      <c r="AB71" t="s">
        <v>1995</v>
      </c>
      <c r="AC71" t="s">
        <v>2295</v>
      </c>
      <c r="AD71" t="s">
        <v>638</v>
      </c>
      <c r="AE71" t="s">
        <v>2001</v>
      </c>
      <c r="AG71" t="s">
        <v>2002</v>
      </c>
    </row>
    <row r="72">
      <c r="A72" t="s">
        <v>2296</v>
      </c>
      <c r="B72" t="s">
        <v>463</v>
      </c>
      <c r="C72" t="s">
        <v>577</v>
      </c>
      <c r="D72" t="s">
        <v>632</v>
      </c>
      <c r="E72" t="s">
        <v>633</v>
      </c>
      <c r="F72" t="s">
        <v>641</v>
      </c>
      <c r="G72" t="s">
        <v>120</v>
      </c>
      <c r="H72" t="s">
        <v>642</v>
      </c>
      <c r="I72" t="s">
        <v>643</v>
      </c>
      <c r="J72" t="s">
        <v>644</v>
      </c>
      <c r="K72" t="s">
        <v>573</v>
      </c>
      <c r="L72" t="s">
        <v>645</v>
      </c>
      <c r="M72" t="s">
        <v>646</v>
      </c>
      <c r="N72" t="s">
        <v>2225</v>
      </c>
      <c r="O72" t="s">
        <v>1967</v>
      </c>
      <c r="P72" t="s">
        <v>1981</v>
      </c>
      <c r="Q72" t="s">
        <v>1971</v>
      </c>
      <c r="R72" t="s">
        <v>1992</v>
      </c>
      <c r="S72" t="s">
        <v>2073</v>
      </c>
      <c r="T72" t="s">
        <v>2226</v>
      </c>
      <c r="U72" t="s">
        <v>2227</v>
      </c>
      <c r="V72" t="s">
        <v>2297</v>
      </c>
      <c r="Y72" t="s">
        <v>1995</v>
      </c>
      <c r="Z72" t="s">
        <v>1995</v>
      </c>
      <c r="AA72" t="s">
        <v>1995</v>
      </c>
      <c r="AB72" t="s">
        <v>1995</v>
      </c>
      <c r="AC72" t="s">
        <v>2298</v>
      </c>
      <c r="AD72" t="s">
        <v>645</v>
      </c>
      <c r="AE72" t="s">
        <v>2001</v>
      </c>
      <c r="AG72" t="s">
        <v>2002</v>
      </c>
    </row>
    <row r="73">
      <c r="A73" t="s">
        <v>2299</v>
      </c>
      <c r="B73" t="s">
        <v>463</v>
      </c>
      <c r="C73" t="s">
        <v>577</v>
      </c>
      <c r="D73" t="s">
        <v>632</v>
      </c>
      <c r="E73" t="s">
        <v>633</v>
      </c>
      <c r="F73" t="s">
        <v>647</v>
      </c>
      <c r="G73" t="s">
        <v>120</v>
      </c>
      <c r="H73" t="s">
        <v>648</v>
      </c>
      <c r="I73" t="s">
        <v>649</v>
      </c>
      <c r="J73" t="s">
        <v>650</v>
      </c>
      <c r="K73" t="s">
        <v>573</v>
      </c>
      <c r="L73" t="s">
        <v>651</v>
      </c>
      <c r="M73" t="s">
        <v>652</v>
      </c>
      <c r="N73" t="s">
        <v>2225</v>
      </c>
      <c r="O73" t="s">
        <v>1967</v>
      </c>
      <c r="P73" t="s">
        <v>1981</v>
      </c>
      <c r="Q73" t="s">
        <v>1971</v>
      </c>
      <c r="R73" t="s">
        <v>1992</v>
      </c>
      <c r="S73" t="s">
        <v>2073</v>
      </c>
      <c r="T73" t="s">
        <v>2226</v>
      </c>
      <c r="U73" t="s">
        <v>2227</v>
      </c>
      <c r="V73" t="s">
        <v>2300</v>
      </c>
      <c r="Y73" t="s">
        <v>1995</v>
      </c>
      <c r="Z73" t="s">
        <v>1995</v>
      </c>
      <c r="AA73" t="s">
        <v>1995</v>
      </c>
      <c r="AB73" t="s">
        <v>1995</v>
      </c>
      <c r="AC73" t="s">
        <v>2301</v>
      </c>
      <c r="AD73" t="s">
        <v>651</v>
      </c>
      <c r="AE73" t="s">
        <v>2001</v>
      </c>
      <c r="AG73" t="s">
        <v>2002</v>
      </c>
    </row>
    <row r="74">
      <c r="A74" t="s">
        <v>2302</v>
      </c>
      <c r="B74" t="s">
        <v>463</v>
      </c>
      <c r="C74" t="s">
        <v>577</v>
      </c>
      <c r="D74" t="s">
        <v>654</v>
      </c>
      <c r="E74" t="s">
        <v>655</v>
      </c>
      <c r="F74" t="s">
        <v>656</v>
      </c>
      <c r="G74" t="s">
        <v>120</v>
      </c>
      <c r="H74" t="s">
        <v>657</v>
      </c>
      <c r="I74" t="s">
        <v>658</v>
      </c>
      <c r="J74" t="s">
        <v>659</v>
      </c>
      <c r="K74" t="s">
        <v>660</v>
      </c>
      <c r="L74" t="s">
        <v>661</v>
      </c>
      <c r="M74" t="s">
        <v>662</v>
      </c>
      <c r="N74" t="s">
        <v>2225</v>
      </c>
      <c r="O74" t="s">
        <v>1967</v>
      </c>
      <c r="P74" t="s">
        <v>1981</v>
      </c>
      <c r="Q74" t="s">
        <v>1971</v>
      </c>
      <c r="R74" t="s">
        <v>1992</v>
      </c>
      <c r="S74" t="s">
        <v>2073</v>
      </c>
      <c r="T74" t="s">
        <v>2226</v>
      </c>
      <c r="U74" t="s">
        <v>2227</v>
      </c>
      <c r="Y74" t="s">
        <v>1995</v>
      </c>
      <c r="Z74" t="s">
        <v>1995</v>
      </c>
      <c r="AA74" t="s">
        <v>1995</v>
      </c>
      <c r="AB74" t="s">
        <v>1995</v>
      </c>
      <c r="AC74" t="s">
        <v>2303</v>
      </c>
      <c r="AD74" t="s">
        <v>661</v>
      </c>
      <c r="AE74" t="s">
        <v>2002</v>
      </c>
      <c r="AF74" t="s">
        <v>2304</v>
      </c>
      <c r="AG74" t="s">
        <v>2002</v>
      </c>
    </row>
    <row r="75">
      <c r="A75" t="s">
        <v>2305</v>
      </c>
      <c r="B75" t="s">
        <v>463</v>
      </c>
      <c r="C75" t="s">
        <v>577</v>
      </c>
      <c r="D75" t="s">
        <v>654</v>
      </c>
      <c r="E75" t="s">
        <v>655</v>
      </c>
      <c r="F75" t="s">
        <v>664</v>
      </c>
      <c r="G75" t="s">
        <v>120</v>
      </c>
      <c r="H75" t="s">
        <v>665</v>
      </c>
      <c r="I75" t="s">
        <v>666</v>
      </c>
      <c r="J75" t="s">
        <v>667</v>
      </c>
      <c r="K75" t="s">
        <v>660</v>
      </c>
      <c r="L75" t="s">
        <v>668</v>
      </c>
      <c r="M75" t="s">
        <v>669</v>
      </c>
      <c r="N75" t="s">
        <v>2225</v>
      </c>
      <c r="O75" t="s">
        <v>1967</v>
      </c>
      <c r="P75" t="s">
        <v>1981</v>
      </c>
      <c r="Q75" t="s">
        <v>1971</v>
      </c>
      <c r="R75" t="s">
        <v>1992</v>
      </c>
      <c r="S75" t="s">
        <v>2073</v>
      </c>
      <c r="T75" t="s">
        <v>2226</v>
      </c>
      <c r="U75" t="s">
        <v>2227</v>
      </c>
      <c r="Y75" t="s">
        <v>1995</v>
      </c>
      <c r="Z75" t="s">
        <v>1995</v>
      </c>
      <c r="AA75" t="s">
        <v>1995</v>
      </c>
      <c r="AB75" t="s">
        <v>1995</v>
      </c>
      <c r="AC75" t="s">
        <v>2306</v>
      </c>
      <c r="AD75" t="s">
        <v>668</v>
      </c>
      <c r="AE75" t="s">
        <v>2002</v>
      </c>
      <c r="AF75" t="s">
        <v>2307</v>
      </c>
      <c r="AG75" t="s">
        <v>2002</v>
      </c>
    </row>
    <row r="76">
      <c r="A76" t="s">
        <v>2308</v>
      </c>
      <c r="B76" t="s">
        <v>463</v>
      </c>
      <c r="C76" t="s">
        <v>577</v>
      </c>
      <c r="D76" t="s">
        <v>654</v>
      </c>
      <c r="E76" t="s">
        <v>655</v>
      </c>
      <c r="F76" t="s">
        <v>671</v>
      </c>
      <c r="G76" t="s">
        <v>120</v>
      </c>
      <c r="H76" t="s">
        <v>672</v>
      </c>
      <c r="I76" t="s">
        <v>673</v>
      </c>
      <c r="J76" t="s">
        <v>674</v>
      </c>
      <c r="K76" t="s">
        <v>675</v>
      </c>
      <c r="L76" t="s">
        <v>676</v>
      </c>
      <c r="M76" t="s">
        <v>677</v>
      </c>
      <c r="N76" t="s">
        <v>2225</v>
      </c>
      <c r="O76" t="s">
        <v>1967</v>
      </c>
      <c r="P76" t="s">
        <v>1981</v>
      </c>
      <c r="Q76" t="s">
        <v>1971</v>
      </c>
      <c r="R76" t="s">
        <v>1992</v>
      </c>
      <c r="S76" t="s">
        <v>2073</v>
      </c>
      <c r="T76" t="s">
        <v>2226</v>
      </c>
      <c r="U76" t="s">
        <v>2227</v>
      </c>
      <c r="V76" t="s">
        <v>2309</v>
      </c>
      <c r="Y76" t="s">
        <v>1995</v>
      </c>
      <c r="Z76" t="s">
        <v>1995</v>
      </c>
      <c r="AA76" t="s">
        <v>1995</v>
      </c>
      <c r="AB76" t="s">
        <v>1995</v>
      </c>
      <c r="AC76" t="s">
        <v>2310</v>
      </c>
      <c r="AD76" t="s">
        <v>676</v>
      </c>
      <c r="AE76" t="s">
        <v>2001</v>
      </c>
      <c r="AG76" t="s">
        <v>2002</v>
      </c>
    </row>
    <row r="77">
      <c r="A77" t="s">
        <v>2311</v>
      </c>
      <c r="B77" t="s">
        <v>679</v>
      </c>
      <c r="C77" t="s">
        <v>680</v>
      </c>
      <c r="D77" t="s">
        <v>681</v>
      </c>
      <c r="E77" t="s">
        <v>682</v>
      </c>
      <c r="F77" t="s">
        <v>683</v>
      </c>
      <c r="G77" s="15" t="s">
        <v>154</v>
      </c>
      <c r="H77" t="s">
        <v>684</v>
      </c>
      <c r="I77" t="s">
        <v>685</v>
      </c>
      <c r="J77" t="s">
        <v>686</v>
      </c>
      <c r="K77" t="s">
        <v>687</v>
      </c>
      <c r="L77" t="s">
        <v>688</v>
      </c>
      <c r="M77" t="s">
        <v>689</v>
      </c>
      <c r="N77" t="s">
        <v>2219</v>
      </c>
      <c r="O77" t="s">
        <v>1966</v>
      </c>
      <c r="P77" t="s">
        <v>1982</v>
      </c>
      <c r="Q77" t="s">
        <v>1971</v>
      </c>
      <c r="R77" t="s">
        <v>1992</v>
      </c>
      <c r="S77" t="s">
        <v>2073</v>
      </c>
      <c r="T77" t="s">
        <v>2220</v>
      </c>
      <c r="U77" t="s">
        <v>2221</v>
      </c>
      <c r="V77" t="s">
        <v>2312</v>
      </c>
      <c r="Y77" t="s">
        <v>1995</v>
      </c>
      <c r="Z77" t="s">
        <v>1995</v>
      </c>
      <c r="AA77" t="s">
        <v>1995</v>
      </c>
      <c r="AB77" t="s">
        <v>1995</v>
      </c>
      <c r="AC77" t="s">
        <v>2313</v>
      </c>
      <c r="AD77" t="s">
        <v>688</v>
      </c>
      <c r="AE77" t="s">
        <v>2001</v>
      </c>
      <c r="AG77" t="s">
        <v>2002</v>
      </c>
    </row>
    <row r="78">
      <c r="A78" t="s">
        <v>2314</v>
      </c>
      <c r="B78" t="s">
        <v>679</v>
      </c>
      <c r="C78" t="s">
        <v>680</v>
      </c>
      <c r="D78" t="s">
        <v>681</v>
      </c>
      <c r="E78" t="s">
        <v>682</v>
      </c>
      <c r="F78" t="s">
        <v>691</v>
      </c>
      <c r="G78" t="s">
        <v>120</v>
      </c>
      <c r="H78" t="s">
        <v>683</v>
      </c>
      <c r="I78" t="s">
        <v>692</v>
      </c>
      <c r="J78" t="s">
        <v>693</v>
      </c>
      <c r="K78" t="s">
        <v>694</v>
      </c>
      <c r="L78" t="s">
        <v>695</v>
      </c>
      <c r="M78" t="s">
        <v>696</v>
      </c>
      <c r="N78" t="s">
        <v>2219</v>
      </c>
      <c r="O78" t="s">
        <v>1966</v>
      </c>
      <c r="P78" t="s">
        <v>1982</v>
      </c>
      <c r="Q78" t="s">
        <v>1971</v>
      </c>
      <c r="R78" t="s">
        <v>1992</v>
      </c>
      <c r="S78" t="s">
        <v>2073</v>
      </c>
      <c r="T78" t="s">
        <v>2220</v>
      </c>
      <c r="U78" t="s">
        <v>2221</v>
      </c>
      <c r="V78" t="s">
        <v>2315</v>
      </c>
      <c r="Y78" t="s">
        <v>1995</v>
      </c>
      <c r="Z78" t="s">
        <v>1995</v>
      </c>
      <c r="AA78" t="s">
        <v>1995</v>
      </c>
      <c r="AB78" t="s">
        <v>1995</v>
      </c>
      <c r="AC78" t="s">
        <v>2316</v>
      </c>
      <c r="AD78" t="s">
        <v>695</v>
      </c>
      <c r="AE78" t="s">
        <v>2001</v>
      </c>
      <c r="AG78" t="s">
        <v>2002</v>
      </c>
    </row>
    <row r="79">
      <c r="A79" t="s">
        <v>2317</v>
      </c>
      <c r="B79" t="s">
        <v>679</v>
      </c>
      <c r="C79" t="s">
        <v>680</v>
      </c>
      <c r="D79" t="s">
        <v>681</v>
      </c>
      <c r="E79" t="s">
        <v>682</v>
      </c>
      <c r="F79" t="s">
        <v>697</v>
      </c>
      <c r="G79" t="s">
        <v>120</v>
      </c>
      <c r="H79" t="s">
        <v>683</v>
      </c>
      <c r="I79" t="s">
        <v>698</v>
      </c>
      <c r="J79" t="s">
        <v>699</v>
      </c>
      <c r="K79" t="s">
        <v>694</v>
      </c>
      <c r="L79" t="s">
        <v>700</v>
      </c>
      <c r="M79" t="s">
        <v>701</v>
      </c>
      <c r="N79" t="s">
        <v>2219</v>
      </c>
      <c r="O79" t="s">
        <v>1966</v>
      </c>
      <c r="P79" t="s">
        <v>1982</v>
      </c>
      <c r="Q79" t="s">
        <v>1971</v>
      </c>
      <c r="R79" t="s">
        <v>1992</v>
      </c>
      <c r="S79" t="s">
        <v>2073</v>
      </c>
      <c r="T79" t="s">
        <v>2220</v>
      </c>
      <c r="U79" t="s">
        <v>2221</v>
      </c>
      <c r="V79" t="s">
        <v>2318</v>
      </c>
      <c r="Y79" t="s">
        <v>1995</v>
      </c>
      <c r="Z79" t="s">
        <v>1995</v>
      </c>
      <c r="AA79" t="s">
        <v>1995</v>
      </c>
      <c r="AB79" t="s">
        <v>1995</v>
      </c>
      <c r="AC79" t="s">
        <v>2319</v>
      </c>
      <c r="AD79" t="s">
        <v>700</v>
      </c>
      <c r="AE79" t="s">
        <v>2001</v>
      </c>
      <c r="AG79" t="s">
        <v>2002</v>
      </c>
    </row>
    <row r="80">
      <c r="A80" t="s">
        <v>2320</v>
      </c>
      <c r="B80" t="s">
        <v>679</v>
      </c>
      <c r="C80" t="s">
        <v>680</v>
      </c>
      <c r="D80" t="s">
        <v>681</v>
      </c>
      <c r="E80" t="s">
        <v>682</v>
      </c>
      <c r="F80" t="s">
        <v>702</v>
      </c>
      <c r="G80" t="s">
        <v>120</v>
      </c>
      <c r="H80" t="s">
        <v>683</v>
      </c>
      <c r="I80" t="s">
        <v>703</v>
      </c>
      <c r="J80" t="s">
        <v>704</v>
      </c>
      <c r="K80" t="s">
        <v>694</v>
      </c>
      <c r="L80" t="s">
        <v>705</v>
      </c>
      <c r="M80" t="s">
        <v>706</v>
      </c>
      <c r="N80" t="s">
        <v>2219</v>
      </c>
      <c r="O80" t="s">
        <v>1966</v>
      </c>
      <c r="P80" t="s">
        <v>1982</v>
      </c>
      <c r="Q80" t="s">
        <v>1971</v>
      </c>
      <c r="R80" t="s">
        <v>1992</v>
      </c>
      <c r="S80" t="s">
        <v>2073</v>
      </c>
      <c r="T80" t="s">
        <v>2220</v>
      </c>
      <c r="U80" t="s">
        <v>2221</v>
      </c>
      <c r="V80" t="s">
        <v>2321</v>
      </c>
      <c r="Y80" t="s">
        <v>1995</v>
      </c>
      <c r="Z80" t="s">
        <v>1995</v>
      </c>
      <c r="AA80" t="s">
        <v>1995</v>
      </c>
      <c r="AB80" t="s">
        <v>1995</v>
      </c>
      <c r="AC80" t="s">
        <v>2322</v>
      </c>
      <c r="AD80" t="s">
        <v>705</v>
      </c>
      <c r="AE80" t="s">
        <v>2001</v>
      </c>
      <c r="AG80" t="s">
        <v>2002</v>
      </c>
    </row>
    <row r="81">
      <c r="A81" t="s">
        <v>2323</v>
      </c>
      <c r="B81" t="s">
        <v>679</v>
      </c>
      <c r="C81" t="s">
        <v>680</v>
      </c>
      <c r="D81" t="s">
        <v>681</v>
      </c>
      <c r="E81" t="s">
        <v>682</v>
      </c>
      <c r="F81" t="s">
        <v>707</v>
      </c>
      <c r="G81" t="s">
        <v>120</v>
      </c>
      <c r="H81" t="s">
        <v>702</v>
      </c>
      <c r="I81" t="s">
        <v>708</v>
      </c>
      <c r="J81" t="s">
        <v>709</v>
      </c>
      <c r="K81" t="s">
        <v>710</v>
      </c>
      <c r="L81" t="s">
        <v>711</v>
      </c>
      <c r="M81" t="s">
        <v>712</v>
      </c>
      <c r="N81" t="s">
        <v>2219</v>
      </c>
      <c r="O81" t="s">
        <v>1966</v>
      </c>
      <c r="P81" t="s">
        <v>1982</v>
      </c>
      <c r="Q81" t="s">
        <v>1971</v>
      </c>
      <c r="R81" t="s">
        <v>1992</v>
      </c>
      <c r="S81" t="s">
        <v>2073</v>
      </c>
      <c r="T81" t="s">
        <v>2220</v>
      </c>
      <c r="U81" t="s">
        <v>2221</v>
      </c>
      <c r="V81" t="s">
        <v>2324</v>
      </c>
      <c r="Y81" t="s">
        <v>1995</v>
      </c>
      <c r="Z81" t="s">
        <v>1995</v>
      </c>
      <c r="AA81" t="s">
        <v>1995</v>
      </c>
      <c r="AB81" t="s">
        <v>1995</v>
      </c>
      <c r="AC81" t="s">
        <v>2325</v>
      </c>
      <c r="AD81" t="s">
        <v>711</v>
      </c>
      <c r="AE81" t="s">
        <v>2001</v>
      </c>
      <c r="AG81" t="s">
        <v>2002</v>
      </c>
    </row>
    <row r="82">
      <c r="A82" t="s">
        <v>2326</v>
      </c>
      <c r="B82" t="s">
        <v>679</v>
      </c>
      <c r="C82" t="s">
        <v>680</v>
      </c>
      <c r="D82" t="s">
        <v>681</v>
      </c>
      <c r="E82" t="s">
        <v>682</v>
      </c>
      <c r="F82" t="s">
        <v>713</v>
      </c>
      <c r="G82" t="s">
        <v>120</v>
      </c>
      <c r="H82" t="s">
        <v>714</v>
      </c>
      <c r="I82" t="s">
        <v>715</v>
      </c>
      <c r="J82" t="s">
        <v>716</v>
      </c>
      <c r="K82" t="s">
        <v>717</v>
      </c>
      <c r="L82" t="s">
        <v>718</v>
      </c>
      <c r="M82" t="s">
        <v>719</v>
      </c>
      <c r="N82" t="s">
        <v>2219</v>
      </c>
      <c r="O82" t="s">
        <v>1966</v>
      </c>
      <c r="P82" t="s">
        <v>1982</v>
      </c>
      <c r="Q82" t="s">
        <v>1971</v>
      </c>
      <c r="R82" t="s">
        <v>1992</v>
      </c>
      <c r="S82" t="s">
        <v>2073</v>
      </c>
      <c r="T82" t="s">
        <v>2220</v>
      </c>
      <c r="U82" t="s">
        <v>2221</v>
      </c>
      <c r="V82" t="s">
        <v>2327</v>
      </c>
      <c r="Y82" t="s">
        <v>1995</v>
      </c>
      <c r="Z82" t="s">
        <v>1995</v>
      </c>
      <c r="AA82" t="s">
        <v>1995</v>
      </c>
      <c r="AB82" t="s">
        <v>1995</v>
      </c>
      <c r="AC82" t="s">
        <v>2328</v>
      </c>
      <c r="AD82" t="s">
        <v>718</v>
      </c>
      <c r="AE82" t="s">
        <v>2001</v>
      </c>
      <c r="AG82" t="s">
        <v>2002</v>
      </c>
    </row>
    <row r="83">
      <c r="A83" t="s">
        <v>2329</v>
      </c>
      <c r="B83" t="s">
        <v>679</v>
      </c>
      <c r="C83" t="s">
        <v>680</v>
      </c>
      <c r="D83" t="s">
        <v>681</v>
      </c>
      <c r="E83" t="s">
        <v>682</v>
      </c>
      <c r="F83" t="s">
        <v>721</v>
      </c>
      <c r="G83" t="s">
        <v>120</v>
      </c>
      <c r="H83" t="s">
        <v>722</v>
      </c>
      <c r="I83" t="s">
        <v>723</v>
      </c>
      <c r="J83" t="s">
        <v>724</v>
      </c>
      <c r="K83" t="s">
        <v>725</v>
      </c>
      <c r="L83" t="s">
        <v>726</v>
      </c>
      <c r="M83" t="s">
        <v>727</v>
      </c>
      <c r="N83" t="s">
        <v>2219</v>
      </c>
      <c r="O83" t="s">
        <v>1966</v>
      </c>
      <c r="P83" t="s">
        <v>1982</v>
      </c>
      <c r="Q83" t="s">
        <v>1971</v>
      </c>
      <c r="R83" t="s">
        <v>1992</v>
      </c>
      <c r="S83" t="s">
        <v>2073</v>
      </c>
      <c r="T83" t="s">
        <v>2220</v>
      </c>
      <c r="U83" t="s">
        <v>2221</v>
      </c>
      <c r="V83" t="s">
        <v>2330</v>
      </c>
      <c r="Y83" t="s">
        <v>1995</v>
      </c>
      <c r="Z83" t="s">
        <v>1995</v>
      </c>
      <c r="AA83" t="s">
        <v>1995</v>
      </c>
      <c r="AB83" t="s">
        <v>1995</v>
      </c>
      <c r="AC83" t="s">
        <v>2331</v>
      </c>
      <c r="AD83" t="s">
        <v>726</v>
      </c>
      <c r="AE83" t="s">
        <v>2001</v>
      </c>
      <c r="AG83" t="s">
        <v>2002</v>
      </c>
    </row>
    <row r="84">
      <c r="A84" t="s">
        <v>2332</v>
      </c>
      <c r="B84" t="s">
        <v>679</v>
      </c>
      <c r="C84" t="s">
        <v>680</v>
      </c>
      <c r="D84" t="s">
        <v>681</v>
      </c>
      <c r="E84" t="s">
        <v>682</v>
      </c>
      <c r="F84" t="s">
        <v>728</v>
      </c>
      <c r="G84" t="s">
        <v>120</v>
      </c>
      <c r="H84" t="s">
        <v>729</v>
      </c>
      <c r="I84" t="s">
        <v>730</v>
      </c>
      <c r="J84" t="s">
        <v>731</v>
      </c>
      <c r="K84" t="s">
        <v>717</v>
      </c>
      <c r="L84" t="s">
        <v>732</v>
      </c>
      <c r="M84" t="s">
        <v>733</v>
      </c>
      <c r="N84" t="s">
        <v>2219</v>
      </c>
      <c r="O84" t="s">
        <v>1966</v>
      </c>
      <c r="P84" t="s">
        <v>1982</v>
      </c>
      <c r="Q84" t="s">
        <v>1971</v>
      </c>
      <c r="R84" t="s">
        <v>1992</v>
      </c>
      <c r="S84" t="s">
        <v>2073</v>
      </c>
      <c r="T84" t="s">
        <v>2220</v>
      </c>
      <c r="U84" t="s">
        <v>2221</v>
      </c>
      <c r="Y84" t="s">
        <v>1995</v>
      </c>
      <c r="Z84" t="s">
        <v>1995</v>
      </c>
      <c r="AA84" t="s">
        <v>1995</v>
      </c>
      <c r="AB84" t="s">
        <v>1995</v>
      </c>
      <c r="AC84" t="s">
        <v>2333</v>
      </c>
      <c r="AD84" t="s">
        <v>732</v>
      </c>
      <c r="AE84" t="s">
        <v>2002</v>
      </c>
      <c r="AF84" t="s">
        <v>2334</v>
      </c>
      <c r="AG84" t="s">
        <v>2002</v>
      </c>
    </row>
    <row r="85">
      <c r="A85" t="s">
        <v>2335</v>
      </c>
      <c r="B85" t="s">
        <v>679</v>
      </c>
      <c r="C85" t="s">
        <v>680</v>
      </c>
      <c r="D85" t="s">
        <v>734</v>
      </c>
      <c r="E85" t="s">
        <v>735</v>
      </c>
      <c r="F85" t="s">
        <v>736</v>
      </c>
      <c r="G85" t="s">
        <v>120</v>
      </c>
      <c r="H85" t="s">
        <v>737</v>
      </c>
      <c r="I85" t="s">
        <v>738</v>
      </c>
      <c r="J85" t="s">
        <v>739</v>
      </c>
      <c r="K85" t="s">
        <v>740</v>
      </c>
      <c r="L85" t="s">
        <v>741</v>
      </c>
      <c r="M85" t="s">
        <v>742</v>
      </c>
      <c r="N85" t="s">
        <v>2219</v>
      </c>
      <c r="O85" t="s">
        <v>1966</v>
      </c>
      <c r="P85" t="s">
        <v>1982</v>
      </c>
      <c r="Q85" t="s">
        <v>1971</v>
      </c>
      <c r="R85" t="s">
        <v>1992</v>
      </c>
      <c r="S85" t="s">
        <v>2073</v>
      </c>
      <c r="T85" t="s">
        <v>2220</v>
      </c>
      <c r="U85" t="s">
        <v>2221</v>
      </c>
      <c r="Y85" t="s">
        <v>1995</v>
      </c>
      <c r="Z85" t="s">
        <v>1995</v>
      </c>
      <c r="AA85" t="s">
        <v>1995</v>
      </c>
      <c r="AB85" t="s">
        <v>1995</v>
      </c>
      <c r="AC85" t="s">
        <v>2336</v>
      </c>
      <c r="AD85" t="s">
        <v>741</v>
      </c>
      <c r="AE85" t="s">
        <v>2002</v>
      </c>
      <c r="AF85" t="s">
        <v>2337</v>
      </c>
      <c r="AG85" t="s">
        <v>2002</v>
      </c>
    </row>
    <row r="86">
      <c r="A86" t="s">
        <v>2338</v>
      </c>
      <c r="B86" t="s">
        <v>679</v>
      </c>
      <c r="C86" t="s">
        <v>680</v>
      </c>
      <c r="D86" t="s">
        <v>734</v>
      </c>
      <c r="E86" t="s">
        <v>735</v>
      </c>
      <c r="F86" t="s">
        <v>743</v>
      </c>
      <c r="G86" t="s">
        <v>120</v>
      </c>
      <c r="H86" t="s">
        <v>744</v>
      </c>
      <c r="I86" t="s">
        <v>745</v>
      </c>
      <c r="J86" t="s">
        <v>746</v>
      </c>
      <c r="K86" t="s">
        <v>740</v>
      </c>
      <c r="L86" t="s">
        <v>747</v>
      </c>
      <c r="M86" t="s">
        <v>748</v>
      </c>
      <c r="N86" t="s">
        <v>2219</v>
      </c>
      <c r="O86" t="s">
        <v>1966</v>
      </c>
      <c r="P86" t="s">
        <v>1982</v>
      </c>
      <c r="Q86" t="s">
        <v>1971</v>
      </c>
      <c r="R86" t="s">
        <v>1992</v>
      </c>
      <c r="S86" t="s">
        <v>2073</v>
      </c>
      <c r="T86" t="s">
        <v>2220</v>
      </c>
      <c r="U86" t="s">
        <v>2221</v>
      </c>
      <c r="Y86" t="s">
        <v>1995</v>
      </c>
      <c r="Z86" t="s">
        <v>1995</v>
      </c>
      <c r="AA86" t="s">
        <v>1995</v>
      </c>
      <c r="AB86" t="s">
        <v>1995</v>
      </c>
      <c r="AC86" t="s">
        <v>2339</v>
      </c>
      <c r="AD86" t="s">
        <v>747</v>
      </c>
      <c r="AE86" t="s">
        <v>2002</v>
      </c>
      <c r="AF86" t="s">
        <v>2337</v>
      </c>
      <c r="AG86" t="s">
        <v>2002</v>
      </c>
    </row>
    <row r="87">
      <c r="A87" t="s">
        <v>2340</v>
      </c>
      <c r="B87" t="s">
        <v>679</v>
      </c>
      <c r="C87" t="s">
        <v>680</v>
      </c>
      <c r="D87" t="s">
        <v>734</v>
      </c>
      <c r="E87" t="s">
        <v>735</v>
      </c>
      <c r="F87" t="s">
        <v>749</v>
      </c>
      <c r="G87" t="s">
        <v>120</v>
      </c>
      <c r="H87" t="s">
        <v>750</v>
      </c>
      <c r="I87" t="s">
        <v>751</v>
      </c>
      <c r="J87" t="s">
        <v>752</v>
      </c>
      <c r="K87" t="s">
        <v>740</v>
      </c>
      <c r="L87" t="s">
        <v>753</v>
      </c>
      <c r="M87" t="s">
        <v>754</v>
      </c>
      <c r="N87" t="s">
        <v>2219</v>
      </c>
      <c r="O87" t="s">
        <v>1966</v>
      </c>
      <c r="P87" t="s">
        <v>1982</v>
      </c>
      <c r="Q87" t="s">
        <v>1971</v>
      </c>
      <c r="R87" t="s">
        <v>1992</v>
      </c>
      <c r="S87" t="s">
        <v>2073</v>
      </c>
      <c r="T87" t="s">
        <v>2220</v>
      </c>
      <c r="U87" t="s">
        <v>2221</v>
      </c>
      <c r="V87" t="s">
        <v>2341</v>
      </c>
      <c r="Y87" t="s">
        <v>1995</v>
      </c>
      <c r="Z87" t="s">
        <v>1995</v>
      </c>
      <c r="AA87" t="s">
        <v>1995</v>
      </c>
      <c r="AB87" t="s">
        <v>1995</v>
      </c>
      <c r="AC87" t="s">
        <v>2342</v>
      </c>
      <c r="AD87" t="s">
        <v>753</v>
      </c>
      <c r="AE87" t="s">
        <v>2001</v>
      </c>
      <c r="AG87" t="s">
        <v>2002</v>
      </c>
    </row>
    <row r="88">
      <c r="A88" t="s">
        <v>2343</v>
      </c>
      <c r="B88" t="s">
        <v>679</v>
      </c>
      <c r="C88" t="s">
        <v>680</v>
      </c>
      <c r="D88" t="s">
        <v>756</v>
      </c>
      <c r="E88" t="s">
        <v>757</v>
      </c>
      <c r="F88" t="s">
        <v>758</v>
      </c>
      <c r="G88" t="s">
        <v>120</v>
      </c>
      <c r="H88" t="s">
        <v>683</v>
      </c>
      <c r="I88" t="s">
        <v>759</v>
      </c>
      <c r="J88" t="s">
        <v>760</v>
      </c>
      <c r="K88" t="s">
        <v>761</v>
      </c>
      <c r="L88" t="s">
        <v>762</v>
      </c>
      <c r="M88" t="s">
        <v>763</v>
      </c>
      <c r="N88" t="s">
        <v>2219</v>
      </c>
      <c r="O88" t="s">
        <v>1966</v>
      </c>
      <c r="P88" t="s">
        <v>1982</v>
      </c>
      <c r="Q88" t="s">
        <v>1971</v>
      </c>
      <c r="R88" t="s">
        <v>1992</v>
      </c>
      <c r="S88" t="s">
        <v>2073</v>
      </c>
      <c r="T88" t="s">
        <v>2220</v>
      </c>
      <c r="U88" t="s">
        <v>2221</v>
      </c>
      <c r="V88" t="s">
        <v>2344</v>
      </c>
      <c r="Y88" t="s">
        <v>1995</v>
      </c>
      <c r="Z88" t="s">
        <v>1995</v>
      </c>
      <c r="AA88" t="s">
        <v>1995</v>
      </c>
      <c r="AB88" t="s">
        <v>1995</v>
      </c>
      <c r="AC88" t="s">
        <v>2345</v>
      </c>
      <c r="AD88" t="s">
        <v>762</v>
      </c>
      <c r="AE88" t="s">
        <v>2001</v>
      </c>
      <c r="AG88" t="s">
        <v>2002</v>
      </c>
    </row>
    <row r="89">
      <c r="A89" t="s">
        <v>2346</v>
      </c>
      <c r="B89" t="s">
        <v>679</v>
      </c>
      <c r="C89" t="s">
        <v>680</v>
      </c>
      <c r="D89" t="s">
        <v>756</v>
      </c>
      <c r="E89" t="s">
        <v>757</v>
      </c>
      <c r="F89" t="s">
        <v>764</v>
      </c>
      <c r="G89" t="s">
        <v>120</v>
      </c>
      <c r="H89" t="s">
        <v>758</v>
      </c>
      <c r="I89" t="s">
        <v>765</v>
      </c>
      <c r="J89" t="s">
        <v>766</v>
      </c>
      <c r="K89" t="s">
        <v>761</v>
      </c>
      <c r="L89" t="s">
        <v>767</v>
      </c>
      <c r="M89" t="s">
        <v>768</v>
      </c>
      <c r="N89" t="s">
        <v>2219</v>
      </c>
      <c r="O89" t="s">
        <v>1966</v>
      </c>
      <c r="P89" t="s">
        <v>1982</v>
      </c>
      <c r="Q89" t="s">
        <v>1971</v>
      </c>
      <c r="R89" t="s">
        <v>1992</v>
      </c>
      <c r="S89" t="s">
        <v>2073</v>
      </c>
      <c r="T89" t="s">
        <v>2220</v>
      </c>
      <c r="U89" t="s">
        <v>2221</v>
      </c>
      <c r="V89" t="s">
        <v>2347</v>
      </c>
      <c r="Y89" t="s">
        <v>1995</v>
      </c>
      <c r="Z89" t="s">
        <v>1995</v>
      </c>
      <c r="AA89" t="s">
        <v>1995</v>
      </c>
      <c r="AB89" t="s">
        <v>1995</v>
      </c>
      <c r="AC89" t="s">
        <v>2348</v>
      </c>
      <c r="AD89" t="s">
        <v>767</v>
      </c>
      <c r="AE89" t="s">
        <v>2001</v>
      </c>
      <c r="AG89" t="s">
        <v>2002</v>
      </c>
    </row>
    <row r="90">
      <c r="A90" t="s">
        <v>2349</v>
      </c>
      <c r="B90" t="s">
        <v>679</v>
      </c>
      <c r="C90" t="s">
        <v>680</v>
      </c>
      <c r="D90" t="s">
        <v>756</v>
      </c>
      <c r="E90" t="s">
        <v>757</v>
      </c>
      <c r="F90" t="s">
        <v>769</v>
      </c>
      <c r="G90" t="s">
        <v>120</v>
      </c>
      <c r="H90" t="s">
        <v>569</v>
      </c>
      <c r="I90" t="s">
        <v>770</v>
      </c>
      <c r="J90" t="s">
        <v>771</v>
      </c>
      <c r="K90" t="s">
        <v>725</v>
      </c>
      <c r="L90" t="s">
        <v>772</v>
      </c>
      <c r="M90" t="s">
        <v>773</v>
      </c>
      <c r="N90" t="s">
        <v>2219</v>
      </c>
      <c r="O90" t="s">
        <v>1966</v>
      </c>
      <c r="P90" t="s">
        <v>1982</v>
      </c>
      <c r="Q90" t="s">
        <v>1971</v>
      </c>
      <c r="R90" t="s">
        <v>1992</v>
      </c>
      <c r="S90" t="s">
        <v>2073</v>
      </c>
      <c r="T90" t="s">
        <v>2220</v>
      </c>
      <c r="U90" t="s">
        <v>2221</v>
      </c>
      <c r="V90" t="s">
        <v>2350</v>
      </c>
      <c r="Y90" t="s">
        <v>1995</v>
      </c>
      <c r="Z90" t="s">
        <v>1995</v>
      </c>
      <c r="AA90" t="s">
        <v>1995</v>
      </c>
      <c r="AB90" t="s">
        <v>1995</v>
      </c>
      <c r="AC90" t="s">
        <v>2271</v>
      </c>
      <c r="AD90" t="s">
        <v>772</v>
      </c>
      <c r="AE90" t="s">
        <v>2001</v>
      </c>
      <c r="AG90" t="s">
        <v>2002</v>
      </c>
    </row>
    <row r="91">
      <c r="A91" t="s">
        <v>2351</v>
      </c>
      <c r="B91" t="s">
        <v>679</v>
      </c>
      <c r="C91" t="s">
        <v>680</v>
      </c>
      <c r="D91" t="s">
        <v>756</v>
      </c>
      <c r="E91" t="s">
        <v>757</v>
      </c>
      <c r="F91" t="s">
        <v>775</v>
      </c>
      <c r="G91" t="s">
        <v>120</v>
      </c>
      <c r="H91" t="s">
        <v>776</v>
      </c>
      <c r="I91" t="s">
        <v>777</v>
      </c>
      <c r="J91" t="s">
        <v>778</v>
      </c>
      <c r="K91" t="s">
        <v>725</v>
      </c>
      <c r="L91" t="s">
        <v>779</v>
      </c>
      <c r="M91" t="s">
        <v>780</v>
      </c>
      <c r="N91" t="s">
        <v>2219</v>
      </c>
      <c r="O91" t="s">
        <v>1966</v>
      </c>
      <c r="P91" t="s">
        <v>1982</v>
      </c>
      <c r="Q91" t="s">
        <v>1971</v>
      </c>
      <c r="R91" t="s">
        <v>1992</v>
      </c>
      <c r="S91" t="s">
        <v>2073</v>
      </c>
      <c r="T91" t="s">
        <v>2220</v>
      </c>
      <c r="U91" t="s">
        <v>2221</v>
      </c>
      <c r="V91" t="s">
        <v>2352</v>
      </c>
      <c r="Y91" t="s">
        <v>1995</v>
      </c>
      <c r="Z91" t="s">
        <v>1995</v>
      </c>
      <c r="AA91" t="s">
        <v>1995</v>
      </c>
      <c r="AB91" t="s">
        <v>1995</v>
      </c>
      <c r="AC91" t="s">
        <v>2353</v>
      </c>
      <c r="AD91" t="s">
        <v>779</v>
      </c>
      <c r="AE91" t="s">
        <v>2001</v>
      </c>
      <c r="AG91" t="s">
        <v>2002</v>
      </c>
    </row>
    <row r="92">
      <c r="A92" t="s">
        <v>2354</v>
      </c>
      <c r="B92" t="s">
        <v>679</v>
      </c>
      <c r="C92" t="s">
        <v>680</v>
      </c>
      <c r="D92" t="s">
        <v>781</v>
      </c>
      <c r="E92" t="s">
        <v>782</v>
      </c>
      <c r="F92" t="s">
        <v>783</v>
      </c>
      <c r="G92" s="15" t="s">
        <v>154</v>
      </c>
      <c r="H92" t="s">
        <v>683</v>
      </c>
      <c r="I92" t="s">
        <v>784</v>
      </c>
      <c r="J92" t="s">
        <v>785</v>
      </c>
      <c r="K92" t="s">
        <v>786</v>
      </c>
      <c r="L92" t="s">
        <v>787</v>
      </c>
      <c r="M92" t="s">
        <v>788</v>
      </c>
      <c r="N92" t="s">
        <v>2219</v>
      </c>
      <c r="O92" t="s">
        <v>1966</v>
      </c>
      <c r="P92" t="s">
        <v>1982</v>
      </c>
      <c r="Q92" t="s">
        <v>1971</v>
      </c>
      <c r="R92" t="s">
        <v>1992</v>
      </c>
      <c r="S92" t="s">
        <v>2073</v>
      </c>
      <c r="T92" t="s">
        <v>2220</v>
      </c>
      <c r="U92" t="s">
        <v>2221</v>
      </c>
      <c r="V92" t="s">
        <v>2355</v>
      </c>
      <c r="Y92" t="s">
        <v>1995</v>
      </c>
      <c r="Z92" t="s">
        <v>1995</v>
      </c>
      <c r="AA92" t="s">
        <v>1995</v>
      </c>
      <c r="AB92" t="s">
        <v>1995</v>
      </c>
      <c r="AC92" t="s">
        <v>2356</v>
      </c>
      <c r="AD92" t="s">
        <v>787</v>
      </c>
      <c r="AE92" t="s">
        <v>2001</v>
      </c>
      <c r="AG92" t="s">
        <v>2002</v>
      </c>
    </row>
    <row r="93">
      <c r="A93" t="s">
        <v>2357</v>
      </c>
      <c r="B93" t="s">
        <v>679</v>
      </c>
      <c r="C93" t="s">
        <v>680</v>
      </c>
      <c r="D93" t="s">
        <v>781</v>
      </c>
      <c r="E93" t="s">
        <v>782</v>
      </c>
      <c r="F93" t="s">
        <v>790</v>
      </c>
      <c r="G93" t="s">
        <v>120</v>
      </c>
      <c r="H93" t="s">
        <v>783</v>
      </c>
      <c r="I93" t="s">
        <v>791</v>
      </c>
      <c r="J93" t="s">
        <v>792</v>
      </c>
      <c r="K93" t="s">
        <v>786</v>
      </c>
      <c r="L93" t="s">
        <v>793</v>
      </c>
      <c r="M93" t="s">
        <v>794</v>
      </c>
      <c r="N93" t="s">
        <v>2219</v>
      </c>
      <c r="O93" t="s">
        <v>1966</v>
      </c>
      <c r="P93" t="s">
        <v>1982</v>
      </c>
      <c r="Q93" t="s">
        <v>1971</v>
      </c>
      <c r="R93" t="s">
        <v>1992</v>
      </c>
      <c r="S93" t="s">
        <v>2073</v>
      </c>
      <c r="T93" t="s">
        <v>2220</v>
      </c>
      <c r="U93" t="s">
        <v>2221</v>
      </c>
      <c r="V93" t="s">
        <v>2358</v>
      </c>
      <c r="Y93" t="s">
        <v>1995</v>
      </c>
      <c r="Z93" t="s">
        <v>1995</v>
      </c>
      <c r="AA93" t="s">
        <v>1995</v>
      </c>
      <c r="AB93" t="s">
        <v>1995</v>
      </c>
      <c r="AC93" t="s">
        <v>2359</v>
      </c>
      <c r="AD93" t="s">
        <v>793</v>
      </c>
      <c r="AE93" t="s">
        <v>2001</v>
      </c>
      <c r="AG93" t="s">
        <v>2002</v>
      </c>
    </row>
    <row r="94">
      <c r="A94" t="s">
        <v>2360</v>
      </c>
      <c r="B94" t="s">
        <v>679</v>
      </c>
      <c r="C94" t="s">
        <v>680</v>
      </c>
      <c r="D94" t="s">
        <v>781</v>
      </c>
      <c r="E94" t="s">
        <v>782</v>
      </c>
      <c r="F94" t="s">
        <v>795</v>
      </c>
      <c r="G94" t="s">
        <v>120</v>
      </c>
      <c r="H94" t="s">
        <v>783</v>
      </c>
      <c r="I94" t="s">
        <v>796</v>
      </c>
      <c r="J94" t="s">
        <v>797</v>
      </c>
      <c r="K94" t="s">
        <v>786</v>
      </c>
      <c r="L94" t="s">
        <v>798</v>
      </c>
      <c r="M94" t="s">
        <v>799</v>
      </c>
      <c r="N94" t="s">
        <v>2219</v>
      </c>
      <c r="O94" t="s">
        <v>1966</v>
      </c>
      <c r="P94" t="s">
        <v>1982</v>
      </c>
      <c r="Q94" t="s">
        <v>1971</v>
      </c>
      <c r="R94" t="s">
        <v>1992</v>
      </c>
      <c r="S94" t="s">
        <v>2073</v>
      </c>
      <c r="T94" t="s">
        <v>2220</v>
      </c>
      <c r="U94" t="s">
        <v>2221</v>
      </c>
      <c r="V94" t="s">
        <v>2361</v>
      </c>
      <c r="Y94" t="s">
        <v>1995</v>
      </c>
      <c r="Z94" t="s">
        <v>1995</v>
      </c>
      <c r="AA94" t="s">
        <v>1995</v>
      </c>
      <c r="AB94" t="s">
        <v>1995</v>
      </c>
      <c r="AC94" t="s">
        <v>2362</v>
      </c>
      <c r="AD94" t="s">
        <v>798</v>
      </c>
      <c r="AE94" t="s">
        <v>2001</v>
      </c>
      <c r="AG94" t="s">
        <v>2002</v>
      </c>
    </row>
    <row r="95">
      <c r="A95" t="s">
        <v>2363</v>
      </c>
      <c r="B95" t="s">
        <v>679</v>
      </c>
      <c r="C95" t="s">
        <v>680</v>
      </c>
      <c r="D95" t="s">
        <v>781</v>
      </c>
      <c r="E95" t="s">
        <v>782</v>
      </c>
      <c r="F95" t="s">
        <v>800</v>
      </c>
      <c r="G95" t="s">
        <v>120</v>
      </c>
      <c r="H95" t="s">
        <v>758</v>
      </c>
      <c r="I95" t="s">
        <v>801</v>
      </c>
      <c r="J95" t="s">
        <v>802</v>
      </c>
      <c r="K95" t="s">
        <v>803</v>
      </c>
      <c r="L95" t="s">
        <v>804</v>
      </c>
      <c r="M95" t="s">
        <v>805</v>
      </c>
      <c r="N95" t="s">
        <v>2219</v>
      </c>
      <c r="O95" t="s">
        <v>1966</v>
      </c>
      <c r="P95" t="s">
        <v>1982</v>
      </c>
      <c r="Q95" t="s">
        <v>1971</v>
      </c>
      <c r="R95" t="s">
        <v>1992</v>
      </c>
      <c r="S95" t="s">
        <v>2073</v>
      </c>
      <c r="T95" t="s">
        <v>2220</v>
      </c>
      <c r="U95" t="s">
        <v>2221</v>
      </c>
      <c r="V95" t="s">
        <v>2364</v>
      </c>
      <c r="Y95" t="s">
        <v>1995</v>
      </c>
      <c r="Z95" t="s">
        <v>1995</v>
      </c>
      <c r="AA95" t="s">
        <v>1995</v>
      </c>
      <c r="AB95" t="s">
        <v>1995</v>
      </c>
      <c r="AC95" t="s">
        <v>2365</v>
      </c>
      <c r="AD95" t="s">
        <v>804</v>
      </c>
      <c r="AE95" t="s">
        <v>2001</v>
      </c>
      <c r="AG95" t="s">
        <v>2002</v>
      </c>
    </row>
    <row r="96">
      <c r="A96" t="s">
        <v>2366</v>
      </c>
      <c r="B96" t="s">
        <v>679</v>
      </c>
      <c r="C96" t="s">
        <v>680</v>
      </c>
      <c r="D96" t="s">
        <v>806</v>
      </c>
      <c r="E96" t="s">
        <v>807</v>
      </c>
      <c r="F96" t="s">
        <v>808</v>
      </c>
      <c r="G96" t="s">
        <v>120</v>
      </c>
      <c r="H96" t="s">
        <v>683</v>
      </c>
      <c r="I96" t="s">
        <v>809</v>
      </c>
      <c r="J96" t="s">
        <v>810</v>
      </c>
      <c r="K96" t="s">
        <v>811</v>
      </c>
      <c r="L96" t="s">
        <v>812</v>
      </c>
      <c r="M96" t="s">
        <v>813</v>
      </c>
      <c r="N96" t="s">
        <v>2219</v>
      </c>
      <c r="O96" t="s">
        <v>1966</v>
      </c>
      <c r="P96" t="s">
        <v>1982</v>
      </c>
      <c r="Q96" t="s">
        <v>1971</v>
      </c>
      <c r="R96" t="s">
        <v>1992</v>
      </c>
      <c r="S96" t="s">
        <v>2073</v>
      </c>
      <c r="T96" t="s">
        <v>2220</v>
      </c>
      <c r="U96" t="s">
        <v>2221</v>
      </c>
      <c r="V96" t="s">
        <v>2367</v>
      </c>
      <c r="Y96" t="s">
        <v>1995</v>
      </c>
      <c r="Z96" t="s">
        <v>1995</v>
      </c>
      <c r="AA96" t="s">
        <v>1995</v>
      </c>
      <c r="AB96" t="s">
        <v>1995</v>
      </c>
      <c r="AC96" t="s">
        <v>2368</v>
      </c>
      <c r="AD96" t="s">
        <v>812</v>
      </c>
      <c r="AE96" t="s">
        <v>2001</v>
      </c>
      <c r="AG96" t="s">
        <v>2002</v>
      </c>
    </row>
    <row r="97">
      <c r="A97" t="s">
        <v>2369</v>
      </c>
      <c r="B97" t="s">
        <v>679</v>
      </c>
      <c r="C97" t="s">
        <v>680</v>
      </c>
      <c r="D97" t="s">
        <v>806</v>
      </c>
      <c r="E97" t="s">
        <v>807</v>
      </c>
      <c r="F97" t="s">
        <v>815</v>
      </c>
      <c r="G97" t="s">
        <v>120</v>
      </c>
      <c r="H97" t="s">
        <v>808</v>
      </c>
      <c r="I97" t="s">
        <v>816</v>
      </c>
      <c r="J97" t="s">
        <v>817</v>
      </c>
      <c r="K97" t="s">
        <v>811</v>
      </c>
      <c r="L97" t="s">
        <v>818</v>
      </c>
      <c r="M97" t="s">
        <v>819</v>
      </c>
      <c r="N97" t="s">
        <v>2219</v>
      </c>
      <c r="O97" t="s">
        <v>1966</v>
      </c>
      <c r="P97" t="s">
        <v>1982</v>
      </c>
      <c r="Q97" t="s">
        <v>1971</v>
      </c>
      <c r="R97" t="s">
        <v>1992</v>
      </c>
      <c r="S97" t="s">
        <v>2073</v>
      </c>
      <c r="T97" t="s">
        <v>2220</v>
      </c>
      <c r="U97" t="s">
        <v>2221</v>
      </c>
      <c r="V97" t="s">
        <v>2370</v>
      </c>
      <c r="Y97" t="s">
        <v>1995</v>
      </c>
      <c r="Z97" t="s">
        <v>1995</v>
      </c>
      <c r="AA97" t="s">
        <v>1995</v>
      </c>
      <c r="AB97" t="s">
        <v>1995</v>
      </c>
      <c r="AC97" t="s">
        <v>2371</v>
      </c>
      <c r="AD97" t="s">
        <v>818</v>
      </c>
      <c r="AE97" t="s">
        <v>2001</v>
      </c>
      <c r="AG97" t="s">
        <v>2002</v>
      </c>
    </row>
    <row r="98">
      <c r="A98" t="s">
        <v>2372</v>
      </c>
      <c r="B98" t="s">
        <v>679</v>
      </c>
      <c r="C98" t="s">
        <v>680</v>
      </c>
      <c r="D98" t="s">
        <v>806</v>
      </c>
      <c r="E98" t="s">
        <v>807</v>
      </c>
      <c r="F98" t="s">
        <v>820</v>
      </c>
      <c r="G98" t="s">
        <v>120</v>
      </c>
      <c r="H98" t="s">
        <v>808</v>
      </c>
      <c r="I98" t="s">
        <v>821</v>
      </c>
      <c r="J98" t="s">
        <v>822</v>
      </c>
      <c r="K98" t="s">
        <v>811</v>
      </c>
      <c r="L98" t="s">
        <v>823</v>
      </c>
      <c r="M98" t="s">
        <v>824</v>
      </c>
      <c r="N98" t="s">
        <v>2219</v>
      </c>
      <c r="O98" t="s">
        <v>1966</v>
      </c>
      <c r="P98" t="s">
        <v>1982</v>
      </c>
      <c r="Q98" t="s">
        <v>1971</v>
      </c>
      <c r="R98" t="s">
        <v>1992</v>
      </c>
      <c r="S98" t="s">
        <v>2073</v>
      </c>
      <c r="T98" t="s">
        <v>2220</v>
      </c>
      <c r="U98" t="s">
        <v>2221</v>
      </c>
      <c r="V98" t="s">
        <v>2373</v>
      </c>
      <c r="Y98" t="s">
        <v>1995</v>
      </c>
      <c r="Z98" t="s">
        <v>1995</v>
      </c>
      <c r="AA98" t="s">
        <v>1995</v>
      </c>
      <c r="AB98" t="s">
        <v>1995</v>
      </c>
      <c r="AC98" t="s">
        <v>2374</v>
      </c>
      <c r="AD98" t="s">
        <v>823</v>
      </c>
      <c r="AE98" t="s">
        <v>2001</v>
      </c>
      <c r="AG98" t="s">
        <v>2002</v>
      </c>
    </row>
    <row r="99">
      <c r="A99" t="s">
        <v>2375</v>
      </c>
      <c r="B99" t="s">
        <v>679</v>
      </c>
      <c r="C99" t="s">
        <v>680</v>
      </c>
      <c r="D99" t="s">
        <v>806</v>
      </c>
      <c r="E99" t="s">
        <v>807</v>
      </c>
      <c r="F99" t="s">
        <v>826</v>
      </c>
      <c r="G99" t="s">
        <v>120</v>
      </c>
      <c r="H99" t="s">
        <v>827</v>
      </c>
      <c r="I99" t="s">
        <v>828</v>
      </c>
      <c r="J99" t="s">
        <v>829</v>
      </c>
      <c r="K99" t="s">
        <v>830</v>
      </c>
      <c r="L99" t="s">
        <v>831</v>
      </c>
      <c r="M99" t="s">
        <v>832</v>
      </c>
      <c r="N99" t="s">
        <v>2219</v>
      </c>
      <c r="O99" t="s">
        <v>1966</v>
      </c>
      <c r="P99" t="s">
        <v>1982</v>
      </c>
      <c r="Q99" t="s">
        <v>1971</v>
      </c>
      <c r="R99" t="s">
        <v>1992</v>
      </c>
      <c r="S99" t="s">
        <v>2073</v>
      </c>
      <c r="T99" t="s">
        <v>2220</v>
      </c>
      <c r="U99" t="s">
        <v>2221</v>
      </c>
      <c r="Y99" t="s">
        <v>1995</v>
      </c>
      <c r="Z99" t="s">
        <v>1995</v>
      </c>
      <c r="AA99" t="s">
        <v>1995</v>
      </c>
      <c r="AB99" t="s">
        <v>1995</v>
      </c>
      <c r="AC99" t="s">
        <v>2376</v>
      </c>
      <c r="AD99" t="s">
        <v>831</v>
      </c>
      <c r="AE99" t="s">
        <v>2002</v>
      </c>
      <c r="AF99" t="s">
        <v>2377</v>
      </c>
      <c r="AG99" t="s">
        <v>2002</v>
      </c>
    </row>
    <row r="100">
      <c r="A100" t="s">
        <v>2378</v>
      </c>
      <c r="B100" t="s">
        <v>679</v>
      </c>
      <c r="C100" t="s">
        <v>680</v>
      </c>
      <c r="D100" t="s">
        <v>834</v>
      </c>
      <c r="E100" t="s">
        <v>835</v>
      </c>
      <c r="F100" t="s">
        <v>836</v>
      </c>
      <c r="G100" t="s">
        <v>120</v>
      </c>
      <c r="H100" t="s">
        <v>837</v>
      </c>
      <c r="I100" t="s">
        <v>838</v>
      </c>
      <c r="J100" t="s">
        <v>839</v>
      </c>
      <c r="K100" t="s">
        <v>840</v>
      </c>
      <c r="L100" t="s">
        <v>841</v>
      </c>
      <c r="M100" t="s">
        <v>842</v>
      </c>
      <c r="N100" t="s">
        <v>2219</v>
      </c>
      <c r="O100" t="s">
        <v>1966</v>
      </c>
      <c r="P100" t="s">
        <v>1982</v>
      </c>
      <c r="Q100" t="s">
        <v>1971</v>
      </c>
      <c r="R100" t="s">
        <v>1992</v>
      </c>
      <c r="S100" t="s">
        <v>2073</v>
      </c>
      <c r="T100" t="s">
        <v>2220</v>
      </c>
      <c r="U100" t="s">
        <v>2221</v>
      </c>
      <c r="Y100" t="s">
        <v>1995</v>
      </c>
      <c r="Z100" t="s">
        <v>1995</v>
      </c>
      <c r="AA100" t="s">
        <v>1995</v>
      </c>
      <c r="AB100" t="s">
        <v>1995</v>
      </c>
      <c r="AC100" t="s">
        <v>2379</v>
      </c>
      <c r="AD100" t="s">
        <v>841</v>
      </c>
      <c r="AE100" t="s">
        <v>2002</v>
      </c>
      <c r="AF100" t="s">
        <v>2380</v>
      </c>
      <c r="AG100" t="s">
        <v>2002</v>
      </c>
    </row>
    <row r="101">
      <c r="A101" t="s">
        <v>2381</v>
      </c>
      <c r="B101" t="s">
        <v>679</v>
      </c>
      <c r="C101" t="s">
        <v>680</v>
      </c>
      <c r="D101" t="s">
        <v>834</v>
      </c>
      <c r="E101" t="s">
        <v>835</v>
      </c>
      <c r="F101" t="s">
        <v>843</v>
      </c>
      <c r="G101" t="s">
        <v>120</v>
      </c>
      <c r="H101" t="s">
        <v>844</v>
      </c>
      <c r="I101" t="s">
        <v>845</v>
      </c>
      <c r="J101" t="s">
        <v>846</v>
      </c>
      <c r="K101" t="s">
        <v>840</v>
      </c>
      <c r="L101" t="s">
        <v>847</v>
      </c>
      <c r="M101" t="s">
        <v>848</v>
      </c>
      <c r="N101" t="s">
        <v>2219</v>
      </c>
      <c r="O101" t="s">
        <v>1966</v>
      </c>
      <c r="P101" t="s">
        <v>1982</v>
      </c>
      <c r="Q101" t="s">
        <v>1971</v>
      </c>
      <c r="R101" t="s">
        <v>1992</v>
      </c>
      <c r="S101" t="s">
        <v>2073</v>
      </c>
      <c r="T101" t="s">
        <v>2220</v>
      </c>
      <c r="U101" t="s">
        <v>2221</v>
      </c>
      <c r="Y101" t="s">
        <v>1995</v>
      </c>
      <c r="Z101" t="s">
        <v>1995</v>
      </c>
      <c r="AA101" t="s">
        <v>1995</v>
      </c>
      <c r="AB101" t="s">
        <v>1995</v>
      </c>
      <c r="AC101" t="s">
        <v>2382</v>
      </c>
      <c r="AD101" t="s">
        <v>847</v>
      </c>
      <c r="AE101" t="s">
        <v>2002</v>
      </c>
      <c r="AF101" t="s">
        <v>2383</v>
      </c>
      <c r="AG101" t="s">
        <v>2002</v>
      </c>
    </row>
    <row r="102">
      <c r="A102" t="s">
        <v>2384</v>
      </c>
      <c r="B102" t="s">
        <v>679</v>
      </c>
      <c r="C102" t="s">
        <v>680</v>
      </c>
      <c r="D102" t="s">
        <v>834</v>
      </c>
      <c r="E102" t="s">
        <v>835</v>
      </c>
      <c r="F102" t="s">
        <v>850</v>
      </c>
      <c r="G102" t="s">
        <v>120</v>
      </c>
      <c r="H102" t="s">
        <v>851</v>
      </c>
      <c r="I102" t="s">
        <v>852</v>
      </c>
      <c r="J102" t="s">
        <v>853</v>
      </c>
      <c r="K102" t="s">
        <v>854</v>
      </c>
      <c r="L102" t="s">
        <v>855</v>
      </c>
      <c r="M102" t="s">
        <v>856</v>
      </c>
      <c r="N102" t="s">
        <v>2219</v>
      </c>
      <c r="O102" t="s">
        <v>1966</v>
      </c>
      <c r="P102" t="s">
        <v>1982</v>
      </c>
      <c r="Q102" t="s">
        <v>1971</v>
      </c>
      <c r="R102" t="s">
        <v>1992</v>
      </c>
      <c r="S102" t="s">
        <v>2073</v>
      </c>
      <c r="T102" t="s">
        <v>2220</v>
      </c>
      <c r="U102" t="s">
        <v>2221</v>
      </c>
      <c r="V102" t="s">
        <v>2385</v>
      </c>
      <c r="Y102" t="s">
        <v>1995</v>
      </c>
      <c r="Z102" t="s">
        <v>1995</v>
      </c>
      <c r="AA102" t="s">
        <v>1995</v>
      </c>
      <c r="AB102" t="s">
        <v>1995</v>
      </c>
      <c r="AC102" t="s">
        <v>2386</v>
      </c>
      <c r="AD102" t="s">
        <v>855</v>
      </c>
      <c r="AE102" t="s">
        <v>2001</v>
      </c>
      <c r="AG102" t="s">
        <v>2002</v>
      </c>
    </row>
    <row r="103">
      <c r="A103" t="s">
        <v>2387</v>
      </c>
      <c r="B103" t="s">
        <v>679</v>
      </c>
      <c r="C103" t="s">
        <v>680</v>
      </c>
      <c r="D103" t="s">
        <v>834</v>
      </c>
      <c r="E103" t="s">
        <v>835</v>
      </c>
      <c r="F103" t="s">
        <v>857</v>
      </c>
      <c r="G103" t="s">
        <v>120</v>
      </c>
      <c r="H103" t="s">
        <v>836</v>
      </c>
      <c r="I103" t="s">
        <v>858</v>
      </c>
      <c r="J103" t="s">
        <v>859</v>
      </c>
      <c r="K103" t="s">
        <v>840</v>
      </c>
      <c r="L103" t="s">
        <v>860</v>
      </c>
      <c r="M103" t="s">
        <v>861</v>
      </c>
      <c r="N103" t="s">
        <v>2219</v>
      </c>
      <c r="O103" t="s">
        <v>1966</v>
      </c>
      <c r="P103" t="s">
        <v>1982</v>
      </c>
      <c r="Q103" t="s">
        <v>1971</v>
      </c>
      <c r="R103" t="s">
        <v>1992</v>
      </c>
      <c r="S103" t="s">
        <v>2073</v>
      </c>
      <c r="T103" t="s">
        <v>2220</v>
      </c>
      <c r="U103" t="s">
        <v>2221</v>
      </c>
      <c r="V103" t="s">
        <v>2388</v>
      </c>
      <c r="Y103" t="s">
        <v>1995</v>
      </c>
      <c r="Z103" t="s">
        <v>1995</v>
      </c>
      <c r="AA103" t="s">
        <v>1995</v>
      </c>
      <c r="AB103" t="s">
        <v>1995</v>
      </c>
      <c r="AC103" t="s">
        <v>2389</v>
      </c>
      <c r="AD103" t="s">
        <v>860</v>
      </c>
      <c r="AE103" t="s">
        <v>2001</v>
      </c>
      <c r="AG103" t="s">
        <v>2002</v>
      </c>
    </row>
    <row r="104">
      <c r="A104" t="s">
        <v>2390</v>
      </c>
      <c r="B104" t="s">
        <v>679</v>
      </c>
      <c r="C104" t="s">
        <v>680</v>
      </c>
      <c r="D104" t="s">
        <v>862</v>
      </c>
      <c r="E104" t="s">
        <v>863</v>
      </c>
      <c r="F104" t="s">
        <v>864</v>
      </c>
      <c r="G104" s="15" t="s">
        <v>154</v>
      </c>
      <c r="H104" t="s">
        <v>865</v>
      </c>
      <c r="I104" t="s">
        <v>866</v>
      </c>
      <c r="J104" t="s">
        <v>867</v>
      </c>
      <c r="K104" t="s">
        <v>786</v>
      </c>
      <c r="L104" t="s">
        <v>868</v>
      </c>
      <c r="M104" t="s">
        <v>869</v>
      </c>
      <c r="N104" t="s">
        <v>2219</v>
      </c>
      <c r="O104" t="s">
        <v>1966</v>
      </c>
      <c r="P104" t="s">
        <v>1982</v>
      </c>
      <c r="Q104" t="s">
        <v>1971</v>
      </c>
      <c r="R104" t="s">
        <v>1992</v>
      </c>
      <c r="S104" t="s">
        <v>2073</v>
      </c>
      <c r="T104" t="s">
        <v>2220</v>
      </c>
      <c r="U104" t="s">
        <v>2221</v>
      </c>
      <c r="V104" t="s">
        <v>2391</v>
      </c>
      <c r="Y104" t="s">
        <v>1995</v>
      </c>
      <c r="Z104" t="s">
        <v>1995</v>
      </c>
      <c r="AA104" t="s">
        <v>1995</v>
      </c>
      <c r="AB104" t="s">
        <v>1995</v>
      </c>
      <c r="AC104" t="s">
        <v>2392</v>
      </c>
      <c r="AD104" t="s">
        <v>868</v>
      </c>
      <c r="AE104" t="s">
        <v>2001</v>
      </c>
      <c r="AG104" t="s">
        <v>2002</v>
      </c>
    </row>
    <row r="105">
      <c r="A105" t="s">
        <v>2393</v>
      </c>
      <c r="B105" t="s">
        <v>679</v>
      </c>
      <c r="C105" t="s">
        <v>680</v>
      </c>
      <c r="D105" t="s">
        <v>862</v>
      </c>
      <c r="E105" t="s">
        <v>863</v>
      </c>
      <c r="F105" t="s">
        <v>870</v>
      </c>
      <c r="G105" t="s">
        <v>120</v>
      </c>
      <c r="H105" t="s">
        <v>871</v>
      </c>
      <c r="I105" t="s">
        <v>872</v>
      </c>
      <c r="J105" t="s">
        <v>873</v>
      </c>
      <c r="K105" t="s">
        <v>786</v>
      </c>
      <c r="L105" t="s">
        <v>874</v>
      </c>
      <c r="M105" t="s">
        <v>875</v>
      </c>
      <c r="N105" t="s">
        <v>2219</v>
      </c>
      <c r="O105" t="s">
        <v>1966</v>
      </c>
      <c r="P105" t="s">
        <v>1982</v>
      </c>
      <c r="Q105" t="s">
        <v>1971</v>
      </c>
      <c r="R105" t="s">
        <v>1992</v>
      </c>
      <c r="S105" t="s">
        <v>2073</v>
      </c>
      <c r="T105" t="s">
        <v>2220</v>
      </c>
      <c r="U105" t="s">
        <v>2221</v>
      </c>
      <c r="V105" t="s">
        <v>2394</v>
      </c>
      <c r="Y105" t="s">
        <v>1995</v>
      </c>
      <c r="Z105" t="s">
        <v>1995</v>
      </c>
      <c r="AA105" t="s">
        <v>1995</v>
      </c>
      <c r="AB105" t="s">
        <v>1995</v>
      </c>
      <c r="AC105" t="s">
        <v>2395</v>
      </c>
      <c r="AD105" t="s">
        <v>874</v>
      </c>
      <c r="AE105" t="s">
        <v>2001</v>
      </c>
      <c r="AG105" t="s">
        <v>2002</v>
      </c>
    </row>
    <row r="106">
      <c r="A106" t="s">
        <v>2396</v>
      </c>
      <c r="B106" t="s">
        <v>679</v>
      </c>
      <c r="C106" t="s">
        <v>680</v>
      </c>
      <c r="D106" t="s">
        <v>862</v>
      </c>
      <c r="E106" t="s">
        <v>863</v>
      </c>
      <c r="F106" t="s">
        <v>877</v>
      </c>
      <c r="G106" t="s">
        <v>120</v>
      </c>
      <c r="H106" t="s">
        <v>783</v>
      </c>
      <c r="I106" t="s">
        <v>878</v>
      </c>
      <c r="J106" t="s">
        <v>879</v>
      </c>
      <c r="K106" t="s">
        <v>786</v>
      </c>
      <c r="L106" t="s">
        <v>880</v>
      </c>
      <c r="M106" t="s">
        <v>881</v>
      </c>
      <c r="N106" t="s">
        <v>2219</v>
      </c>
      <c r="O106" t="s">
        <v>1966</v>
      </c>
      <c r="P106" t="s">
        <v>1982</v>
      </c>
      <c r="Q106" t="s">
        <v>1971</v>
      </c>
      <c r="R106" t="s">
        <v>1992</v>
      </c>
      <c r="S106" t="s">
        <v>2073</v>
      </c>
      <c r="T106" t="s">
        <v>2220</v>
      </c>
      <c r="U106" t="s">
        <v>2221</v>
      </c>
      <c r="V106" t="s">
        <v>2397</v>
      </c>
      <c r="Y106" t="s">
        <v>1995</v>
      </c>
      <c r="Z106" t="s">
        <v>1995</v>
      </c>
      <c r="AA106" t="s">
        <v>1995</v>
      </c>
      <c r="AB106" t="s">
        <v>1995</v>
      </c>
      <c r="AC106" t="s">
        <v>2398</v>
      </c>
      <c r="AD106" t="s">
        <v>880</v>
      </c>
      <c r="AE106" t="s">
        <v>2001</v>
      </c>
      <c r="AG106" t="s">
        <v>2002</v>
      </c>
    </row>
    <row r="107">
      <c r="A107" t="s">
        <v>2399</v>
      </c>
      <c r="B107" t="s">
        <v>679</v>
      </c>
      <c r="C107" t="s">
        <v>680</v>
      </c>
      <c r="D107" t="s">
        <v>862</v>
      </c>
      <c r="E107" t="s">
        <v>863</v>
      </c>
      <c r="F107" t="s">
        <v>882</v>
      </c>
      <c r="G107" t="s">
        <v>120</v>
      </c>
      <c r="H107" t="s">
        <v>883</v>
      </c>
      <c r="I107" t="s">
        <v>884</v>
      </c>
      <c r="J107" t="s">
        <v>885</v>
      </c>
      <c r="K107" t="s">
        <v>786</v>
      </c>
      <c r="L107" t="s">
        <v>886</v>
      </c>
      <c r="M107" t="s">
        <v>887</v>
      </c>
      <c r="N107" t="s">
        <v>2219</v>
      </c>
      <c r="O107" t="s">
        <v>1966</v>
      </c>
      <c r="P107" t="s">
        <v>1982</v>
      </c>
      <c r="Q107" t="s">
        <v>1971</v>
      </c>
      <c r="R107" t="s">
        <v>1992</v>
      </c>
      <c r="S107" t="s">
        <v>2073</v>
      </c>
      <c r="T107" t="s">
        <v>2220</v>
      </c>
      <c r="U107" t="s">
        <v>2221</v>
      </c>
      <c r="V107" t="s">
        <v>2400</v>
      </c>
      <c r="Y107" t="s">
        <v>1995</v>
      </c>
      <c r="Z107" t="s">
        <v>1995</v>
      </c>
      <c r="AA107" t="s">
        <v>1995</v>
      </c>
      <c r="AB107" t="s">
        <v>1995</v>
      </c>
      <c r="AC107" t="s">
        <v>2401</v>
      </c>
      <c r="AD107" t="s">
        <v>886</v>
      </c>
      <c r="AE107" t="s">
        <v>2001</v>
      </c>
      <c r="AG107" t="s">
        <v>2002</v>
      </c>
    </row>
    <row r="108">
      <c r="A108" t="s">
        <v>2402</v>
      </c>
      <c r="B108" t="s">
        <v>679</v>
      </c>
      <c r="C108" t="s">
        <v>680</v>
      </c>
      <c r="D108" t="s">
        <v>862</v>
      </c>
      <c r="E108" t="s">
        <v>863</v>
      </c>
      <c r="F108" t="s">
        <v>889</v>
      </c>
      <c r="G108" t="s">
        <v>120</v>
      </c>
      <c r="H108" t="s">
        <v>890</v>
      </c>
      <c r="I108" t="s">
        <v>891</v>
      </c>
      <c r="J108" t="s">
        <v>892</v>
      </c>
      <c r="K108" t="s">
        <v>893</v>
      </c>
      <c r="L108" t="s">
        <v>894</v>
      </c>
      <c r="M108" t="s">
        <v>895</v>
      </c>
      <c r="N108" t="s">
        <v>2219</v>
      </c>
      <c r="O108" t="s">
        <v>1966</v>
      </c>
      <c r="P108" t="s">
        <v>1982</v>
      </c>
      <c r="Q108" t="s">
        <v>1971</v>
      </c>
      <c r="R108" t="s">
        <v>1992</v>
      </c>
      <c r="S108" t="s">
        <v>2073</v>
      </c>
      <c r="T108" t="s">
        <v>2220</v>
      </c>
      <c r="U108" t="s">
        <v>2221</v>
      </c>
      <c r="V108" t="s">
        <v>2403</v>
      </c>
      <c r="Y108" t="s">
        <v>1995</v>
      </c>
      <c r="Z108" t="s">
        <v>1995</v>
      </c>
      <c r="AA108" t="s">
        <v>1995</v>
      </c>
      <c r="AB108" t="s">
        <v>1995</v>
      </c>
      <c r="AC108" t="s">
        <v>2404</v>
      </c>
      <c r="AD108" t="s">
        <v>894</v>
      </c>
      <c r="AE108" t="s">
        <v>2001</v>
      </c>
      <c r="AG108" t="s">
        <v>2002</v>
      </c>
    </row>
    <row r="109">
      <c r="A109" t="s">
        <v>2405</v>
      </c>
      <c r="B109" t="s">
        <v>679</v>
      </c>
      <c r="C109" t="s">
        <v>680</v>
      </c>
      <c r="D109" t="s">
        <v>897</v>
      </c>
      <c r="E109" t="s">
        <v>898</v>
      </c>
      <c r="F109" t="s">
        <v>899</v>
      </c>
      <c r="G109" t="s">
        <v>120</v>
      </c>
      <c r="H109" t="s">
        <v>618</v>
      </c>
      <c r="I109" t="s">
        <v>900</v>
      </c>
      <c r="J109" t="s">
        <v>901</v>
      </c>
      <c r="K109" t="s">
        <v>902</v>
      </c>
      <c r="L109" t="s">
        <v>903</v>
      </c>
      <c r="M109" t="s">
        <v>904</v>
      </c>
      <c r="N109" t="s">
        <v>2219</v>
      </c>
      <c r="O109" t="s">
        <v>1966</v>
      </c>
      <c r="P109" t="s">
        <v>1982</v>
      </c>
      <c r="Q109" t="s">
        <v>1971</v>
      </c>
      <c r="R109" t="s">
        <v>1992</v>
      </c>
      <c r="S109" t="s">
        <v>2073</v>
      </c>
      <c r="T109" t="s">
        <v>2220</v>
      </c>
      <c r="U109" t="s">
        <v>2221</v>
      </c>
      <c r="V109" t="s">
        <v>2406</v>
      </c>
      <c r="Y109" t="s">
        <v>1995</v>
      </c>
      <c r="Z109" t="s">
        <v>1995</v>
      </c>
      <c r="AA109" t="s">
        <v>1995</v>
      </c>
      <c r="AB109" t="s">
        <v>1995</v>
      </c>
      <c r="AC109" t="s">
        <v>2407</v>
      </c>
      <c r="AD109" t="s">
        <v>903</v>
      </c>
      <c r="AE109" t="s">
        <v>2001</v>
      </c>
      <c r="AG109" t="s">
        <v>2002</v>
      </c>
    </row>
    <row r="110">
      <c r="A110" t="s">
        <v>2408</v>
      </c>
      <c r="B110" t="s">
        <v>679</v>
      </c>
      <c r="C110" t="s">
        <v>680</v>
      </c>
      <c r="D110" t="s">
        <v>897</v>
      </c>
      <c r="E110" t="s">
        <v>898</v>
      </c>
      <c r="F110" t="s">
        <v>906</v>
      </c>
      <c r="G110" t="s">
        <v>120</v>
      </c>
      <c r="H110" t="s">
        <v>907</v>
      </c>
      <c r="I110" t="s">
        <v>908</v>
      </c>
      <c r="J110" t="s">
        <v>909</v>
      </c>
      <c r="K110" t="s">
        <v>902</v>
      </c>
      <c r="L110" t="s">
        <v>910</v>
      </c>
      <c r="M110" t="s">
        <v>911</v>
      </c>
      <c r="N110" t="s">
        <v>2219</v>
      </c>
      <c r="O110" t="s">
        <v>1966</v>
      </c>
      <c r="P110" t="s">
        <v>1982</v>
      </c>
      <c r="Q110" t="s">
        <v>1971</v>
      </c>
      <c r="R110" t="s">
        <v>1992</v>
      </c>
      <c r="S110" t="s">
        <v>2073</v>
      </c>
      <c r="T110" t="s">
        <v>2220</v>
      </c>
      <c r="U110" t="s">
        <v>2221</v>
      </c>
      <c r="V110" t="s">
        <v>2409</v>
      </c>
      <c r="Y110" t="s">
        <v>1995</v>
      </c>
      <c r="Z110" t="s">
        <v>1995</v>
      </c>
      <c r="AA110" t="s">
        <v>1995</v>
      </c>
      <c r="AB110" t="s">
        <v>1995</v>
      </c>
      <c r="AC110" t="s">
        <v>2410</v>
      </c>
      <c r="AD110" t="s">
        <v>910</v>
      </c>
      <c r="AE110" t="s">
        <v>2001</v>
      </c>
      <c r="AG110" t="s">
        <v>2002</v>
      </c>
    </row>
    <row r="111">
      <c r="A111" t="s">
        <v>2411</v>
      </c>
      <c r="B111" t="s">
        <v>679</v>
      </c>
      <c r="C111" t="s">
        <v>680</v>
      </c>
      <c r="D111" t="s">
        <v>897</v>
      </c>
      <c r="E111" t="s">
        <v>898</v>
      </c>
      <c r="F111" t="s">
        <v>912</v>
      </c>
      <c r="G111" t="s">
        <v>120</v>
      </c>
      <c r="H111" t="s">
        <v>913</v>
      </c>
      <c r="I111" t="s">
        <v>914</v>
      </c>
      <c r="J111" t="s">
        <v>915</v>
      </c>
      <c r="K111" t="s">
        <v>902</v>
      </c>
      <c r="L111" t="s">
        <v>916</v>
      </c>
      <c r="M111" t="s">
        <v>917</v>
      </c>
      <c r="N111" t="s">
        <v>2219</v>
      </c>
      <c r="O111" t="s">
        <v>1966</v>
      </c>
      <c r="P111" t="s">
        <v>1982</v>
      </c>
      <c r="Q111" t="s">
        <v>1971</v>
      </c>
      <c r="R111" t="s">
        <v>1992</v>
      </c>
      <c r="S111" t="s">
        <v>2073</v>
      </c>
      <c r="T111" t="s">
        <v>2220</v>
      </c>
      <c r="U111" t="s">
        <v>2221</v>
      </c>
      <c r="Y111" t="s">
        <v>1995</v>
      </c>
      <c r="Z111" t="s">
        <v>1995</v>
      </c>
      <c r="AA111" t="s">
        <v>1995</v>
      </c>
      <c r="AB111" t="s">
        <v>1995</v>
      </c>
      <c r="AC111" t="s">
        <v>2412</v>
      </c>
      <c r="AD111" t="s">
        <v>916</v>
      </c>
      <c r="AE111" t="s">
        <v>2002</v>
      </c>
      <c r="AF111" t="s">
        <v>2413</v>
      </c>
      <c r="AG111" t="s">
        <v>2002</v>
      </c>
    </row>
    <row r="112">
      <c r="A112" t="s">
        <v>2414</v>
      </c>
      <c r="B112" t="s">
        <v>679</v>
      </c>
      <c r="C112" t="s">
        <v>680</v>
      </c>
      <c r="D112" t="s">
        <v>897</v>
      </c>
      <c r="E112" t="s">
        <v>898</v>
      </c>
      <c r="F112" t="s">
        <v>919</v>
      </c>
      <c r="G112" t="s">
        <v>120</v>
      </c>
      <c r="H112" t="s">
        <v>119</v>
      </c>
      <c r="I112" t="s">
        <v>920</v>
      </c>
      <c r="J112" t="s">
        <v>921</v>
      </c>
      <c r="K112" t="s">
        <v>902</v>
      </c>
      <c r="L112" t="s">
        <v>922</v>
      </c>
      <c r="M112" t="s">
        <v>923</v>
      </c>
      <c r="N112" t="s">
        <v>2219</v>
      </c>
      <c r="O112" t="s">
        <v>1966</v>
      </c>
      <c r="P112" t="s">
        <v>1982</v>
      </c>
      <c r="Q112" t="s">
        <v>1971</v>
      </c>
      <c r="R112" t="s">
        <v>1992</v>
      </c>
      <c r="S112" t="s">
        <v>2073</v>
      </c>
      <c r="T112" t="s">
        <v>2220</v>
      </c>
      <c r="U112" t="s">
        <v>2221</v>
      </c>
      <c r="Y112" t="s">
        <v>1995</v>
      </c>
      <c r="Z112" t="s">
        <v>1995</v>
      </c>
      <c r="AA112" t="s">
        <v>1995</v>
      </c>
      <c r="AB112" t="s">
        <v>1995</v>
      </c>
      <c r="AC112" t="s">
        <v>2415</v>
      </c>
      <c r="AD112" t="s">
        <v>922</v>
      </c>
      <c r="AE112" t="s">
        <v>2002</v>
      </c>
      <c r="AF112" t="s">
        <v>2416</v>
      </c>
      <c r="AG112" t="s">
        <v>2002</v>
      </c>
    </row>
    <row r="113">
      <c r="A113" t="s">
        <v>2417</v>
      </c>
      <c r="B113" t="s">
        <v>679</v>
      </c>
      <c r="C113" t="s">
        <v>680</v>
      </c>
      <c r="D113" t="s">
        <v>897</v>
      </c>
      <c r="E113" t="s">
        <v>898</v>
      </c>
      <c r="F113" t="s">
        <v>925</v>
      </c>
      <c r="G113" t="s">
        <v>120</v>
      </c>
      <c r="H113" t="s">
        <v>926</v>
      </c>
      <c r="I113" t="s">
        <v>927</v>
      </c>
      <c r="J113" t="s">
        <v>928</v>
      </c>
      <c r="K113" t="s">
        <v>929</v>
      </c>
      <c r="L113" t="s">
        <v>930</v>
      </c>
      <c r="M113" t="s">
        <v>931</v>
      </c>
      <c r="N113" t="s">
        <v>2219</v>
      </c>
      <c r="O113" t="s">
        <v>1966</v>
      </c>
      <c r="P113" t="s">
        <v>1982</v>
      </c>
      <c r="Q113" t="s">
        <v>1971</v>
      </c>
      <c r="R113" t="s">
        <v>1992</v>
      </c>
      <c r="S113" t="s">
        <v>2073</v>
      </c>
      <c r="T113" t="s">
        <v>2220</v>
      </c>
      <c r="U113" t="s">
        <v>2221</v>
      </c>
      <c r="V113" t="s">
        <v>2418</v>
      </c>
      <c r="Y113" t="s">
        <v>1995</v>
      </c>
      <c r="Z113" t="s">
        <v>1995</v>
      </c>
      <c r="AA113" t="s">
        <v>1995</v>
      </c>
      <c r="AB113" t="s">
        <v>1995</v>
      </c>
      <c r="AC113" t="s">
        <v>2419</v>
      </c>
      <c r="AD113" t="s">
        <v>930</v>
      </c>
      <c r="AE113" t="s">
        <v>2001</v>
      </c>
      <c r="AG113" t="s">
        <v>2002</v>
      </c>
    </row>
    <row r="114">
      <c r="A114" t="s">
        <v>2420</v>
      </c>
      <c r="B114" t="s">
        <v>679</v>
      </c>
      <c r="C114" t="s">
        <v>680</v>
      </c>
      <c r="D114" t="s">
        <v>933</v>
      </c>
      <c r="E114" t="s">
        <v>934</v>
      </c>
      <c r="F114" t="s">
        <v>935</v>
      </c>
      <c r="G114" t="s">
        <v>120</v>
      </c>
      <c r="H114" t="s">
        <v>808</v>
      </c>
      <c r="I114" t="s">
        <v>936</v>
      </c>
      <c r="J114" t="s">
        <v>937</v>
      </c>
      <c r="K114" t="s">
        <v>811</v>
      </c>
      <c r="L114" t="s">
        <v>938</v>
      </c>
      <c r="M114" t="s">
        <v>939</v>
      </c>
      <c r="N114" t="s">
        <v>2219</v>
      </c>
      <c r="O114" t="s">
        <v>1966</v>
      </c>
      <c r="P114" t="s">
        <v>1982</v>
      </c>
      <c r="Q114" t="s">
        <v>1971</v>
      </c>
      <c r="R114" t="s">
        <v>1992</v>
      </c>
      <c r="S114" t="s">
        <v>2073</v>
      </c>
      <c r="T114" t="s">
        <v>2220</v>
      </c>
      <c r="U114" t="s">
        <v>2221</v>
      </c>
      <c r="V114" t="s">
        <v>2421</v>
      </c>
      <c r="Y114" t="s">
        <v>1995</v>
      </c>
      <c r="Z114" t="s">
        <v>1995</v>
      </c>
      <c r="AA114" t="s">
        <v>1995</v>
      </c>
      <c r="AB114" t="s">
        <v>1995</v>
      </c>
      <c r="AC114" t="s">
        <v>2422</v>
      </c>
      <c r="AD114" t="s">
        <v>938</v>
      </c>
      <c r="AE114" t="s">
        <v>2001</v>
      </c>
      <c r="AG114" t="s">
        <v>2002</v>
      </c>
    </row>
    <row r="115">
      <c r="A115" t="s">
        <v>2423</v>
      </c>
      <c r="B115" t="s">
        <v>679</v>
      </c>
      <c r="C115" t="s">
        <v>680</v>
      </c>
      <c r="D115" t="s">
        <v>933</v>
      </c>
      <c r="E115" t="s">
        <v>934</v>
      </c>
      <c r="F115" t="s">
        <v>940</v>
      </c>
      <c r="G115" t="s">
        <v>120</v>
      </c>
      <c r="H115" t="s">
        <v>941</v>
      </c>
      <c r="I115" t="s">
        <v>942</v>
      </c>
      <c r="J115" t="s">
        <v>943</v>
      </c>
      <c r="K115" t="s">
        <v>811</v>
      </c>
      <c r="L115" t="s">
        <v>944</v>
      </c>
      <c r="M115" t="s">
        <v>945</v>
      </c>
      <c r="N115" t="s">
        <v>2219</v>
      </c>
      <c r="O115" t="s">
        <v>1966</v>
      </c>
      <c r="P115" t="s">
        <v>1982</v>
      </c>
      <c r="Q115" t="s">
        <v>1971</v>
      </c>
      <c r="R115" t="s">
        <v>1992</v>
      </c>
      <c r="S115" t="s">
        <v>2073</v>
      </c>
      <c r="T115" t="s">
        <v>2220</v>
      </c>
      <c r="U115" t="s">
        <v>2221</v>
      </c>
      <c r="V115" t="s">
        <v>2424</v>
      </c>
      <c r="Y115" t="s">
        <v>1995</v>
      </c>
      <c r="Z115" t="s">
        <v>1995</v>
      </c>
      <c r="AA115" t="s">
        <v>1995</v>
      </c>
      <c r="AB115" t="s">
        <v>1995</v>
      </c>
      <c r="AC115" t="s">
        <v>2425</v>
      </c>
      <c r="AD115" t="s">
        <v>944</v>
      </c>
      <c r="AE115" t="s">
        <v>2001</v>
      </c>
      <c r="AG115" t="s">
        <v>2002</v>
      </c>
    </row>
    <row r="116">
      <c r="A116" t="s">
        <v>2426</v>
      </c>
      <c r="B116" t="s">
        <v>679</v>
      </c>
      <c r="C116" t="s">
        <v>680</v>
      </c>
      <c r="D116" t="s">
        <v>933</v>
      </c>
      <c r="E116" t="s">
        <v>934</v>
      </c>
      <c r="F116" t="s">
        <v>946</v>
      </c>
      <c r="G116" t="s">
        <v>120</v>
      </c>
      <c r="H116" t="s">
        <v>947</v>
      </c>
      <c r="I116" t="s">
        <v>948</v>
      </c>
      <c r="J116" t="s">
        <v>949</v>
      </c>
      <c r="K116" t="s">
        <v>811</v>
      </c>
      <c r="L116" t="s">
        <v>950</v>
      </c>
      <c r="M116" t="s">
        <v>951</v>
      </c>
      <c r="N116" t="s">
        <v>2219</v>
      </c>
      <c r="O116" t="s">
        <v>1966</v>
      </c>
      <c r="P116" t="s">
        <v>1982</v>
      </c>
      <c r="Q116" t="s">
        <v>1971</v>
      </c>
      <c r="R116" t="s">
        <v>1992</v>
      </c>
      <c r="S116" t="s">
        <v>2073</v>
      </c>
      <c r="T116" t="s">
        <v>2220</v>
      </c>
      <c r="U116" t="s">
        <v>2221</v>
      </c>
      <c r="Y116" t="s">
        <v>1995</v>
      </c>
      <c r="Z116" t="s">
        <v>1995</v>
      </c>
      <c r="AA116" t="s">
        <v>1995</v>
      </c>
      <c r="AB116" t="s">
        <v>1995</v>
      </c>
      <c r="AC116" t="s">
        <v>2427</v>
      </c>
      <c r="AD116" t="s">
        <v>950</v>
      </c>
      <c r="AE116" t="s">
        <v>2002</v>
      </c>
      <c r="AF116" t="s">
        <v>2428</v>
      </c>
      <c r="AG116" t="s">
        <v>2002</v>
      </c>
    </row>
    <row r="117">
      <c r="A117" t="s">
        <v>2429</v>
      </c>
      <c r="B117" t="s">
        <v>679</v>
      </c>
      <c r="C117" t="s">
        <v>680</v>
      </c>
      <c r="D117" t="s">
        <v>933</v>
      </c>
      <c r="E117" t="s">
        <v>934</v>
      </c>
      <c r="F117" t="s">
        <v>953</v>
      </c>
      <c r="G117" t="s">
        <v>120</v>
      </c>
      <c r="H117" t="s">
        <v>119</v>
      </c>
      <c r="I117" t="s">
        <v>954</v>
      </c>
      <c r="J117" t="s">
        <v>955</v>
      </c>
      <c r="K117" t="s">
        <v>811</v>
      </c>
      <c r="L117" t="s">
        <v>956</v>
      </c>
      <c r="M117" t="s">
        <v>923</v>
      </c>
      <c r="N117" t="s">
        <v>2219</v>
      </c>
      <c r="O117" t="s">
        <v>1966</v>
      </c>
      <c r="P117" t="s">
        <v>1982</v>
      </c>
      <c r="Q117" t="s">
        <v>1971</v>
      </c>
      <c r="R117" t="s">
        <v>1992</v>
      </c>
      <c r="S117" t="s">
        <v>2073</v>
      </c>
      <c r="T117" t="s">
        <v>2220</v>
      </c>
      <c r="U117" t="s">
        <v>2221</v>
      </c>
      <c r="Y117" t="s">
        <v>1995</v>
      </c>
      <c r="Z117" t="s">
        <v>1995</v>
      </c>
      <c r="AA117" t="s">
        <v>1995</v>
      </c>
      <c r="AB117" t="s">
        <v>1995</v>
      </c>
      <c r="AC117" t="s">
        <v>2430</v>
      </c>
      <c r="AD117" t="s">
        <v>956</v>
      </c>
      <c r="AE117" t="s">
        <v>2002</v>
      </c>
      <c r="AF117" t="s">
        <v>2416</v>
      </c>
      <c r="AG117" t="s">
        <v>2002</v>
      </c>
    </row>
    <row r="118">
      <c r="A118" t="s">
        <v>2431</v>
      </c>
      <c r="B118" t="s">
        <v>958</v>
      </c>
      <c r="C118" t="s">
        <v>959</v>
      </c>
      <c r="D118" t="s">
        <v>960</v>
      </c>
      <c r="E118" t="s">
        <v>961</v>
      </c>
      <c r="F118" t="s">
        <v>962</v>
      </c>
      <c r="G118" t="s">
        <v>97</v>
      </c>
      <c r="H118" t="s">
        <v>2432</v>
      </c>
      <c r="I118" t="s">
        <v>964</v>
      </c>
      <c r="J118" t="s">
        <v>2433</v>
      </c>
      <c r="K118" t="s">
        <v>966</v>
      </c>
      <c r="L118" t="s">
        <v>967</v>
      </c>
      <c r="M118" t="s">
        <v>968</v>
      </c>
      <c r="N118" t="s">
        <v>2434</v>
      </c>
      <c r="O118" t="s">
        <v>1967</v>
      </c>
      <c r="P118" t="s">
        <v>1984</v>
      </c>
      <c r="Q118" t="s">
        <v>1972</v>
      </c>
      <c r="R118" t="s">
        <v>1992</v>
      </c>
      <c r="S118" t="s">
        <v>2073</v>
      </c>
      <c r="T118" t="s">
        <v>2435</v>
      </c>
      <c r="U118" t="s">
        <v>2436</v>
      </c>
      <c r="V118" t="s">
        <v>2437</v>
      </c>
      <c r="W118" t="s">
        <v>2077</v>
      </c>
      <c r="X118">
        <v>1</v>
      </c>
      <c r="Y118" t="s">
        <v>1995</v>
      </c>
      <c r="Z118" t="s">
        <v>1995</v>
      </c>
      <c r="AA118" t="s">
        <v>1995</v>
      </c>
      <c r="AB118" t="s">
        <v>1995</v>
      </c>
      <c r="AC118" t="s">
        <v>2438</v>
      </c>
      <c r="AD118" t="s">
        <v>967</v>
      </c>
      <c r="AE118" t="s">
        <v>2001</v>
      </c>
      <c r="AG118" t="s">
        <v>2002</v>
      </c>
    </row>
    <row r="119">
      <c r="A119" t="s">
        <v>2439</v>
      </c>
      <c r="B119" t="s">
        <v>958</v>
      </c>
      <c r="C119" t="s">
        <v>970</v>
      </c>
      <c r="D119" t="s">
        <v>971</v>
      </c>
      <c r="E119" t="s">
        <v>972</v>
      </c>
      <c r="F119" t="s">
        <v>973</v>
      </c>
      <c r="G119" t="s">
        <v>154</v>
      </c>
      <c r="H119" t="s">
        <v>974</v>
      </c>
      <c r="I119" t="s">
        <v>975</v>
      </c>
      <c r="J119" t="s">
        <v>976</v>
      </c>
      <c r="K119" t="s">
        <v>977</v>
      </c>
      <c r="L119" t="s">
        <v>978</v>
      </c>
      <c r="M119" t="s">
        <v>979</v>
      </c>
      <c r="N119" t="s">
        <v>2434</v>
      </c>
      <c r="O119" t="s">
        <v>1967</v>
      </c>
      <c r="P119" t="s">
        <v>1984</v>
      </c>
      <c r="Q119" t="s">
        <v>1972</v>
      </c>
      <c r="R119" t="s">
        <v>1992</v>
      </c>
      <c r="S119" t="s">
        <v>2073</v>
      </c>
      <c r="T119" t="s">
        <v>2435</v>
      </c>
      <c r="U119" t="s">
        <v>2436</v>
      </c>
      <c r="V119" t="s">
        <v>2440</v>
      </c>
      <c r="Y119" t="s">
        <v>2441</v>
      </c>
      <c r="Z119" t="s">
        <v>2442</v>
      </c>
      <c r="AA119" t="s">
        <v>2443</v>
      </c>
      <c r="AB119" t="s">
        <v>2444</v>
      </c>
      <c r="AC119" t="s">
        <v>2445</v>
      </c>
      <c r="AD119" t="s">
        <v>978</v>
      </c>
      <c r="AE119" t="s">
        <v>2001</v>
      </c>
      <c r="AG119" t="s">
        <v>2001</v>
      </c>
    </row>
    <row r="120">
      <c r="A120" t="s">
        <v>2446</v>
      </c>
      <c r="B120" t="s">
        <v>958</v>
      </c>
      <c r="C120" t="s">
        <v>970</v>
      </c>
      <c r="D120" t="s">
        <v>971</v>
      </c>
      <c r="E120" t="s">
        <v>972</v>
      </c>
      <c r="F120" t="s">
        <v>981</v>
      </c>
      <c r="G120" t="s">
        <v>154</v>
      </c>
      <c r="H120" t="s">
        <v>982</v>
      </c>
      <c r="I120" t="s">
        <v>983</v>
      </c>
      <c r="J120" t="s">
        <v>984</v>
      </c>
      <c r="K120" t="s">
        <v>977</v>
      </c>
      <c r="L120" t="s">
        <v>985</v>
      </c>
      <c r="M120" t="s">
        <v>986</v>
      </c>
      <c r="N120" t="s">
        <v>2434</v>
      </c>
      <c r="O120" t="s">
        <v>1967</v>
      </c>
      <c r="P120" t="s">
        <v>1984</v>
      </c>
      <c r="Q120" t="s">
        <v>1972</v>
      </c>
      <c r="R120" t="s">
        <v>1992</v>
      </c>
      <c r="S120" t="s">
        <v>2073</v>
      </c>
      <c r="T120" t="s">
        <v>2435</v>
      </c>
      <c r="U120" t="s">
        <v>2436</v>
      </c>
      <c r="V120" t="s">
        <v>2447</v>
      </c>
      <c r="Y120" t="s">
        <v>2441</v>
      </c>
      <c r="Z120" t="s">
        <v>2442</v>
      </c>
      <c r="AA120" t="s">
        <v>2443</v>
      </c>
      <c r="AB120" t="s">
        <v>2444</v>
      </c>
      <c r="AC120" t="s">
        <v>2448</v>
      </c>
      <c r="AD120" t="s">
        <v>985</v>
      </c>
      <c r="AE120" t="s">
        <v>2001</v>
      </c>
      <c r="AG120" t="s">
        <v>2001</v>
      </c>
    </row>
    <row r="121">
      <c r="A121" t="s">
        <v>2449</v>
      </c>
      <c r="B121" t="s">
        <v>958</v>
      </c>
      <c r="C121" t="s">
        <v>970</v>
      </c>
      <c r="D121" t="s">
        <v>971</v>
      </c>
      <c r="E121" t="s">
        <v>972</v>
      </c>
      <c r="F121" t="s">
        <v>987</v>
      </c>
      <c r="G121" t="s">
        <v>154</v>
      </c>
      <c r="H121" t="s">
        <v>988</v>
      </c>
      <c r="I121" t="s">
        <v>989</v>
      </c>
      <c r="J121" t="s">
        <v>990</v>
      </c>
      <c r="K121" t="s">
        <v>977</v>
      </c>
      <c r="L121" t="s">
        <v>991</v>
      </c>
      <c r="M121" t="s">
        <v>992</v>
      </c>
      <c r="N121" t="s">
        <v>2434</v>
      </c>
      <c r="O121" t="s">
        <v>1967</v>
      </c>
      <c r="P121" t="s">
        <v>1984</v>
      </c>
      <c r="Q121" t="s">
        <v>1972</v>
      </c>
      <c r="R121" t="s">
        <v>1992</v>
      </c>
      <c r="S121" t="s">
        <v>2073</v>
      </c>
      <c r="T121" t="s">
        <v>2435</v>
      </c>
      <c r="U121" t="s">
        <v>2436</v>
      </c>
      <c r="V121" t="s">
        <v>2450</v>
      </c>
      <c r="Y121" t="s">
        <v>2441</v>
      </c>
      <c r="Z121" t="s">
        <v>2442</v>
      </c>
      <c r="AA121" t="s">
        <v>2443</v>
      </c>
      <c r="AB121" t="s">
        <v>2444</v>
      </c>
      <c r="AC121" t="s">
        <v>2451</v>
      </c>
      <c r="AD121" t="s">
        <v>991</v>
      </c>
      <c r="AE121" t="s">
        <v>2001</v>
      </c>
      <c r="AG121" t="s">
        <v>2001</v>
      </c>
    </row>
    <row r="122">
      <c r="A122" t="s">
        <v>2452</v>
      </c>
      <c r="B122" t="s">
        <v>958</v>
      </c>
      <c r="C122" t="s">
        <v>970</v>
      </c>
      <c r="D122" t="s">
        <v>971</v>
      </c>
      <c r="E122" t="s">
        <v>972</v>
      </c>
      <c r="F122" t="s">
        <v>993</v>
      </c>
      <c r="G122" t="s">
        <v>120</v>
      </c>
      <c r="H122" t="s">
        <v>994</v>
      </c>
      <c r="I122" t="s">
        <v>995</v>
      </c>
      <c r="J122" t="s">
        <v>996</v>
      </c>
      <c r="K122" t="s">
        <v>997</v>
      </c>
      <c r="L122" t="s">
        <v>998</v>
      </c>
      <c r="M122" t="s">
        <v>999</v>
      </c>
      <c r="N122" t="s">
        <v>2434</v>
      </c>
      <c r="O122" t="s">
        <v>1967</v>
      </c>
      <c r="P122" t="s">
        <v>1984</v>
      </c>
      <c r="Q122" t="s">
        <v>1972</v>
      </c>
      <c r="R122" t="s">
        <v>1992</v>
      </c>
      <c r="S122" t="s">
        <v>2073</v>
      </c>
      <c r="T122" t="s">
        <v>2435</v>
      </c>
      <c r="U122" t="s">
        <v>2436</v>
      </c>
      <c r="V122" t="s">
        <v>2453</v>
      </c>
      <c r="Y122" t="s">
        <v>2441</v>
      </c>
      <c r="Z122" t="s">
        <v>2442</v>
      </c>
      <c r="AA122" t="s">
        <v>2443</v>
      </c>
      <c r="AB122" t="s">
        <v>2444</v>
      </c>
      <c r="AC122" t="s">
        <v>2454</v>
      </c>
      <c r="AD122" t="s">
        <v>998</v>
      </c>
      <c r="AE122" t="s">
        <v>2001</v>
      </c>
      <c r="AG122" t="s">
        <v>2001</v>
      </c>
    </row>
    <row r="123">
      <c r="A123" t="s">
        <v>2455</v>
      </c>
      <c r="B123" t="s">
        <v>958</v>
      </c>
      <c r="C123" t="s">
        <v>970</v>
      </c>
      <c r="D123" t="s">
        <v>971</v>
      </c>
      <c r="E123" t="s">
        <v>972</v>
      </c>
      <c r="F123" t="s">
        <v>1001</v>
      </c>
      <c r="G123" t="s">
        <v>120</v>
      </c>
      <c r="H123" t="s">
        <v>1002</v>
      </c>
      <c r="I123" t="s">
        <v>1003</v>
      </c>
      <c r="J123" t="s">
        <v>1004</v>
      </c>
      <c r="K123" t="s">
        <v>977</v>
      </c>
      <c r="L123" t="s">
        <v>1005</v>
      </c>
      <c r="M123" t="s">
        <v>1006</v>
      </c>
      <c r="N123" t="s">
        <v>2434</v>
      </c>
      <c r="O123" t="s">
        <v>1967</v>
      </c>
      <c r="P123" t="s">
        <v>1984</v>
      </c>
      <c r="Q123" t="s">
        <v>1972</v>
      </c>
      <c r="R123" t="s">
        <v>1992</v>
      </c>
      <c r="S123" t="s">
        <v>2073</v>
      </c>
      <c r="T123" t="s">
        <v>2435</v>
      </c>
      <c r="U123" t="s">
        <v>2436</v>
      </c>
      <c r="V123" t="s">
        <v>2456</v>
      </c>
      <c r="Y123" t="s">
        <v>2441</v>
      </c>
      <c r="Z123" t="s">
        <v>2442</v>
      </c>
      <c r="AA123" t="s">
        <v>2443</v>
      </c>
      <c r="AB123" t="s">
        <v>2444</v>
      </c>
      <c r="AC123" t="s">
        <v>2457</v>
      </c>
      <c r="AD123" t="s">
        <v>1005</v>
      </c>
      <c r="AE123" t="s">
        <v>2001</v>
      </c>
      <c r="AG123" t="s">
        <v>2001</v>
      </c>
    </row>
    <row r="124">
      <c r="A124" t="s">
        <v>2458</v>
      </c>
      <c r="B124" t="s">
        <v>958</v>
      </c>
      <c r="C124" t="s">
        <v>970</v>
      </c>
      <c r="D124" t="s">
        <v>971</v>
      </c>
      <c r="E124" t="s">
        <v>972</v>
      </c>
      <c r="F124" t="s">
        <v>1007</v>
      </c>
      <c r="G124" t="s">
        <v>120</v>
      </c>
      <c r="H124" t="s">
        <v>1008</v>
      </c>
      <c r="I124" t="s">
        <v>1009</v>
      </c>
      <c r="J124" t="s">
        <v>1010</v>
      </c>
      <c r="K124" t="s">
        <v>977</v>
      </c>
      <c r="L124" t="s">
        <v>1011</v>
      </c>
      <c r="M124" t="s">
        <v>1012</v>
      </c>
      <c r="N124" t="s">
        <v>2434</v>
      </c>
      <c r="O124" t="s">
        <v>1967</v>
      </c>
      <c r="P124" t="s">
        <v>1984</v>
      </c>
      <c r="Q124" t="s">
        <v>1972</v>
      </c>
      <c r="R124" t="s">
        <v>1992</v>
      </c>
      <c r="S124" t="s">
        <v>2073</v>
      </c>
      <c r="T124" t="s">
        <v>2435</v>
      </c>
      <c r="U124" t="s">
        <v>2436</v>
      </c>
      <c r="V124" t="s">
        <v>2459</v>
      </c>
      <c r="Y124" t="s">
        <v>2441</v>
      </c>
      <c r="Z124" t="s">
        <v>2442</v>
      </c>
      <c r="AA124" t="s">
        <v>2443</v>
      </c>
      <c r="AB124" t="s">
        <v>2444</v>
      </c>
      <c r="AC124" t="s">
        <v>2460</v>
      </c>
      <c r="AD124" t="s">
        <v>1011</v>
      </c>
      <c r="AE124" t="s">
        <v>2001</v>
      </c>
      <c r="AG124" t="s">
        <v>2001</v>
      </c>
    </row>
    <row r="125">
      <c r="A125" t="s">
        <v>2461</v>
      </c>
      <c r="B125" t="s">
        <v>958</v>
      </c>
      <c r="C125" t="s">
        <v>970</v>
      </c>
      <c r="D125" t="s">
        <v>1013</v>
      </c>
      <c r="E125" t="s">
        <v>1014</v>
      </c>
      <c r="F125" t="s">
        <v>1015</v>
      </c>
      <c r="G125" t="s">
        <v>154</v>
      </c>
      <c r="H125" t="s">
        <v>1016</v>
      </c>
      <c r="I125" t="s">
        <v>1017</v>
      </c>
      <c r="J125" t="s">
        <v>1018</v>
      </c>
      <c r="K125" t="s">
        <v>977</v>
      </c>
      <c r="L125" t="s">
        <v>1019</v>
      </c>
      <c r="M125" t="s">
        <v>1020</v>
      </c>
      <c r="N125" t="s">
        <v>2434</v>
      </c>
      <c r="O125" t="s">
        <v>1967</v>
      </c>
      <c r="P125" t="s">
        <v>1984</v>
      </c>
      <c r="Q125" t="s">
        <v>1972</v>
      </c>
      <c r="R125" t="s">
        <v>1992</v>
      </c>
      <c r="S125" t="s">
        <v>2073</v>
      </c>
      <c r="T125" t="s">
        <v>2435</v>
      </c>
      <c r="U125" t="s">
        <v>2436</v>
      </c>
      <c r="V125" t="s">
        <v>2462</v>
      </c>
      <c r="Y125" t="s">
        <v>2441</v>
      </c>
      <c r="Z125" t="s">
        <v>2442</v>
      </c>
      <c r="AA125" t="s">
        <v>2443</v>
      </c>
      <c r="AB125" t="s">
        <v>2444</v>
      </c>
      <c r="AC125" t="s">
        <v>2463</v>
      </c>
      <c r="AD125" t="s">
        <v>1019</v>
      </c>
      <c r="AE125" t="s">
        <v>2001</v>
      </c>
      <c r="AG125" t="s">
        <v>2001</v>
      </c>
    </row>
    <row r="126">
      <c r="A126" t="s">
        <v>2464</v>
      </c>
      <c r="B126" t="s">
        <v>958</v>
      </c>
      <c r="C126" t="s">
        <v>970</v>
      </c>
      <c r="D126" t="s">
        <v>1013</v>
      </c>
      <c r="E126" t="s">
        <v>1014</v>
      </c>
      <c r="F126" t="s">
        <v>1022</v>
      </c>
      <c r="G126" t="s">
        <v>120</v>
      </c>
      <c r="H126" t="s">
        <v>1023</v>
      </c>
      <c r="I126" t="s">
        <v>1024</v>
      </c>
      <c r="J126" t="s">
        <v>1025</v>
      </c>
      <c r="K126" t="s">
        <v>997</v>
      </c>
      <c r="L126" t="s">
        <v>1026</v>
      </c>
      <c r="M126" t="s">
        <v>1027</v>
      </c>
      <c r="N126" t="s">
        <v>2434</v>
      </c>
      <c r="O126" t="s">
        <v>1967</v>
      </c>
      <c r="P126" t="s">
        <v>1984</v>
      </c>
      <c r="Q126" t="s">
        <v>1972</v>
      </c>
      <c r="R126" t="s">
        <v>1992</v>
      </c>
      <c r="S126" t="s">
        <v>2073</v>
      </c>
      <c r="T126" t="s">
        <v>2435</v>
      </c>
      <c r="U126" t="s">
        <v>2436</v>
      </c>
      <c r="V126" t="s">
        <v>2465</v>
      </c>
      <c r="Y126" t="s">
        <v>2441</v>
      </c>
      <c r="Z126" t="s">
        <v>2442</v>
      </c>
      <c r="AA126" t="s">
        <v>2443</v>
      </c>
      <c r="AB126" t="s">
        <v>2444</v>
      </c>
      <c r="AC126" t="s">
        <v>2466</v>
      </c>
      <c r="AD126" t="s">
        <v>1026</v>
      </c>
      <c r="AE126" t="s">
        <v>2001</v>
      </c>
      <c r="AG126" t="s">
        <v>2001</v>
      </c>
    </row>
    <row r="127">
      <c r="A127" t="s">
        <v>2467</v>
      </c>
      <c r="B127" t="s">
        <v>958</v>
      </c>
      <c r="C127" t="s">
        <v>970</v>
      </c>
      <c r="D127" t="s">
        <v>1013</v>
      </c>
      <c r="E127" t="s">
        <v>1014</v>
      </c>
      <c r="F127" t="s">
        <v>1029</v>
      </c>
      <c r="G127" t="s">
        <v>154</v>
      </c>
      <c r="H127" t="s">
        <v>2468</v>
      </c>
      <c r="I127" t="s">
        <v>1031</v>
      </c>
      <c r="J127" t="s">
        <v>1032</v>
      </c>
      <c r="K127" t="s">
        <v>977</v>
      </c>
      <c r="L127" t="s">
        <v>1033</v>
      </c>
      <c r="M127" t="s">
        <v>1034</v>
      </c>
      <c r="N127" t="s">
        <v>2434</v>
      </c>
      <c r="O127" t="s">
        <v>1967</v>
      </c>
      <c r="P127" t="s">
        <v>1984</v>
      </c>
      <c r="Q127" t="s">
        <v>1972</v>
      </c>
      <c r="R127" t="s">
        <v>1992</v>
      </c>
      <c r="S127" t="s">
        <v>2073</v>
      </c>
      <c r="T127" t="s">
        <v>2435</v>
      </c>
      <c r="U127" t="s">
        <v>2436</v>
      </c>
      <c r="V127" t="s">
        <v>2469</v>
      </c>
      <c r="Y127" t="s">
        <v>2441</v>
      </c>
      <c r="Z127" t="s">
        <v>2442</v>
      </c>
      <c r="AA127" t="s">
        <v>2443</v>
      </c>
      <c r="AB127" t="s">
        <v>2444</v>
      </c>
      <c r="AC127" t="s">
        <v>2470</v>
      </c>
      <c r="AD127" t="s">
        <v>1033</v>
      </c>
      <c r="AE127" t="s">
        <v>2001</v>
      </c>
      <c r="AG127" t="s">
        <v>2001</v>
      </c>
    </row>
    <row r="128">
      <c r="A128" t="s">
        <v>2471</v>
      </c>
      <c r="B128" t="s">
        <v>958</v>
      </c>
      <c r="C128" t="s">
        <v>970</v>
      </c>
      <c r="D128" t="s">
        <v>1013</v>
      </c>
      <c r="E128" t="s">
        <v>1014</v>
      </c>
      <c r="F128" t="s">
        <v>1035</v>
      </c>
      <c r="G128" t="s">
        <v>120</v>
      </c>
      <c r="H128" t="s">
        <v>1036</v>
      </c>
      <c r="I128" t="s">
        <v>1037</v>
      </c>
      <c r="J128" t="s">
        <v>1038</v>
      </c>
      <c r="K128" t="s">
        <v>997</v>
      </c>
      <c r="L128" t="s">
        <v>1039</v>
      </c>
      <c r="M128" t="s">
        <v>1040</v>
      </c>
      <c r="N128" t="s">
        <v>2434</v>
      </c>
      <c r="O128" t="s">
        <v>1967</v>
      </c>
      <c r="P128" t="s">
        <v>1984</v>
      </c>
      <c r="Q128" t="s">
        <v>1972</v>
      </c>
      <c r="R128" t="s">
        <v>1992</v>
      </c>
      <c r="S128" t="s">
        <v>2073</v>
      </c>
      <c r="T128" t="s">
        <v>2435</v>
      </c>
      <c r="U128" t="s">
        <v>2436</v>
      </c>
      <c r="V128" t="s">
        <v>2472</v>
      </c>
      <c r="Y128" t="s">
        <v>2441</v>
      </c>
      <c r="Z128" t="s">
        <v>2442</v>
      </c>
      <c r="AA128" t="s">
        <v>2443</v>
      </c>
      <c r="AB128" t="s">
        <v>2444</v>
      </c>
      <c r="AC128" t="s">
        <v>2473</v>
      </c>
      <c r="AD128" t="s">
        <v>1039</v>
      </c>
      <c r="AE128" t="s">
        <v>2001</v>
      </c>
      <c r="AG128" t="s">
        <v>2001</v>
      </c>
    </row>
    <row r="129">
      <c r="A129" t="s">
        <v>2474</v>
      </c>
      <c r="B129" t="s">
        <v>958</v>
      </c>
      <c r="C129" t="s">
        <v>970</v>
      </c>
      <c r="D129" t="s">
        <v>1041</v>
      </c>
      <c r="E129" t="s">
        <v>1042</v>
      </c>
      <c r="F129" t="s">
        <v>1043</v>
      </c>
      <c r="G129" t="s">
        <v>120</v>
      </c>
      <c r="H129" t="s">
        <v>1044</v>
      </c>
      <c r="I129" t="s">
        <v>1045</v>
      </c>
      <c r="J129" t="s">
        <v>1046</v>
      </c>
      <c r="K129" t="s">
        <v>977</v>
      </c>
      <c r="L129" t="s">
        <v>1047</v>
      </c>
      <c r="M129" t="s">
        <v>1048</v>
      </c>
      <c r="N129" t="s">
        <v>2434</v>
      </c>
      <c r="O129" t="s">
        <v>1967</v>
      </c>
      <c r="P129" t="s">
        <v>1984</v>
      </c>
      <c r="Q129" t="s">
        <v>1972</v>
      </c>
      <c r="R129" t="s">
        <v>1992</v>
      </c>
      <c r="S129" t="s">
        <v>2073</v>
      </c>
      <c r="T129" t="s">
        <v>2435</v>
      </c>
      <c r="U129" t="s">
        <v>2436</v>
      </c>
      <c r="V129" t="s">
        <v>2475</v>
      </c>
      <c r="Y129" t="s">
        <v>2441</v>
      </c>
      <c r="Z129" t="s">
        <v>2442</v>
      </c>
      <c r="AA129" t="s">
        <v>2443</v>
      </c>
      <c r="AB129" t="s">
        <v>2444</v>
      </c>
      <c r="AC129" t="s">
        <v>2476</v>
      </c>
      <c r="AD129" t="s">
        <v>1047</v>
      </c>
      <c r="AE129" t="s">
        <v>2001</v>
      </c>
      <c r="AG129" t="s">
        <v>2001</v>
      </c>
    </row>
    <row r="130">
      <c r="A130" t="s">
        <v>2477</v>
      </c>
      <c r="B130" t="s">
        <v>958</v>
      </c>
      <c r="C130" t="s">
        <v>970</v>
      </c>
      <c r="D130" t="s">
        <v>1041</v>
      </c>
      <c r="E130" t="s">
        <v>1042</v>
      </c>
      <c r="F130" t="s">
        <v>1050</v>
      </c>
      <c r="G130" t="s">
        <v>154</v>
      </c>
      <c r="H130" t="s">
        <v>1051</v>
      </c>
      <c r="I130" t="s">
        <v>1052</v>
      </c>
      <c r="J130" t="s">
        <v>1053</v>
      </c>
      <c r="K130" t="s">
        <v>1054</v>
      </c>
      <c r="L130" t="s">
        <v>1055</v>
      </c>
      <c r="M130" t="s">
        <v>1056</v>
      </c>
      <c r="N130" t="s">
        <v>2434</v>
      </c>
      <c r="O130" t="s">
        <v>1967</v>
      </c>
      <c r="P130" t="s">
        <v>1984</v>
      </c>
      <c r="Q130" t="s">
        <v>1972</v>
      </c>
      <c r="R130" t="s">
        <v>1992</v>
      </c>
      <c r="S130" t="s">
        <v>2073</v>
      </c>
      <c r="T130" t="s">
        <v>2435</v>
      </c>
      <c r="U130" t="s">
        <v>2436</v>
      </c>
      <c r="V130" t="s">
        <v>2478</v>
      </c>
      <c r="Y130" t="s">
        <v>2441</v>
      </c>
      <c r="Z130" t="s">
        <v>2442</v>
      </c>
      <c r="AA130" t="s">
        <v>2443</v>
      </c>
      <c r="AB130" t="s">
        <v>2444</v>
      </c>
      <c r="AC130" t="s">
        <v>2479</v>
      </c>
      <c r="AD130" t="s">
        <v>1055</v>
      </c>
      <c r="AE130" t="s">
        <v>2001</v>
      </c>
      <c r="AG130" t="s">
        <v>2001</v>
      </c>
    </row>
    <row r="131">
      <c r="A131" t="s">
        <v>2480</v>
      </c>
      <c r="B131" t="s">
        <v>958</v>
      </c>
      <c r="C131" t="s">
        <v>970</v>
      </c>
      <c r="D131" t="s">
        <v>1041</v>
      </c>
      <c r="E131" t="s">
        <v>1042</v>
      </c>
      <c r="F131" t="s">
        <v>1058</v>
      </c>
      <c r="G131" t="s">
        <v>120</v>
      </c>
      <c r="H131" t="s">
        <v>562</v>
      </c>
      <c r="I131" t="s">
        <v>1059</v>
      </c>
      <c r="J131" t="s">
        <v>1060</v>
      </c>
      <c r="K131" t="s">
        <v>997</v>
      </c>
      <c r="L131" t="s">
        <v>1061</v>
      </c>
      <c r="M131" t="s">
        <v>1062</v>
      </c>
      <c r="N131" t="s">
        <v>2434</v>
      </c>
      <c r="O131" t="s">
        <v>1967</v>
      </c>
      <c r="P131" t="s">
        <v>1984</v>
      </c>
      <c r="Q131" t="s">
        <v>1972</v>
      </c>
      <c r="R131" t="s">
        <v>1992</v>
      </c>
      <c r="S131" t="s">
        <v>2073</v>
      </c>
      <c r="T131" t="s">
        <v>2435</v>
      </c>
      <c r="U131" t="s">
        <v>2436</v>
      </c>
      <c r="V131" t="s">
        <v>2481</v>
      </c>
      <c r="Y131" t="s">
        <v>2441</v>
      </c>
      <c r="Z131" t="s">
        <v>2442</v>
      </c>
      <c r="AA131" t="s">
        <v>2443</v>
      </c>
      <c r="AB131" t="s">
        <v>2444</v>
      </c>
      <c r="AC131" t="s">
        <v>2482</v>
      </c>
      <c r="AD131" t="s">
        <v>1061</v>
      </c>
      <c r="AE131" t="s">
        <v>2001</v>
      </c>
      <c r="AG131" t="s">
        <v>2001</v>
      </c>
    </row>
    <row r="132">
      <c r="A132" t="s">
        <v>2483</v>
      </c>
      <c r="B132" t="s">
        <v>958</v>
      </c>
      <c r="C132" t="s">
        <v>970</v>
      </c>
      <c r="D132" t="s">
        <v>1041</v>
      </c>
      <c r="E132" t="s">
        <v>1042</v>
      </c>
      <c r="F132" t="s">
        <v>1064</v>
      </c>
      <c r="G132" t="s">
        <v>120</v>
      </c>
      <c r="H132" t="s">
        <v>1065</v>
      </c>
      <c r="I132" t="s">
        <v>1066</v>
      </c>
      <c r="J132" t="s">
        <v>1067</v>
      </c>
      <c r="K132" t="s">
        <v>1068</v>
      </c>
      <c r="L132" t="s">
        <v>1069</v>
      </c>
      <c r="M132" t="s">
        <v>1070</v>
      </c>
      <c r="N132" t="s">
        <v>2434</v>
      </c>
      <c r="O132" t="s">
        <v>1967</v>
      </c>
      <c r="P132" t="s">
        <v>1984</v>
      </c>
      <c r="Q132" t="s">
        <v>1972</v>
      </c>
      <c r="R132" t="s">
        <v>1992</v>
      </c>
      <c r="S132" t="s">
        <v>2073</v>
      </c>
      <c r="T132" t="s">
        <v>2435</v>
      </c>
      <c r="U132" t="s">
        <v>2436</v>
      </c>
      <c r="V132" t="s">
        <v>2484</v>
      </c>
      <c r="Y132" t="s">
        <v>2441</v>
      </c>
      <c r="Z132" t="s">
        <v>2442</v>
      </c>
      <c r="AA132" t="s">
        <v>2443</v>
      </c>
      <c r="AB132" t="s">
        <v>2444</v>
      </c>
      <c r="AC132" t="s">
        <v>2485</v>
      </c>
      <c r="AD132" t="s">
        <v>1069</v>
      </c>
      <c r="AE132" t="s">
        <v>2001</v>
      </c>
      <c r="AG132" t="s">
        <v>2001</v>
      </c>
    </row>
    <row r="133">
      <c r="A133" t="s">
        <v>2486</v>
      </c>
      <c r="B133" t="s">
        <v>958</v>
      </c>
      <c r="C133" t="s">
        <v>970</v>
      </c>
      <c r="D133" t="s">
        <v>1072</v>
      </c>
      <c r="E133" t="s">
        <v>1073</v>
      </c>
      <c r="F133" t="s">
        <v>1074</v>
      </c>
      <c r="G133" t="s">
        <v>120</v>
      </c>
      <c r="H133" t="s">
        <v>618</v>
      </c>
      <c r="I133" t="s">
        <v>1075</v>
      </c>
      <c r="J133" t="s">
        <v>1076</v>
      </c>
      <c r="K133" t="s">
        <v>1077</v>
      </c>
      <c r="L133" t="s">
        <v>1078</v>
      </c>
      <c r="M133" t="s">
        <v>1079</v>
      </c>
      <c r="N133" t="s">
        <v>2434</v>
      </c>
      <c r="O133" t="s">
        <v>1967</v>
      </c>
      <c r="P133" t="s">
        <v>1984</v>
      </c>
      <c r="Q133" t="s">
        <v>1972</v>
      </c>
      <c r="R133" t="s">
        <v>1992</v>
      </c>
      <c r="S133" t="s">
        <v>2073</v>
      </c>
      <c r="T133" t="s">
        <v>2435</v>
      </c>
      <c r="U133" t="s">
        <v>2436</v>
      </c>
      <c r="V133" t="s">
        <v>2487</v>
      </c>
      <c r="Y133" t="s">
        <v>2441</v>
      </c>
      <c r="Z133" t="s">
        <v>2442</v>
      </c>
      <c r="AA133" t="s">
        <v>2443</v>
      </c>
      <c r="AB133" t="s">
        <v>2444</v>
      </c>
      <c r="AC133" t="s">
        <v>2488</v>
      </c>
      <c r="AD133" t="s">
        <v>1078</v>
      </c>
      <c r="AE133" t="s">
        <v>2001</v>
      </c>
      <c r="AG133" t="s">
        <v>2001</v>
      </c>
    </row>
    <row r="134">
      <c r="A134" t="s">
        <v>2489</v>
      </c>
      <c r="B134" t="s">
        <v>958</v>
      </c>
      <c r="C134" t="s">
        <v>970</v>
      </c>
      <c r="D134" t="s">
        <v>1072</v>
      </c>
      <c r="E134" t="s">
        <v>1073</v>
      </c>
      <c r="F134" t="s">
        <v>1081</v>
      </c>
      <c r="G134" t="s">
        <v>120</v>
      </c>
      <c r="H134" t="s">
        <v>994</v>
      </c>
      <c r="I134" t="s">
        <v>1082</v>
      </c>
      <c r="J134" t="s">
        <v>1083</v>
      </c>
      <c r="K134" t="s">
        <v>997</v>
      </c>
      <c r="L134" t="s">
        <v>1084</v>
      </c>
      <c r="M134" t="s">
        <v>1085</v>
      </c>
      <c r="N134" t="s">
        <v>2434</v>
      </c>
      <c r="O134" t="s">
        <v>1967</v>
      </c>
      <c r="P134" t="s">
        <v>1984</v>
      </c>
      <c r="Q134" t="s">
        <v>1972</v>
      </c>
      <c r="R134" t="s">
        <v>1992</v>
      </c>
      <c r="S134" t="s">
        <v>2073</v>
      </c>
      <c r="T134" t="s">
        <v>2435</v>
      </c>
      <c r="U134" t="s">
        <v>2436</v>
      </c>
      <c r="V134" t="s">
        <v>2490</v>
      </c>
      <c r="Y134" t="s">
        <v>2441</v>
      </c>
      <c r="Z134" t="s">
        <v>2442</v>
      </c>
      <c r="AA134" t="s">
        <v>2443</v>
      </c>
      <c r="AB134" t="s">
        <v>2444</v>
      </c>
      <c r="AC134" t="s">
        <v>2491</v>
      </c>
      <c r="AD134" t="s">
        <v>1084</v>
      </c>
      <c r="AE134" t="s">
        <v>2001</v>
      </c>
      <c r="AG134" t="s">
        <v>2001</v>
      </c>
    </row>
    <row r="135">
      <c r="A135" t="s">
        <v>2492</v>
      </c>
      <c r="B135" t="s">
        <v>958</v>
      </c>
      <c r="C135" t="s">
        <v>970</v>
      </c>
      <c r="D135" t="s">
        <v>1072</v>
      </c>
      <c r="E135" t="s">
        <v>1073</v>
      </c>
      <c r="F135" t="s">
        <v>1087</v>
      </c>
      <c r="G135" t="s">
        <v>120</v>
      </c>
      <c r="H135" t="s">
        <v>1088</v>
      </c>
      <c r="I135" t="s">
        <v>1089</v>
      </c>
      <c r="J135" t="s">
        <v>1090</v>
      </c>
      <c r="K135" t="s">
        <v>977</v>
      </c>
      <c r="L135" t="s">
        <v>1091</v>
      </c>
      <c r="M135" t="s">
        <v>1092</v>
      </c>
      <c r="N135" t="s">
        <v>2434</v>
      </c>
      <c r="O135" t="s">
        <v>1967</v>
      </c>
      <c r="P135" t="s">
        <v>1984</v>
      </c>
      <c r="Q135" t="s">
        <v>1972</v>
      </c>
      <c r="R135" t="s">
        <v>1992</v>
      </c>
      <c r="S135" t="s">
        <v>2073</v>
      </c>
      <c r="T135" t="s">
        <v>2435</v>
      </c>
      <c r="U135" t="s">
        <v>2436</v>
      </c>
      <c r="V135" t="s">
        <v>2493</v>
      </c>
      <c r="Y135" t="s">
        <v>2441</v>
      </c>
      <c r="Z135" t="s">
        <v>2442</v>
      </c>
      <c r="AA135" t="s">
        <v>2443</v>
      </c>
      <c r="AB135" t="s">
        <v>2444</v>
      </c>
      <c r="AC135" t="s">
        <v>2494</v>
      </c>
      <c r="AD135" t="s">
        <v>1091</v>
      </c>
      <c r="AE135" t="s">
        <v>2001</v>
      </c>
      <c r="AG135" t="s">
        <v>2001</v>
      </c>
    </row>
    <row r="136">
      <c r="A136" t="s">
        <v>2495</v>
      </c>
      <c r="B136" t="s">
        <v>958</v>
      </c>
      <c r="C136" t="s">
        <v>970</v>
      </c>
      <c r="D136" t="s">
        <v>1072</v>
      </c>
      <c r="E136" t="s">
        <v>1073</v>
      </c>
      <c r="F136" t="s">
        <v>1094</v>
      </c>
      <c r="G136" t="s">
        <v>120</v>
      </c>
      <c r="H136" t="s">
        <v>1088</v>
      </c>
      <c r="I136" t="s">
        <v>1095</v>
      </c>
      <c r="J136" t="s">
        <v>1096</v>
      </c>
      <c r="K136" t="s">
        <v>977</v>
      </c>
      <c r="L136" t="s">
        <v>1097</v>
      </c>
      <c r="M136" t="s">
        <v>1098</v>
      </c>
      <c r="N136" t="s">
        <v>2434</v>
      </c>
      <c r="O136" t="s">
        <v>1967</v>
      </c>
      <c r="P136" t="s">
        <v>1984</v>
      </c>
      <c r="Q136" t="s">
        <v>1972</v>
      </c>
      <c r="R136" t="s">
        <v>1992</v>
      </c>
      <c r="S136" t="s">
        <v>2073</v>
      </c>
      <c r="T136" t="s">
        <v>2435</v>
      </c>
      <c r="U136" t="s">
        <v>2436</v>
      </c>
      <c r="V136" t="s">
        <v>2496</v>
      </c>
      <c r="Y136" t="s">
        <v>2441</v>
      </c>
      <c r="Z136" t="s">
        <v>2442</v>
      </c>
      <c r="AA136" t="s">
        <v>2443</v>
      </c>
      <c r="AB136" t="s">
        <v>2444</v>
      </c>
      <c r="AC136" t="s">
        <v>2497</v>
      </c>
      <c r="AD136" t="s">
        <v>1097</v>
      </c>
      <c r="AE136" t="s">
        <v>2001</v>
      </c>
      <c r="AG136" t="s">
        <v>2001</v>
      </c>
    </row>
    <row r="137">
      <c r="A137" t="s">
        <v>2498</v>
      </c>
      <c r="B137" t="s">
        <v>958</v>
      </c>
      <c r="C137" t="s">
        <v>970</v>
      </c>
      <c r="D137" t="s">
        <v>1099</v>
      </c>
      <c r="E137" t="s">
        <v>1100</v>
      </c>
      <c r="F137" t="s">
        <v>1101</v>
      </c>
      <c r="G137" t="s">
        <v>120</v>
      </c>
      <c r="H137" t="s">
        <v>1102</v>
      </c>
      <c r="I137" t="s">
        <v>1103</v>
      </c>
      <c r="J137" t="s">
        <v>1104</v>
      </c>
      <c r="K137" t="s">
        <v>1105</v>
      </c>
      <c r="L137" t="s">
        <v>1106</v>
      </c>
      <c r="M137" t="s">
        <v>1107</v>
      </c>
      <c r="N137" t="s">
        <v>2434</v>
      </c>
      <c r="O137" t="s">
        <v>1967</v>
      </c>
      <c r="P137" t="s">
        <v>1984</v>
      </c>
      <c r="Q137" t="s">
        <v>1972</v>
      </c>
      <c r="R137" t="s">
        <v>1992</v>
      </c>
      <c r="S137" t="s">
        <v>2073</v>
      </c>
      <c r="T137" t="s">
        <v>2435</v>
      </c>
      <c r="U137" t="s">
        <v>2436</v>
      </c>
      <c r="V137" t="s">
        <v>2499</v>
      </c>
      <c r="Y137" t="s">
        <v>2441</v>
      </c>
      <c r="Z137" t="s">
        <v>2442</v>
      </c>
      <c r="AA137" t="s">
        <v>2443</v>
      </c>
      <c r="AB137" t="s">
        <v>2444</v>
      </c>
      <c r="AC137" t="s">
        <v>2500</v>
      </c>
      <c r="AD137" t="s">
        <v>1106</v>
      </c>
      <c r="AE137" t="s">
        <v>2001</v>
      </c>
      <c r="AG137" t="s">
        <v>2001</v>
      </c>
    </row>
    <row r="138">
      <c r="A138" t="s">
        <v>2501</v>
      </c>
      <c r="B138" t="s">
        <v>958</v>
      </c>
      <c r="C138" t="s">
        <v>970</v>
      </c>
      <c r="D138" t="s">
        <v>1099</v>
      </c>
      <c r="E138" t="s">
        <v>1100</v>
      </c>
      <c r="F138" t="s">
        <v>1109</v>
      </c>
      <c r="G138" t="s">
        <v>120</v>
      </c>
      <c r="H138" t="s">
        <v>1023</v>
      </c>
      <c r="I138" t="s">
        <v>1110</v>
      </c>
      <c r="J138" t="s">
        <v>1111</v>
      </c>
      <c r="K138" t="s">
        <v>1105</v>
      </c>
      <c r="L138" t="s">
        <v>1112</v>
      </c>
      <c r="M138" t="s">
        <v>1113</v>
      </c>
      <c r="N138" t="s">
        <v>2434</v>
      </c>
      <c r="O138" t="s">
        <v>1967</v>
      </c>
      <c r="P138" t="s">
        <v>1984</v>
      </c>
      <c r="Q138" t="s">
        <v>1972</v>
      </c>
      <c r="R138" t="s">
        <v>1992</v>
      </c>
      <c r="S138" t="s">
        <v>2073</v>
      </c>
      <c r="T138" t="s">
        <v>2435</v>
      </c>
      <c r="U138" t="s">
        <v>2436</v>
      </c>
      <c r="V138" t="s">
        <v>2502</v>
      </c>
      <c r="Y138" t="s">
        <v>2441</v>
      </c>
      <c r="Z138" t="s">
        <v>2442</v>
      </c>
      <c r="AA138" t="s">
        <v>2443</v>
      </c>
      <c r="AB138" t="s">
        <v>2444</v>
      </c>
      <c r="AC138" t="s">
        <v>2503</v>
      </c>
      <c r="AD138" t="s">
        <v>1112</v>
      </c>
      <c r="AE138" t="s">
        <v>2001</v>
      </c>
      <c r="AG138" t="s">
        <v>2001</v>
      </c>
    </row>
    <row r="139">
      <c r="A139" t="s">
        <v>2504</v>
      </c>
      <c r="B139" t="s">
        <v>958</v>
      </c>
      <c r="C139" t="s">
        <v>970</v>
      </c>
      <c r="D139" t="s">
        <v>1099</v>
      </c>
      <c r="E139" t="s">
        <v>1100</v>
      </c>
      <c r="F139" t="s">
        <v>1114</v>
      </c>
      <c r="G139" t="s">
        <v>120</v>
      </c>
      <c r="H139" t="s">
        <v>634</v>
      </c>
      <c r="I139" t="s">
        <v>1115</v>
      </c>
      <c r="J139" t="s">
        <v>1116</v>
      </c>
      <c r="K139" t="s">
        <v>1117</v>
      </c>
      <c r="L139" t="s">
        <v>1118</v>
      </c>
      <c r="M139" t="s">
        <v>1119</v>
      </c>
      <c r="N139" t="s">
        <v>2434</v>
      </c>
      <c r="O139" t="s">
        <v>1967</v>
      </c>
      <c r="P139" t="s">
        <v>1984</v>
      </c>
      <c r="Q139" t="s">
        <v>1972</v>
      </c>
      <c r="R139" t="s">
        <v>1992</v>
      </c>
      <c r="S139" t="s">
        <v>2073</v>
      </c>
      <c r="T139" t="s">
        <v>2435</v>
      </c>
      <c r="U139" t="s">
        <v>2436</v>
      </c>
      <c r="V139" t="s">
        <v>2294</v>
      </c>
      <c r="Y139" t="s">
        <v>2441</v>
      </c>
      <c r="Z139" t="s">
        <v>2442</v>
      </c>
      <c r="AA139" t="s">
        <v>2443</v>
      </c>
      <c r="AB139" t="s">
        <v>2444</v>
      </c>
      <c r="AC139" t="s">
        <v>2295</v>
      </c>
      <c r="AD139" t="s">
        <v>1118</v>
      </c>
      <c r="AE139" t="s">
        <v>2001</v>
      </c>
      <c r="AG139" t="s">
        <v>2001</v>
      </c>
    </row>
    <row r="140">
      <c r="A140" t="s">
        <v>2505</v>
      </c>
      <c r="B140" t="s">
        <v>958</v>
      </c>
      <c r="C140" t="s">
        <v>970</v>
      </c>
      <c r="D140" t="s">
        <v>1099</v>
      </c>
      <c r="E140" t="s">
        <v>1100</v>
      </c>
      <c r="F140" t="s">
        <v>1121</v>
      </c>
      <c r="G140" t="s">
        <v>120</v>
      </c>
      <c r="H140" t="s">
        <v>570</v>
      </c>
      <c r="I140" t="s">
        <v>1122</v>
      </c>
      <c r="J140" t="s">
        <v>1123</v>
      </c>
      <c r="K140" t="s">
        <v>1124</v>
      </c>
      <c r="L140" t="s">
        <v>1125</v>
      </c>
      <c r="M140" t="s">
        <v>1126</v>
      </c>
      <c r="N140" t="s">
        <v>2434</v>
      </c>
      <c r="O140" t="s">
        <v>1967</v>
      </c>
      <c r="P140" t="s">
        <v>1984</v>
      </c>
      <c r="Q140" t="s">
        <v>1972</v>
      </c>
      <c r="R140" t="s">
        <v>1992</v>
      </c>
      <c r="S140" t="s">
        <v>2073</v>
      </c>
      <c r="T140" t="s">
        <v>2435</v>
      </c>
      <c r="U140" t="s">
        <v>2436</v>
      </c>
      <c r="V140" t="s">
        <v>2506</v>
      </c>
      <c r="Y140" t="s">
        <v>2441</v>
      </c>
      <c r="Z140" t="s">
        <v>2442</v>
      </c>
      <c r="AA140" t="s">
        <v>2443</v>
      </c>
      <c r="AB140" t="s">
        <v>2444</v>
      </c>
      <c r="AC140" t="s">
        <v>2507</v>
      </c>
      <c r="AD140" t="s">
        <v>1125</v>
      </c>
      <c r="AE140" t="s">
        <v>2001</v>
      </c>
      <c r="AG140" t="s">
        <v>2001</v>
      </c>
    </row>
    <row r="141">
      <c r="A141" t="s">
        <v>2508</v>
      </c>
      <c r="B141" t="s">
        <v>958</v>
      </c>
      <c r="C141" t="s">
        <v>1128</v>
      </c>
      <c r="D141" t="s">
        <v>1129</v>
      </c>
      <c r="E141" t="s">
        <v>1130</v>
      </c>
      <c r="F141" t="s">
        <v>1131</v>
      </c>
      <c r="G141" t="s">
        <v>129</v>
      </c>
      <c r="H141" t="s">
        <v>2509</v>
      </c>
      <c r="I141" t="s">
        <v>1133</v>
      </c>
      <c r="J141" t="s">
        <v>1134</v>
      </c>
      <c r="K141" t="s">
        <v>1135</v>
      </c>
      <c r="L141" t="s">
        <v>1136</v>
      </c>
      <c r="M141" t="s">
        <v>1137</v>
      </c>
      <c r="N141" t="s">
        <v>2434</v>
      </c>
      <c r="O141" t="s">
        <v>1967</v>
      </c>
      <c r="P141" t="s">
        <v>1984</v>
      </c>
      <c r="Q141" t="s">
        <v>1972</v>
      </c>
      <c r="R141" t="s">
        <v>1992</v>
      </c>
      <c r="S141" t="s">
        <v>2073</v>
      </c>
      <c r="T141" t="s">
        <v>2435</v>
      </c>
      <c r="U141" t="s">
        <v>2436</v>
      </c>
      <c r="V141" t="s">
        <v>2447</v>
      </c>
      <c r="W141" t="s">
        <v>2078</v>
      </c>
      <c r="X141" t="s">
        <v>2078</v>
      </c>
      <c r="Y141" t="s">
        <v>2441</v>
      </c>
      <c r="Z141" t="s">
        <v>2442</v>
      </c>
      <c r="AA141" t="s">
        <v>2443</v>
      </c>
      <c r="AB141" t="s">
        <v>2444</v>
      </c>
      <c r="AD141" t="s">
        <v>1136</v>
      </c>
      <c r="AE141" t="s">
        <v>2001</v>
      </c>
      <c r="AG141" t="s">
        <v>2001</v>
      </c>
    </row>
    <row r="142">
      <c r="A142" t="s">
        <v>2510</v>
      </c>
      <c r="B142" t="s">
        <v>958</v>
      </c>
      <c r="C142" t="s">
        <v>1128</v>
      </c>
      <c r="D142" t="s">
        <v>1129</v>
      </c>
      <c r="E142" t="s">
        <v>1130</v>
      </c>
      <c r="F142" t="s">
        <v>1139</v>
      </c>
      <c r="G142" t="s">
        <v>129</v>
      </c>
      <c r="H142" s="15" t="s">
        <v>2511</v>
      </c>
      <c r="I142" t="s">
        <v>1141</v>
      </c>
      <c r="J142" t="s">
        <v>1142</v>
      </c>
      <c r="K142" t="s">
        <v>1135</v>
      </c>
      <c r="L142" t="s">
        <v>1143</v>
      </c>
      <c r="M142" t="s">
        <v>1144</v>
      </c>
      <c r="N142" t="s">
        <v>2434</v>
      </c>
      <c r="O142" t="s">
        <v>1967</v>
      </c>
      <c r="P142" t="s">
        <v>1984</v>
      </c>
      <c r="Q142" t="s">
        <v>1972</v>
      </c>
      <c r="R142" t="s">
        <v>1992</v>
      </c>
      <c r="S142" t="s">
        <v>2073</v>
      </c>
      <c r="T142" t="s">
        <v>2435</v>
      </c>
      <c r="U142" t="s">
        <v>2436</v>
      </c>
      <c r="V142" t="s">
        <v>2512</v>
      </c>
      <c r="W142" t="s">
        <v>2078</v>
      </c>
      <c r="X142" t="s">
        <v>2078</v>
      </c>
      <c r="Y142" t="s">
        <v>2441</v>
      </c>
      <c r="Z142" t="s">
        <v>2442</v>
      </c>
      <c r="AA142" t="s">
        <v>2443</v>
      </c>
      <c r="AB142" t="s">
        <v>2444</v>
      </c>
      <c r="AC142" t="s">
        <v>2513</v>
      </c>
      <c r="AD142" t="s">
        <v>1143</v>
      </c>
      <c r="AE142" t="s">
        <v>2001</v>
      </c>
      <c r="AG142" t="s">
        <v>2001</v>
      </c>
    </row>
    <row r="143">
      <c r="A143" t="s">
        <v>2514</v>
      </c>
      <c r="B143" t="s">
        <v>958</v>
      </c>
      <c r="C143" t="s">
        <v>1128</v>
      </c>
      <c r="D143" t="s">
        <v>1129</v>
      </c>
      <c r="E143" t="s">
        <v>1130</v>
      </c>
      <c r="F143" t="s">
        <v>1145</v>
      </c>
      <c r="G143" t="s">
        <v>97</v>
      </c>
      <c r="H143" t="s">
        <v>1146</v>
      </c>
      <c r="I143" t="s">
        <v>1147</v>
      </c>
      <c r="J143" t="s">
        <v>1148</v>
      </c>
      <c r="K143" t="s">
        <v>1149</v>
      </c>
      <c r="L143" t="s">
        <v>1150</v>
      </c>
      <c r="M143" t="s">
        <v>1151</v>
      </c>
      <c r="N143" t="s">
        <v>2515</v>
      </c>
      <c r="O143" t="s">
        <v>1968</v>
      </c>
      <c r="P143" t="s">
        <v>1984</v>
      </c>
      <c r="Q143" t="s">
        <v>1971</v>
      </c>
      <c r="R143" t="s">
        <v>1991</v>
      </c>
      <c r="S143" t="s">
        <v>2073</v>
      </c>
      <c r="T143" t="s">
        <v>2435</v>
      </c>
      <c r="U143" t="s">
        <v>2516</v>
      </c>
      <c r="V143" t="s">
        <v>2517</v>
      </c>
      <c r="W143" t="s">
        <v>2078</v>
      </c>
      <c r="X143" t="s">
        <v>2078</v>
      </c>
      <c r="Y143" t="s">
        <v>2441</v>
      </c>
      <c r="Z143" t="s">
        <v>2442</v>
      </c>
      <c r="AA143" t="s">
        <v>2443</v>
      </c>
      <c r="AB143" t="s">
        <v>2444</v>
      </c>
      <c r="AC143" t="s">
        <v>2518</v>
      </c>
      <c r="AD143" t="s">
        <v>1150</v>
      </c>
      <c r="AE143" t="s">
        <v>2001</v>
      </c>
      <c r="AG143" t="s">
        <v>2001</v>
      </c>
    </row>
    <row r="144">
      <c r="A144" t="s">
        <v>2519</v>
      </c>
      <c r="B144" t="s">
        <v>958</v>
      </c>
      <c r="C144" t="s">
        <v>1128</v>
      </c>
      <c r="D144" t="s">
        <v>1129</v>
      </c>
      <c r="E144" t="s">
        <v>1130</v>
      </c>
      <c r="F144" t="s">
        <v>1152</v>
      </c>
      <c r="G144" t="s">
        <v>97</v>
      </c>
      <c r="H144" t="s">
        <v>1153</v>
      </c>
      <c r="I144" t="s">
        <v>1154</v>
      </c>
      <c r="J144" t="s">
        <v>1155</v>
      </c>
      <c r="K144" t="s">
        <v>1156</v>
      </c>
      <c r="L144" t="s">
        <v>1157</v>
      </c>
      <c r="M144" t="s">
        <v>1158</v>
      </c>
      <c r="N144" t="s">
        <v>2515</v>
      </c>
      <c r="O144" t="s">
        <v>1968</v>
      </c>
      <c r="P144" t="s">
        <v>1984</v>
      </c>
      <c r="Q144" t="s">
        <v>1971</v>
      </c>
      <c r="R144" t="s">
        <v>1991</v>
      </c>
      <c r="S144" t="s">
        <v>2073</v>
      </c>
      <c r="T144" t="s">
        <v>2435</v>
      </c>
      <c r="U144" t="s">
        <v>2516</v>
      </c>
      <c r="V144" t="s">
        <v>2520</v>
      </c>
      <c r="W144" t="s">
        <v>2078</v>
      </c>
      <c r="X144" t="s">
        <v>2078</v>
      </c>
      <c r="Y144" t="s">
        <v>2441</v>
      </c>
      <c r="Z144" t="s">
        <v>2442</v>
      </c>
      <c r="AA144" t="s">
        <v>2443</v>
      </c>
      <c r="AB144" t="s">
        <v>2444</v>
      </c>
      <c r="AC144" t="s">
        <v>2521</v>
      </c>
      <c r="AD144" t="s">
        <v>1157</v>
      </c>
      <c r="AE144" t="s">
        <v>2001</v>
      </c>
      <c r="AG144" t="s">
        <v>2001</v>
      </c>
    </row>
    <row r="145">
      <c r="A145" t="s">
        <v>2522</v>
      </c>
      <c r="B145" t="s">
        <v>958</v>
      </c>
      <c r="C145" t="s">
        <v>1128</v>
      </c>
      <c r="D145" t="s">
        <v>1129</v>
      </c>
      <c r="E145" t="s">
        <v>1130</v>
      </c>
      <c r="F145" t="s">
        <v>1160</v>
      </c>
      <c r="G145" t="s">
        <v>97</v>
      </c>
      <c r="H145" t="s">
        <v>1161</v>
      </c>
      <c r="I145" t="s">
        <v>1162</v>
      </c>
      <c r="J145" t="s">
        <v>1163</v>
      </c>
      <c r="K145" t="s">
        <v>1164</v>
      </c>
      <c r="L145" t="s">
        <v>1165</v>
      </c>
      <c r="M145" t="s">
        <v>1166</v>
      </c>
      <c r="N145" t="s">
        <v>2515</v>
      </c>
      <c r="O145" t="s">
        <v>1968</v>
      </c>
      <c r="P145" t="s">
        <v>1984</v>
      </c>
      <c r="Q145" t="s">
        <v>1971</v>
      </c>
      <c r="R145" t="s">
        <v>1991</v>
      </c>
      <c r="S145" t="s">
        <v>2073</v>
      </c>
      <c r="T145" t="s">
        <v>2435</v>
      </c>
      <c r="U145" t="s">
        <v>2516</v>
      </c>
      <c r="V145" t="s">
        <v>2523</v>
      </c>
      <c r="W145" t="s">
        <v>2078</v>
      </c>
      <c r="X145" t="s">
        <v>2078</v>
      </c>
      <c r="Y145" t="s">
        <v>2441</v>
      </c>
      <c r="Z145" t="s">
        <v>2442</v>
      </c>
      <c r="AA145" t="s">
        <v>2443</v>
      </c>
      <c r="AB145" t="s">
        <v>2444</v>
      </c>
      <c r="AC145" t="s">
        <v>2524</v>
      </c>
      <c r="AD145" t="s">
        <v>1165</v>
      </c>
      <c r="AE145" t="s">
        <v>2001</v>
      </c>
      <c r="AG145" t="s">
        <v>2001</v>
      </c>
    </row>
    <row r="146">
      <c r="A146" t="s">
        <v>2525</v>
      </c>
      <c r="B146" t="s">
        <v>958</v>
      </c>
      <c r="C146" t="s">
        <v>1128</v>
      </c>
      <c r="D146" t="s">
        <v>1129</v>
      </c>
      <c r="E146" t="s">
        <v>1130</v>
      </c>
      <c r="F146" t="s">
        <v>1168</v>
      </c>
      <c r="G146" t="s">
        <v>154</v>
      </c>
      <c r="H146" t="s">
        <v>1169</v>
      </c>
      <c r="I146" t="s">
        <v>1170</v>
      </c>
      <c r="J146" t="s">
        <v>1171</v>
      </c>
      <c r="K146" t="s">
        <v>1135</v>
      </c>
      <c r="L146" t="s">
        <v>1172</v>
      </c>
      <c r="M146" t="s">
        <v>1173</v>
      </c>
      <c r="N146" t="s">
        <v>2434</v>
      </c>
      <c r="O146" t="s">
        <v>1967</v>
      </c>
      <c r="P146" t="s">
        <v>1984</v>
      </c>
      <c r="Q146" t="s">
        <v>1972</v>
      </c>
      <c r="R146" t="s">
        <v>1992</v>
      </c>
      <c r="S146" t="s">
        <v>2073</v>
      </c>
      <c r="T146" t="s">
        <v>2435</v>
      </c>
      <c r="U146" t="s">
        <v>2436</v>
      </c>
      <c r="V146" t="s">
        <v>2526</v>
      </c>
      <c r="Y146" t="s">
        <v>2441</v>
      </c>
      <c r="Z146" t="s">
        <v>2442</v>
      </c>
      <c r="AA146" t="s">
        <v>2443</v>
      </c>
      <c r="AB146" t="s">
        <v>2444</v>
      </c>
      <c r="AC146" t="s">
        <v>2527</v>
      </c>
      <c r="AD146" t="s">
        <v>1172</v>
      </c>
      <c r="AE146" t="s">
        <v>2001</v>
      </c>
      <c r="AG146" t="s">
        <v>2001</v>
      </c>
    </row>
    <row r="147">
      <c r="A147" t="s">
        <v>2528</v>
      </c>
      <c r="B147" t="s">
        <v>958</v>
      </c>
      <c r="C147" t="s">
        <v>1128</v>
      </c>
      <c r="D147" t="s">
        <v>1129</v>
      </c>
      <c r="E147" t="s">
        <v>1130</v>
      </c>
      <c r="F147" t="s">
        <v>1174</v>
      </c>
      <c r="G147" t="s">
        <v>154</v>
      </c>
      <c r="H147" t="s">
        <v>1175</v>
      </c>
      <c r="I147" t="s">
        <v>1176</v>
      </c>
      <c r="J147" t="s">
        <v>1177</v>
      </c>
      <c r="K147" t="s">
        <v>1178</v>
      </c>
      <c r="L147" t="s">
        <v>1179</v>
      </c>
      <c r="M147" t="s">
        <v>1180</v>
      </c>
      <c r="N147" t="s">
        <v>2515</v>
      </c>
      <c r="O147" t="s">
        <v>1968</v>
      </c>
      <c r="P147" t="s">
        <v>1984</v>
      </c>
      <c r="Q147" t="s">
        <v>1971</v>
      </c>
      <c r="R147" t="s">
        <v>1991</v>
      </c>
      <c r="S147" t="s">
        <v>2073</v>
      </c>
      <c r="T147" t="s">
        <v>2435</v>
      </c>
      <c r="U147" t="s">
        <v>2516</v>
      </c>
      <c r="Y147" t="s">
        <v>2441</v>
      </c>
      <c r="Z147" t="s">
        <v>2442</v>
      </c>
      <c r="AA147" t="s">
        <v>2443</v>
      </c>
      <c r="AB147" t="s">
        <v>2444</v>
      </c>
      <c r="AC147" t="s">
        <v>2529</v>
      </c>
      <c r="AD147" t="s">
        <v>1179</v>
      </c>
      <c r="AE147" t="s">
        <v>2002</v>
      </c>
      <c r="AF147" t="s">
        <v>2530</v>
      </c>
      <c r="AG147" t="s">
        <v>2001</v>
      </c>
    </row>
    <row r="148">
      <c r="A148" t="s">
        <v>2531</v>
      </c>
      <c r="B148" t="s">
        <v>958</v>
      </c>
      <c r="C148" t="s">
        <v>1128</v>
      </c>
      <c r="D148" t="s">
        <v>1129</v>
      </c>
      <c r="E148" t="s">
        <v>1130</v>
      </c>
      <c r="F148" t="s">
        <v>1182</v>
      </c>
      <c r="G148" t="s">
        <v>154</v>
      </c>
      <c r="H148" t="s">
        <v>1183</v>
      </c>
      <c r="I148" t="s">
        <v>1184</v>
      </c>
      <c r="J148" t="s">
        <v>1185</v>
      </c>
      <c r="K148" t="s">
        <v>1186</v>
      </c>
      <c r="L148" t="s">
        <v>1187</v>
      </c>
      <c r="M148" t="s">
        <v>1188</v>
      </c>
      <c r="N148" t="s">
        <v>2515</v>
      </c>
      <c r="O148" t="s">
        <v>1968</v>
      </c>
      <c r="P148" t="s">
        <v>1984</v>
      </c>
      <c r="Q148" t="s">
        <v>1971</v>
      </c>
      <c r="R148" t="s">
        <v>1991</v>
      </c>
      <c r="S148" t="s">
        <v>2073</v>
      </c>
      <c r="T148" t="s">
        <v>2435</v>
      </c>
      <c r="U148" t="s">
        <v>2516</v>
      </c>
      <c r="V148" t="s">
        <v>2532</v>
      </c>
      <c r="Y148" t="s">
        <v>2441</v>
      </c>
      <c r="Z148" t="s">
        <v>2442</v>
      </c>
      <c r="AA148" t="s">
        <v>2443</v>
      </c>
      <c r="AB148" t="s">
        <v>2444</v>
      </c>
      <c r="AC148" t="s">
        <v>2533</v>
      </c>
      <c r="AD148" t="s">
        <v>1187</v>
      </c>
      <c r="AE148" t="s">
        <v>2001</v>
      </c>
      <c r="AG148" t="s">
        <v>2001</v>
      </c>
    </row>
    <row r="149">
      <c r="A149" t="s">
        <v>2534</v>
      </c>
      <c r="B149" t="s">
        <v>958</v>
      </c>
      <c r="C149" t="s">
        <v>1128</v>
      </c>
      <c r="D149" t="s">
        <v>1129</v>
      </c>
      <c r="E149" t="s">
        <v>1130</v>
      </c>
      <c r="F149" t="s">
        <v>1190</v>
      </c>
      <c r="G149" t="s">
        <v>120</v>
      </c>
      <c r="H149" t="s">
        <v>1191</v>
      </c>
      <c r="I149" t="s">
        <v>1192</v>
      </c>
      <c r="J149" t="s">
        <v>1193</v>
      </c>
      <c r="K149" t="s">
        <v>1194</v>
      </c>
      <c r="L149" t="s">
        <v>1195</v>
      </c>
      <c r="M149" t="s">
        <v>1196</v>
      </c>
      <c r="N149" t="s">
        <v>2434</v>
      </c>
      <c r="O149" t="s">
        <v>1967</v>
      </c>
      <c r="P149" t="s">
        <v>1984</v>
      </c>
      <c r="Q149" t="s">
        <v>1972</v>
      </c>
      <c r="R149" t="s">
        <v>1992</v>
      </c>
      <c r="S149" t="s">
        <v>2073</v>
      </c>
      <c r="T149" t="s">
        <v>2435</v>
      </c>
      <c r="U149" t="s">
        <v>2436</v>
      </c>
      <c r="Y149" t="s">
        <v>2441</v>
      </c>
      <c r="Z149" t="s">
        <v>2442</v>
      </c>
      <c r="AA149" t="s">
        <v>2443</v>
      </c>
      <c r="AB149" t="s">
        <v>2444</v>
      </c>
      <c r="AC149" t="s">
        <v>2535</v>
      </c>
      <c r="AD149" t="s">
        <v>1195</v>
      </c>
      <c r="AE149" t="s">
        <v>2002</v>
      </c>
      <c r="AF149" t="s">
        <v>2536</v>
      </c>
      <c r="AG149" t="s">
        <v>2001</v>
      </c>
    </row>
    <row r="150">
      <c r="A150" t="s">
        <v>2537</v>
      </c>
      <c r="B150" t="s">
        <v>958</v>
      </c>
      <c r="C150" t="s">
        <v>1198</v>
      </c>
      <c r="D150" t="s">
        <v>1199</v>
      </c>
      <c r="E150" t="s">
        <v>1200</v>
      </c>
      <c r="F150" t="s">
        <v>1201</v>
      </c>
      <c r="G150" t="s">
        <v>129</v>
      </c>
      <c r="H150" s="15" t="s">
        <v>2538</v>
      </c>
      <c r="I150" t="s">
        <v>1203</v>
      </c>
      <c r="J150" t="s">
        <v>1204</v>
      </c>
      <c r="K150" t="s">
        <v>1205</v>
      </c>
      <c r="L150" t="s">
        <v>1206</v>
      </c>
      <c r="M150" t="s">
        <v>1207</v>
      </c>
      <c r="N150" t="s">
        <v>2434</v>
      </c>
      <c r="O150" t="s">
        <v>1967</v>
      </c>
      <c r="P150" t="s">
        <v>1984</v>
      </c>
      <c r="Q150" t="s">
        <v>1972</v>
      </c>
      <c r="R150" t="s">
        <v>1992</v>
      </c>
      <c r="S150" t="s">
        <v>2073</v>
      </c>
      <c r="T150" t="s">
        <v>2435</v>
      </c>
      <c r="U150" t="s">
        <v>2436</v>
      </c>
      <c r="V150" t="s">
        <v>2539</v>
      </c>
      <c r="W150" t="s">
        <v>2078</v>
      </c>
      <c r="X150" t="s">
        <v>2078</v>
      </c>
      <c r="Y150" t="s">
        <v>2441</v>
      </c>
      <c r="Z150" t="s">
        <v>2442</v>
      </c>
      <c r="AA150" t="s">
        <v>2443</v>
      </c>
      <c r="AB150" t="s">
        <v>2444</v>
      </c>
      <c r="AC150" t="s">
        <v>2540</v>
      </c>
      <c r="AD150" t="s">
        <v>1206</v>
      </c>
      <c r="AE150" t="s">
        <v>2001</v>
      </c>
      <c r="AG150" t="s">
        <v>2001</v>
      </c>
    </row>
    <row r="151">
      <c r="A151" t="s">
        <v>2541</v>
      </c>
      <c r="B151" t="s">
        <v>958</v>
      </c>
      <c r="C151" t="s">
        <v>1198</v>
      </c>
      <c r="D151" t="s">
        <v>1199</v>
      </c>
      <c r="E151" t="s">
        <v>1200</v>
      </c>
      <c r="F151" t="s">
        <v>1209</v>
      </c>
      <c r="G151" t="s">
        <v>154</v>
      </c>
      <c r="H151" t="s">
        <v>1210</v>
      </c>
      <c r="I151" t="s">
        <v>1211</v>
      </c>
      <c r="J151" t="s">
        <v>1212</v>
      </c>
      <c r="K151" t="s">
        <v>1205</v>
      </c>
      <c r="L151" t="s">
        <v>1213</v>
      </c>
      <c r="M151" t="s">
        <v>1214</v>
      </c>
      <c r="N151" t="s">
        <v>2434</v>
      </c>
      <c r="O151" t="s">
        <v>1967</v>
      </c>
      <c r="P151" t="s">
        <v>1984</v>
      </c>
      <c r="Q151" t="s">
        <v>1972</v>
      </c>
      <c r="R151" t="s">
        <v>1992</v>
      </c>
      <c r="S151" t="s">
        <v>2073</v>
      </c>
      <c r="T151" t="s">
        <v>2435</v>
      </c>
      <c r="U151" t="s">
        <v>2436</v>
      </c>
      <c r="V151" t="s">
        <v>2542</v>
      </c>
      <c r="Y151" t="s">
        <v>2441</v>
      </c>
      <c r="Z151" t="s">
        <v>2442</v>
      </c>
      <c r="AA151" t="s">
        <v>2443</v>
      </c>
      <c r="AB151" t="s">
        <v>2444</v>
      </c>
      <c r="AC151" t="s">
        <v>2543</v>
      </c>
      <c r="AD151" t="s">
        <v>1213</v>
      </c>
      <c r="AE151" t="s">
        <v>2001</v>
      </c>
      <c r="AG151" t="s">
        <v>2001</v>
      </c>
    </row>
    <row r="152">
      <c r="A152" t="s">
        <v>2544</v>
      </c>
      <c r="B152" t="s">
        <v>958</v>
      </c>
      <c r="C152" t="s">
        <v>1198</v>
      </c>
      <c r="D152" t="s">
        <v>1199</v>
      </c>
      <c r="E152" t="s">
        <v>1200</v>
      </c>
      <c r="F152" t="s">
        <v>1215</v>
      </c>
      <c r="G152" t="s">
        <v>120</v>
      </c>
      <c r="H152" t="s">
        <v>1216</v>
      </c>
      <c r="I152" t="s">
        <v>1217</v>
      </c>
      <c r="J152" t="s">
        <v>1218</v>
      </c>
      <c r="K152" t="s">
        <v>1205</v>
      </c>
      <c r="L152" t="s">
        <v>1219</v>
      </c>
      <c r="M152" t="s">
        <v>1220</v>
      </c>
      <c r="N152" t="s">
        <v>2434</v>
      </c>
      <c r="O152" t="s">
        <v>1967</v>
      </c>
      <c r="P152" t="s">
        <v>1984</v>
      </c>
      <c r="Q152" t="s">
        <v>1972</v>
      </c>
      <c r="R152" t="s">
        <v>1992</v>
      </c>
      <c r="S152" t="s">
        <v>2073</v>
      </c>
      <c r="T152" t="s">
        <v>2435</v>
      </c>
      <c r="U152" t="s">
        <v>2436</v>
      </c>
      <c r="V152" t="s">
        <v>2545</v>
      </c>
      <c r="Y152" t="s">
        <v>2441</v>
      </c>
      <c r="Z152" t="s">
        <v>2442</v>
      </c>
      <c r="AA152" t="s">
        <v>2443</v>
      </c>
      <c r="AB152" t="s">
        <v>2444</v>
      </c>
      <c r="AC152" t="s">
        <v>2546</v>
      </c>
      <c r="AD152" t="s">
        <v>1219</v>
      </c>
      <c r="AE152" t="s">
        <v>2001</v>
      </c>
      <c r="AG152" t="s">
        <v>2001</v>
      </c>
    </row>
    <row r="153">
      <c r="A153" t="s">
        <v>2547</v>
      </c>
      <c r="B153" t="s">
        <v>958</v>
      </c>
      <c r="C153" t="s">
        <v>1198</v>
      </c>
      <c r="D153" t="s">
        <v>1221</v>
      </c>
      <c r="E153" t="s">
        <v>1222</v>
      </c>
      <c r="F153" t="s">
        <v>1223</v>
      </c>
      <c r="G153" t="s">
        <v>154</v>
      </c>
      <c r="H153" t="s">
        <v>1224</v>
      </c>
      <c r="I153" t="s">
        <v>1225</v>
      </c>
      <c r="J153" t="s">
        <v>1226</v>
      </c>
      <c r="K153" t="s">
        <v>1205</v>
      </c>
      <c r="L153" t="s">
        <v>1227</v>
      </c>
      <c r="M153" t="s">
        <v>1228</v>
      </c>
      <c r="N153" t="s">
        <v>2434</v>
      </c>
      <c r="O153" t="s">
        <v>1967</v>
      </c>
      <c r="P153" t="s">
        <v>1984</v>
      </c>
      <c r="Q153" t="s">
        <v>1972</v>
      </c>
      <c r="R153" t="s">
        <v>1992</v>
      </c>
      <c r="S153" t="s">
        <v>2073</v>
      </c>
      <c r="T153" t="s">
        <v>2435</v>
      </c>
      <c r="U153" t="s">
        <v>2436</v>
      </c>
      <c r="V153" t="s">
        <v>2548</v>
      </c>
      <c r="Y153" t="s">
        <v>2441</v>
      </c>
      <c r="Z153" t="s">
        <v>2442</v>
      </c>
      <c r="AA153" t="s">
        <v>2443</v>
      </c>
      <c r="AB153" t="s">
        <v>2444</v>
      </c>
      <c r="AC153" t="s">
        <v>2549</v>
      </c>
      <c r="AD153" t="s">
        <v>1227</v>
      </c>
      <c r="AE153" t="s">
        <v>2001</v>
      </c>
      <c r="AG153" t="s">
        <v>2001</v>
      </c>
    </row>
    <row r="154">
      <c r="A154" t="s">
        <v>2550</v>
      </c>
      <c r="B154" t="s">
        <v>958</v>
      </c>
      <c r="C154" t="s">
        <v>1198</v>
      </c>
      <c r="D154" t="s">
        <v>1221</v>
      </c>
      <c r="E154" t="s">
        <v>1222</v>
      </c>
      <c r="F154" t="s">
        <v>1229</v>
      </c>
      <c r="G154" t="s">
        <v>154</v>
      </c>
      <c r="H154" t="s">
        <v>1230</v>
      </c>
      <c r="I154" t="s">
        <v>1231</v>
      </c>
      <c r="J154" t="s">
        <v>1232</v>
      </c>
      <c r="K154" t="s">
        <v>1205</v>
      </c>
      <c r="L154" t="s">
        <v>1233</v>
      </c>
      <c r="M154" t="s">
        <v>1234</v>
      </c>
      <c r="N154" t="s">
        <v>2434</v>
      </c>
      <c r="O154" t="s">
        <v>1967</v>
      </c>
      <c r="P154" t="s">
        <v>1984</v>
      </c>
      <c r="Q154" t="s">
        <v>1972</v>
      </c>
      <c r="R154" t="s">
        <v>1992</v>
      </c>
      <c r="S154" t="s">
        <v>2073</v>
      </c>
      <c r="T154" t="s">
        <v>2435</v>
      </c>
      <c r="U154" t="s">
        <v>2436</v>
      </c>
      <c r="V154" t="s">
        <v>2551</v>
      </c>
      <c r="Y154" t="s">
        <v>2441</v>
      </c>
      <c r="Z154" t="s">
        <v>2442</v>
      </c>
      <c r="AA154" t="s">
        <v>2443</v>
      </c>
      <c r="AB154" t="s">
        <v>2444</v>
      </c>
      <c r="AC154" t="s">
        <v>2552</v>
      </c>
      <c r="AD154" t="s">
        <v>1233</v>
      </c>
      <c r="AE154" t="s">
        <v>2001</v>
      </c>
      <c r="AG154" t="s">
        <v>2001</v>
      </c>
    </row>
    <row r="155">
      <c r="A155" t="s">
        <v>2553</v>
      </c>
      <c r="B155" t="s">
        <v>958</v>
      </c>
      <c r="C155" t="s">
        <v>1198</v>
      </c>
      <c r="D155" t="s">
        <v>1221</v>
      </c>
      <c r="E155" t="s">
        <v>1222</v>
      </c>
      <c r="F155" t="s">
        <v>1235</v>
      </c>
      <c r="G155" t="s">
        <v>120</v>
      </c>
      <c r="H155" t="s">
        <v>570</v>
      </c>
      <c r="I155" t="s">
        <v>1236</v>
      </c>
      <c r="J155" t="s">
        <v>1237</v>
      </c>
      <c r="K155" t="s">
        <v>1238</v>
      </c>
      <c r="L155" t="s">
        <v>1239</v>
      </c>
      <c r="M155" t="s">
        <v>1240</v>
      </c>
      <c r="N155" t="s">
        <v>2434</v>
      </c>
      <c r="O155" t="s">
        <v>1967</v>
      </c>
      <c r="P155" t="s">
        <v>1984</v>
      </c>
      <c r="Q155" t="s">
        <v>1972</v>
      </c>
      <c r="R155" t="s">
        <v>1992</v>
      </c>
      <c r="S155" t="s">
        <v>2073</v>
      </c>
      <c r="T155" t="s">
        <v>2435</v>
      </c>
      <c r="U155" t="s">
        <v>2436</v>
      </c>
      <c r="V155" t="s">
        <v>2502</v>
      </c>
      <c r="Y155" t="s">
        <v>2441</v>
      </c>
      <c r="Z155" t="s">
        <v>2442</v>
      </c>
      <c r="AA155" t="s">
        <v>2443</v>
      </c>
      <c r="AB155" t="s">
        <v>2444</v>
      </c>
      <c r="AC155" t="s">
        <v>2554</v>
      </c>
      <c r="AD155" t="s">
        <v>1239</v>
      </c>
      <c r="AE155" t="s">
        <v>2001</v>
      </c>
      <c r="AG155" t="s">
        <v>2001</v>
      </c>
    </row>
    <row r="156">
      <c r="A156" t="s">
        <v>2555</v>
      </c>
      <c r="B156" t="s">
        <v>958</v>
      </c>
      <c r="C156" t="s">
        <v>1198</v>
      </c>
      <c r="D156" t="s">
        <v>1221</v>
      </c>
      <c r="E156" t="s">
        <v>1222</v>
      </c>
      <c r="F156" t="s">
        <v>1242</v>
      </c>
      <c r="G156" t="s">
        <v>120</v>
      </c>
      <c r="H156" t="s">
        <v>1229</v>
      </c>
      <c r="I156" t="s">
        <v>1243</v>
      </c>
      <c r="J156" t="s">
        <v>1244</v>
      </c>
      <c r="K156" t="s">
        <v>1205</v>
      </c>
      <c r="L156" t="s">
        <v>1245</v>
      </c>
      <c r="M156" t="s">
        <v>1246</v>
      </c>
      <c r="N156" t="s">
        <v>2434</v>
      </c>
      <c r="O156" t="s">
        <v>1967</v>
      </c>
      <c r="P156" t="s">
        <v>1984</v>
      </c>
      <c r="Q156" t="s">
        <v>1972</v>
      </c>
      <c r="R156" t="s">
        <v>1992</v>
      </c>
      <c r="S156" t="s">
        <v>2073</v>
      </c>
      <c r="T156" t="s">
        <v>2435</v>
      </c>
      <c r="U156" t="s">
        <v>2436</v>
      </c>
      <c r="V156" t="s">
        <v>2556</v>
      </c>
      <c r="Y156" t="s">
        <v>2441</v>
      </c>
      <c r="Z156" t="s">
        <v>2442</v>
      </c>
      <c r="AA156" t="s">
        <v>2443</v>
      </c>
      <c r="AB156" t="s">
        <v>2444</v>
      </c>
      <c r="AC156" t="s">
        <v>2557</v>
      </c>
      <c r="AD156" t="s">
        <v>1245</v>
      </c>
      <c r="AE156" t="s">
        <v>2001</v>
      </c>
      <c r="AG156" t="s">
        <v>2001</v>
      </c>
    </row>
    <row r="157">
      <c r="A157" t="s">
        <v>2558</v>
      </c>
      <c r="B157" t="s">
        <v>958</v>
      </c>
      <c r="C157" t="s">
        <v>1198</v>
      </c>
      <c r="D157" t="s">
        <v>1248</v>
      </c>
      <c r="E157" t="s">
        <v>1249</v>
      </c>
      <c r="F157" t="s">
        <v>1250</v>
      </c>
      <c r="G157" t="s">
        <v>154</v>
      </c>
      <c r="H157" t="s">
        <v>618</v>
      </c>
      <c r="I157" t="s">
        <v>1251</v>
      </c>
      <c r="J157" t="s">
        <v>1252</v>
      </c>
      <c r="K157" t="s">
        <v>1253</v>
      </c>
      <c r="L157" t="s">
        <v>1254</v>
      </c>
      <c r="M157" t="s">
        <v>1255</v>
      </c>
      <c r="N157" t="s">
        <v>2434</v>
      </c>
      <c r="O157" t="s">
        <v>1967</v>
      </c>
      <c r="P157" t="s">
        <v>1984</v>
      </c>
      <c r="Q157" t="s">
        <v>1972</v>
      </c>
      <c r="R157" t="s">
        <v>1992</v>
      </c>
      <c r="S157" t="s">
        <v>2073</v>
      </c>
      <c r="T157" t="s">
        <v>2435</v>
      </c>
      <c r="U157" t="s">
        <v>2436</v>
      </c>
      <c r="V157" t="s">
        <v>2559</v>
      </c>
      <c r="Y157" t="s">
        <v>2441</v>
      </c>
      <c r="Z157" t="s">
        <v>2442</v>
      </c>
      <c r="AA157" t="s">
        <v>2443</v>
      </c>
      <c r="AB157" t="s">
        <v>2444</v>
      </c>
      <c r="AC157" t="s">
        <v>2560</v>
      </c>
      <c r="AD157" t="s">
        <v>1254</v>
      </c>
      <c r="AE157" t="s">
        <v>2001</v>
      </c>
      <c r="AG157" t="s">
        <v>2001</v>
      </c>
    </row>
    <row r="158">
      <c r="A158" t="s">
        <v>2561</v>
      </c>
      <c r="B158" t="s">
        <v>958</v>
      </c>
      <c r="C158" t="s">
        <v>1198</v>
      </c>
      <c r="D158" t="s">
        <v>1248</v>
      </c>
      <c r="E158" t="s">
        <v>1249</v>
      </c>
      <c r="F158" t="s">
        <v>1257</v>
      </c>
      <c r="G158" t="s">
        <v>154</v>
      </c>
      <c r="H158" t="s">
        <v>1258</v>
      </c>
      <c r="I158" t="s">
        <v>1259</v>
      </c>
      <c r="J158" t="s">
        <v>1260</v>
      </c>
      <c r="K158" t="s">
        <v>1253</v>
      </c>
      <c r="L158" t="s">
        <v>1261</v>
      </c>
      <c r="M158" t="s">
        <v>1262</v>
      </c>
      <c r="N158" t="s">
        <v>2434</v>
      </c>
      <c r="O158" t="s">
        <v>1967</v>
      </c>
      <c r="P158" t="s">
        <v>1984</v>
      </c>
      <c r="Q158" t="s">
        <v>1972</v>
      </c>
      <c r="R158" t="s">
        <v>1992</v>
      </c>
      <c r="S158" t="s">
        <v>2073</v>
      </c>
      <c r="T158" t="s">
        <v>2435</v>
      </c>
      <c r="U158" t="s">
        <v>2436</v>
      </c>
      <c r="V158" t="s">
        <v>2562</v>
      </c>
      <c r="Y158" t="s">
        <v>2441</v>
      </c>
      <c r="Z158" t="s">
        <v>2442</v>
      </c>
      <c r="AA158" t="s">
        <v>2443</v>
      </c>
      <c r="AB158" t="s">
        <v>2444</v>
      </c>
      <c r="AC158" t="s">
        <v>2563</v>
      </c>
      <c r="AD158" t="s">
        <v>1261</v>
      </c>
      <c r="AE158" t="s">
        <v>2001</v>
      </c>
      <c r="AG158" t="s">
        <v>2001</v>
      </c>
    </row>
    <row r="159">
      <c r="A159" t="s">
        <v>2564</v>
      </c>
      <c r="B159" t="s">
        <v>958</v>
      </c>
      <c r="C159" t="s">
        <v>1198</v>
      </c>
      <c r="D159" t="s">
        <v>1248</v>
      </c>
      <c r="E159" t="s">
        <v>1249</v>
      </c>
      <c r="F159" t="s">
        <v>1263</v>
      </c>
      <c r="G159" t="s">
        <v>154</v>
      </c>
      <c r="H159" t="s">
        <v>1264</v>
      </c>
      <c r="I159" t="s">
        <v>1265</v>
      </c>
      <c r="J159" t="s">
        <v>1266</v>
      </c>
      <c r="K159" t="s">
        <v>1267</v>
      </c>
      <c r="L159" t="s">
        <v>1268</v>
      </c>
      <c r="M159" t="s">
        <v>1269</v>
      </c>
      <c r="N159" t="s">
        <v>2434</v>
      </c>
      <c r="O159" t="s">
        <v>1967</v>
      </c>
      <c r="P159" t="s">
        <v>1984</v>
      </c>
      <c r="Q159" t="s">
        <v>1972</v>
      </c>
      <c r="R159" t="s">
        <v>1992</v>
      </c>
      <c r="S159" t="s">
        <v>2073</v>
      </c>
      <c r="T159" t="s">
        <v>2435</v>
      </c>
      <c r="U159" t="s">
        <v>2436</v>
      </c>
      <c r="Y159" t="s">
        <v>2441</v>
      </c>
      <c r="Z159" t="s">
        <v>2442</v>
      </c>
      <c r="AA159" t="s">
        <v>2443</v>
      </c>
      <c r="AB159" t="s">
        <v>2444</v>
      </c>
      <c r="AC159" t="s">
        <v>2565</v>
      </c>
      <c r="AD159" t="s">
        <v>1268</v>
      </c>
      <c r="AE159" t="s">
        <v>2002</v>
      </c>
      <c r="AF159" t="s">
        <v>2566</v>
      </c>
      <c r="AG159" t="s">
        <v>2001</v>
      </c>
    </row>
    <row r="160">
      <c r="A160" t="s">
        <v>2567</v>
      </c>
      <c r="B160" t="s">
        <v>958</v>
      </c>
      <c r="C160" t="s">
        <v>1198</v>
      </c>
      <c r="D160" t="s">
        <v>1248</v>
      </c>
      <c r="E160" t="s">
        <v>1249</v>
      </c>
      <c r="F160" t="s">
        <v>1271</v>
      </c>
      <c r="G160" t="s">
        <v>120</v>
      </c>
      <c r="H160" t="s">
        <v>1272</v>
      </c>
      <c r="I160" t="s">
        <v>1273</v>
      </c>
      <c r="J160" t="s">
        <v>1274</v>
      </c>
      <c r="K160" t="s">
        <v>1253</v>
      </c>
      <c r="L160" t="s">
        <v>1275</v>
      </c>
      <c r="M160" t="s">
        <v>1276</v>
      </c>
      <c r="N160" t="s">
        <v>2434</v>
      </c>
      <c r="O160" t="s">
        <v>1967</v>
      </c>
      <c r="P160" t="s">
        <v>1984</v>
      </c>
      <c r="Q160" t="s">
        <v>1972</v>
      </c>
      <c r="R160" t="s">
        <v>1992</v>
      </c>
      <c r="S160" t="s">
        <v>2073</v>
      </c>
      <c r="T160" t="s">
        <v>2435</v>
      </c>
      <c r="U160" t="s">
        <v>2436</v>
      </c>
      <c r="V160" t="s">
        <v>2568</v>
      </c>
      <c r="Y160" t="s">
        <v>2441</v>
      </c>
      <c r="Z160" t="s">
        <v>2442</v>
      </c>
      <c r="AA160" t="s">
        <v>2443</v>
      </c>
      <c r="AB160" t="s">
        <v>2444</v>
      </c>
      <c r="AC160" t="s">
        <v>2569</v>
      </c>
      <c r="AD160" t="s">
        <v>1275</v>
      </c>
      <c r="AE160" t="s">
        <v>2001</v>
      </c>
      <c r="AG160" t="s">
        <v>2001</v>
      </c>
    </row>
    <row r="161">
      <c r="A161" t="s">
        <v>2570</v>
      </c>
      <c r="B161" t="s">
        <v>958</v>
      </c>
      <c r="C161" t="s">
        <v>1198</v>
      </c>
      <c r="D161" t="s">
        <v>1277</v>
      </c>
      <c r="E161" t="s">
        <v>1278</v>
      </c>
      <c r="F161" t="s">
        <v>1279</v>
      </c>
      <c r="G161" t="s">
        <v>129</v>
      </c>
      <c r="H161" t="s">
        <v>1280</v>
      </c>
      <c r="I161" t="s">
        <v>1281</v>
      </c>
      <c r="J161" t="s">
        <v>1282</v>
      </c>
      <c r="K161" t="s">
        <v>1283</v>
      </c>
      <c r="L161" t="s">
        <v>1284</v>
      </c>
      <c r="M161" t="s">
        <v>1285</v>
      </c>
      <c r="N161" t="s">
        <v>2434</v>
      </c>
      <c r="O161" t="s">
        <v>1967</v>
      </c>
      <c r="P161" t="s">
        <v>1984</v>
      </c>
      <c r="Q161" t="s">
        <v>1972</v>
      </c>
      <c r="R161" t="s">
        <v>1992</v>
      </c>
      <c r="S161" t="s">
        <v>2073</v>
      </c>
      <c r="T161" t="s">
        <v>2435</v>
      </c>
      <c r="U161" t="s">
        <v>2436</v>
      </c>
      <c r="V161" t="s">
        <v>2571</v>
      </c>
      <c r="W161" t="s">
        <v>2078</v>
      </c>
      <c r="X161" t="s">
        <v>2078</v>
      </c>
      <c r="Y161" t="s">
        <v>2441</v>
      </c>
      <c r="Z161" t="s">
        <v>2442</v>
      </c>
      <c r="AA161" t="s">
        <v>2443</v>
      </c>
      <c r="AB161" t="s">
        <v>2444</v>
      </c>
      <c r="AC161" t="s">
        <v>2572</v>
      </c>
      <c r="AD161" t="s">
        <v>1284</v>
      </c>
      <c r="AE161" t="s">
        <v>2001</v>
      </c>
      <c r="AG161" t="s">
        <v>2001</v>
      </c>
    </row>
    <row r="162">
      <c r="A162" t="s">
        <v>2573</v>
      </c>
      <c r="B162" t="s">
        <v>958</v>
      </c>
      <c r="C162" t="s">
        <v>1198</v>
      </c>
      <c r="D162" t="s">
        <v>1277</v>
      </c>
      <c r="E162" t="s">
        <v>1278</v>
      </c>
      <c r="F162" t="s">
        <v>1287</v>
      </c>
      <c r="G162" t="s">
        <v>97</v>
      </c>
      <c r="H162" t="s">
        <v>1288</v>
      </c>
      <c r="I162" t="s">
        <v>1289</v>
      </c>
      <c r="J162" t="s">
        <v>1290</v>
      </c>
      <c r="K162" t="s">
        <v>1291</v>
      </c>
      <c r="L162" t="s">
        <v>1292</v>
      </c>
      <c r="M162" t="s">
        <v>1293</v>
      </c>
      <c r="N162" t="s">
        <v>2434</v>
      </c>
      <c r="O162" t="s">
        <v>1967</v>
      </c>
      <c r="P162" t="s">
        <v>1984</v>
      </c>
      <c r="Q162" t="s">
        <v>1972</v>
      </c>
      <c r="R162" t="s">
        <v>1992</v>
      </c>
      <c r="S162" t="s">
        <v>2073</v>
      </c>
      <c r="T162" t="s">
        <v>2435</v>
      </c>
      <c r="U162" t="s">
        <v>2436</v>
      </c>
      <c r="V162" t="s">
        <v>2574</v>
      </c>
      <c r="W162" t="s">
        <v>2078</v>
      </c>
      <c r="X162" t="s">
        <v>2078</v>
      </c>
      <c r="Y162" t="s">
        <v>2441</v>
      </c>
      <c r="Z162" t="s">
        <v>2442</v>
      </c>
      <c r="AA162" t="s">
        <v>2443</v>
      </c>
      <c r="AB162" t="s">
        <v>2444</v>
      </c>
      <c r="AC162" t="s">
        <v>2575</v>
      </c>
      <c r="AD162" t="s">
        <v>1292</v>
      </c>
      <c r="AE162" t="s">
        <v>2001</v>
      </c>
      <c r="AG162" t="s">
        <v>2001</v>
      </c>
    </row>
    <row r="163">
      <c r="A163" t="s">
        <v>2576</v>
      </c>
      <c r="B163" t="s">
        <v>958</v>
      </c>
      <c r="C163" t="s">
        <v>1198</v>
      </c>
      <c r="D163" t="s">
        <v>1277</v>
      </c>
      <c r="E163" t="s">
        <v>1278</v>
      </c>
      <c r="F163" t="s">
        <v>1294</v>
      </c>
      <c r="G163" t="s">
        <v>120</v>
      </c>
      <c r="H163" t="s">
        <v>1295</v>
      </c>
      <c r="I163" t="s">
        <v>1296</v>
      </c>
      <c r="J163" t="s">
        <v>1297</v>
      </c>
      <c r="K163" t="s">
        <v>1298</v>
      </c>
      <c r="L163" t="s">
        <v>1299</v>
      </c>
      <c r="M163" t="s">
        <v>1300</v>
      </c>
      <c r="N163" t="s">
        <v>2434</v>
      </c>
      <c r="O163" t="s">
        <v>1967</v>
      </c>
      <c r="P163" t="s">
        <v>1984</v>
      </c>
      <c r="Q163" t="s">
        <v>1972</v>
      </c>
      <c r="R163" t="s">
        <v>1992</v>
      </c>
      <c r="S163" t="s">
        <v>2073</v>
      </c>
      <c r="T163" t="s">
        <v>2435</v>
      </c>
      <c r="U163" t="s">
        <v>2436</v>
      </c>
      <c r="V163" t="s">
        <v>2577</v>
      </c>
      <c r="Y163" t="s">
        <v>2441</v>
      </c>
      <c r="Z163" t="s">
        <v>2442</v>
      </c>
      <c r="AA163" t="s">
        <v>2443</v>
      </c>
      <c r="AB163" t="s">
        <v>2444</v>
      </c>
      <c r="AC163" t="s">
        <v>2578</v>
      </c>
      <c r="AD163" t="s">
        <v>1299</v>
      </c>
      <c r="AE163" t="s">
        <v>2001</v>
      </c>
      <c r="AG163" t="s">
        <v>2001</v>
      </c>
    </row>
    <row r="164">
      <c r="A164" t="s">
        <v>2579</v>
      </c>
      <c r="B164" t="s">
        <v>958</v>
      </c>
      <c r="C164" t="s">
        <v>1198</v>
      </c>
      <c r="D164" t="s">
        <v>1277</v>
      </c>
      <c r="E164" t="s">
        <v>1278</v>
      </c>
      <c r="F164" t="s">
        <v>1302</v>
      </c>
      <c r="G164" t="s">
        <v>120</v>
      </c>
      <c r="H164" t="s">
        <v>1303</v>
      </c>
      <c r="I164" t="s">
        <v>1304</v>
      </c>
      <c r="J164" t="s">
        <v>1305</v>
      </c>
      <c r="K164" t="s">
        <v>1306</v>
      </c>
      <c r="L164" t="s">
        <v>1307</v>
      </c>
      <c r="M164" t="s">
        <v>1308</v>
      </c>
      <c r="N164" t="s">
        <v>2434</v>
      </c>
      <c r="O164" t="s">
        <v>1967</v>
      </c>
      <c r="P164" t="s">
        <v>1984</v>
      </c>
      <c r="Q164" t="s">
        <v>1972</v>
      </c>
      <c r="R164" t="s">
        <v>1992</v>
      </c>
      <c r="S164" t="s">
        <v>2073</v>
      </c>
      <c r="T164" t="s">
        <v>2435</v>
      </c>
      <c r="U164" t="s">
        <v>2436</v>
      </c>
      <c r="V164" t="s">
        <v>2580</v>
      </c>
      <c r="Y164" t="s">
        <v>2441</v>
      </c>
      <c r="Z164" t="s">
        <v>2442</v>
      </c>
      <c r="AA164" t="s">
        <v>2443</v>
      </c>
      <c r="AB164" t="s">
        <v>2444</v>
      </c>
      <c r="AC164" t="s">
        <v>2581</v>
      </c>
      <c r="AD164" t="s">
        <v>1307</v>
      </c>
      <c r="AE164" t="s">
        <v>2001</v>
      </c>
      <c r="AG164" t="s">
        <v>2001</v>
      </c>
    </row>
    <row r="165">
      <c r="A165" t="s">
        <v>2582</v>
      </c>
      <c r="B165" t="s">
        <v>958</v>
      </c>
      <c r="C165" t="s">
        <v>1198</v>
      </c>
      <c r="D165" t="s">
        <v>1310</v>
      </c>
      <c r="E165" t="s">
        <v>1311</v>
      </c>
      <c r="F165" t="s">
        <v>1312</v>
      </c>
      <c r="G165" t="s">
        <v>97</v>
      </c>
      <c r="H165" t="s">
        <v>1313</v>
      </c>
      <c r="I165" t="s">
        <v>1314</v>
      </c>
      <c r="J165" t="s">
        <v>1315</v>
      </c>
      <c r="K165" t="s">
        <v>1316</v>
      </c>
      <c r="L165" t="s">
        <v>1317</v>
      </c>
      <c r="M165" t="s">
        <v>1318</v>
      </c>
      <c r="N165" t="s">
        <v>2434</v>
      </c>
      <c r="O165" t="s">
        <v>1967</v>
      </c>
      <c r="P165" t="s">
        <v>1984</v>
      </c>
      <c r="Q165" t="s">
        <v>1972</v>
      </c>
      <c r="R165" t="s">
        <v>1992</v>
      </c>
      <c r="S165" t="s">
        <v>2073</v>
      </c>
      <c r="T165" t="s">
        <v>2435</v>
      </c>
      <c r="U165" t="s">
        <v>2436</v>
      </c>
      <c r="V165" t="s">
        <v>2583</v>
      </c>
      <c r="W165" t="s">
        <v>2078</v>
      </c>
      <c r="X165" t="s">
        <v>2078</v>
      </c>
      <c r="Y165" t="s">
        <v>2441</v>
      </c>
      <c r="Z165" t="s">
        <v>2442</v>
      </c>
      <c r="AA165" t="s">
        <v>2443</v>
      </c>
      <c r="AB165" t="s">
        <v>2444</v>
      </c>
      <c r="AC165" t="s">
        <v>2584</v>
      </c>
      <c r="AD165" t="s">
        <v>1317</v>
      </c>
      <c r="AE165" t="s">
        <v>2001</v>
      </c>
      <c r="AG165" t="s">
        <v>2001</v>
      </c>
    </row>
    <row r="166">
      <c r="A166" t="s">
        <v>2585</v>
      </c>
      <c r="B166" t="s">
        <v>958</v>
      </c>
      <c r="C166" t="s">
        <v>1198</v>
      </c>
      <c r="D166" t="s">
        <v>1310</v>
      </c>
      <c r="E166" t="s">
        <v>1311</v>
      </c>
      <c r="F166" t="s">
        <v>1320</v>
      </c>
      <c r="G166" t="s">
        <v>120</v>
      </c>
      <c r="H166" t="s">
        <v>1321</v>
      </c>
      <c r="I166" t="s">
        <v>1322</v>
      </c>
      <c r="J166" t="s">
        <v>1323</v>
      </c>
      <c r="K166" t="s">
        <v>1324</v>
      </c>
      <c r="L166" t="s">
        <v>1325</v>
      </c>
      <c r="M166" t="s">
        <v>1326</v>
      </c>
      <c r="N166" t="s">
        <v>2434</v>
      </c>
      <c r="O166" t="s">
        <v>1967</v>
      </c>
      <c r="P166" t="s">
        <v>1984</v>
      </c>
      <c r="Q166" t="s">
        <v>1972</v>
      </c>
      <c r="R166" t="s">
        <v>1992</v>
      </c>
      <c r="S166" t="s">
        <v>2073</v>
      </c>
      <c r="T166" t="s">
        <v>2435</v>
      </c>
      <c r="U166" t="s">
        <v>2436</v>
      </c>
      <c r="V166" t="s">
        <v>2586</v>
      </c>
      <c r="Y166" t="s">
        <v>2441</v>
      </c>
      <c r="Z166" t="s">
        <v>2442</v>
      </c>
      <c r="AA166" t="s">
        <v>2443</v>
      </c>
      <c r="AB166" t="s">
        <v>2444</v>
      </c>
      <c r="AC166" t="s">
        <v>2587</v>
      </c>
      <c r="AD166" t="s">
        <v>1325</v>
      </c>
      <c r="AE166" t="s">
        <v>2001</v>
      </c>
      <c r="AG166" t="s">
        <v>2001</v>
      </c>
    </row>
    <row r="167">
      <c r="A167" t="s">
        <v>2588</v>
      </c>
      <c r="B167" t="s">
        <v>958</v>
      </c>
      <c r="C167" t="s">
        <v>1198</v>
      </c>
      <c r="D167" t="s">
        <v>1310</v>
      </c>
      <c r="E167" t="s">
        <v>1311</v>
      </c>
      <c r="F167" t="s">
        <v>1328</v>
      </c>
      <c r="G167" t="s">
        <v>120</v>
      </c>
      <c r="H167" t="s">
        <v>1329</v>
      </c>
      <c r="I167" t="s">
        <v>1330</v>
      </c>
      <c r="J167" t="s">
        <v>1331</v>
      </c>
      <c r="K167" t="s">
        <v>1324</v>
      </c>
      <c r="L167" t="s">
        <v>1332</v>
      </c>
      <c r="M167" t="s">
        <v>1333</v>
      </c>
      <c r="N167" t="s">
        <v>2434</v>
      </c>
      <c r="O167" t="s">
        <v>1967</v>
      </c>
      <c r="P167" t="s">
        <v>1984</v>
      </c>
      <c r="Q167" t="s">
        <v>1972</v>
      </c>
      <c r="R167" t="s">
        <v>1992</v>
      </c>
      <c r="S167" t="s">
        <v>2073</v>
      </c>
      <c r="T167" t="s">
        <v>2435</v>
      </c>
      <c r="U167" t="s">
        <v>2436</v>
      </c>
      <c r="V167" t="s">
        <v>2589</v>
      </c>
      <c r="Y167" t="s">
        <v>2441</v>
      </c>
      <c r="Z167" t="s">
        <v>2442</v>
      </c>
      <c r="AA167" t="s">
        <v>2443</v>
      </c>
      <c r="AB167" t="s">
        <v>2444</v>
      </c>
      <c r="AC167" t="s">
        <v>2422</v>
      </c>
      <c r="AD167" t="s">
        <v>1332</v>
      </c>
      <c r="AE167" t="s">
        <v>2001</v>
      </c>
      <c r="AG167" t="s">
        <v>2001</v>
      </c>
    </row>
    <row r="168">
      <c r="A168" t="s">
        <v>2590</v>
      </c>
      <c r="B168" t="s">
        <v>958</v>
      </c>
      <c r="C168" t="s">
        <v>1198</v>
      </c>
      <c r="D168" t="s">
        <v>1310</v>
      </c>
      <c r="E168" t="s">
        <v>1311</v>
      </c>
      <c r="F168" t="s">
        <v>1334</v>
      </c>
      <c r="G168" t="s">
        <v>120</v>
      </c>
      <c r="H168" t="s">
        <v>1335</v>
      </c>
      <c r="I168" t="s">
        <v>1336</v>
      </c>
      <c r="J168" t="s">
        <v>1337</v>
      </c>
      <c r="K168" t="s">
        <v>1338</v>
      </c>
      <c r="L168" t="s">
        <v>1339</v>
      </c>
      <c r="M168" t="s">
        <v>1340</v>
      </c>
      <c r="N168" t="s">
        <v>2434</v>
      </c>
      <c r="O168" t="s">
        <v>1967</v>
      </c>
      <c r="P168" t="s">
        <v>1984</v>
      </c>
      <c r="Q168" t="s">
        <v>1972</v>
      </c>
      <c r="R168" t="s">
        <v>1992</v>
      </c>
      <c r="S168" t="s">
        <v>2073</v>
      </c>
      <c r="T168" t="s">
        <v>2435</v>
      </c>
      <c r="U168" t="s">
        <v>2436</v>
      </c>
      <c r="V168" t="s">
        <v>2591</v>
      </c>
      <c r="Y168" t="s">
        <v>2441</v>
      </c>
      <c r="Z168" t="s">
        <v>2442</v>
      </c>
      <c r="AA168" t="s">
        <v>2443</v>
      </c>
      <c r="AB168" t="s">
        <v>2444</v>
      </c>
      <c r="AC168" t="s">
        <v>2592</v>
      </c>
      <c r="AD168" t="s">
        <v>1339</v>
      </c>
      <c r="AE168" t="s">
        <v>2001</v>
      </c>
      <c r="AG168" t="s">
        <v>2001</v>
      </c>
    </row>
    <row r="169">
      <c r="A169" t="s">
        <v>2593</v>
      </c>
      <c r="B169" t="s">
        <v>958</v>
      </c>
      <c r="C169" t="s">
        <v>1198</v>
      </c>
      <c r="D169" t="s">
        <v>1342</v>
      </c>
      <c r="E169" t="s">
        <v>1343</v>
      </c>
      <c r="F169" t="s">
        <v>1344</v>
      </c>
      <c r="G169" t="s">
        <v>97</v>
      </c>
      <c r="H169" t="s">
        <v>1345</v>
      </c>
      <c r="I169" t="s">
        <v>1346</v>
      </c>
      <c r="J169" t="s">
        <v>1347</v>
      </c>
      <c r="K169" t="s">
        <v>1348</v>
      </c>
      <c r="L169" t="s">
        <v>1349</v>
      </c>
      <c r="M169" t="s">
        <v>1350</v>
      </c>
      <c r="N169" t="s">
        <v>2515</v>
      </c>
      <c r="O169" t="s">
        <v>1968</v>
      </c>
      <c r="P169" t="s">
        <v>1984</v>
      </c>
      <c r="Q169" t="s">
        <v>1971</v>
      </c>
      <c r="R169" t="s">
        <v>1991</v>
      </c>
      <c r="S169" t="s">
        <v>2073</v>
      </c>
      <c r="T169" t="s">
        <v>2435</v>
      </c>
      <c r="U169" t="s">
        <v>2516</v>
      </c>
      <c r="V169" t="s">
        <v>2594</v>
      </c>
      <c r="W169" t="s">
        <v>2078</v>
      </c>
      <c r="X169" t="s">
        <v>2078</v>
      </c>
      <c r="Y169" t="s">
        <v>2441</v>
      </c>
      <c r="Z169" t="s">
        <v>2442</v>
      </c>
      <c r="AA169" t="s">
        <v>2443</v>
      </c>
      <c r="AB169" t="s">
        <v>2444</v>
      </c>
      <c r="AC169" t="s">
        <v>2595</v>
      </c>
      <c r="AD169" t="s">
        <v>1349</v>
      </c>
      <c r="AE169" t="s">
        <v>2001</v>
      </c>
      <c r="AG169" t="s">
        <v>2001</v>
      </c>
    </row>
    <row r="170">
      <c r="A170" t="s">
        <v>2596</v>
      </c>
      <c r="B170" t="s">
        <v>958</v>
      </c>
      <c r="C170" t="s">
        <v>1198</v>
      </c>
      <c r="D170" t="s">
        <v>1342</v>
      </c>
      <c r="E170" t="s">
        <v>1343</v>
      </c>
      <c r="F170" t="s">
        <v>1352</v>
      </c>
      <c r="G170" t="s">
        <v>97</v>
      </c>
      <c r="H170" t="s">
        <v>1353</v>
      </c>
      <c r="I170" t="s">
        <v>1354</v>
      </c>
      <c r="J170" t="s">
        <v>1355</v>
      </c>
      <c r="K170" t="s">
        <v>1348</v>
      </c>
      <c r="L170" t="s">
        <v>1356</v>
      </c>
      <c r="M170" t="s">
        <v>1357</v>
      </c>
      <c r="N170" t="s">
        <v>2515</v>
      </c>
      <c r="O170" t="s">
        <v>1968</v>
      </c>
      <c r="P170" t="s">
        <v>1984</v>
      </c>
      <c r="Q170" t="s">
        <v>1971</v>
      </c>
      <c r="R170" t="s">
        <v>1991</v>
      </c>
      <c r="S170" t="s">
        <v>2073</v>
      </c>
      <c r="T170" t="s">
        <v>2435</v>
      </c>
      <c r="U170" t="s">
        <v>2516</v>
      </c>
      <c r="V170" t="s">
        <v>2597</v>
      </c>
      <c r="W170" t="s">
        <v>2078</v>
      </c>
      <c r="X170" t="s">
        <v>2078</v>
      </c>
      <c r="Y170" t="s">
        <v>2441</v>
      </c>
      <c r="Z170" t="s">
        <v>2442</v>
      </c>
      <c r="AA170" t="s">
        <v>2443</v>
      </c>
      <c r="AB170" t="s">
        <v>2444</v>
      </c>
      <c r="AC170" t="s">
        <v>2598</v>
      </c>
      <c r="AD170" t="s">
        <v>1356</v>
      </c>
      <c r="AE170" t="s">
        <v>2001</v>
      </c>
      <c r="AG170" t="s">
        <v>2001</v>
      </c>
    </row>
    <row r="171">
      <c r="A171" t="s">
        <v>2599</v>
      </c>
      <c r="B171" t="s">
        <v>958</v>
      </c>
      <c r="C171" t="s">
        <v>1198</v>
      </c>
      <c r="D171" t="s">
        <v>1342</v>
      </c>
      <c r="E171" t="s">
        <v>1343</v>
      </c>
      <c r="F171" t="s">
        <v>1359</v>
      </c>
      <c r="G171" t="s">
        <v>154</v>
      </c>
      <c r="H171" t="s">
        <v>1360</v>
      </c>
      <c r="I171" t="s">
        <v>1361</v>
      </c>
      <c r="J171" t="s">
        <v>1362</v>
      </c>
      <c r="K171" t="s">
        <v>1348</v>
      </c>
      <c r="L171" t="s">
        <v>1363</v>
      </c>
      <c r="M171" t="s">
        <v>1364</v>
      </c>
      <c r="N171" t="s">
        <v>2515</v>
      </c>
      <c r="O171" t="s">
        <v>1968</v>
      </c>
      <c r="P171" t="s">
        <v>1984</v>
      </c>
      <c r="Q171" t="s">
        <v>1971</v>
      </c>
      <c r="R171" t="s">
        <v>1991</v>
      </c>
      <c r="S171" t="s">
        <v>2073</v>
      </c>
      <c r="T171" t="s">
        <v>2435</v>
      </c>
      <c r="U171" t="s">
        <v>2516</v>
      </c>
      <c r="V171" t="s">
        <v>2600</v>
      </c>
      <c r="Y171" t="s">
        <v>2441</v>
      </c>
      <c r="Z171" t="s">
        <v>2442</v>
      </c>
      <c r="AA171" t="s">
        <v>2443</v>
      </c>
      <c r="AB171" t="s">
        <v>2444</v>
      </c>
      <c r="AC171" t="s">
        <v>2601</v>
      </c>
      <c r="AD171" t="s">
        <v>1363</v>
      </c>
      <c r="AE171" t="s">
        <v>2001</v>
      </c>
      <c r="AG171" t="s">
        <v>2001</v>
      </c>
    </row>
    <row r="172">
      <c r="A172" t="s">
        <v>2602</v>
      </c>
      <c r="B172" t="s">
        <v>958</v>
      </c>
      <c r="C172" t="s">
        <v>1198</v>
      </c>
      <c r="D172" t="s">
        <v>1342</v>
      </c>
      <c r="E172" t="s">
        <v>1343</v>
      </c>
      <c r="F172" t="s">
        <v>1366</v>
      </c>
      <c r="G172" t="s">
        <v>154</v>
      </c>
      <c r="H172" t="s">
        <v>1367</v>
      </c>
      <c r="I172" t="s">
        <v>1368</v>
      </c>
      <c r="J172" t="s">
        <v>1369</v>
      </c>
      <c r="K172" t="s">
        <v>1348</v>
      </c>
      <c r="L172" t="s">
        <v>1370</v>
      </c>
      <c r="M172" t="s">
        <v>1371</v>
      </c>
      <c r="N172" t="s">
        <v>2515</v>
      </c>
      <c r="O172" t="s">
        <v>1968</v>
      </c>
      <c r="P172" t="s">
        <v>1984</v>
      </c>
      <c r="Q172" t="s">
        <v>1971</v>
      </c>
      <c r="R172" t="s">
        <v>1991</v>
      </c>
      <c r="S172" t="s">
        <v>2073</v>
      </c>
      <c r="T172" t="s">
        <v>2435</v>
      </c>
      <c r="U172" t="s">
        <v>2516</v>
      </c>
      <c r="V172" t="s">
        <v>2603</v>
      </c>
      <c r="Y172" t="s">
        <v>2441</v>
      </c>
      <c r="Z172" t="s">
        <v>2442</v>
      </c>
      <c r="AA172" t="s">
        <v>2443</v>
      </c>
      <c r="AB172" t="s">
        <v>2444</v>
      </c>
      <c r="AC172" t="s">
        <v>2604</v>
      </c>
      <c r="AD172" t="s">
        <v>1370</v>
      </c>
      <c r="AE172" t="s">
        <v>2001</v>
      </c>
      <c r="AG172" t="s">
        <v>2001</v>
      </c>
    </row>
    <row r="173">
      <c r="A173" t="s">
        <v>2605</v>
      </c>
      <c r="B173" t="s">
        <v>958</v>
      </c>
      <c r="C173" t="s">
        <v>1198</v>
      </c>
      <c r="D173" t="s">
        <v>1342</v>
      </c>
      <c r="E173" t="s">
        <v>1343</v>
      </c>
      <c r="F173" t="s">
        <v>1372</v>
      </c>
      <c r="G173" t="s">
        <v>120</v>
      </c>
      <c r="H173" t="s">
        <v>1373</v>
      </c>
      <c r="I173" t="s">
        <v>1374</v>
      </c>
      <c r="J173" t="s">
        <v>1375</v>
      </c>
      <c r="K173" t="s">
        <v>1376</v>
      </c>
      <c r="L173" t="s">
        <v>1377</v>
      </c>
      <c r="M173" t="s">
        <v>1378</v>
      </c>
      <c r="N173" t="s">
        <v>2434</v>
      </c>
      <c r="O173" t="s">
        <v>1967</v>
      </c>
      <c r="P173" t="s">
        <v>1984</v>
      </c>
      <c r="Q173" t="s">
        <v>1972</v>
      </c>
      <c r="R173" t="s">
        <v>1992</v>
      </c>
      <c r="S173" t="s">
        <v>2073</v>
      </c>
      <c r="T173" t="s">
        <v>2435</v>
      </c>
      <c r="U173" t="s">
        <v>2436</v>
      </c>
      <c r="V173" t="s">
        <v>2606</v>
      </c>
      <c r="Y173" t="s">
        <v>2441</v>
      </c>
      <c r="Z173" t="s">
        <v>2442</v>
      </c>
      <c r="AA173" t="s">
        <v>2443</v>
      </c>
      <c r="AB173" t="s">
        <v>2444</v>
      </c>
      <c r="AC173" t="s">
        <v>2607</v>
      </c>
      <c r="AD173" t="s">
        <v>1377</v>
      </c>
      <c r="AE173" t="s">
        <v>2001</v>
      </c>
      <c r="AG173" t="s">
        <v>2001</v>
      </c>
    </row>
    <row r="174">
      <c r="A174" t="s">
        <v>2608</v>
      </c>
      <c r="B174" t="s">
        <v>958</v>
      </c>
      <c r="C174" t="s">
        <v>1380</v>
      </c>
      <c r="D174" t="s">
        <v>1381</v>
      </c>
      <c r="E174" t="s">
        <v>1382</v>
      </c>
      <c r="F174" t="s">
        <v>1383</v>
      </c>
      <c r="G174" t="s">
        <v>97</v>
      </c>
      <c r="H174" t="s">
        <v>497</v>
      </c>
      <c r="I174" t="s">
        <v>1384</v>
      </c>
      <c r="J174" t="s">
        <v>1385</v>
      </c>
      <c r="K174" t="s">
        <v>1386</v>
      </c>
      <c r="L174" t="s">
        <v>1387</v>
      </c>
      <c r="M174" t="s">
        <v>1388</v>
      </c>
      <c r="N174" t="s">
        <v>2434</v>
      </c>
      <c r="O174" t="s">
        <v>1967</v>
      </c>
      <c r="P174" t="s">
        <v>1984</v>
      </c>
      <c r="Q174" t="s">
        <v>1972</v>
      </c>
      <c r="R174" t="s">
        <v>1992</v>
      </c>
      <c r="S174" t="s">
        <v>2073</v>
      </c>
      <c r="T174" t="s">
        <v>2435</v>
      </c>
      <c r="U174" t="s">
        <v>2436</v>
      </c>
      <c r="V174" t="s">
        <v>2609</v>
      </c>
      <c r="W174" t="s">
        <v>2078</v>
      </c>
      <c r="X174" t="s">
        <v>2078</v>
      </c>
      <c r="Y174" t="s">
        <v>2441</v>
      </c>
      <c r="Z174" t="s">
        <v>2442</v>
      </c>
      <c r="AA174" t="s">
        <v>2443</v>
      </c>
      <c r="AB174" t="s">
        <v>2444</v>
      </c>
      <c r="AC174" t="s">
        <v>2610</v>
      </c>
      <c r="AD174" t="s">
        <v>1387</v>
      </c>
      <c r="AE174" t="s">
        <v>2001</v>
      </c>
      <c r="AG174" t="s">
        <v>2001</v>
      </c>
    </row>
    <row r="175">
      <c r="A175" t="s">
        <v>2611</v>
      </c>
      <c r="B175" t="s">
        <v>958</v>
      </c>
      <c r="C175" t="s">
        <v>1380</v>
      </c>
      <c r="D175" t="s">
        <v>1381</v>
      </c>
      <c r="E175" t="s">
        <v>1382</v>
      </c>
      <c r="F175" t="s">
        <v>1390</v>
      </c>
      <c r="G175" t="s">
        <v>97</v>
      </c>
      <c r="H175" t="s">
        <v>1391</v>
      </c>
      <c r="I175" t="s">
        <v>1392</v>
      </c>
      <c r="J175" t="s">
        <v>1393</v>
      </c>
      <c r="K175" t="s">
        <v>1386</v>
      </c>
      <c r="L175" t="s">
        <v>1394</v>
      </c>
      <c r="M175" t="s">
        <v>1395</v>
      </c>
      <c r="N175" t="s">
        <v>2434</v>
      </c>
      <c r="O175" t="s">
        <v>1967</v>
      </c>
      <c r="P175" t="s">
        <v>1984</v>
      </c>
      <c r="Q175" t="s">
        <v>1972</v>
      </c>
      <c r="R175" t="s">
        <v>1992</v>
      </c>
      <c r="S175" t="s">
        <v>2073</v>
      </c>
      <c r="T175" t="s">
        <v>2435</v>
      </c>
      <c r="U175" t="s">
        <v>2436</v>
      </c>
      <c r="V175" t="s">
        <v>2612</v>
      </c>
      <c r="W175" t="s">
        <v>2078</v>
      </c>
      <c r="X175" t="s">
        <v>2078</v>
      </c>
      <c r="Y175" t="s">
        <v>2441</v>
      </c>
      <c r="Z175" t="s">
        <v>2442</v>
      </c>
      <c r="AA175" t="s">
        <v>2443</v>
      </c>
      <c r="AB175" t="s">
        <v>2444</v>
      </c>
      <c r="AC175" t="s">
        <v>2613</v>
      </c>
      <c r="AD175" t="s">
        <v>1394</v>
      </c>
      <c r="AE175" t="s">
        <v>2001</v>
      </c>
      <c r="AG175" t="s">
        <v>2001</v>
      </c>
    </row>
    <row r="176">
      <c r="A176" t="s">
        <v>2614</v>
      </c>
      <c r="B176" t="s">
        <v>958</v>
      </c>
      <c r="C176" t="s">
        <v>1380</v>
      </c>
      <c r="D176" t="s">
        <v>1381</v>
      </c>
      <c r="E176" t="s">
        <v>1382</v>
      </c>
      <c r="F176" t="s">
        <v>1396</v>
      </c>
      <c r="G176" t="s">
        <v>154</v>
      </c>
      <c r="H176" t="s">
        <v>1397</v>
      </c>
      <c r="I176" t="s">
        <v>1398</v>
      </c>
      <c r="J176" t="s">
        <v>1399</v>
      </c>
      <c r="K176" t="s">
        <v>1386</v>
      </c>
      <c r="L176" t="s">
        <v>1400</v>
      </c>
      <c r="M176" t="s">
        <v>1401</v>
      </c>
      <c r="N176" t="s">
        <v>2434</v>
      </c>
      <c r="O176" t="s">
        <v>1967</v>
      </c>
      <c r="P176" t="s">
        <v>1984</v>
      </c>
      <c r="Q176" t="s">
        <v>1972</v>
      </c>
      <c r="R176" t="s">
        <v>1992</v>
      </c>
      <c r="S176" t="s">
        <v>2073</v>
      </c>
      <c r="T176" t="s">
        <v>2435</v>
      </c>
      <c r="U176" t="s">
        <v>2436</v>
      </c>
      <c r="V176" t="s">
        <v>2615</v>
      </c>
      <c r="Y176" t="s">
        <v>2441</v>
      </c>
      <c r="Z176" t="s">
        <v>2442</v>
      </c>
      <c r="AA176" t="s">
        <v>2443</v>
      </c>
      <c r="AB176" t="s">
        <v>2444</v>
      </c>
      <c r="AC176" t="s">
        <v>2616</v>
      </c>
      <c r="AD176" t="s">
        <v>1400</v>
      </c>
      <c r="AE176" t="s">
        <v>2001</v>
      </c>
      <c r="AG176" t="s">
        <v>2001</v>
      </c>
    </row>
    <row r="177">
      <c r="A177" t="s">
        <v>2617</v>
      </c>
      <c r="B177" t="s">
        <v>958</v>
      </c>
      <c r="C177" t="s">
        <v>1380</v>
      </c>
      <c r="D177" t="s">
        <v>1381</v>
      </c>
      <c r="E177" t="s">
        <v>1382</v>
      </c>
      <c r="F177" t="s">
        <v>1402</v>
      </c>
      <c r="G177" t="s">
        <v>120</v>
      </c>
      <c r="H177" t="s">
        <v>1403</v>
      </c>
      <c r="I177" t="s">
        <v>1404</v>
      </c>
      <c r="J177" t="s">
        <v>1405</v>
      </c>
      <c r="K177" t="s">
        <v>1406</v>
      </c>
      <c r="L177" t="s">
        <v>1407</v>
      </c>
      <c r="M177" t="s">
        <v>1408</v>
      </c>
      <c r="N177" t="s">
        <v>2434</v>
      </c>
      <c r="O177" t="s">
        <v>1967</v>
      </c>
      <c r="P177" t="s">
        <v>1984</v>
      </c>
      <c r="Q177" t="s">
        <v>1972</v>
      </c>
      <c r="R177" t="s">
        <v>1992</v>
      </c>
      <c r="S177" t="s">
        <v>2073</v>
      </c>
      <c r="T177" t="s">
        <v>2435</v>
      </c>
      <c r="U177" t="s">
        <v>2436</v>
      </c>
      <c r="V177" t="s">
        <v>2618</v>
      </c>
      <c r="Y177" t="s">
        <v>2441</v>
      </c>
      <c r="Z177" t="s">
        <v>2442</v>
      </c>
      <c r="AA177" t="s">
        <v>2443</v>
      </c>
      <c r="AB177" t="s">
        <v>2444</v>
      </c>
      <c r="AC177" t="s">
        <v>2619</v>
      </c>
      <c r="AD177" t="s">
        <v>1407</v>
      </c>
      <c r="AE177" t="s">
        <v>2001</v>
      </c>
      <c r="AG177" t="s">
        <v>2001</v>
      </c>
    </row>
    <row r="178">
      <c r="A178" t="s">
        <v>2620</v>
      </c>
      <c r="B178" t="s">
        <v>958</v>
      </c>
      <c r="C178" t="s">
        <v>1380</v>
      </c>
      <c r="D178" t="s">
        <v>1381</v>
      </c>
      <c r="E178" t="s">
        <v>1382</v>
      </c>
      <c r="F178" t="s">
        <v>1410</v>
      </c>
      <c r="G178" t="s">
        <v>120</v>
      </c>
      <c r="H178" t="s">
        <v>1411</v>
      </c>
      <c r="I178" t="s">
        <v>1412</v>
      </c>
      <c r="J178" t="s">
        <v>1413</v>
      </c>
      <c r="K178" t="s">
        <v>1414</v>
      </c>
      <c r="L178" t="s">
        <v>1415</v>
      </c>
      <c r="M178" t="s">
        <v>1416</v>
      </c>
      <c r="N178" t="s">
        <v>2434</v>
      </c>
      <c r="O178" t="s">
        <v>1967</v>
      </c>
      <c r="P178" t="s">
        <v>1984</v>
      </c>
      <c r="Q178" t="s">
        <v>1972</v>
      </c>
      <c r="R178" t="s">
        <v>1992</v>
      </c>
      <c r="S178" t="s">
        <v>2073</v>
      </c>
      <c r="T178" t="s">
        <v>2435</v>
      </c>
      <c r="U178" t="s">
        <v>2436</v>
      </c>
      <c r="V178" t="s">
        <v>2621</v>
      </c>
      <c r="Y178" t="s">
        <v>2441</v>
      </c>
      <c r="Z178" t="s">
        <v>2442</v>
      </c>
      <c r="AA178" t="s">
        <v>2443</v>
      </c>
      <c r="AB178" t="s">
        <v>2444</v>
      </c>
      <c r="AC178" t="s">
        <v>2622</v>
      </c>
      <c r="AD178" t="s">
        <v>1415</v>
      </c>
      <c r="AE178" t="s">
        <v>2001</v>
      </c>
      <c r="AG178" t="s">
        <v>2001</v>
      </c>
    </row>
    <row r="179">
      <c r="A179" t="s">
        <v>2623</v>
      </c>
      <c r="B179" t="s">
        <v>958</v>
      </c>
      <c r="C179" t="s">
        <v>1380</v>
      </c>
      <c r="D179" t="s">
        <v>1418</v>
      </c>
      <c r="E179" t="s">
        <v>1419</v>
      </c>
      <c r="F179" t="s">
        <v>1420</v>
      </c>
      <c r="G179" t="s">
        <v>154</v>
      </c>
      <c r="H179" t="s">
        <v>1421</v>
      </c>
      <c r="I179" t="s">
        <v>1422</v>
      </c>
      <c r="J179" t="s">
        <v>1423</v>
      </c>
      <c r="K179" t="s">
        <v>1424</v>
      </c>
      <c r="L179" t="s">
        <v>1425</v>
      </c>
      <c r="M179" t="s">
        <v>1426</v>
      </c>
      <c r="N179" t="s">
        <v>2434</v>
      </c>
      <c r="O179" t="s">
        <v>1967</v>
      </c>
      <c r="P179" t="s">
        <v>1984</v>
      </c>
      <c r="Q179" t="s">
        <v>1972</v>
      </c>
      <c r="R179" t="s">
        <v>1992</v>
      </c>
      <c r="S179" t="s">
        <v>2073</v>
      </c>
      <c r="T179" t="s">
        <v>2435</v>
      </c>
      <c r="U179" t="s">
        <v>2436</v>
      </c>
      <c r="V179" t="s">
        <v>2624</v>
      </c>
      <c r="Y179" t="s">
        <v>2441</v>
      </c>
      <c r="Z179" t="s">
        <v>2442</v>
      </c>
      <c r="AA179" t="s">
        <v>2443</v>
      </c>
      <c r="AB179" t="s">
        <v>2444</v>
      </c>
      <c r="AC179" t="s">
        <v>2625</v>
      </c>
      <c r="AD179" t="s">
        <v>1425</v>
      </c>
      <c r="AE179" t="s">
        <v>2001</v>
      </c>
      <c r="AG179" t="s">
        <v>2001</v>
      </c>
    </row>
    <row r="180">
      <c r="A180" t="s">
        <v>2626</v>
      </c>
      <c r="B180" t="s">
        <v>958</v>
      </c>
      <c r="C180" t="s">
        <v>1380</v>
      </c>
      <c r="D180" t="s">
        <v>1418</v>
      </c>
      <c r="E180" t="s">
        <v>1419</v>
      </c>
      <c r="F180" t="s">
        <v>1428</v>
      </c>
      <c r="G180" t="s">
        <v>154</v>
      </c>
      <c r="H180" t="s">
        <v>1429</v>
      </c>
      <c r="I180" t="s">
        <v>1430</v>
      </c>
      <c r="J180" t="s">
        <v>1431</v>
      </c>
      <c r="K180" t="s">
        <v>1432</v>
      </c>
      <c r="L180" t="s">
        <v>1433</v>
      </c>
      <c r="M180" t="s">
        <v>1434</v>
      </c>
      <c r="N180" t="s">
        <v>2515</v>
      </c>
      <c r="O180" t="s">
        <v>1968</v>
      </c>
      <c r="P180" t="s">
        <v>1985</v>
      </c>
      <c r="Q180" t="s">
        <v>1971</v>
      </c>
      <c r="R180" t="s">
        <v>1991</v>
      </c>
      <c r="S180" t="s">
        <v>2073</v>
      </c>
      <c r="T180" t="s">
        <v>2435</v>
      </c>
      <c r="U180" t="s">
        <v>2516</v>
      </c>
      <c r="Y180" t="s">
        <v>2441</v>
      </c>
      <c r="Z180" t="s">
        <v>2442</v>
      </c>
      <c r="AA180" t="s">
        <v>2443</v>
      </c>
      <c r="AB180" t="s">
        <v>2444</v>
      </c>
      <c r="AD180" t="s">
        <v>1433</v>
      </c>
      <c r="AE180" t="s">
        <v>2002</v>
      </c>
      <c r="AF180" t="s">
        <v>2627</v>
      </c>
      <c r="AG180" t="s">
        <v>2001</v>
      </c>
    </row>
    <row r="181">
      <c r="A181" t="s">
        <v>2628</v>
      </c>
      <c r="B181" t="s">
        <v>958</v>
      </c>
      <c r="C181" t="s">
        <v>1380</v>
      </c>
      <c r="D181" t="s">
        <v>1418</v>
      </c>
      <c r="E181" t="s">
        <v>1419</v>
      </c>
      <c r="F181" t="s">
        <v>1435</v>
      </c>
      <c r="G181" t="s">
        <v>120</v>
      </c>
      <c r="H181" t="s">
        <v>1420</v>
      </c>
      <c r="I181" t="s">
        <v>1436</v>
      </c>
      <c r="J181" t="s">
        <v>1437</v>
      </c>
      <c r="K181" t="s">
        <v>1424</v>
      </c>
      <c r="L181" t="s">
        <v>1438</v>
      </c>
      <c r="M181" t="s">
        <v>1439</v>
      </c>
      <c r="N181" t="s">
        <v>2434</v>
      </c>
      <c r="O181" t="s">
        <v>1967</v>
      </c>
      <c r="P181" t="s">
        <v>1984</v>
      </c>
      <c r="Q181" t="s">
        <v>1972</v>
      </c>
      <c r="R181" t="s">
        <v>1992</v>
      </c>
      <c r="S181" t="s">
        <v>2073</v>
      </c>
      <c r="T181" t="s">
        <v>2435</v>
      </c>
      <c r="U181" t="s">
        <v>2436</v>
      </c>
      <c r="V181" t="s">
        <v>2629</v>
      </c>
      <c r="Y181" t="s">
        <v>2441</v>
      </c>
      <c r="Z181" t="s">
        <v>2442</v>
      </c>
      <c r="AA181" t="s">
        <v>2443</v>
      </c>
      <c r="AB181" t="s">
        <v>2444</v>
      </c>
      <c r="AC181" t="s">
        <v>2630</v>
      </c>
      <c r="AD181" t="s">
        <v>1438</v>
      </c>
      <c r="AE181" t="s">
        <v>2001</v>
      </c>
      <c r="AG181" t="s">
        <v>2001</v>
      </c>
    </row>
    <row r="182">
      <c r="A182" t="s">
        <v>2631</v>
      </c>
      <c r="B182" t="s">
        <v>958</v>
      </c>
      <c r="C182" t="s">
        <v>1380</v>
      </c>
      <c r="D182" t="s">
        <v>1418</v>
      </c>
      <c r="E182" t="s">
        <v>1419</v>
      </c>
      <c r="F182" t="s">
        <v>1440</v>
      </c>
      <c r="G182" t="s">
        <v>120</v>
      </c>
      <c r="H182" t="s">
        <v>1383</v>
      </c>
      <c r="I182" t="s">
        <v>1441</v>
      </c>
      <c r="J182" t="s">
        <v>1442</v>
      </c>
      <c r="K182" t="s">
        <v>1424</v>
      </c>
      <c r="L182" t="s">
        <v>1443</v>
      </c>
      <c r="M182" t="s">
        <v>1444</v>
      </c>
      <c r="N182" t="s">
        <v>2434</v>
      </c>
      <c r="O182" t="s">
        <v>1967</v>
      </c>
      <c r="P182" t="s">
        <v>1984</v>
      </c>
      <c r="Q182" t="s">
        <v>1972</v>
      </c>
      <c r="R182" t="s">
        <v>1992</v>
      </c>
      <c r="S182" t="s">
        <v>2073</v>
      </c>
      <c r="T182" t="s">
        <v>2435</v>
      </c>
      <c r="U182" t="s">
        <v>2436</v>
      </c>
      <c r="V182" t="s">
        <v>2632</v>
      </c>
      <c r="Y182" t="s">
        <v>2441</v>
      </c>
      <c r="Z182" t="s">
        <v>2442</v>
      </c>
      <c r="AA182" t="s">
        <v>2443</v>
      </c>
      <c r="AB182" t="s">
        <v>2444</v>
      </c>
      <c r="AC182" t="s">
        <v>2633</v>
      </c>
      <c r="AD182" t="s">
        <v>1443</v>
      </c>
      <c r="AE182" t="s">
        <v>2001</v>
      </c>
      <c r="AG182" t="s">
        <v>2001</v>
      </c>
    </row>
    <row r="183">
      <c r="A183" t="s">
        <v>2634</v>
      </c>
      <c r="B183" t="s">
        <v>958</v>
      </c>
      <c r="C183" t="s">
        <v>1380</v>
      </c>
      <c r="D183" t="s">
        <v>1418</v>
      </c>
      <c r="E183" t="s">
        <v>1419</v>
      </c>
      <c r="F183" t="s">
        <v>1445</v>
      </c>
      <c r="G183" t="s">
        <v>120</v>
      </c>
      <c r="H183" t="s">
        <v>1446</v>
      </c>
      <c r="I183" t="s">
        <v>1447</v>
      </c>
      <c r="J183" t="s">
        <v>1448</v>
      </c>
      <c r="K183" t="s">
        <v>1449</v>
      </c>
      <c r="L183" t="s">
        <v>1450</v>
      </c>
      <c r="M183" t="s">
        <v>1451</v>
      </c>
      <c r="N183" t="s">
        <v>2434</v>
      </c>
      <c r="O183" t="s">
        <v>1967</v>
      </c>
      <c r="P183" t="s">
        <v>1984</v>
      </c>
      <c r="Q183" t="s">
        <v>1972</v>
      </c>
      <c r="R183" t="s">
        <v>1992</v>
      </c>
      <c r="S183" t="s">
        <v>2073</v>
      </c>
      <c r="T183" t="s">
        <v>2435</v>
      </c>
      <c r="U183" t="s">
        <v>2436</v>
      </c>
      <c r="V183" t="s">
        <v>2635</v>
      </c>
      <c r="Y183" t="s">
        <v>2441</v>
      </c>
      <c r="Z183" t="s">
        <v>2442</v>
      </c>
      <c r="AA183" t="s">
        <v>2443</v>
      </c>
      <c r="AB183" t="s">
        <v>2444</v>
      </c>
      <c r="AC183" t="s">
        <v>2636</v>
      </c>
      <c r="AD183" t="s">
        <v>1450</v>
      </c>
      <c r="AE183" t="s">
        <v>2001</v>
      </c>
      <c r="AG183" t="s">
        <v>2001</v>
      </c>
    </row>
    <row r="184">
      <c r="A184" t="s">
        <v>2637</v>
      </c>
      <c r="B184" t="s">
        <v>958</v>
      </c>
      <c r="C184" t="s">
        <v>1380</v>
      </c>
      <c r="D184" t="s">
        <v>1453</v>
      </c>
      <c r="E184" t="s">
        <v>1454</v>
      </c>
      <c r="F184" t="s">
        <v>1455</v>
      </c>
      <c r="G184" t="s">
        <v>154</v>
      </c>
      <c r="H184" t="s">
        <v>1456</v>
      </c>
      <c r="I184" t="s">
        <v>1457</v>
      </c>
      <c r="J184" t="s">
        <v>1458</v>
      </c>
      <c r="K184" t="s">
        <v>1459</v>
      </c>
      <c r="L184" t="s">
        <v>1460</v>
      </c>
      <c r="M184" t="s">
        <v>1461</v>
      </c>
      <c r="N184" t="s">
        <v>2434</v>
      </c>
      <c r="O184" t="s">
        <v>1967</v>
      </c>
      <c r="P184" t="s">
        <v>1984</v>
      </c>
      <c r="Q184" t="s">
        <v>1972</v>
      </c>
      <c r="R184" t="s">
        <v>1992</v>
      </c>
      <c r="S184" t="s">
        <v>2073</v>
      </c>
      <c r="T184" t="s">
        <v>2435</v>
      </c>
      <c r="U184" t="s">
        <v>2436</v>
      </c>
      <c r="V184" t="s">
        <v>2638</v>
      </c>
      <c r="Y184" t="s">
        <v>2441</v>
      </c>
      <c r="Z184" t="s">
        <v>2442</v>
      </c>
      <c r="AA184" t="s">
        <v>2443</v>
      </c>
      <c r="AB184" t="s">
        <v>2444</v>
      </c>
      <c r="AC184" t="s">
        <v>2639</v>
      </c>
      <c r="AD184" t="s">
        <v>1460</v>
      </c>
      <c r="AE184" t="s">
        <v>2001</v>
      </c>
      <c r="AG184" t="s">
        <v>2001</v>
      </c>
    </row>
    <row r="185">
      <c r="A185" t="s">
        <v>2640</v>
      </c>
      <c r="B185" t="s">
        <v>958</v>
      </c>
      <c r="C185" t="s">
        <v>1380</v>
      </c>
      <c r="D185" t="s">
        <v>1453</v>
      </c>
      <c r="E185" t="s">
        <v>1454</v>
      </c>
      <c r="F185" t="s">
        <v>1463</v>
      </c>
      <c r="G185" t="s">
        <v>120</v>
      </c>
      <c r="H185" t="s">
        <v>113</v>
      </c>
      <c r="I185" t="s">
        <v>1464</v>
      </c>
      <c r="J185" t="s">
        <v>1465</v>
      </c>
      <c r="K185" t="s">
        <v>1459</v>
      </c>
      <c r="L185" t="s">
        <v>1466</v>
      </c>
      <c r="M185" t="s">
        <v>1467</v>
      </c>
      <c r="N185" t="s">
        <v>2434</v>
      </c>
      <c r="O185" t="s">
        <v>1967</v>
      </c>
      <c r="P185" t="s">
        <v>1984</v>
      </c>
      <c r="Q185" t="s">
        <v>1972</v>
      </c>
      <c r="R185" t="s">
        <v>1992</v>
      </c>
      <c r="S185" t="s">
        <v>2073</v>
      </c>
      <c r="T185" t="s">
        <v>2435</v>
      </c>
      <c r="U185" t="s">
        <v>2436</v>
      </c>
      <c r="V185" t="s">
        <v>2641</v>
      </c>
      <c r="Y185" t="s">
        <v>2441</v>
      </c>
      <c r="Z185" t="s">
        <v>2442</v>
      </c>
      <c r="AA185" t="s">
        <v>2443</v>
      </c>
      <c r="AB185" t="s">
        <v>2444</v>
      </c>
      <c r="AC185" t="s">
        <v>2642</v>
      </c>
      <c r="AD185" t="s">
        <v>1466</v>
      </c>
      <c r="AE185" t="s">
        <v>2001</v>
      </c>
      <c r="AG185" t="s">
        <v>2001</v>
      </c>
    </row>
    <row r="186">
      <c r="A186" t="s">
        <v>2643</v>
      </c>
      <c r="B186" t="s">
        <v>958</v>
      </c>
      <c r="C186" t="s">
        <v>1380</v>
      </c>
      <c r="D186" t="s">
        <v>1453</v>
      </c>
      <c r="E186" t="s">
        <v>1454</v>
      </c>
      <c r="F186" t="s">
        <v>1468</v>
      </c>
      <c r="G186" t="s">
        <v>120</v>
      </c>
      <c r="H186" t="s">
        <v>1463</v>
      </c>
      <c r="I186" t="s">
        <v>1469</v>
      </c>
      <c r="J186" t="s">
        <v>1470</v>
      </c>
      <c r="K186" t="s">
        <v>1459</v>
      </c>
      <c r="L186" t="s">
        <v>1471</v>
      </c>
      <c r="M186" t="s">
        <v>1472</v>
      </c>
      <c r="N186" t="s">
        <v>2434</v>
      </c>
      <c r="O186" t="s">
        <v>1967</v>
      </c>
      <c r="P186" t="s">
        <v>1984</v>
      </c>
      <c r="Q186" t="s">
        <v>1972</v>
      </c>
      <c r="R186" t="s">
        <v>1992</v>
      </c>
      <c r="S186" t="s">
        <v>2073</v>
      </c>
      <c r="T186" t="s">
        <v>2435</v>
      </c>
      <c r="U186" t="s">
        <v>2436</v>
      </c>
      <c r="V186" t="s">
        <v>2644</v>
      </c>
      <c r="Y186" t="s">
        <v>2441</v>
      </c>
      <c r="Z186" t="s">
        <v>2442</v>
      </c>
      <c r="AA186" t="s">
        <v>2443</v>
      </c>
      <c r="AB186" t="s">
        <v>2444</v>
      </c>
      <c r="AC186" t="s">
        <v>2645</v>
      </c>
      <c r="AD186" t="s">
        <v>1471</v>
      </c>
      <c r="AE186" t="s">
        <v>2001</v>
      </c>
      <c r="AG186" t="s">
        <v>2001</v>
      </c>
    </row>
    <row r="187">
      <c r="A187" t="s">
        <v>2646</v>
      </c>
      <c r="B187" t="s">
        <v>958</v>
      </c>
      <c r="C187" t="s">
        <v>1380</v>
      </c>
      <c r="D187" t="s">
        <v>1453</v>
      </c>
      <c r="E187" t="s">
        <v>1454</v>
      </c>
      <c r="F187" t="s">
        <v>1473</v>
      </c>
      <c r="G187" t="s">
        <v>120</v>
      </c>
      <c r="H187" t="s">
        <v>1474</v>
      </c>
      <c r="I187" t="s">
        <v>1475</v>
      </c>
      <c r="J187" t="s">
        <v>1476</v>
      </c>
      <c r="K187" t="s">
        <v>1477</v>
      </c>
      <c r="L187" t="s">
        <v>1478</v>
      </c>
      <c r="M187" t="s">
        <v>1479</v>
      </c>
      <c r="N187" t="s">
        <v>2434</v>
      </c>
      <c r="O187" t="s">
        <v>1967</v>
      </c>
      <c r="P187" t="s">
        <v>1984</v>
      </c>
      <c r="Q187" t="s">
        <v>1972</v>
      </c>
      <c r="R187" t="s">
        <v>1992</v>
      </c>
      <c r="S187" t="s">
        <v>2073</v>
      </c>
      <c r="T187" t="s">
        <v>2435</v>
      </c>
      <c r="U187" t="s">
        <v>2436</v>
      </c>
      <c r="V187" t="s">
        <v>2647</v>
      </c>
      <c r="Y187" t="s">
        <v>2441</v>
      </c>
      <c r="Z187" t="s">
        <v>2442</v>
      </c>
      <c r="AA187" t="s">
        <v>2443</v>
      </c>
      <c r="AB187" t="s">
        <v>2444</v>
      </c>
      <c r="AC187" t="s">
        <v>2648</v>
      </c>
      <c r="AD187" t="s">
        <v>1478</v>
      </c>
      <c r="AE187" t="s">
        <v>2001</v>
      </c>
      <c r="AG187" t="s">
        <v>2001</v>
      </c>
    </row>
    <row r="188">
      <c r="A188" t="s">
        <v>2649</v>
      </c>
      <c r="B188" t="s">
        <v>958</v>
      </c>
      <c r="C188" t="s">
        <v>1380</v>
      </c>
      <c r="D188" t="s">
        <v>1453</v>
      </c>
      <c r="E188" t="s">
        <v>1454</v>
      </c>
      <c r="F188" t="s">
        <v>1481</v>
      </c>
      <c r="G188" t="s">
        <v>120</v>
      </c>
      <c r="H188" t="s">
        <v>1455</v>
      </c>
      <c r="I188" t="s">
        <v>1482</v>
      </c>
      <c r="J188" t="s">
        <v>1483</v>
      </c>
      <c r="K188" t="s">
        <v>1459</v>
      </c>
      <c r="L188" t="s">
        <v>1484</v>
      </c>
      <c r="M188" t="s">
        <v>1485</v>
      </c>
      <c r="N188" t="s">
        <v>2434</v>
      </c>
      <c r="O188" t="s">
        <v>1967</v>
      </c>
      <c r="P188" t="s">
        <v>1984</v>
      </c>
      <c r="Q188" t="s">
        <v>1972</v>
      </c>
      <c r="R188" t="s">
        <v>1992</v>
      </c>
      <c r="S188" t="s">
        <v>2073</v>
      </c>
      <c r="T188" t="s">
        <v>2435</v>
      </c>
      <c r="U188" t="s">
        <v>2436</v>
      </c>
      <c r="V188" t="s">
        <v>2650</v>
      </c>
      <c r="Y188" t="s">
        <v>2441</v>
      </c>
      <c r="Z188" t="s">
        <v>2442</v>
      </c>
      <c r="AA188" t="s">
        <v>2443</v>
      </c>
      <c r="AB188" t="s">
        <v>2444</v>
      </c>
      <c r="AC188" t="s">
        <v>2651</v>
      </c>
      <c r="AD188" t="s">
        <v>1484</v>
      </c>
      <c r="AE188" t="s">
        <v>2001</v>
      </c>
      <c r="AG188" t="s">
        <v>2001</v>
      </c>
    </row>
    <row r="189">
      <c r="A189" t="s">
        <v>2652</v>
      </c>
      <c r="B189" t="s">
        <v>958</v>
      </c>
      <c r="C189" t="s">
        <v>1486</v>
      </c>
      <c r="D189" t="s">
        <v>1487</v>
      </c>
      <c r="E189" t="s">
        <v>1488</v>
      </c>
      <c r="F189" t="s">
        <v>1489</v>
      </c>
      <c r="G189" t="s">
        <v>120</v>
      </c>
      <c r="H189" t="s">
        <v>1490</v>
      </c>
      <c r="I189" t="s">
        <v>1491</v>
      </c>
      <c r="J189" t="s">
        <v>1492</v>
      </c>
      <c r="K189" t="s">
        <v>1493</v>
      </c>
      <c r="L189" t="s">
        <v>1494</v>
      </c>
      <c r="M189" t="s">
        <v>1495</v>
      </c>
      <c r="N189" t="s">
        <v>2434</v>
      </c>
      <c r="O189" t="s">
        <v>1967</v>
      </c>
      <c r="P189" t="s">
        <v>1984</v>
      </c>
      <c r="Q189" t="s">
        <v>1972</v>
      </c>
      <c r="R189" t="s">
        <v>1992</v>
      </c>
      <c r="S189" t="s">
        <v>2073</v>
      </c>
      <c r="T189" t="s">
        <v>2435</v>
      </c>
      <c r="U189" t="s">
        <v>2436</v>
      </c>
      <c r="V189" t="s">
        <v>2653</v>
      </c>
      <c r="Y189" t="s">
        <v>2441</v>
      </c>
      <c r="Z189" t="s">
        <v>2442</v>
      </c>
      <c r="AA189" t="s">
        <v>2443</v>
      </c>
      <c r="AB189" t="s">
        <v>2444</v>
      </c>
      <c r="AC189" t="s">
        <v>2654</v>
      </c>
      <c r="AD189" t="s">
        <v>1494</v>
      </c>
      <c r="AE189" t="s">
        <v>2001</v>
      </c>
      <c r="AG189" t="s">
        <v>2001</v>
      </c>
    </row>
    <row r="190">
      <c r="A190" t="s">
        <v>2655</v>
      </c>
      <c r="B190" t="s">
        <v>958</v>
      </c>
      <c r="C190" t="s">
        <v>1486</v>
      </c>
      <c r="D190" t="s">
        <v>1487</v>
      </c>
      <c r="E190" t="s">
        <v>1488</v>
      </c>
      <c r="F190" t="s">
        <v>1497</v>
      </c>
      <c r="G190" t="s">
        <v>120</v>
      </c>
      <c r="H190" t="s">
        <v>1489</v>
      </c>
      <c r="I190" t="s">
        <v>1498</v>
      </c>
      <c r="J190" t="s">
        <v>1499</v>
      </c>
      <c r="K190" t="s">
        <v>1493</v>
      </c>
      <c r="L190" t="s">
        <v>1500</v>
      </c>
      <c r="M190" t="s">
        <v>1501</v>
      </c>
      <c r="N190" t="s">
        <v>2434</v>
      </c>
      <c r="O190" t="s">
        <v>1967</v>
      </c>
      <c r="P190" t="s">
        <v>1984</v>
      </c>
      <c r="Q190" t="s">
        <v>1972</v>
      </c>
      <c r="R190" t="s">
        <v>1992</v>
      </c>
      <c r="S190" t="s">
        <v>2073</v>
      </c>
      <c r="T190" t="s">
        <v>2435</v>
      </c>
      <c r="U190" t="s">
        <v>2436</v>
      </c>
      <c r="V190" t="s">
        <v>2656</v>
      </c>
      <c r="Y190" t="s">
        <v>2441</v>
      </c>
      <c r="Z190" t="s">
        <v>2442</v>
      </c>
      <c r="AA190" t="s">
        <v>2443</v>
      </c>
      <c r="AB190" t="s">
        <v>2444</v>
      </c>
      <c r="AC190" t="s">
        <v>2657</v>
      </c>
      <c r="AD190" t="s">
        <v>1500</v>
      </c>
      <c r="AE190" t="s">
        <v>2001</v>
      </c>
      <c r="AG190" t="s">
        <v>2001</v>
      </c>
    </row>
    <row r="191">
      <c r="A191" t="s">
        <v>2658</v>
      </c>
      <c r="B191" t="s">
        <v>958</v>
      </c>
      <c r="C191" t="s">
        <v>1486</v>
      </c>
      <c r="D191" t="s">
        <v>1487</v>
      </c>
      <c r="E191" t="s">
        <v>1488</v>
      </c>
      <c r="F191" t="s">
        <v>1502</v>
      </c>
      <c r="G191" t="s">
        <v>120</v>
      </c>
      <c r="H191" t="s">
        <v>1503</v>
      </c>
      <c r="I191" t="s">
        <v>1504</v>
      </c>
      <c r="J191" t="s">
        <v>1505</v>
      </c>
      <c r="K191" t="s">
        <v>1506</v>
      </c>
      <c r="L191" t="s">
        <v>1507</v>
      </c>
      <c r="M191" t="s">
        <v>1508</v>
      </c>
      <c r="N191" t="s">
        <v>2434</v>
      </c>
      <c r="O191" t="s">
        <v>1967</v>
      </c>
      <c r="P191" t="s">
        <v>1984</v>
      </c>
      <c r="Q191" t="s">
        <v>1972</v>
      </c>
      <c r="R191" t="s">
        <v>1992</v>
      </c>
      <c r="S191" t="s">
        <v>2073</v>
      </c>
      <c r="T191" t="s">
        <v>2435</v>
      </c>
      <c r="U191" t="s">
        <v>2436</v>
      </c>
      <c r="V191" t="s">
        <v>2659</v>
      </c>
      <c r="Y191" t="s">
        <v>2441</v>
      </c>
      <c r="Z191" t="s">
        <v>2442</v>
      </c>
      <c r="AA191" t="s">
        <v>2443</v>
      </c>
      <c r="AB191" t="s">
        <v>2444</v>
      </c>
      <c r="AC191" t="s">
        <v>2660</v>
      </c>
      <c r="AD191" t="s">
        <v>1507</v>
      </c>
      <c r="AE191" t="s">
        <v>2001</v>
      </c>
      <c r="AG191" t="s">
        <v>2001</v>
      </c>
    </row>
    <row r="192">
      <c r="A192" t="s">
        <v>2661</v>
      </c>
      <c r="B192" t="s">
        <v>958</v>
      </c>
      <c r="C192" t="s">
        <v>1486</v>
      </c>
      <c r="D192" t="s">
        <v>1487</v>
      </c>
      <c r="E192" t="s">
        <v>1488</v>
      </c>
      <c r="F192" t="s">
        <v>1509</v>
      </c>
      <c r="G192" t="s">
        <v>120</v>
      </c>
      <c r="H192" t="s">
        <v>1510</v>
      </c>
      <c r="I192" t="s">
        <v>1511</v>
      </c>
      <c r="J192" t="s">
        <v>1512</v>
      </c>
      <c r="K192" t="s">
        <v>1493</v>
      </c>
      <c r="L192" t="s">
        <v>1513</v>
      </c>
      <c r="M192" t="s">
        <v>1514</v>
      </c>
      <c r="N192" t="s">
        <v>2434</v>
      </c>
      <c r="O192" t="s">
        <v>1967</v>
      </c>
      <c r="P192" t="s">
        <v>1984</v>
      </c>
      <c r="Q192" t="s">
        <v>1972</v>
      </c>
      <c r="R192" t="s">
        <v>1992</v>
      </c>
      <c r="S192" t="s">
        <v>2073</v>
      </c>
      <c r="T192" t="s">
        <v>2435</v>
      </c>
      <c r="U192" t="s">
        <v>2436</v>
      </c>
      <c r="V192" t="s">
        <v>2662</v>
      </c>
      <c r="Y192" t="s">
        <v>2441</v>
      </c>
      <c r="Z192" t="s">
        <v>2442</v>
      </c>
      <c r="AA192" t="s">
        <v>2443</v>
      </c>
      <c r="AB192" t="s">
        <v>2444</v>
      </c>
      <c r="AC192" t="s">
        <v>2663</v>
      </c>
      <c r="AD192" t="s">
        <v>1513</v>
      </c>
      <c r="AE192" t="s">
        <v>2001</v>
      </c>
      <c r="AG192" t="s">
        <v>2001</v>
      </c>
    </row>
    <row r="193">
      <c r="A193" t="s">
        <v>2664</v>
      </c>
      <c r="B193" t="s">
        <v>958</v>
      </c>
      <c r="C193" t="s">
        <v>1486</v>
      </c>
      <c r="D193" t="s">
        <v>1487</v>
      </c>
      <c r="E193" t="s">
        <v>1488</v>
      </c>
      <c r="F193" t="s">
        <v>1515</v>
      </c>
      <c r="G193" t="s">
        <v>120</v>
      </c>
      <c r="H193" t="s">
        <v>1516</v>
      </c>
      <c r="I193" t="s">
        <v>1517</v>
      </c>
      <c r="J193" t="s">
        <v>1518</v>
      </c>
      <c r="K193" t="s">
        <v>1493</v>
      </c>
      <c r="L193" t="s">
        <v>1519</v>
      </c>
      <c r="M193" t="s">
        <v>1520</v>
      </c>
      <c r="N193" t="s">
        <v>2434</v>
      </c>
      <c r="O193" t="s">
        <v>1967</v>
      </c>
      <c r="P193" t="s">
        <v>1984</v>
      </c>
      <c r="Q193" t="s">
        <v>1972</v>
      </c>
      <c r="R193" t="s">
        <v>1992</v>
      </c>
      <c r="S193" t="s">
        <v>2073</v>
      </c>
      <c r="T193" t="s">
        <v>2435</v>
      </c>
      <c r="U193" t="s">
        <v>2436</v>
      </c>
      <c r="V193" t="s">
        <v>2665</v>
      </c>
      <c r="Y193" t="s">
        <v>2441</v>
      </c>
      <c r="Z193" t="s">
        <v>2442</v>
      </c>
      <c r="AA193" t="s">
        <v>2443</v>
      </c>
      <c r="AB193" t="s">
        <v>2444</v>
      </c>
      <c r="AC193" t="s">
        <v>2666</v>
      </c>
      <c r="AD193" t="s">
        <v>1519</v>
      </c>
      <c r="AE193" t="s">
        <v>2001</v>
      </c>
      <c r="AG193" t="s">
        <v>2001</v>
      </c>
    </row>
    <row r="194">
      <c r="A194" t="s">
        <v>2667</v>
      </c>
      <c r="B194" t="s">
        <v>958</v>
      </c>
      <c r="C194" t="s">
        <v>1521</v>
      </c>
      <c r="D194" t="s">
        <v>1522</v>
      </c>
      <c r="E194" t="s">
        <v>1523</v>
      </c>
      <c r="F194" t="s">
        <v>1524</v>
      </c>
      <c r="G194" t="s">
        <v>120</v>
      </c>
      <c r="H194" t="s">
        <v>1525</v>
      </c>
      <c r="I194" t="s">
        <v>1526</v>
      </c>
      <c r="J194" t="s">
        <v>1527</v>
      </c>
      <c r="K194" t="s">
        <v>1528</v>
      </c>
      <c r="L194" t="s">
        <v>1529</v>
      </c>
      <c r="M194" t="s">
        <v>1530</v>
      </c>
      <c r="N194" t="s">
        <v>2434</v>
      </c>
      <c r="O194" t="s">
        <v>1967</v>
      </c>
      <c r="P194" t="s">
        <v>1984</v>
      </c>
      <c r="Q194" t="s">
        <v>1972</v>
      </c>
      <c r="R194" t="s">
        <v>1992</v>
      </c>
      <c r="S194" t="s">
        <v>2073</v>
      </c>
      <c r="T194" t="s">
        <v>2435</v>
      </c>
      <c r="U194" t="s">
        <v>2436</v>
      </c>
      <c r="V194" t="s">
        <v>2668</v>
      </c>
      <c r="Y194" t="s">
        <v>2441</v>
      </c>
      <c r="Z194" t="s">
        <v>2442</v>
      </c>
      <c r="AA194" t="s">
        <v>2443</v>
      </c>
      <c r="AB194" t="s">
        <v>2669</v>
      </c>
      <c r="AC194" t="s">
        <v>2670</v>
      </c>
      <c r="AD194" t="s">
        <v>1529</v>
      </c>
      <c r="AE194" t="s">
        <v>2001</v>
      </c>
      <c r="AG194" t="s">
        <v>2001</v>
      </c>
    </row>
    <row r="195">
      <c r="A195" t="s">
        <v>2671</v>
      </c>
      <c r="B195" t="s">
        <v>958</v>
      </c>
      <c r="C195" t="s">
        <v>1521</v>
      </c>
      <c r="D195" t="s">
        <v>1522</v>
      </c>
      <c r="E195" t="s">
        <v>1523</v>
      </c>
      <c r="F195" t="s">
        <v>1532</v>
      </c>
      <c r="G195" t="s">
        <v>120</v>
      </c>
      <c r="H195" t="s">
        <v>1524</v>
      </c>
      <c r="I195" t="s">
        <v>1533</v>
      </c>
      <c r="J195" t="s">
        <v>1534</v>
      </c>
      <c r="K195" t="s">
        <v>1535</v>
      </c>
      <c r="L195" t="s">
        <v>1536</v>
      </c>
      <c r="M195" t="s">
        <v>1537</v>
      </c>
      <c r="N195" t="s">
        <v>2434</v>
      </c>
      <c r="O195" t="s">
        <v>1967</v>
      </c>
      <c r="P195" t="s">
        <v>1984</v>
      </c>
      <c r="Q195" t="s">
        <v>1972</v>
      </c>
      <c r="R195" t="s">
        <v>1992</v>
      </c>
      <c r="S195" t="s">
        <v>2073</v>
      </c>
      <c r="T195" t="s">
        <v>2435</v>
      </c>
      <c r="U195" t="s">
        <v>2436</v>
      </c>
      <c r="V195" t="s">
        <v>2672</v>
      </c>
      <c r="Y195" t="s">
        <v>2441</v>
      </c>
      <c r="Z195" t="s">
        <v>2442</v>
      </c>
      <c r="AA195" t="s">
        <v>2443</v>
      </c>
      <c r="AB195" t="s">
        <v>2669</v>
      </c>
      <c r="AC195" t="s">
        <v>2673</v>
      </c>
      <c r="AD195" t="s">
        <v>1536</v>
      </c>
      <c r="AE195" t="s">
        <v>2001</v>
      </c>
      <c r="AG195" t="s">
        <v>2001</v>
      </c>
    </row>
    <row r="196">
      <c r="A196" t="s">
        <v>2674</v>
      </c>
      <c r="B196" t="s">
        <v>958</v>
      </c>
      <c r="C196" t="s">
        <v>1521</v>
      </c>
      <c r="D196" t="s">
        <v>1522</v>
      </c>
      <c r="E196" t="s">
        <v>1523</v>
      </c>
      <c r="F196" t="s">
        <v>1539</v>
      </c>
      <c r="G196" t="s">
        <v>120</v>
      </c>
      <c r="H196" t="s">
        <v>1540</v>
      </c>
      <c r="I196" t="s">
        <v>1541</v>
      </c>
      <c r="J196" t="s">
        <v>1542</v>
      </c>
      <c r="K196" t="s">
        <v>1543</v>
      </c>
      <c r="L196" t="s">
        <v>1544</v>
      </c>
      <c r="M196" t="s">
        <v>1545</v>
      </c>
      <c r="N196" t="s">
        <v>2434</v>
      </c>
      <c r="O196" t="s">
        <v>1967</v>
      </c>
      <c r="P196" t="s">
        <v>1984</v>
      </c>
      <c r="Q196" t="s">
        <v>1972</v>
      </c>
      <c r="R196" t="s">
        <v>1992</v>
      </c>
      <c r="S196" t="s">
        <v>2073</v>
      </c>
      <c r="T196" t="s">
        <v>2435</v>
      </c>
      <c r="U196" t="s">
        <v>2436</v>
      </c>
      <c r="V196" t="s">
        <v>2675</v>
      </c>
      <c r="Y196" t="s">
        <v>2441</v>
      </c>
      <c r="Z196" t="s">
        <v>2442</v>
      </c>
      <c r="AA196" t="s">
        <v>2443</v>
      </c>
      <c r="AB196" t="s">
        <v>2669</v>
      </c>
      <c r="AC196" t="s">
        <v>2676</v>
      </c>
      <c r="AD196" t="s">
        <v>1544</v>
      </c>
      <c r="AE196" t="s">
        <v>2001</v>
      </c>
      <c r="AG196" t="s">
        <v>2001</v>
      </c>
    </row>
    <row r="197">
      <c r="A197" t="s">
        <v>2677</v>
      </c>
      <c r="B197" t="s">
        <v>958</v>
      </c>
      <c r="C197" t="s">
        <v>1521</v>
      </c>
      <c r="D197" t="s">
        <v>1522</v>
      </c>
      <c r="E197" t="s">
        <v>1523</v>
      </c>
      <c r="F197" t="s">
        <v>1547</v>
      </c>
      <c r="G197" t="s">
        <v>120</v>
      </c>
      <c r="H197" t="s">
        <v>1548</v>
      </c>
      <c r="I197" t="s">
        <v>1549</v>
      </c>
      <c r="J197" t="s">
        <v>1550</v>
      </c>
      <c r="K197" t="s">
        <v>1551</v>
      </c>
      <c r="L197" t="s">
        <v>1552</v>
      </c>
      <c r="M197" t="s">
        <v>1553</v>
      </c>
      <c r="N197" t="s">
        <v>2434</v>
      </c>
      <c r="O197" t="s">
        <v>1967</v>
      </c>
      <c r="P197" t="s">
        <v>1984</v>
      </c>
      <c r="Q197" t="s">
        <v>1972</v>
      </c>
      <c r="R197" t="s">
        <v>1992</v>
      </c>
      <c r="S197" t="s">
        <v>2073</v>
      </c>
      <c r="T197" t="s">
        <v>2435</v>
      </c>
      <c r="U197" t="s">
        <v>2436</v>
      </c>
      <c r="V197" t="s">
        <v>2678</v>
      </c>
      <c r="Y197" t="s">
        <v>2441</v>
      </c>
      <c r="Z197" t="s">
        <v>2442</v>
      </c>
      <c r="AA197" t="s">
        <v>2443</v>
      </c>
      <c r="AB197" t="s">
        <v>2669</v>
      </c>
      <c r="AC197" t="s">
        <v>2679</v>
      </c>
      <c r="AD197" t="s">
        <v>1552</v>
      </c>
      <c r="AE197" t="s">
        <v>2001</v>
      </c>
      <c r="AG197" t="s">
        <v>2001</v>
      </c>
    </row>
    <row r="198">
      <c r="A198" t="s">
        <v>2680</v>
      </c>
      <c r="B198" t="s">
        <v>958</v>
      </c>
      <c r="C198" t="s">
        <v>1521</v>
      </c>
      <c r="D198" t="s">
        <v>1522</v>
      </c>
      <c r="E198" t="s">
        <v>1523</v>
      </c>
      <c r="F198" t="s">
        <v>1555</v>
      </c>
      <c r="G198" t="s">
        <v>120</v>
      </c>
      <c r="H198" t="s">
        <v>1556</v>
      </c>
      <c r="I198" t="s">
        <v>1557</v>
      </c>
      <c r="J198" t="s">
        <v>1558</v>
      </c>
      <c r="K198" t="s">
        <v>1559</v>
      </c>
      <c r="L198" t="s">
        <v>1560</v>
      </c>
      <c r="M198" t="s">
        <v>1561</v>
      </c>
      <c r="N198" t="s">
        <v>2434</v>
      </c>
      <c r="O198" t="s">
        <v>1967</v>
      </c>
      <c r="P198" t="s">
        <v>1984</v>
      </c>
      <c r="Q198" t="s">
        <v>1972</v>
      </c>
      <c r="R198" t="s">
        <v>1992</v>
      </c>
      <c r="S198" t="s">
        <v>2073</v>
      </c>
      <c r="T198" t="s">
        <v>2435</v>
      </c>
      <c r="U198" t="s">
        <v>2436</v>
      </c>
      <c r="V198" t="s">
        <v>2681</v>
      </c>
      <c r="Y198" t="s">
        <v>2441</v>
      </c>
      <c r="Z198" t="s">
        <v>2442</v>
      </c>
      <c r="AA198" t="s">
        <v>2443</v>
      </c>
      <c r="AB198" t="s">
        <v>2669</v>
      </c>
      <c r="AC198" t="s">
        <v>2682</v>
      </c>
      <c r="AD198" t="s">
        <v>1560</v>
      </c>
      <c r="AE198" t="s">
        <v>2001</v>
      </c>
      <c r="AG198" t="s">
        <v>2001</v>
      </c>
    </row>
    <row r="199">
      <c r="A199" t="s">
        <v>2683</v>
      </c>
      <c r="B199" t="s">
        <v>958</v>
      </c>
      <c r="C199" t="s">
        <v>1563</v>
      </c>
      <c r="D199" t="s">
        <v>1564</v>
      </c>
      <c r="E199" t="s">
        <v>1565</v>
      </c>
      <c r="F199" t="s">
        <v>1566</v>
      </c>
      <c r="G199" t="s">
        <v>120</v>
      </c>
      <c r="H199" t="s">
        <v>1567</v>
      </c>
      <c r="I199" t="s">
        <v>1568</v>
      </c>
      <c r="J199" t="s">
        <v>1569</v>
      </c>
      <c r="K199" t="s">
        <v>1570</v>
      </c>
      <c r="L199" t="s">
        <v>1571</v>
      </c>
      <c r="M199" t="s">
        <v>1572</v>
      </c>
      <c r="N199" t="s">
        <v>2434</v>
      </c>
      <c r="O199" t="s">
        <v>1967</v>
      </c>
      <c r="P199" t="s">
        <v>1984</v>
      </c>
      <c r="Q199" t="s">
        <v>1972</v>
      </c>
      <c r="R199" t="s">
        <v>1992</v>
      </c>
      <c r="S199" t="s">
        <v>2073</v>
      </c>
      <c r="T199" t="s">
        <v>2435</v>
      </c>
      <c r="U199" t="s">
        <v>2436</v>
      </c>
      <c r="V199" t="s">
        <v>2684</v>
      </c>
      <c r="Y199" t="s">
        <v>2441</v>
      </c>
      <c r="Z199" t="s">
        <v>2442</v>
      </c>
      <c r="AA199" t="s">
        <v>2443</v>
      </c>
      <c r="AB199" t="s">
        <v>2669</v>
      </c>
      <c r="AC199" t="s">
        <v>2685</v>
      </c>
      <c r="AD199" t="s">
        <v>1571</v>
      </c>
      <c r="AE199" t="s">
        <v>2001</v>
      </c>
      <c r="AG199" t="s">
        <v>2001</v>
      </c>
    </row>
    <row r="200">
      <c r="A200" t="s">
        <v>2686</v>
      </c>
      <c r="B200" t="s">
        <v>958</v>
      </c>
      <c r="C200" t="s">
        <v>1563</v>
      </c>
      <c r="D200" t="s">
        <v>1564</v>
      </c>
      <c r="E200" t="s">
        <v>1565</v>
      </c>
      <c r="F200" t="s">
        <v>1532</v>
      </c>
      <c r="G200" t="s">
        <v>120</v>
      </c>
      <c r="H200" t="s">
        <v>1567</v>
      </c>
      <c r="I200" t="s">
        <v>1574</v>
      </c>
      <c r="J200" t="s">
        <v>1575</v>
      </c>
      <c r="K200" t="s">
        <v>1570</v>
      </c>
      <c r="L200" t="s">
        <v>1576</v>
      </c>
      <c r="M200" t="s">
        <v>1577</v>
      </c>
      <c r="N200" t="s">
        <v>2434</v>
      </c>
      <c r="O200" t="s">
        <v>1967</v>
      </c>
      <c r="P200" t="s">
        <v>1984</v>
      </c>
      <c r="Q200" t="s">
        <v>1972</v>
      </c>
      <c r="R200" t="s">
        <v>1992</v>
      </c>
      <c r="S200" t="s">
        <v>2073</v>
      </c>
      <c r="T200" t="s">
        <v>2435</v>
      </c>
      <c r="U200" t="s">
        <v>2436</v>
      </c>
      <c r="V200" t="s">
        <v>2687</v>
      </c>
      <c r="Y200" t="s">
        <v>2441</v>
      </c>
      <c r="Z200" t="s">
        <v>2442</v>
      </c>
      <c r="AA200" t="s">
        <v>2443</v>
      </c>
      <c r="AB200" t="s">
        <v>2669</v>
      </c>
      <c r="AC200" t="s">
        <v>2688</v>
      </c>
      <c r="AD200" t="s">
        <v>1576</v>
      </c>
      <c r="AE200" t="s">
        <v>2001</v>
      </c>
      <c r="AG200" t="s">
        <v>2001</v>
      </c>
    </row>
    <row r="201">
      <c r="A201" t="s">
        <v>2689</v>
      </c>
      <c r="B201" t="s">
        <v>958</v>
      </c>
      <c r="C201" t="s">
        <v>1563</v>
      </c>
      <c r="D201" t="s">
        <v>1564</v>
      </c>
      <c r="E201" t="s">
        <v>1565</v>
      </c>
      <c r="F201" t="s">
        <v>1578</v>
      </c>
      <c r="G201" t="s">
        <v>120</v>
      </c>
      <c r="H201" t="s">
        <v>1579</v>
      </c>
      <c r="I201" t="s">
        <v>1580</v>
      </c>
      <c r="J201" t="s">
        <v>1581</v>
      </c>
      <c r="K201" t="s">
        <v>1582</v>
      </c>
      <c r="L201" t="s">
        <v>1583</v>
      </c>
      <c r="M201" t="s">
        <v>1584</v>
      </c>
      <c r="N201" t="s">
        <v>2434</v>
      </c>
      <c r="O201" t="s">
        <v>1967</v>
      </c>
      <c r="P201" t="s">
        <v>1984</v>
      </c>
      <c r="Q201" t="s">
        <v>1972</v>
      </c>
      <c r="R201" t="s">
        <v>1992</v>
      </c>
      <c r="S201" t="s">
        <v>2073</v>
      </c>
      <c r="T201" t="s">
        <v>2435</v>
      </c>
      <c r="U201" t="s">
        <v>2436</v>
      </c>
      <c r="V201" t="s">
        <v>2690</v>
      </c>
      <c r="Y201" t="s">
        <v>2441</v>
      </c>
      <c r="Z201" t="s">
        <v>2442</v>
      </c>
      <c r="AA201" t="s">
        <v>2443</v>
      </c>
      <c r="AB201" t="s">
        <v>2669</v>
      </c>
      <c r="AC201" t="s">
        <v>2691</v>
      </c>
      <c r="AD201" t="s">
        <v>1583</v>
      </c>
      <c r="AE201" t="s">
        <v>2001</v>
      </c>
      <c r="AG201" t="s">
        <v>2001</v>
      </c>
    </row>
    <row r="202">
      <c r="A202" t="s">
        <v>2692</v>
      </c>
      <c r="B202" t="s">
        <v>958</v>
      </c>
      <c r="C202" t="s">
        <v>1563</v>
      </c>
      <c r="D202" t="s">
        <v>1564</v>
      </c>
      <c r="E202" t="s">
        <v>1565</v>
      </c>
      <c r="F202" t="s">
        <v>1586</v>
      </c>
      <c r="G202" t="s">
        <v>120</v>
      </c>
      <c r="H202" t="s">
        <v>1383</v>
      </c>
      <c r="I202" t="s">
        <v>1587</v>
      </c>
      <c r="J202" t="s">
        <v>1588</v>
      </c>
      <c r="K202" t="s">
        <v>1589</v>
      </c>
      <c r="L202" t="s">
        <v>1590</v>
      </c>
      <c r="M202" t="s">
        <v>1591</v>
      </c>
      <c r="N202" t="s">
        <v>2434</v>
      </c>
      <c r="O202" t="s">
        <v>1967</v>
      </c>
      <c r="P202" t="s">
        <v>1984</v>
      </c>
      <c r="Q202" t="s">
        <v>1972</v>
      </c>
      <c r="R202" t="s">
        <v>1992</v>
      </c>
      <c r="S202" t="s">
        <v>2073</v>
      </c>
      <c r="T202" t="s">
        <v>2435</v>
      </c>
      <c r="U202" t="s">
        <v>2436</v>
      </c>
      <c r="V202" t="s">
        <v>2693</v>
      </c>
      <c r="Y202" t="s">
        <v>2441</v>
      </c>
      <c r="Z202" t="s">
        <v>2442</v>
      </c>
      <c r="AA202" t="s">
        <v>2443</v>
      </c>
      <c r="AB202" t="s">
        <v>2669</v>
      </c>
      <c r="AC202" t="s">
        <v>2694</v>
      </c>
      <c r="AD202" t="s">
        <v>1590</v>
      </c>
      <c r="AE202" t="s">
        <v>2001</v>
      </c>
      <c r="AG202" t="s">
        <v>2001</v>
      </c>
    </row>
    <row r="203">
      <c r="A203" t="s">
        <v>2695</v>
      </c>
      <c r="B203" t="s">
        <v>958</v>
      </c>
      <c r="C203" t="s">
        <v>1593</v>
      </c>
      <c r="D203" t="s">
        <v>1594</v>
      </c>
      <c r="E203" t="s">
        <v>1595</v>
      </c>
      <c r="F203" t="s">
        <v>1596</v>
      </c>
      <c r="G203" t="s">
        <v>120</v>
      </c>
      <c r="H203" t="s">
        <v>1597</v>
      </c>
      <c r="I203" t="s">
        <v>1598</v>
      </c>
      <c r="J203" t="s">
        <v>1599</v>
      </c>
      <c r="K203" t="s">
        <v>1600</v>
      </c>
      <c r="L203" t="s">
        <v>1601</v>
      </c>
      <c r="M203" t="s">
        <v>1602</v>
      </c>
      <c r="N203" t="s">
        <v>2434</v>
      </c>
      <c r="O203" t="s">
        <v>1967</v>
      </c>
      <c r="P203" t="s">
        <v>1984</v>
      </c>
      <c r="Q203" t="s">
        <v>1972</v>
      </c>
      <c r="R203" t="s">
        <v>1992</v>
      </c>
      <c r="S203" t="s">
        <v>2073</v>
      </c>
      <c r="T203" t="s">
        <v>2435</v>
      </c>
      <c r="U203" t="s">
        <v>2436</v>
      </c>
      <c r="V203" t="s">
        <v>2696</v>
      </c>
      <c r="Y203" t="s">
        <v>2441</v>
      </c>
      <c r="Z203" t="s">
        <v>2442</v>
      </c>
      <c r="AA203" t="s">
        <v>2443</v>
      </c>
      <c r="AB203" t="s">
        <v>2669</v>
      </c>
      <c r="AC203" t="s">
        <v>2697</v>
      </c>
      <c r="AD203" t="s">
        <v>1601</v>
      </c>
      <c r="AE203" t="s">
        <v>2001</v>
      </c>
      <c r="AG203" t="s">
        <v>2001</v>
      </c>
    </row>
    <row r="204">
      <c r="A204" t="s">
        <v>2698</v>
      </c>
      <c r="B204" t="s">
        <v>958</v>
      </c>
      <c r="C204" t="s">
        <v>1593</v>
      </c>
      <c r="D204" t="s">
        <v>1594</v>
      </c>
      <c r="E204" t="s">
        <v>1595</v>
      </c>
      <c r="F204" t="s">
        <v>1604</v>
      </c>
      <c r="G204" t="s">
        <v>120</v>
      </c>
      <c r="H204" t="s">
        <v>1605</v>
      </c>
      <c r="I204" t="s">
        <v>1606</v>
      </c>
      <c r="J204" t="s">
        <v>1607</v>
      </c>
      <c r="K204" t="s">
        <v>1608</v>
      </c>
      <c r="L204" t="s">
        <v>1609</v>
      </c>
      <c r="M204" t="s">
        <v>1610</v>
      </c>
      <c r="N204" t="s">
        <v>2434</v>
      </c>
      <c r="O204" t="s">
        <v>1967</v>
      </c>
      <c r="P204" t="s">
        <v>1984</v>
      </c>
      <c r="Q204" t="s">
        <v>1972</v>
      </c>
      <c r="R204" t="s">
        <v>1992</v>
      </c>
      <c r="S204" t="s">
        <v>2073</v>
      </c>
      <c r="T204" t="s">
        <v>2435</v>
      </c>
      <c r="U204" t="s">
        <v>2436</v>
      </c>
      <c r="V204" t="s">
        <v>2699</v>
      </c>
      <c r="Y204" t="s">
        <v>2441</v>
      </c>
      <c r="Z204" t="s">
        <v>2442</v>
      </c>
      <c r="AA204" t="s">
        <v>2443</v>
      </c>
      <c r="AB204" t="s">
        <v>2669</v>
      </c>
      <c r="AC204" t="s">
        <v>2700</v>
      </c>
      <c r="AD204" t="s">
        <v>1609</v>
      </c>
      <c r="AE204" t="s">
        <v>2001</v>
      </c>
      <c r="AG204" t="s">
        <v>2001</v>
      </c>
    </row>
    <row r="205">
      <c r="A205" t="s">
        <v>2701</v>
      </c>
      <c r="B205" t="s">
        <v>958</v>
      </c>
      <c r="C205" t="s">
        <v>1593</v>
      </c>
      <c r="D205" t="s">
        <v>1594</v>
      </c>
      <c r="E205" t="s">
        <v>1595</v>
      </c>
      <c r="F205" t="s">
        <v>1612</v>
      </c>
      <c r="G205" t="s">
        <v>120</v>
      </c>
      <c r="H205" t="s">
        <v>1613</v>
      </c>
      <c r="I205" t="s">
        <v>1614</v>
      </c>
      <c r="J205" t="s">
        <v>1615</v>
      </c>
      <c r="K205" t="s">
        <v>1616</v>
      </c>
      <c r="L205" t="s">
        <v>1617</v>
      </c>
      <c r="M205" t="s">
        <v>1618</v>
      </c>
      <c r="N205" t="s">
        <v>2434</v>
      </c>
      <c r="O205" t="s">
        <v>1967</v>
      </c>
      <c r="P205" t="s">
        <v>1984</v>
      </c>
      <c r="Q205" t="s">
        <v>1972</v>
      </c>
      <c r="R205" t="s">
        <v>1992</v>
      </c>
      <c r="S205" t="s">
        <v>2073</v>
      </c>
      <c r="T205" t="s">
        <v>2435</v>
      </c>
      <c r="U205" t="s">
        <v>2436</v>
      </c>
      <c r="V205" t="s">
        <v>2702</v>
      </c>
      <c r="Y205" t="s">
        <v>2441</v>
      </c>
      <c r="Z205" t="s">
        <v>2442</v>
      </c>
      <c r="AA205" t="s">
        <v>2443</v>
      </c>
      <c r="AB205" t="s">
        <v>2669</v>
      </c>
      <c r="AC205" t="s">
        <v>2703</v>
      </c>
      <c r="AD205" t="s">
        <v>1617</v>
      </c>
      <c r="AE205" t="s">
        <v>2001</v>
      </c>
      <c r="AG205" t="s">
        <v>2001</v>
      </c>
    </row>
    <row r="206">
      <c r="A206" t="s">
        <v>2704</v>
      </c>
      <c r="B206" t="s">
        <v>958</v>
      </c>
      <c r="C206" t="s">
        <v>1593</v>
      </c>
      <c r="D206" t="s">
        <v>1594</v>
      </c>
      <c r="E206" t="s">
        <v>1595</v>
      </c>
      <c r="F206" t="s">
        <v>1620</v>
      </c>
      <c r="G206" t="s">
        <v>120</v>
      </c>
      <c r="H206" t="s">
        <v>1621</v>
      </c>
      <c r="I206" t="s">
        <v>1622</v>
      </c>
      <c r="J206" t="s">
        <v>1623</v>
      </c>
      <c r="K206" t="s">
        <v>1624</v>
      </c>
      <c r="L206" t="s">
        <v>1625</v>
      </c>
      <c r="M206" t="s">
        <v>1626</v>
      </c>
      <c r="N206" t="s">
        <v>2434</v>
      </c>
      <c r="O206" t="s">
        <v>1967</v>
      </c>
      <c r="P206" t="s">
        <v>1984</v>
      </c>
      <c r="Q206" t="s">
        <v>1972</v>
      </c>
      <c r="R206" t="s">
        <v>1992</v>
      </c>
      <c r="S206" t="s">
        <v>2073</v>
      </c>
      <c r="T206" t="s">
        <v>2435</v>
      </c>
      <c r="U206" t="s">
        <v>2436</v>
      </c>
      <c r="V206" t="s">
        <v>2705</v>
      </c>
      <c r="Y206" t="s">
        <v>2441</v>
      </c>
      <c r="Z206" t="s">
        <v>2442</v>
      </c>
      <c r="AA206" t="s">
        <v>2443</v>
      </c>
      <c r="AB206" t="s">
        <v>2669</v>
      </c>
      <c r="AC206" t="s">
        <v>2706</v>
      </c>
      <c r="AD206" t="s">
        <v>1625</v>
      </c>
      <c r="AE206" t="s">
        <v>2001</v>
      </c>
      <c r="AG206" t="s">
        <v>2001</v>
      </c>
    </row>
    <row r="207">
      <c r="A207" t="s">
        <v>2707</v>
      </c>
      <c r="B207" t="s">
        <v>1628</v>
      </c>
      <c r="C207" t="s">
        <v>1629</v>
      </c>
      <c r="D207" t="s">
        <v>1630</v>
      </c>
      <c r="E207" t="s">
        <v>1631</v>
      </c>
      <c r="F207" t="s">
        <v>1632</v>
      </c>
      <c r="G207" t="s">
        <v>129</v>
      </c>
      <c r="H207" t="s">
        <v>1633</v>
      </c>
      <c r="I207" t="s">
        <v>1634</v>
      </c>
      <c r="J207" t="s">
        <v>1635</v>
      </c>
      <c r="K207" t="s">
        <v>1636</v>
      </c>
      <c r="L207" t="s">
        <v>1637</v>
      </c>
      <c r="M207" t="s">
        <v>1638</v>
      </c>
      <c r="N207" t="s">
        <v>2434</v>
      </c>
      <c r="O207" t="s">
        <v>1967</v>
      </c>
      <c r="P207" t="s">
        <v>1984</v>
      </c>
      <c r="Q207" t="s">
        <v>1972</v>
      </c>
      <c r="R207" t="s">
        <v>1991</v>
      </c>
      <c r="S207" t="s">
        <v>2073</v>
      </c>
      <c r="T207" t="s">
        <v>2435</v>
      </c>
      <c r="U207" t="s">
        <v>2436</v>
      </c>
      <c r="V207" t="s">
        <v>2708</v>
      </c>
      <c r="W207" t="s">
        <v>2078</v>
      </c>
      <c r="X207" t="s">
        <v>2078</v>
      </c>
      <c r="Y207" t="s">
        <v>2709</v>
      </c>
      <c r="Z207" t="s">
        <v>2442</v>
      </c>
      <c r="AA207" t="s">
        <v>2443</v>
      </c>
      <c r="AB207" t="s">
        <v>2710</v>
      </c>
      <c r="AC207" t="s">
        <v>2711</v>
      </c>
      <c r="AD207" t="s">
        <v>1637</v>
      </c>
      <c r="AE207" t="s">
        <v>2001</v>
      </c>
      <c r="AG207" t="s">
        <v>2001</v>
      </c>
    </row>
    <row r="208">
      <c r="A208" t="s">
        <v>2712</v>
      </c>
      <c r="B208" t="s">
        <v>1628</v>
      </c>
      <c r="C208" t="s">
        <v>1629</v>
      </c>
      <c r="D208" t="s">
        <v>1630</v>
      </c>
      <c r="E208" t="s">
        <v>1631</v>
      </c>
      <c r="F208" t="s">
        <v>1640</v>
      </c>
      <c r="G208" t="s">
        <v>97</v>
      </c>
      <c r="H208" t="s">
        <v>280</v>
      </c>
      <c r="I208" t="s">
        <v>1641</v>
      </c>
      <c r="J208" t="s">
        <v>1642</v>
      </c>
      <c r="K208" t="s">
        <v>1636</v>
      </c>
      <c r="L208" t="s">
        <v>1643</v>
      </c>
      <c r="M208" t="s">
        <v>1644</v>
      </c>
      <c r="N208" t="s">
        <v>2434</v>
      </c>
      <c r="O208" t="s">
        <v>1967</v>
      </c>
      <c r="P208" t="s">
        <v>1984</v>
      </c>
      <c r="Q208" t="s">
        <v>1972</v>
      </c>
      <c r="R208" t="s">
        <v>1991</v>
      </c>
      <c r="S208" t="s">
        <v>2073</v>
      </c>
      <c r="T208" t="s">
        <v>2435</v>
      </c>
      <c r="U208" t="s">
        <v>2436</v>
      </c>
      <c r="V208" t="s">
        <v>2713</v>
      </c>
      <c r="W208" t="s">
        <v>2078</v>
      </c>
      <c r="X208" t="s">
        <v>2078</v>
      </c>
      <c r="Y208" t="s">
        <v>2709</v>
      </c>
      <c r="Z208" t="s">
        <v>2442</v>
      </c>
      <c r="AA208" t="s">
        <v>2443</v>
      </c>
      <c r="AB208" t="s">
        <v>2710</v>
      </c>
      <c r="AC208" t="s">
        <v>2714</v>
      </c>
      <c r="AD208" t="s">
        <v>1643</v>
      </c>
      <c r="AE208" t="s">
        <v>2001</v>
      </c>
      <c r="AG208" t="s">
        <v>2001</v>
      </c>
    </row>
    <row r="209">
      <c r="A209" t="s">
        <v>2715</v>
      </c>
      <c r="B209" t="s">
        <v>1628</v>
      </c>
      <c r="C209" t="s">
        <v>1629</v>
      </c>
      <c r="D209" t="s">
        <v>1630</v>
      </c>
      <c r="E209" t="s">
        <v>1631</v>
      </c>
      <c r="F209" t="s">
        <v>1645</v>
      </c>
      <c r="G209" t="s">
        <v>97</v>
      </c>
      <c r="H209" t="s">
        <v>1646</v>
      </c>
      <c r="I209" t="s">
        <v>1647</v>
      </c>
      <c r="J209" t="s">
        <v>1648</v>
      </c>
      <c r="K209" t="s">
        <v>1636</v>
      </c>
      <c r="L209" t="s">
        <v>1649</v>
      </c>
      <c r="M209" t="s">
        <v>1650</v>
      </c>
      <c r="N209" t="s">
        <v>2434</v>
      </c>
      <c r="O209" t="s">
        <v>1967</v>
      </c>
      <c r="P209" t="s">
        <v>1984</v>
      </c>
      <c r="Q209" t="s">
        <v>1972</v>
      </c>
      <c r="R209" t="s">
        <v>1991</v>
      </c>
      <c r="S209" t="s">
        <v>2073</v>
      </c>
      <c r="T209" t="s">
        <v>2435</v>
      </c>
      <c r="U209" t="s">
        <v>2436</v>
      </c>
      <c r="V209" t="s">
        <v>2716</v>
      </c>
      <c r="W209" t="s">
        <v>2078</v>
      </c>
      <c r="X209" t="s">
        <v>2078</v>
      </c>
      <c r="Y209" t="s">
        <v>2709</v>
      </c>
      <c r="Z209" t="s">
        <v>2442</v>
      </c>
      <c r="AA209" t="s">
        <v>2443</v>
      </c>
      <c r="AB209" t="s">
        <v>2710</v>
      </c>
      <c r="AC209" t="s">
        <v>2717</v>
      </c>
      <c r="AD209" t="s">
        <v>1649</v>
      </c>
      <c r="AE209" t="s">
        <v>2001</v>
      </c>
      <c r="AG209" t="s">
        <v>2001</v>
      </c>
    </row>
    <row r="210">
      <c r="A210" t="s">
        <v>2718</v>
      </c>
      <c r="B210" t="s">
        <v>1628</v>
      </c>
      <c r="C210" t="s">
        <v>1629</v>
      </c>
      <c r="D210" t="s">
        <v>1630</v>
      </c>
      <c r="E210" t="s">
        <v>1631</v>
      </c>
      <c r="F210" t="s">
        <v>1651</v>
      </c>
      <c r="G210" t="s">
        <v>129</v>
      </c>
      <c r="H210" t="s">
        <v>1652</v>
      </c>
      <c r="I210" t="s">
        <v>1653</v>
      </c>
      <c r="J210" t="s">
        <v>1654</v>
      </c>
      <c r="K210" t="s">
        <v>1636</v>
      </c>
      <c r="L210" t="s">
        <v>1655</v>
      </c>
      <c r="M210" t="s">
        <v>1656</v>
      </c>
      <c r="N210" t="s">
        <v>2434</v>
      </c>
      <c r="O210" t="s">
        <v>1967</v>
      </c>
      <c r="P210" t="s">
        <v>1984</v>
      </c>
      <c r="Q210" t="s">
        <v>1972</v>
      </c>
      <c r="R210" t="s">
        <v>1991</v>
      </c>
      <c r="S210" t="s">
        <v>2073</v>
      </c>
      <c r="T210" t="s">
        <v>2435</v>
      </c>
      <c r="U210" t="s">
        <v>2436</v>
      </c>
      <c r="V210" t="s">
        <v>2719</v>
      </c>
      <c r="W210" t="s">
        <v>2078</v>
      </c>
      <c r="X210" t="s">
        <v>2078</v>
      </c>
      <c r="Y210" t="s">
        <v>2709</v>
      </c>
      <c r="Z210" t="s">
        <v>2442</v>
      </c>
      <c r="AA210" t="s">
        <v>2443</v>
      </c>
      <c r="AB210" t="s">
        <v>2710</v>
      </c>
      <c r="AC210" t="s">
        <v>2720</v>
      </c>
      <c r="AD210" t="s">
        <v>1655</v>
      </c>
      <c r="AE210" t="s">
        <v>2001</v>
      </c>
      <c r="AG210" t="s">
        <v>2001</v>
      </c>
    </row>
    <row r="211">
      <c r="A211" t="s">
        <v>2721</v>
      </c>
      <c r="B211" t="s">
        <v>1628</v>
      </c>
      <c r="C211" t="s">
        <v>1629</v>
      </c>
      <c r="D211" t="s">
        <v>1630</v>
      </c>
      <c r="E211" t="s">
        <v>1631</v>
      </c>
      <c r="F211" t="s">
        <v>1657</v>
      </c>
      <c r="G211" t="s">
        <v>154</v>
      </c>
      <c r="H211" t="s">
        <v>1658</v>
      </c>
      <c r="I211" t="s">
        <v>1659</v>
      </c>
      <c r="J211" t="s">
        <v>1660</v>
      </c>
      <c r="K211" t="s">
        <v>1636</v>
      </c>
      <c r="L211" t="s">
        <v>1661</v>
      </c>
      <c r="M211" t="s">
        <v>1662</v>
      </c>
      <c r="N211" t="s">
        <v>2434</v>
      </c>
      <c r="O211" t="s">
        <v>1967</v>
      </c>
      <c r="P211" t="s">
        <v>1984</v>
      </c>
      <c r="Q211" t="s">
        <v>1972</v>
      </c>
      <c r="R211" t="s">
        <v>1991</v>
      </c>
      <c r="S211" t="s">
        <v>2073</v>
      </c>
      <c r="T211" t="s">
        <v>2435</v>
      </c>
      <c r="U211" t="s">
        <v>2436</v>
      </c>
      <c r="V211" t="s">
        <v>2722</v>
      </c>
      <c r="Y211" t="s">
        <v>2441</v>
      </c>
      <c r="Z211" t="s">
        <v>2442</v>
      </c>
      <c r="AA211" t="s">
        <v>2443</v>
      </c>
      <c r="AB211" t="s">
        <v>2444</v>
      </c>
      <c r="AC211" t="s">
        <v>2723</v>
      </c>
      <c r="AD211" t="s">
        <v>1661</v>
      </c>
      <c r="AE211" t="s">
        <v>2001</v>
      </c>
      <c r="AG211" t="s">
        <v>2001</v>
      </c>
    </row>
    <row r="212">
      <c r="A212" t="s">
        <v>2724</v>
      </c>
      <c r="B212" t="s">
        <v>1628</v>
      </c>
      <c r="C212" t="s">
        <v>1629</v>
      </c>
      <c r="D212" t="s">
        <v>1630</v>
      </c>
      <c r="E212" t="s">
        <v>1631</v>
      </c>
      <c r="F212" t="s">
        <v>1663</v>
      </c>
      <c r="G212" t="s">
        <v>154</v>
      </c>
      <c r="H212" t="s">
        <v>280</v>
      </c>
      <c r="I212" t="s">
        <v>1664</v>
      </c>
      <c r="J212" t="s">
        <v>1665</v>
      </c>
      <c r="K212" t="s">
        <v>1636</v>
      </c>
      <c r="L212" t="s">
        <v>1666</v>
      </c>
      <c r="M212" t="s">
        <v>1667</v>
      </c>
      <c r="N212" t="s">
        <v>2434</v>
      </c>
      <c r="O212" t="s">
        <v>1967</v>
      </c>
      <c r="P212" t="s">
        <v>1984</v>
      </c>
      <c r="Q212" t="s">
        <v>1972</v>
      </c>
      <c r="R212" t="s">
        <v>1991</v>
      </c>
      <c r="S212" t="s">
        <v>2073</v>
      </c>
      <c r="T212" t="s">
        <v>2435</v>
      </c>
      <c r="U212" t="s">
        <v>2436</v>
      </c>
      <c r="V212" t="s">
        <v>2725</v>
      </c>
      <c r="Y212" t="s">
        <v>2709</v>
      </c>
      <c r="Z212" t="s">
        <v>2442</v>
      </c>
      <c r="AA212" t="s">
        <v>2443</v>
      </c>
      <c r="AB212" t="s">
        <v>2710</v>
      </c>
      <c r="AC212" t="s">
        <v>2726</v>
      </c>
      <c r="AD212" t="s">
        <v>1666</v>
      </c>
      <c r="AE212" t="s">
        <v>2001</v>
      </c>
      <c r="AG212" t="s">
        <v>2001</v>
      </c>
    </row>
    <row r="213">
      <c r="A213" t="s">
        <v>2727</v>
      </c>
      <c r="B213" t="s">
        <v>1628</v>
      </c>
      <c r="C213" t="s">
        <v>1668</v>
      </c>
      <c r="D213" t="s">
        <v>1669</v>
      </c>
      <c r="E213" t="s">
        <v>1670</v>
      </c>
      <c r="F213" t="s">
        <v>1671</v>
      </c>
      <c r="G213" t="s">
        <v>129</v>
      </c>
      <c r="H213" t="s">
        <v>138</v>
      </c>
      <c r="I213" t="s">
        <v>1672</v>
      </c>
      <c r="J213" t="s">
        <v>1673</v>
      </c>
      <c r="K213" t="s">
        <v>1674</v>
      </c>
      <c r="L213" t="s">
        <v>1675</v>
      </c>
      <c r="M213" t="s">
        <v>1676</v>
      </c>
      <c r="N213" t="s">
        <v>2434</v>
      </c>
      <c r="O213" t="s">
        <v>1967</v>
      </c>
      <c r="P213" t="s">
        <v>1984</v>
      </c>
      <c r="Q213" t="s">
        <v>1972</v>
      </c>
      <c r="R213" t="s">
        <v>1991</v>
      </c>
      <c r="S213" t="s">
        <v>2073</v>
      </c>
      <c r="T213" t="s">
        <v>2435</v>
      </c>
      <c r="U213" t="s">
        <v>2436</v>
      </c>
      <c r="V213" t="s">
        <v>2728</v>
      </c>
      <c r="W213" t="s">
        <v>2078</v>
      </c>
      <c r="X213" t="s">
        <v>2078</v>
      </c>
      <c r="Y213" t="s">
        <v>2709</v>
      </c>
      <c r="Z213" t="s">
        <v>2442</v>
      </c>
      <c r="AA213" t="s">
        <v>2443</v>
      </c>
      <c r="AB213" t="s">
        <v>2710</v>
      </c>
      <c r="AC213" t="s">
        <v>2729</v>
      </c>
      <c r="AD213" t="s">
        <v>1675</v>
      </c>
      <c r="AE213" t="s">
        <v>2001</v>
      </c>
      <c r="AG213" t="s">
        <v>2001</v>
      </c>
    </row>
    <row r="214">
      <c r="A214" t="s">
        <v>2730</v>
      </c>
      <c r="B214" t="s">
        <v>1628</v>
      </c>
      <c r="C214" t="s">
        <v>1668</v>
      </c>
      <c r="D214" t="s">
        <v>1669</v>
      </c>
      <c r="E214" t="s">
        <v>1670</v>
      </c>
      <c r="F214" t="s">
        <v>1678</v>
      </c>
      <c r="G214" t="s">
        <v>97</v>
      </c>
      <c r="H214" t="s">
        <v>1679</v>
      </c>
      <c r="I214" t="s">
        <v>1680</v>
      </c>
      <c r="J214" t="s">
        <v>1681</v>
      </c>
      <c r="K214" t="s">
        <v>1674</v>
      </c>
      <c r="L214" t="s">
        <v>1682</v>
      </c>
      <c r="M214" t="s">
        <v>1683</v>
      </c>
      <c r="N214" t="s">
        <v>2434</v>
      </c>
      <c r="O214" t="s">
        <v>1967</v>
      </c>
      <c r="P214" t="s">
        <v>1984</v>
      </c>
      <c r="Q214" t="s">
        <v>1972</v>
      </c>
      <c r="R214" t="s">
        <v>1991</v>
      </c>
      <c r="S214" t="s">
        <v>2073</v>
      </c>
      <c r="T214" t="s">
        <v>2435</v>
      </c>
      <c r="U214" t="s">
        <v>2436</v>
      </c>
      <c r="V214" t="s">
        <v>2731</v>
      </c>
      <c r="W214" t="s">
        <v>2078</v>
      </c>
      <c r="X214" t="s">
        <v>2078</v>
      </c>
      <c r="Y214" t="s">
        <v>2709</v>
      </c>
      <c r="Z214" t="s">
        <v>2442</v>
      </c>
      <c r="AA214" t="s">
        <v>2443</v>
      </c>
      <c r="AB214" t="s">
        <v>2710</v>
      </c>
      <c r="AC214" t="s">
        <v>2732</v>
      </c>
      <c r="AD214" t="s">
        <v>1682</v>
      </c>
      <c r="AE214" t="s">
        <v>2001</v>
      </c>
      <c r="AG214" t="s">
        <v>2001</v>
      </c>
    </row>
    <row r="215">
      <c r="A215" t="s">
        <v>2733</v>
      </c>
      <c r="B215" t="s">
        <v>1628</v>
      </c>
      <c r="C215" t="s">
        <v>1668</v>
      </c>
      <c r="D215" t="s">
        <v>1669</v>
      </c>
      <c r="E215" t="s">
        <v>1670</v>
      </c>
      <c r="F215" t="s">
        <v>1684</v>
      </c>
      <c r="G215" t="s">
        <v>154</v>
      </c>
      <c r="H215" t="s">
        <v>1685</v>
      </c>
      <c r="I215" t="s">
        <v>1686</v>
      </c>
      <c r="J215" t="s">
        <v>1687</v>
      </c>
      <c r="K215" t="s">
        <v>1674</v>
      </c>
      <c r="L215" t="s">
        <v>1688</v>
      </c>
      <c r="M215" t="s">
        <v>1689</v>
      </c>
      <c r="N215" t="s">
        <v>2434</v>
      </c>
      <c r="O215" t="s">
        <v>1967</v>
      </c>
      <c r="P215" t="s">
        <v>1984</v>
      </c>
      <c r="Q215" t="s">
        <v>1972</v>
      </c>
      <c r="R215" t="s">
        <v>1991</v>
      </c>
      <c r="S215" t="s">
        <v>2073</v>
      </c>
      <c r="T215" t="s">
        <v>2435</v>
      </c>
      <c r="U215" t="s">
        <v>2436</v>
      </c>
      <c r="V215" t="s">
        <v>2734</v>
      </c>
      <c r="Y215" t="s">
        <v>2709</v>
      </c>
      <c r="Z215" t="s">
        <v>2442</v>
      </c>
      <c r="AA215" t="s">
        <v>2443</v>
      </c>
      <c r="AB215" t="s">
        <v>2710</v>
      </c>
      <c r="AC215" t="s">
        <v>2735</v>
      </c>
      <c r="AD215" t="s">
        <v>1688</v>
      </c>
      <c r="AE215" t="s">
        <v>2001</v>
      </c>
      <c r="AG215" t="s">
        <v>2001</v>
      </c>
    </row>
    <row r="216">
      <c r="A216" t="s">
        <v>2736</v>
      </c>
      <c r="B216" t="s">
        <v>1628</v>
      </c>
      <c r="C216" t="s">
        <v>1668</v>
      </c>
      <c r="D216" t="s">
        <v>1669</v>
      </c>
      <c r="E216" t="s">
        <v>1670</v>
      </c>
      <c r="F216" t="s">
        <v>1690</v>
      </c>
      <c r="G216" t="s">
        <v>154</v>
      </c>
      <c r="H216" t="s">
        <v>1691</v>
      </c>
      <c r="I216" t="s">
        <v>1692</v>
      </c>
      <c r="J216" t="s">
        <v>1693</v>
      </c>
      <c r="K216" t="s">
        <v>1674</v>
      </c>
      <c r="L216" t="s">
        <v>1694</v>
      </c>
      <c r="M216" t="s">
        <v>1695</v>
      </c>
      <c r="N216" t="s">
        <v>2434</v>
      </c>
      <c r="O216" t="s">
        <v>1967</v>
      </c>
      <c r="P216" t="s">
        <v>1984</v>
      </c>
      <c r="Q216" t="s">
        <v>1972</v>
      </c>
      <c r="R216" t="s">
        <v>1991</v>
      </c>
      <c r="S216" t="s">
        <v>2073</v>
      </c>
      <c r="T216" t="s">
        <v>2435</v>
      </c>
      <c r="U216" t="s">
        <v>2436</v>
      </c>
      <c r="V216" t="s">
        <v>2737</v>
      </c>
      <c r="Y216" t="s">
        <v>2709</v>
      </c>
      <c r="Z216" t="s">
        <v>2442</v>
      </c>
      <c r="AA216" t="s">
        <v>2443</v>
      </c>
      <c r="AB216" t="s">
        <v>2710</v>
      </c>
      <c r="AC216" t="s">
        <v>2738</v>
      </c>
      <c r="AD216" t="s">
        <v>1694</v>
      </c>
      <c r="AE216" t="s">
        <v>2001</v>
      </c>
      <c r="AG216" t="s">
        <v>2001</v>
      </c>
    </row>
    <row r="217">
      <c r="A217" t="s">
        <v>2739</v>
      </c>
      <c r="B217" t="s">
        <v>1628</v>
      </c>
      <c r="C217" t="s">
        <v>1668</v>
      </c>
      <c r="D217" t="s">
        <v>1669</v>
      </c>
      <c r="E217" t="s">
        <v>1670</v>
      </c>
      <c r="F217" t="s">
        <v>1696</v>
      </c>
      <c r="G217" t="s">
        <v>154</v>
      </c>
      <c r="H217" t="s">
        <v>1697</v>
      </c>
      <c r="I217" t="s">
        <v>1698</v>
      </c>
      <c r="J217" t="s">
        <v>1699</v>
      </c>
      <c r="K217" t="s">
        <v>1674</v>
      </c>
      <c r="L217" t="s">
        <v>1700</v>
      </c>
      <c r="M217" t="s">
        <v>1701</v>
      </c>
      <c r="N217" t="s">
        <v>2434</v>
      </c>
      <c r="O217" t="s">
        <v>1967</v>
      </c>
      <c r="P217" t="s">
        <v>1984</v>
      </c>
      <c r="Q217" t="s">
        <v>1972</v>
      </c>
      <c r="R217" t="s">
        <v>1991</v>
      </c>
      <c r="S217" t="s">
        <v>2073</v>
      </c>
      <c r="T217" t="s">
        <v>2435</v>
      </c>
      <c r="U217" t="s">
        <v>2436</v>
      </c>
      <c r="V217" t="s">
        <v>2740</v>
      </c>
      <c r="Y217" t="s">
        <v>2709</v>
      </c>
      <c r="Z217" t="s">
        <v>2442</v>
      </c>
      <c r="AA217" t="s">
        <v>2443</v>
      </c>
      <c r="AB217" t="s">
        <v>2710</v>
      </c>
      <c r="AC217" t="s">
        <v>2741</v>
      </c>
      <c r="AD217" t="s">
        <v>1700</v>
      </c>
      <c r="AE217" t="s">
        <v>2001</v>
      </c>
      <c r="AG217" t="s">
        <v>2001</v>
      </c>
    </row>
    <row r="218">
      <c r="A218" t="s">
        <v>2742</v>
      </c>
      <c r="B218" t="s">
        <v>1628</v>
      </c>
      <c r="C218" t="s">
        <v>1703</v>
      </c>
      <c r="D218" t="s">
        <v>1704</v>
      </c>
      <c r="E218" t="s">
        <v>1705</v>
      </c>
      <c r="F218" t="s">
        <v>1706</v>
      </c>
      <c r="G218" t="s">
        <v>154</v>
      </c>
      <c r="H218" t="s">
        <v>1633</v>
      </c>
      <c r="I218" t="s">
        <v>1707</v>
      </c>
      <c r="J218" t="s">
        <v>1708</v>
      </c>
      <c r="K218" t="s">
        <v>1709</v>
      </c>
      <c r="L218" t="s">
        <v>1710</v>
      </c>
      <c r="M218" t="s">
        <v>1711</v>
      </c>
      <c r="N218" t="s">
        <v>2434</v>
      </c>
      <c r="O218" t="s">
        <v>1967</v>
      </c>
      <c r="P218" t="s">
        <v>1984</v>
      </c>
      <c r="Q218" t="s">
        <v>1972</v>
      </c>
      <c r="R218" t="s">
        <v>1991</v>
      </c>
      <c r="S218" t="s">
        <v>2073</v>
      </c>
      <c r="T218" t="s">
        <v>2435</v>
      </c>
      <c r="U218" t="s">
        <v>2436</v>
      </c>
      <c r="V218" t="s">
        <v>2743</v>
      </c>
      <c r="Y218" t="s">
        <v>2709</v>
      </c>
      <c r="Z218" t="s">
        <v>2442</v>
      </c>
      <c r="AA218" t="s">
        <v>2443</v>
      </c>
      <c r="AB218" t="s">
        <v>2710</v>
      </c>
      <c r="AC218" t="s">
        <v>2744</v>
      </c>
      <c r="AD218" t="s">
        <v>1710</v>
      </c>
      <c r="AE218" t="s">
        <v>2001</v>
      </c>
      <c r="AG218" t="s">
        <v>2001</v>
      </c>
    </row>
    <row r="219">
      <c r="A219" t="s">
        <v>2745</v>
      </c>
      <c r="B219" t="s">
        <v>1628</v>
      </c>
      <c r="C219" t="s">
        <v>1703</v>
      </c>
      <c r="D219" t="s">
        <v>1704</v>
      </c>
      <c r="E219" t="s">
        <v>1705</v>
      </c>
      <c r="F219" t="s">
        <v>1713</v>
      </c>
      <c r="G219" t="s">
        <v>154</v>
      </c>
      <c r="H219" t="s">
        <v>1714</v>
      </c>
      <c r="I219" t="s">
        <v>1715</v>
      </c>
      <c r="J219" t="s">
        <v>1716</v>
      </c>
      <c r="K219" t="s">
        <v>1717</v>
      </c>
      <c r="L219" t="s">
        <v>1718</v>
      </c>
      <c r="M219" t="s">
        <v>1719</v>
      </c>
      <c r="N219" t="s">
        <v>2434</v>
      </c>
      <c r="O219" t="s">
        <v>1967</v>
      </c>
      <c r="P219" t="s">
        <v>1984</v>
      </c>
      <c r="Q219" t="s">
        <v>1972</v>
      </c>
      <c r="R219" t="s">
        <v>1991</v>
      </c>
      <c r="S219" t="s">
        <v>2073</v>
      </c>
      <c r="T219" t="s">
        <v>2435</v>
      </c>
      <c r="U219" t="s">
        <v>2436</v>
      </c>
      <c r="V219" t="s">
        <v>2746</v>
      </c>
      <c r="Y219" t="s">
        <v>2709</v>
      </c>
      <c r="Z219" t="s">
        <v>2442</v>
      </c>
      <c r="AA219" t="s">
        <v>2443</v>
      </c>
      <c r="AB219" t="s">
        <v>2710</v>
      </c>
      <c r="AC219" t="s">
        <v>2747</v>
      </c>
      <c r="AD219" t="s">
        <v>1718</v>
      </c>
      <c r="AE219" t="s">
        <v>2001</v>
      </c>
      <c r="AG219" t="s">
        <v>2001</v>
      </c>
    </row>
    <row r="220">
      <c r="A220" t="s">
        <v>2748</v>
      </c>
      <c r="B220" t="s">
        <v>1628</v>
      </c>
      <c r="C220" t="s">
        <v>1703</v>
      </c>
      <c r="D220" t="s">
        <v>1704</v>
      </c>
      <c r="E220" t="s">
        <v>1705</v>
      </c>
      <c r="F220" t="s">
        <v>1720</v>
      </c>
      <c r="G220" t="s">
        <v>120</v>
      </c>
      <c r="H220" t="s">
        <v>1721</v>
      </c>
      <c r="I220" t="s">
        <v>1722</v>
      </c>
      <c r="J220" t="s">
        <v>1723</v>
      </c>
      <c r="K220" t="s">
        <v>1717</v>
      </c>
      <c r="L220" t="s">
        <v>1724</v>
      </c>
      <c r="M220" t="s">
        <v>1725</v>
      </c>
      <c r="N220" t="s">
        <v>2434</v>
      </c>
      <c r="O220" t="s">
        <v>1967</v>
      </c>
      <c r="P220" t="s">
        <v>1984</v>
      </c>
      <c r="Q220" t="s">
        <v>1972</v>
      </c>
      <c r="R220" t="s">
        <v>1991</v>
      </c>
      <c r="S220" t="s">
        <v>2073</v>
      </c>
      <c r="T220" t="s">
        <v>2435</v>
      </c>
      <c r="U220" t="s">
        <v>2436</v>
      </c>
      <c r="V220" t="s">
        <v>2749</v>
      </c>
      <c r="Y220" t="s">
        <v>2709</v>
      </c>
      <c r="Z220" t="s">
        <v>2442</v>
      </c>
      <c r="AA220" t="s">
        <v>2443</v>
      </c>
      <c r="AB220" t="s">
        <v>2710</v>
      </c>
      <c r="AC220" t="s">
        <v>2750</v>
      </c>
      <c r="AD220" t="s">
        <v>1724</v>
      </c>
      <c r="AE220" t="s">
        <v>2001</v>
      </c>
      <c r="AG220" t="s">
        <v>2001</v>
      </c>
    </row>
    <row r="221">
      <c r="A221" t="s">
        <v>2751</v>
      </c>
      <c r="B221" t="s">
        <v>1628</v>
      </c>
      <c r="C221" t="s">
        <v>1703</v>
      </c>
      <c r="D221" t="s">
        <v>1704</v>
      </c>
      <c r="E221" t="s">
        <v>1705</v>
      </c>
      <c r="F221" t="s">
        <v>1726</v>
      </c>
      <c r="G221" t="s">
        <v>120</v>
      </c>
      <c r="H221" t="s">
        <v>1727</v>
      </c>
      <c r="I221" t="s">
        <v>1728</v>
      </c>
      <c r="J221" t="s">
        <v>1729</v>
      </c>
      <c r="K221" t="s">
        <v>1717</v>
      </c>
      <c r="L221" t="s">
        <v>1730</v>
      </c>
      <c r="M221" t="s">
        <v>1731</v>
      </c>
      <c r="N221" t="s">
        <v>2434</v>
      </c>
      <c r="O221" t="s">
        <v>1967</v>
      </c>
      <c r="P221" t="s">
        <v>1984</v>
      </c>
      <c r="Q221" t="s">
        <v>1972</v>
      </c>
      <c r="R221" t="s">
        <v>1991</v>
      </c>
      <c r="S221" t="s">
        <v>2073</v>
      </c>
      <c r="T221" t="s">
        <v>2435</v>
      </c>
      <c r="U221" t="s">
        <v>2436</v>
      </c>
      <c r="V221" t="s">
        <v>2752</v>
      </c>
      <c r="Y221" t="s">
        <v>2709</v>
      </c>
      <c r="Z221" t="s">
        <v>2442</v>
      </c>
      <c r="AA221" t="s">
        <v>2443</v>
      </c>
      <c r="AB221" t="s">
        <v>2710</v>
      </c>
      <c r="AC221" t="s">
        <v>2753</v>
      </c>
      <c r="AD221" t="s">
        <v>1730</v>
      </c>
      <c r="AE221" t="s">
        <v>2001</v>
      </c>
      <c r="AG221" t="s">
        <v>2001</v>
      </c>
    </row>
    <row r="222">
      <c r="A222" t="s">
        <v>2754</v>
      </c>
      <c r="B222" t="s">
        <v>1628</v>
      </c>
      <c r="C222" t="s">
        <v>1732</v>
      </c>
      <c r="D222" t="s">
        <v>1733</v>
      </c>
      <c r="E222" t="s">
        <v>1734</v>
      </c>
      <c r="F222" t="s">
        <v>1735</v>
      </c>
      <c r="G222" t="s">
        <v>129</v>
      </c>
      <c r="H222" t="s">
        <v>1736</v>
      </c>
      <c r="I222" t="s">
        <v>1737</v>
      </c>
      <c r="J222" t="s">
        <v>1738</v>
      </c>
      <c r="K222" t="s">
        <v>1739</v>
      </c>
      <c r="L222" t="s">
        <v>1740</v>
      </c>
      <c r="M222" t="s">
        <v>1741</v>
      </c>
      <c r="N222" t="s">
        <v>2434</v>
      </c>
      <c r="O222" t="s">
        <v>1967</v>
      </c>
      <c r="P222" t="s">
        <v>1984</v>
      </c>
      <c r="Q222" t="s">
        <v>1972</v>
      </c>
      <c r="R222" t="s">
        <v>1991</v>
      </c>
      <c r="S222" t="s">
        <v>2073</v>
      </c>
      <c r="T222" t="s">
        <v>2435</v>
      </c>
      <c r="U222" t="s">
        <v>2436</v>
      </c>
      <c r="V222" t="s">
        <v>2755</v>
      </c>
      <c r="W222" t="s">
        <v>2078</v>
      </c>
      <c r="X222" t="s">
        <v>2078</v>
      </c>
      <c r="Y222" t="s">
        <v>2441</v>
      </c>
      <c r="Z222" t="s">
        <v>2442</v>
      </c>
      <c r="AA222" t="s">
        <v>2443</v>
      </c>
      <c r="AB222" t="s">
        <v>2444</v>
      </c>
      <c r="AC222" t="s">
        <v>2756</v>
      </c>
      <c r="AD222" t="s">
        <v>1740</v>
      </c>
      <c r="AE222" t="s">
        <v>2001</v>
      </c>
      <c r="AG222" t="s">
        <v>2001</v>
      </c>
    </row>
    <row r="223">
      <c r="A223" t="s">
        <v>2757</v>
      </c>
      <c r="B223" t="s">
        <v>1628</v>
      </c>
      <c r="C223" t="s">
        <v>1732</v>
      </c>
      <c r="D223" t="s">
        <v>1733</v>
      </c>
      <c r="E223" t="s">
        <v>1734</v>
      </c>
      <c r="F223" t="s">
        <v>1743</v>
      </c>
      <c r="G223" t="s">
        <v>97</v>
      </c>
      <c r="H223" t="s">
        <v>1744</v>
      </c>
      <c r="I223" t="s">
        <v>1745</v>
      </c>
      <c r="J223" t="s">
        <v>1746</v>
      </c>
      <c r="K223" t="s">
        <v>1739</v>
      </c>
      <c r="L223" t="s">
        <v>1747</v>
      </c>
      <c r="M223" t="s">
        <v>1748</v>
      </c>
      <c r="N223" t="s">
        <v>2434</v>
      </c>
      <c r="O223" t="s">
        <v>1967</v>
      </c>
      <c r="P223" t="s">
        <v>1984</v>
      </c>
      <c r="Q223" t="s">
        <v>1972</v>
      </c>
      <c r="R223" t="s">
        <v>1991</v>
      </c>
      <c r="S223" t="s">
        <v>2073</v>
      </c>
      <c r="T223" t="s">
        <v>2435</v>
      </c>
      <c r="U223" t="s">
        <v>2436</v>
      </c>
      <c r="V223" t="s">
        <v>2758</v>
      </c>
      <c r="W223" t="s">
        <v>2078</v>
      </c>
      <c r="X223" t="s">
        <v>2078</v>
      </c>
      <c r="Y223" t="s">
        <v>2441</v>
      </c>
      <c r="Z223" t="s">
        <v>2442</v>
      </c>
      <c r="AA223" t="s">
        <v>2443</v>
      </c>
      <c r="AB223" t="s">
        <v>2444</v>
      </c>
      <c r="AC223" t="s">
        <v>2759</v>
      </c>
      <c r="AD223" t="s">
        <v>1747</v>
      </c>
      <c r="AE223" t="s">
        <v>2001</v>
      </c>
      <c r="AG223" t="s">
        <v>2001</v>
      </c>
    </row>
    <row r="224">
      <c r="A224" t="s">
        <v>2760</v>
      </c>
      <c r="B224" t="s">
        <v>1628</v>
      </c>
      <c r="C224" t="s">
        <v>1732</v>
      </c>
      <c r="D224" t="s">
        <v>1733</v>
      </c>
      <c r="E224" t="s">
        <v>1734</v>
      </c>
      <c r="F224" t="s">
        <v>1750</v>
      </c>
      <c r="G224" t="s">
        <v>154</v>
      </c>
      <c r="H224" t="s">
        <v>1751</v>
      </c>
      <c r="I224" t="s">
        <v>1752</v>
      </c>
      <c r="J224" t="s">
        <v>1753</v>
      </c>
      <c r="K224" t="s">
        <v>1739</v>
      </c>
      <c r="L224" t="s">
        <v>1754</v>
      </c>
      <c r="M224" t="s">
        <v>1755</v>
      </c>
      <c r="N224" t="s">
        <v>2434</v>
      </c>
      <c r="O224" t="s">
        <v>1967</v>
      </c>
      <c r="P224" t="s">
        <v>1984</v>
      </c>
      <c r="Q224" t="s">
        <v>1972</v>
      </c>
      <c r="R224" t="s">
        <v>1991</v>
      </c>
      <c r="S224" t="s">
        <v>2073</v>
      </c>
      <c r="T224" t="s">
        <v>2435</v>
      </c>
      <c r="U224" t="s">
        <v>2436</v>
      </c>
      <c r="V224" t="s">
        <v>2761</v>
      </c>
      <c r="Y224" t="s">
        <v>2441</v>
      </c>
      <c r="Z224" t="s">
        <v>2442</v>
      </c>
      <c r="AA224" t="s">
        <v>2443</v>
      </c>
      <c r="AB224" t="s">
        <v>2444</v>
      </c>
      <c r="AC224" t="s">
        <v>2762</v>
      </c>
      <c r="AD224" t="s">
        <v>1754</v>
      </c>
      <c r="AE224" t="s">
        <v>2001</v>
      </c>
      <c r="AG224" t="s">
        <v>2001</v>
      </c>
    </row>
    <row r="225">
      <c r="A225" t="s">
        <v>2763</v>
      </c>
      <c r="B225" t="s">
        <v>1628</v>
      </c>
      <c r="C225" t="s">
        <v>1732</v>
      </c>
      <c r="D225" t="s">
        <v>1733</v>
      </c>
      <c r="E225" t="s">
        <v>1734</v>
      </c>
      <c r="F225" t="s">
        <v>1756</v>
      </c>
      <c r="G225" t="s">
        <v>97</v>
      </c>
      <c r="H225" t="s">
        <v>1757</v>
      </c>
      <c r="I225" t="s">
        <v>1758</v>
      </c>
      <c r="J225" t="s">
        <v>1759</v>
      </c>
      <c r="K225" t="s">
        <v>1739</v>
      </c>
      <c r="L225" t="s">
        <v>1760</v>
      </c>
      <c r="M225" t="s">
        <v>1761</v>
      </c>
      <c r="N225" t="s">
        <v>2434</v>
      </c>
      <c r="O225" t="s">
        <v>1967</v>
      </c>
      <c r="P225" t="s">
        <v>1984</v>
      </c>
      <c r="Q225" t="s">
        <v>1972</v>
      </c>
      <c r="R225" t="s">
        <v>1991</v>
      </c>
      <c r="S225" t="s">
        <v>2073</v>
      </c>
      <c r="T225" t="s">
        <v>2435</v>
      </c>
      <c r="U225" t="s">
        <v>2436</v>
      </c>
      <c r="V225" t="s">
        <v>2764</v>
      </c>
      <c r="W225" t="s">
        <v>2078</v>
      </c>
      <c r="X225" t="s">
        <v>2078</v>
      </c>
      <c r="Y225" t="s">
        <v>2441</v>
      </c>
      <c r="Z225" t="s">
        <v>2442</v>
      </c>
      <c r="AA225" t="s">
        <v>2443</v>
      </c>
      <c r="AB225" t="s">
        <v>2444</v>
      </c>
      <c r="AC225" t="s">
        <v>2765</v>
      </c>
      <c r="AD225" t="s">
        <v>1760</v>
      </c>
      <c r="AE225" t="s">
        <v>2001</v>
      </c>
      <c r="AG225" t="s">
        <v>2001</v>
      </c>
    </row>
    <row r="226">
      <c r="A226" t="s">
        <v>2766</v>
      </c>
      <c r="B226" t="s">
        <v>1628</v>
      </c>
      <c r="C226" t="s">
        <v>1732</v>
      </c>
      <c r="D226" t="s">
        <v>1733</v>
      </c>
      <c r="E226" t="s">
        <v>1734</v>
      </c>
      <c r="F226" t="s">
        <v>1762</v>
      </c>
      <c r="G226" t="s">
        <v>154</v>
      </c>
      <c r="H226" t="s">
        <v>1763</v>
      </c>
      <c r="I226" t="s">
        <v>1764</v>
      </c>
      <c r="J226" t="s">
        <v>1765</v>
      </c>
      <c r="K226" t="s">
        <v>1739</v>
      </c>
      <c r="L226" t="s">
        <v>1766</v>
      </c>
      <c r="M226" t="s">
        <v>1767</v>
      </c>
      <c r="N226" t="s">
        <v>2434</v>
      </c>
      <c r="O226" t="s">
        <v>1967</v>
      </c>
      <c r="P226" t="s">
        <v>1984</v>
      </c>
      <c r="Q226" t="s">
        <v>1972</v>
      </c>
      <c r="R226" t="s">
        <v>1991</v>
      </c>
      <c r="S226" t="s">
        <v>2073</v>
      </c>
      <c r="T226" t="s">
        <v>2435</v>
      </c>
      <c r="U226" t="s">
        <v>2436</v>
      </c>
      <c r="V226" t="s">
        <v>2767</v>
      </c>
      <c r="Y226" t="s">
        <v>2441</v>
      </c>
      <c r="Z226" t="s">
        <v>2442</v>
      </c>
      <c r="AA226" t="s">
        <v>2443</v>
      </c>
      <c r="AB226" t="s">
        <v>2444</v>
      </c>
      <c r="AC226" t="s">
        <v>2768</v>
      </c>
      <c r="AD226" t="s">
        <v>1766</v>
      </c>
      <c r="AE226" t="s">
        <v>2001</v>
      </c>
      <c r="AG226" t="s">
        <v>2001</v>
      </c>
    </row>
    <row r="227">
      <c r="A227" t="s">
        <v>2769</v>
      </c>
      <c r="B227" t="s">
        <v>1628</v>
      </c>
      <c r="C227" t="s">
        <v>1732</v>
      </c>
      <c r="D227" t="s">
        <v>1733</v>
      </c>
      <c r="E227" t="s">
        <v>1734</v>
      </c>
      <c r="F227" t="s">
        <v>1768</v>
      </c>
      <c r="G227" t="s">
        <v>97</v>
      </c>
      <c r="H227" t="s">
        <v>1769</v>
      </c>
      <c r="I227" t="s">
        <v>1770</v>
      </c>
      <c r="J227" t="s">
        <v>1771</v>
      </c>
      <c r="K227" t="s">
        <v>1739</v>
      </c>
      <c r="L227" t="s">
        <v>1772</v>
      </c>
      <c r="M227" t="s">
        <v>1773</v>
      </c>
      <c r="N227" t="s">
        <v>2434</v>
      </c>
      <c r="O227" t="s">
        <v>1967</v>
      </c>
      <c r="P227" t="s">
        <v>1984</v>
      </c>
      <c r="Q227" t="s">
        <v>1972</v>
      </c>
      <c r="R227" t="s">
        <v>1991</v>
      </c>
      <c r="S227" t="s">
        <v>2073</v>
      </c>
      <c r="T227" t="s">
        <v>2435</v>
      </c>
      <c r="U227" t="s">
        <v>2436</v>
      </c>
      <c r="V227" t="s">
        <v>2770</v>
      </c>
      <c r="W227" t="s">
        <v>2078</v>
      </c>
      <c r="X227" t="s">
        <v>2078</v>
      </c>
      <c r="Y227" t="s">
        <v>2441</v>
      </c>
      <c r="Z227" t="s">
        <v>2442</v>
      </c>
      <c r="AA227" t="s">
        <v>2443</v>
      </c>
      <c r="AB227" t="s">
        <v>2444</v>
      </c>
      <c r="AC227" t="s">
        <v>2771</v>
      </c>
      <c r="AD227" t="s">
        <v>1772</v>
      </c>
      <c r="AE227" t="s">
        <v>2001</v>
      </c>
      <c r="AG227" t="s">
        <v>2001</v>
      </c>
    </row>
    <row r="228">
      <c r="A228" t="s">
        <v>2772</v>
      </c>
      <c r="B228" t="s">
        <v>1628</v>
      </c>
      <c r="C228" t="s">
        <v>1774</v>
      </c>
      <c r="D228" t="s">
        <v>1775</v>
      </c>
      <c r="E228" t="s">
        <v>1776</v>
      </c>
      <c r="F228" t="s">
        <v>1777</v>
      </c>
      <c r="G228" t="s">
        <v>129</v>
      </c>
      <c r="H228" t="s">
        <v>1778</v>
      </c>
      <c r="I228" t="s">
        <v>1779</v>
      </c>
      <c r="J228" t="s">
        <v>1780</v>
      </c>
      <c r="K228" t="s">
        <v>1781</v>
      </c>
      <c r="L228" t="s">
        <v>1782</v>
      </c>
      <c r="M228" t="s">
        <v>1783</v>
      </c>
      <c r="N228" t="s">
        <v>2773</v>
      </c>
      <c r="O228" t="s">
        <v>1967</v>
      </c>
      <c r="P228" t="s">
        <v>1982</v>
      </c>
      <c r="Q228" t="s">
        <v>1972</v>
      </c>
      <c r="R228" t="s">
        <v>1991</v>
      </c>
      <c r="S228" t="s">
        <v>2073</v>
      </c>
      <c r="T228" t="s">
        <v>2220</v>
      </c>
      <c r="U228" t="s">
        <v>2436</v>
      </c>
      <c r="V228" t="s">
        <v>2774</v>
      </c>
      <c r="W228" t="s">
        <v>2078</v>
      </c>
      <c r="X228" t="s">
        <v>2078</v>
      </c>
      <c r="Y228" t="s">
        <v>2441</v>
      </c>
      <c r="Z228" t="s">
        <v>2442</v>
      </c>
      <c r="AA228" t="s">
        <v>2443</v>
      </c>
      <c r="AB228" t="s">
        <v>2669</v>
      </c>
      <c r="AC228" t="s">
        <v>2775</v>
      </c>
      <c r="AD228" t="s">
        <v>1782</v>
      </c>
      <c r="AE228" t="s">
        <v>2001</v>
      </c>
      <c r="AG228" t="s">
        <v>2001</v>
      </c>
    </row>
    <row r="229">
      <c r="A229" t="s">
        <v>2776</v>
      </c>
      <c r="B229" t="s">
        <v>1628</v>
      </c>
      <c r="C229" t="s">
        <v>1774</v>
      </c>
      <c r="D229" t="s">
        <v>1775</v>
      </c>
      <c r="E229" t="s">
        <v>1776</v>
      </c>
      <c r="F229" t="s">
        <v>1785</v>
      </c>
      <c r="G229" t="s">
        <v>154</v>
      </c>
      <c r="H229" t="s">
        <v>1786</v>
      </c>
      <c r="I229" t="s">
        <v>1787</v>
      </c>
      <c r="J229" t="s">
        <v>1788</v>
      </c>
      <c r="K229" t="s">
        <v>1781</v>
      </c>
      <c r="L229" t="s">
        <v>1789</v>
      </c>
      <c r="M229" t="s">
        <v>1790</v>
      </c>
      <c r="N229" t="s">
        <v>2773</v>
      </c>
      <c r="O229" t="s">
        <v>1967</v>
      </c>
      <c r="P229" t="s">
        <v>1982</v>
      </c>
      <c r="Q229" t="s">
        <v>1972</v>
      </c>
      <c r="R229" t="s">
        <v>1991</v>
      </c>
      <c r="S229" t="s">
        <v>2073</v>
      </c>
      <c r="T229" t="s">
        <v>2220</v>
      </c>
      <c r="U229" t="s">
        <v>2436</v>
      </c>
      <c r="Y229" t="s">
        <v>2441</v>
      </c>
      <c r="Z229" t="s">
        <v>2442</v>
      </c>
      <c r="AA229" t="s">
        <v>2443</v>
      </c>
      <c r="AB229" t="s">
        <v>2669</v>
      </c>
      <c r="AC229" t="s">
        <v>2777</v>
      </c>
      <c r="AD229" t="s">
        <v>1789</v>
      </c>
      <c r="AE229" t="s">
        <v>2002</v>
      </c>
      <c r="AF229" t="s">
        <v>2778</v>
      </c>
      <c r="AG229" t="s">
        <v>2001</v>
      </c>
    </row>
    <row r="230">
      <c r="A230" t="s">
        <v>2779</v>
      </c>
      <c r="B230" t="s">
        <v>1628</v>
      </c>
      <c r="C230" t="s">
        <v>1774</v>
      </c>
      <c r="D230" t="s">
        <v>1775</v>
      </c>
      <c r="E230" t="s">
        <v>1776</v>
      </c>
      <c r="F230" t="s">
        <v>1792</v>
      </c>
      <c r="G230" t="s">
        <v>154</v>
      </c>
      <c r="H230" t="s">
        <v>1793</v>
      </c>
      <c r="I230" t="s">
        <v>1794</v>
      </c>
      <c r="J230" t="s">
        <v>1795</v>
      </c>
      <c r="K230" t="s">
        <v>1781</v>
      </c>
      <c r="L230" t="s">
        <v>1796</v>
      </c>
      <c r="M230" t="s">
        <v>1797</v>
      </c>
      <c r="N230" t="s">
        <v>2773</v>
      </c>
      <c r="O230" t="s">
        <v>1967</v>
      </c>
      <c r="P230" t="s">
        <v>1982</v>
      </c>
      <c r="Q230" t="s">
        <v>1972</v>
      </c>
      <c r="R230" t="s">
        <v>1991</v>
      </c>
      <c r="S230" t="s">
        <v>2073</v>
      </c>
      <c r="T230" t="s">
        <v>2220</v>
      </c>
      <c r="U230" t="s">
        <v>2436</v>
      </c>
      <c r="V230" t="s">
        <v>2780</v>
      </c>
      <c r="Y230" t="s">
        <v>2441</v>
      </c>
      <c r="Z230" t="s">
        <v>2442</v>
      </c>
      <c r="AA230" t="s">
        <v>2443</v>
      </c>
      <c r="AB230" t="s">
        <v>2669</v>
      </c>
      <c r="AC230" t="s">
        <v>2781</v>
      </c>
      <c r="AD230" t="s">
        <v>1796</v>
      </c>
      <c r="AE230" t="s">
        <v>2001</v>
      </c>
      <c r="AG230" t="s">
        <v>2001</v>
      </c>
    </row>
    <row r="231">
      <c r="A231" t="s">
        <v>2782</v>
      </c>
      <c r="B231" t="s">
        <v>1798</v>
      </c>
      <c r="C231" t="s">
        <v>1799</v>
      </c>
      <c r="D231" t="s">
        <v>1800</v>
      </c>
      <c r="E231" t="s">
        <v>1801</v>
      </c>
      <c r="F231" t="s">
        <v>1802</v>
      </c>
      <c r="G231" t="s">
        <v>154</v>
      </c>
      <c r="H231" t="s">
        <v>1803</v>
      </c>
      <c r="I231" t="s">
        <v>1804</v>
      </c>
      <c r="J231" t="s">
        <v>1805</v>
      </c>
      <c r="K231" t="s">
        <v>1806</v>
      </c>
      <c r="L231" t="s">
        <v>1807</v>
      </c>
      <c r="M231" t="s">
        <v>1808</v>
      </c>
      <c r="N231" t="s">
        <v>2434</v>
      </c>
      <c r="O231" t="s">
        <v>1967</v>
      </c>
      <c r="P231" t="s">
        <v>1984</v>
      </c>
      <c r="Q231" t="s">
        <v>1972</v>
      </c>
      <c r="R231" t="s">
        <v>1991</v>
      </c>
      <c r="S231" t="s">
        <v>2073</v>
      </c>
      <c r="T231" t="s">
        <v>2435</v>
      </c>
      <c r="U231" t="s">
        <v>2436</v>
      </c>
      <c r="V231" t="s">
        <v>2783</v>
      </c>
      <c r="Y231" t="s">
        <v>2709</v>
      </c>
      <c r="Z231" t="s">
        <v>2442</v>
      </c>
      <c r="AA231" t="s">
        <v>2443</v>
      </c>
      <c r="AB231" t="s">
        <v>2710</v>
      </c>
      <c r="AC231" t="s">
        <v>2784</v>
      </c>
      <c r="AD231" t="s">
        <v>1807</v>
      </c>
      <c r="AE231" t="s">
        <v>2001</v>
      </c>
      <c r="AG231" t="s">
        <v>2001</v>
      </c>
    </row>
    <row r="232">
      <c r="A232" t="s">
        <v>2785</v>
      </c>
      <c r="B232" t="s">
        <v>1798</v>
      </c>
      <c r="C232" t="s">
        <v>1799</v>
      </c>
      <c r="D232" t="s">
        <v>1800</v>
      </c>
      <c r="E232" t="s">
        <v>1801</v>
      </c>
      <c r="F232" t="s">
        <v>1810</v>
      </c>
      <c r="G232" t="s">
        <v>120</v>
      </c>
      <c r="H232" t="s">
        <v>1811</v>
      </c>
      <c r="I232" t="s">
        <v>1812</v>
      </c>
      <c r="J232" t="s">
        <v>1813</v>
      </c>
      <c r="K232" t="s">
        <v>1806</v>
      </c>
      <c r="L232" t="s">
        <v>1814</v>
      </c>
      <c r="M232" t="s">
        <v>1815</v>
      </c>
      <c r="N232" t="s">
        <v>2434</v>
      </c>
      <c r="O232" t="s">
        <v>1967</v>
      </c>
      <c r="P232" t="s">
        <v>1984</v>
      </c>
      <c r="Q232" t="s">
        <v>1972</v>
      </c>
      <c r="R232" t="s">
        <v>1991</v>
      </c>
      <c r="S232" t="s">
        <v>2073</v>
      </c>
      <c r="T232" t="s">
        <v>2435</v>
      </c>
      <c r="U232" t="s">
        <v>2436</v>
      </c>
      <c r="V232" t="s">
        <v>2786</v>
      </c>
      <c r="Y232" t="s">
        <v>2709</v>
      </c>
      <c r="Z232" t="s">
        <v>2442</v>
      </c>
      <c r="AA232" t="s">
        <v>2443</v>
      </c>
      <c r="AB232" t="s">
        <v>2710</v>
      </c>
      <c r="AC232" t="s">
        <v>2787</v>
      </c>
      <c r="AD232" t="s">
        <v>1814</v>
      </c>
      <c r="AE232" t="s">
        <v>2001</v>
      </c>
      <c r="AG232" t="s">
        <v>2001</v>
      </c>
    </row>
    <row r="233">
      <c r="A233" t="s">
        <v>2788</v>
      </c>
      <c r="B233" t="s">
        <v>1798</v>
      </c>
      <c r="C233" t="s">
        <v>1799</v>
      </c>
      <c r="D233" t="s">
        <v>1800</v>
      </c>
      <c r="E233" t="s">
        <v>1801</v>
      </c>
      <c r="F233" t="s">
        <v>1816</v>
      </c>
      <c r="G233" t="s">
        <v>120</v>
      </c>
      <c r="H233" t="s">
        <v>1810</v>
      </c>
      <c r="I233" t="s">
        <v>1817</v>
      </c>
      <c r="J233" t="s">
        <v>1818</v>
      </c>
      <c r="K233" t="s">
        <v>1819</v>
      </c>
      <c r="L233" t="s">
        <v>1820</v>
      </c>
      <c r="M233" t="s">
        <v>1821</v>
      </c>
      <c r="N233" t="s">
        <v>2434</v>
      </c>
      <c r="O233" t="s">
        <v>1967</v>
      </c>
      <c r="P233" t="s">
        <v>1984</v>
      </c>
      <c r="Q233" t="s">
        <v>1972</v>
      </c>
      <c r="R233" t="s">
        <v>1991</v>
      </c>
      <c r="S233" t="s">
        <v>2073</v>
      </c>
      <c r="T233" t="s">
        <v>2435</v>
      </c>
      <c r="U233" t="s">
        <v>2436</v>
      </c>
      <c r="V233" t="s">
        <v>2789</v>
      </c>
      <c r="Y233" t="s">
        <v>2709</v>
      </c>
      <c r="Z233" t="s">
        <v>2442</v>
      </c>
      <c r="AA233" t="s">
        <v>2443</v>
      </c>
      <c r="AB233" t="s">
        <v>2710</v>
      </c>
      <c r="AC233" t="s">
        <v>2784</v>
      </c>
      <c r="AD233" t="s">
        <v>1820</v>
      </c>
      <c r="AE233" t="s">
        <v>2001</v>
      </c>
      <c r="AG233" t="s">
        <v>2001</v>
      </c>
    </row>
    <row r="234">
      <c r="A234" t="s">
        <v>2790</v>
      </c>
      <c r="B234" t="s">
        <v>1798</v>
      </c>
      <c r="C234" t="s">
        <v>1799</v>
      </c>
      <c r="D234" t="s">
        <v>1800</v>
      </c>
      <c r="E234" t="s">
        <v>1801</v>
      </c>
      <c r="F234" t="s">
        <v>1822</v>
      </c>
      <c r="G234" t="s">
        <v>120</v>
      </c>
      <c r="H234" t="s">
        <v>2791</v>
      </c>
      <c r="I234" t="s">
        <v>1824</v>
      </c>
      <c r="J234" t="s">
        <v>1825</v>
      </c>
      <c r="K234" t="s">
        <v>1826</v>
      </c>
      <c r="L234" t="s">
        <v>1827</v>
      </c>
      <c r="M234" t="s">
        <v>1828</v>
      </c>
      <c r="N234" t="s">
        <v>2434</v>
      </c>
      <c r="O234" t="s">
        <v>1967</v>
      </c>
      <c r="P234" t="s">
        <v>1984</v>
      </c>
      <c r="Q234" t="s">
        <v>1972</v>
      </c>
      <c r="R234" t="s">
        <v>1991</v>
      </c>
      <c r="S234" t="s">
        <v>2073</v>
      </c>
      <c r="T234" t="s">
        <v>2435</v>
      </c>
      <c r="U234" t="s">
        <v>2436</v>
      </c>
      <c r="V234" t="s">
        <v>2792</v>
      </c>
      <c r="Y234" t="s">
        <v>2709</v>
      </c>
      <c r="Z234" t="s">
        <v>2442</v>
      </c>
      <c r="AA234" t="s">
        <v>2443</v>
      </c>
      <c r="AB234" t="s">
        <v>2710</v>
      </c>
      <c r="AC234" t="s">
        <v>2784</v>
      </c>
      <c r="AD234" t="s">
        <v>1827</v>
      </c>
      <c r="AE234" t="s">
        <v>2001</v>
      </c>
      <c r="AG234" t="s">
        <v>2001</v>
      </c>
    </row>
    <row r="235">
      <c r="A235" t="s">
        <v>2793</v>
      </c>
      <c r="B235" t="s">
        <v>1798</v>
      </c>
      <c r="C235" t="s">
        <v>1799</v>
      </c>
      <c r="D235" t="s">
        <v>1800</v>
      </c>
      <c r="E235" t="s">
        <v>1801</v>
      </c>
      <c r="F235" t="s">
        <v>1829</v>
      </c>
      <c r="G235" t="s">
        <v>120</v>
      </c>
      <c r="H235" t="s">
        <v>1023</v>
      </c>
      <c r="I235" t="s">
        <v>1830</v>
      </c>
      <c r="J235" t="s">
        <v>1831</v>
      </c>
      <c r="K235" t="s">
        <v>1832</v>
      </c>
      <c r="L235" t="s">
        <v>1833</v>
      </c>
      <c r="M235" t="s">
        <v>1834</v>
      </c>
      <c r="N235" t="s">
        <v>2434</v>
      </c>
      <c r="O235" t="s">
        <v>1965</v>
      </c>
      <c r="P235" t="s">
        <v>1984</v>
      </c>
      <c r="Q235" t="s">
        <v>1972</v>
      </c>
      <c r="R235" t="s">
        <v>1991</v>
      </c>
      <c r="S235" t="s">
        <v>2073</v>
      </c>
      <c r="T235" t="s">
        <v>2435</v>
      </c>
      <c r="U235" t="s">
        <v>2436</v>
      </c>
      <c r="V235" t="s">
        <v>2794</v>
      </c>
      <c r="Y235" t="s">
        <v>2709</v>
      </c>
      <c r="Z235" t="s">
        <v>2442</v>
      </c>
      <c r="AA235" t="s">
        <v>2443</v>
      </c>
      <c r="AB235" t="s">
        <v>2710</v>
      </c>
      <c r="AC235" t="s">
        <v>2795</v>
      </c>
      <c r="AD235" t="s">
        <v>1833</v>
      </c>
      <c r="AE235" t="s">
        <v>2001</v>
      </c>
      <c r="AG235" t="s">
        <v>2001</v>
      </c>
    </row>
    <row r="236">
      <c r="A236" t="s">
        <v>2796</v>
      </c>
      <c r="B236" t="s">
        <v>1798</v>
      </c>
      <c r="C236" t="s">
        <v>1799</v>
      </c>
      <c r="D236" t="s">
        <v>1800</v>
      </c>
      <c r="E236" t="s">
        <v>1801</v>
      </c>
      <c r="F236" t="s">
        <v>1836</v>
      </c>
      <c r="G236" t="s">
        <v>120</v>
      </c>
      <c r="H236" t="s">
        <v>1837</v>
      </c>
      <c r="I236" t="s">
        <v>1838</v>
      </c>
      <c r="J236" t="s">
        <v>1839</v>
      </c>
      <c r="K236" t="s">
        <v>1840</v>
      </c>
      <c r="L236" t="s">
        <v>1841</v>
      </c>
      <c r="M236" t="s">
        <v>1842</v>
      </c>
      <c r="N236" t="s">
        <v>2434</v>
      </c>
      <c r="O236" t="s">
        <v>1967</v>
      </c>
      <c r="P236" t="s">
        <v>1984</v>
      </c>
      <c r="Q236" t="s">
        <v>1972</v>
      </c>
      <c r="R236" t="s">
        <v>1991</v>
      </c>
      <c r="S236" t="s">
        <v>2073</v>
      </c>
      <c r="T236" t="s">
        <v>2435</v>
      </c>
      <c r="U236" t="s">
        <v>2436</v>
      </c>
      <c r="V236" t="s">
        <v>2797</v>
      </c>
      <c r="Y236" t="s">
        <v>2709</v>
      </c>
      <c r="Z236" t="s">
        <v>2442</v>
      </c>
      <c r="AA236" t="s">
        <v>2443</v>
      </c>
      <c r="AB236" t="s">
        <v>2710</v>
      </c>
      <c r="AC236" t="s">
        <v>2798</v>
      </c>
      <c r="AD236" t="s">
        <v>1841</v>
      </c>
      <c r="AE236" t="s">
        <v>2001</v>
      </c>
      <c r="AG236" t="s">
        <v>2001</v>
      </c>
    </row>
    <row r="237">
      <c r="A237" t="s">
        <v>2799</v>
      </c>
      <c r="B237" t="s">
        <v>1798</v>
      </c>
      <c r="C237" t="s">
        <v>1844</v>
      </c>
      <c r="D237" t="s">
        <v>1845</v>
      </c>
      <c r="E237" t="s">
        <v>1846</v>
      </c>
      <c r="F237" t="s">
        <v>1847</v>
      </c>
      <c r="G237" t="s">
        <v>120</v>
      </c>
      <c r="H237" t="s">
        <v>1848</v>
      </c>
      <c r="I237" t="s">
        <v>1849</v>
      </c>
      <c r="J237" t="s">
        <v>1850</v>
      </c>
      <c r="K237" t="s">
        <v>1851</v>
      </c>
      <c r="L237" t="s">
        <v>1852</v>
      </c>
      <c r="M237" t="s">
        <v>1853</v>
      </c>
      <c r="N237" t="s">
        <v>2434</v>
      </c>
      <c r="O237" t="s">
        <v>1967</v>
      </c>
      <c r="P237" t="s">
        <v>1984</v>
      </c>
      <c r="Q237" t="s">
        <v>1972</v>
      </c>
      <c r="R237" t="s">
        <v>1991</v>
      </c>
      <c r="S237" t="s">
        <v>2073</v>
      </c>
      <c r="T237" t="s">
        <v>2435</v>
      </c>
      <c r="U237" t="s">
        <v>2436</v>
      </c>
      <c r="V237" t="s">
        <v>2800</v>
      </c>
      <c r="Y237" t="s">
        <v>2709</v>
      </c>
      <c r="Z237" t="s">
        <v>2442</v>
      </c>
      <c r="AA237" t="s">
        <v>2443</v>
      </c>
      <c r="AB237" t="s">
        <v>2710</v>
      </c>
      <c r="AC237" t="s">
        <v>2801</v>
      </c>
      <c r="AD237" t="s">
        <v>1852</v>
      </c>
      <c r="AE237" t="s">
        <v>2001</v>
      </c>
      <c r="AG237" t="s">
        <v>2001</v>
      </c>
    </row>
    <row r="238">
      <c r="A238" t="s">
        <v>2802</v>
      </c>
      <c r="B238" t="s">
        <v>1798</v>
      </c>
      <c r="C238" t="s">
        <v>1844</v>
      </c>
      <c r="D238" t="s">
        <v>1845</v>
      </c>
      <c r="E238" t="s">
        <v>1846</v>
      </c>
      <c r="F238" t="s">
        <v>1855</v>
      </c>
      <c r="G238" t="s">
        <v>120</v>
      </c>
      <c r="H238" t="s">
        <v>1847</v>
      </c>
      <c r="I238" t="s">
        <v>1856</v>
      </c>
      <c r="J238" t="s">
        <v>1857</v>
      </c>
      <c r="K238" t="s">
        <v>1858</v>
      </c>
      <c r="L238" t="s">
        <v>1859</v>
      </c>
      <c r="M238" t="s">
        <v>1860</v>
      </c>
      <c r="N238" t="s">
        <v>2434</v>
      </c>
      <c r="O238" t="s">
        <v>1967</v>
      </c>
      <c r="P238" t="s">
        <v>1984</v>
      </c>
      <c r="Q238" t="s">
        <v>1972</v>
      </c>
      <c r="R238" t="s">
        <v>1991</v>
      </c>
      <c r="S238" t="s">
        <v>2073</v>
      </c>
      <c r="T238" t="s">
        <v>2435</v>
      </c>
      <c r="U238" t="s">
        <v>2436</v>
      </c>
      <c r="V238" t="s">
        <v>2803</v>
      </c>
      <c r="Y238" t="s">
        <v>2709</v>
      </c>
      <c r="Z238" t="s">
        <v>2442</v>
      </c>
      <c r="AA238" t="s">
        <v>2443</v>
      </c>
      <c r="AB238" t="s">
        <v>2710</v>
      </c>
      <c r="AC238" t="s">
        <v>2801</v>
      </c>
      <c r="AD238" t="s">
        <v>1859</v>
      </c>
      <c r="AE238" t="s">
        <v>2001</v>
      </c>
      <c r="AG238" t="s">
        <v>2001</v>
      </c>
    </row>
    <row r="239">
      <c r="A239" t="s">
        <v>2804</v>
      </c>
      <c r="B239" t="s">
        <v>1798</v>
      </c>
      <c r="C239" t="s">
        <v>1844</v>
      </c>
      <c r="D239" t="s">
        <v>1845</v>
      </c>
      <c r="E239" t="s">
        <v>1846</v>
      </c>
      <c r="F239" t="s">
        <v>1861</v>
      </c>
      <c r="G239" t="s">
        <v>120</v>
      </c>
      <c r="H239" t="s">
        <v>1862</v>
      </c>
      <c r="I239" t="s">
        <v>1863</v>
      </c>
      <c r="J239" t="s">
        <v>1864</v>
      </c>
      <c r="K239" t="s">
        <v>1865</v>
      </c>
      <c r="L239" t="s">
        <v>1866</v>
      </c>
      <c r="M239" t="s">
        <v>1867</v>
      </c>
      <c r="N239" t="s">
        <v>2434</v>
      </c>
      <c r="O239" t="s">
        <v>1967</v>
      </c>
      <c r="P239" t="s">
        <v>1984</v>
      </c>
      <c r="Q239" t="s">
        <v>1972</v>
      </c>
      <c r="R239" t="s">
        <v>1991</v>
      </c>
      <c r="S239" t="s">
        <v>2073</v>
      </c>
      <c r="T239" t="s">
        <v>2435</v>
      </c>
      <c r="U239" t="s">
        <v>2436</v>
      </c>
      <c r="V239" t="s">
        <v>2805</v>
      </c>
      <c r="Y239" t="s">
        <v>2709</v>
      </c>
      <c r="Z239" t="s">
        <v>2442</v>
      </c>
      <c r="AA239" t="s">
        <v>2443</v>
      </c>
      <c r="AB239" t="s">
        <v>2710</v>
      </c>
      <c r="AC239" t="s">
        <v>2801</v>
      </c>
      <c r="AD239" t="s">
        <v>1866</v>
      </c>
      <c r="AE239" t="s">
        <v>2001</v>
      </c>
      <c r="AG239" t="s">
        <v>2001</v>
      </c>
    </row>
    <row r="240">
      <c r="A240" t="s">
        <v>2806</v>
      </c>
      <c r="B240" t="s">
        <v>1798</v>
      </c>
      <c r="C240" t="s">
        <v>1844</v>
      </c>
      <c r="D240" t="s">
        <v>1845</v>
      </c>
      <c r="E240" t="s">
        <v>1846</v>
      </c>
      <c r="F240" t="s">
        <v>1868</v>
      </c>
      <c r="G240" t="s">
        <v>120</v>
      </c>
      <c r="H240" t="s">
        <v>1847</v>
      </c>
      <c r="I240" t="s">
        <v>1869</v>
      </c>
      <c r="J240" t="s">
        <v>1870</v>
      </c>
      <c r="K240" t="s">
        <v>1871</v>
      </c>
      <c r="L240" t="s">
        <v>1872</v>
      </c>
      <c r="M240" t="s">
        <v>1873</v>
      </c>
      <c r="N240" t="s">
        <v>2434</v>
      </c>
      <c r="O240" t="s">
        <v>1967</v>
      </c>
      <c r="P240" t="s">
        <v>1984</v>
      </c>
      <c r="Q240" t="s">
        <v>1972</v>
      </c>
      <c r="R240" t="s">
        <v>1991</v>
      </c>
      <c r="S240" t="s">
        <v>2073</v>
      </c>
      <c r="T240" t="s">
        <v>2435</v>
      </c>
      <c r="U240" t="s">
        <v>2436</v>
      </c>
      <c r="V240" t="s">
        <v>2807</v>
      </c>
      <c r="Y240" t="s">
        <v>2709</v>
      </c>
      <c r="Z240" t="s">
        <v>2442</v>
      </c>
      <c r="AA240" t="s">
        <v>2443</v>
      </c>
      <c r="AB240" t="s">
        <v>2710</v>
      </c>
      <c r="AC240" t="s">
        <v>2808</v>
      </c>
      <c r="AD240" t="s">
        <v>1872</v>
      </c>
      <c r="AE240" t="s">
        <v>2001</v>
      </c>
      <c r="AG240" t="s">
        <v>2001</v>
      </c>
    </row>
    <row r="241">
      <c r="A241" t="s">
        <v>2809</v>
      </c>
      <c r="B241" t="s">
        <v>1798</v>
      </c>
      <c r="C241" t="s">
        <v>1874</v>
      </c>
      <c r="D241" t="s">
        <v>1875</v>
      </c>
      <c r="E241" t="s">
        <v>1876</v>
      </c>
      <c r="F241" t="s">
        <v>1877</v>
      </c>
      <c r="G241" t="s">
        <v>120</v>
      </c>
      <c r="H241" t="s">
        <v>1878</v>
      </c>
      <c r="I241" t="s">
        <v>1879</v>
      </c>
      <c r="J241" t="s">
        <v>1880</v>
      </c>
      <c r="K241" t="s">
        <v>1881</v>
      </c>
      <c r="L241" t="s">
        <v>1882</v>
      </c>
      <c r="M241" t="s">
        <v>1883</v>
      </c>
      <c r="N241" t="s">
        <v>2434</v>
      </c>
      <c r="O241" t="s">
        <v>1967</v>
      </c>
      <c r="P241" t="s">
        <v>1984</v>
      </c>
      <c r="Q241" t="s">
        <v>1972</v>
      </c>
      <c r="R241" t="s">
        <v>1991</v>
      </c>
      <c r="S241" t="s">
        <v>2073</v>
      </c>
      <c r="T241" t="s">
        <v>2435</v>
      </c>
      <c r="U241" t="s">
        <v>2436</v>
      </c>
      <c r="V241" t="s">
        <v>2810</v>
      </c>
      <c r="Y241" t="s">
        <v>2709</v>
      </c>
      <c r="Z241" t="s">
        <v>2442</v>
      </c>
      <c r="AA241" t="s">
        <v>2443</v>
      </c>
      <c r="AB241" t="s">
        <v>2710</v>
      </c>
      <c r="AC241" t="s">
        <v>2811</v>
      </c>
      <c r="AD241" t="s">
        <v>1882</v>
      </c>
      <c r="AE241" t="s">
        <v>2001</v>
      </c>
      <c r="AG241" t="s">
        <v>2001</v>
      </c>
    </row>
    <row r="242">
      <c r="A242" t="s">
        <v>2812</v>
      </c>
      <c r="B242" t="s">
        <v>1798</v>
      </c>
      <c r="C242" t="s">
        <v>1874</v>
      </c>
      <c r="D242" t="s">
        <v>1875</v>
      </c>
      <c r="E242" t="s">
        <v>1876</v>
      </c>
      <c r="F242" t="s">
        <v>1885</v>
      </c>
      <c r="G242" t="s">
        <v>120</v>
      </c>
      <c r="H242" t="s">
        <v>1877</v>
      </c>
      <c r="I242" t="s">
        <v>1886</v>
      </c>
      <c r="J242" t="s">
        <v>1887</v>
      </c>
      <c r="K242" t="s">
        <v>1881</v>
      </c>
      <c r="L242" t="s">
        <v>1888</v>
      </c>
      <c r="M242" t="s">
        <v>1889</v>
      </c>
      <c r="N242" t="s">
        <v>2434</v>
      </c>
      <c r="O242" t="s">
        <v>1967</v>
      </c>
      <c r="P242" t="s">
        <v>1984</v>
      </c>
      <c r="Q242" t="s">
        <v>1972</v>
      </c>
      <c r="R242" t="s">
        <v>1991</v>
      </c>
      <c r="S242" t="s">
        <v>2073</v>
      </c>
      <c r="T242" t="s">
        <v>2435</v>
      </c>
      <c r="U242" t="s">
        <v>2436</v>
      </c>
      <c r="V242" t="s">
        <v>2813</v>
      </c>
      <c r="Y242" t="s">
        <v>2709</v>
      </c>
      <c r="Z242" t="s">
        <v>2442</v>
      </c>
      <c r="AA242" t="s">
        <v>2443</v>
      </c>
      <c r="AB242" t="s">
        <v>2710</v>
      </c>
      <c r="AC242" t="s">
        <v>2811</v>
      </c>
      <c r="AD242" t="s">
        <v>1888</v>
      </c>
      <c r="AE242" t="s">
        <v>2001</v>
      </c>
      <c r="AG242" t="s">
        <v>2001</v>
      </c>
    </row>
    <row r="243">
      <c r="A243" t="s">
        <v>2814</v>
      </c>
      <c r="B243" t="s">
        <v>1798</v>
      </c>
      <c r="C243" t="s">
        <v>1874</v>
      </c>
      <c r="D243" t="s">
        <v>1875</v>
      </c>
      <c r="E243" t="s">
        <v>1876</v>
      </c>
      <c r="F243" t="s">
        <v>1890</v>
      </c>
      <c r="G243" t="s">
        <v>120</v>
      </c>
      <c r="H243" t="s">
        <v>1891</v>
      </c>
      <c r="I243" t="s">
        <v>1892</v>
      </c>
      <c r="J243" t="s">
        <v>1893</v>
      </c>
      <c r="K243" t="s">
        <v>1894</v>
      </c>
      <c r="L243" t="s">
        <v>1895</v>
      </c>
      <c r="M243" t="s">
        <v>1896</v>
      </c>
      <c r="N243" t="s">
        <v>2434</v>
      </c>
      <c r="O243" t="s">
        <v>1967</v>
      </c>
      <c r="P243" t="s">
        <v>1984</v>
      </c>
      <c r="Q243" t="s">
        <v>1972</v>
      </c>
      <c r="R243" t="s">
        <v>1991</v>
      </c>
      <c r="S243" t="s">
        <v>2073</v>
      </c>
      <c r="T243" t="s">
        <v>2435</v>
      </c>
      <c r="U243" t="s">
        <v>2436</v>
      </c>
      <c r="V243" t="s">
        <v>2815</v>
      </c>
      <c r="Y243" t="s">
        <v>2709</v>
      </c>
      <c r="Z243" t="s">
        <v>2442</v>
      </c>
      <c r="AA243" t="s">
        <v>2443</v>
      </c>
      <c r="AB243" t="s">
        <v>2710</v>
      </c>
      <c r="AC243" t="s">
        <v>2811</v>
      </c>
      <c r="AD243" t="s">
        <v>1895</v>
      </c>
      <c r="AE243" t="s">
        <v>2001</v>
      </c>
      <c r="AG243" t="s">
        <v>2001</v>
      </c>
    </row>
    <row r="244">
      <c r="A244" t="s">
        <v>2816</v>
      </c>
      <c r="B244" t="s">
        <v>1798</v>
      </c>
      <c r="C244" t="s">
        <v>1874</v>
      </c>
      <c r="D244" t="s">
        <v>1875</v>
      </c>
      <c r="E244" t="s">
        <v>1876</v>
      </c>
      <c r="F244" t="s">
        <v>1897</v>
      </c>
      <c r="G244" t="s">
        <v>120</v>
      </c>
      <c r="H244" t="s">
        <v>1898</v>
      </c>
      <c r="I244" t="s">
        <v>1899</v>
      </c>
      <c r="J244" t="s">
        <v>1900</v>
      </c>
      <c r="K244" t="s">
        <v>1901</v>
      </c>
      <c r="L244" t="s">
        <v>1902</v>
      </c>
      <c r="M244" t="s">
        <v>1903</v>
      </c>
      <c r="N244" t="s">
        <v>2515</v>
      </c>
      <c r="O244" t="s">
        <v>1968</v>
      </c>
      <c r="P244" t="s">
        <v>1985</v>
      </c>
      <c r="Q244" t="s">
        <v>1971</v>
      </c>
      <c r="R244" t="s">
        <v>1991</v>
      </c>
      <c r="S244" t="s">
        <v>2073</v>
      </c>
      <c r="T244" t="s">
        <v>2435</v>
      </c>
      <c r="U244" t="s">
        <v>2516</v>
      </c>
      <c r="Y244" t="s">
        <v>2709</v>
      </c>
      <c r="Z244" t="s">
        <v>2442</v>
      </c>
      <c r="AA244" t="s">
        <v>2443</v>
      </c>
      <c r="AB244" t="s">
        <v>2710</v>
      </c>
      <c r="AC244" t="s">
        <v>2817</v>
      </c>
      <c r="AD244" t="s">
        <v>1902</v>
      </c>
      <c r="AE244" t="s">
        <v>2002</v>
      </c>
      <c r="AF244" t="s">
        <v>2818</v>
      </c>
      <c r="AG244" t="s">
        <v>2001</v>
      </c>
    </row>
    <row r="245">
      <c r="A245" t="s">
        <v>2819</v>
      </c>
      <c r="B245" t="s">
        <v>1798</v>
      </c>
      <c r="C245" t="s">
        <v>1874</v>
      </c>
      <c r="D245" t="s">
        <v>1875</v>
      </c>
      <c r="E245" t="s">
        <v>1876</v>
      </c>
      <c r="F245" t="s">
        <v>1905</v>
      </c>
      <c r="G245" t="s">
        <v>120</v>
      </c>
      <c r="H245" t="s">
        <v>1906</v>
      </c>
      <c r="I245" t="s">
        <v>1907</v>
      </c>
      <c r="J245" t="s">
        <v>1908</v>
      </c>
      <c r="K245" t="s">
        <v>1909</v>
      </c>
      <c r="L245" t="s">
        <v>1910</v>
      </c>
      <c r="M245" t="s">
        <v>1911</v>
      </c>
      <c r="N245" t="s">
        <v>2515</v>
      </c>
      <c r="O245" t="s">
        <v>1968</v>
      </c>
      <c r="P245" t="s">
        <v>1985</v>
      </c>
      <c r="Q245" t="s">
        <v>1971</v>
      </c>
      <c r="R245" t="s">
        <v>1991</v>
      </c>
      <c r="S245" t="s">
        <v>2073</v>
      </c>
      <c r="T245" t="s">
        <v>2435</v>
      </c>
      <c r="U245" t="s">
        <v>2516</v>
      </c>
      <c r="Y245" t="s">
        <v>2709</v>
      </c>
      <c r="Z245" t="s">
        <v>2442</v>
      </c>
      <c r="AA245" t="s">
        <v>2443</v>
      </c>
      <c r="AB245" t="s">
        <v>2710</v>
      </c>
      <c r="AC245" t="s">
        <v>2820</v>
      </c>
      <c r="AD245" t="s">
        <v>1910</v>
      </c>
      <c r="AE245" t="s">
        <v>2002</v>
      </c>
      <c r="AF245" t="s">
        <v>2818</v>
      </c>
      <c r="AG245" t="s">
        <v>2001</v>
      </c>
    </row>
    <row r="246">
      <c r="A246" t="s">
        <v>2821</v>
      </c>
      <c r="B246" t="s">
        <v>1798</v>
      </c>
      <c r="C246" t="s">
        <v>1913</v>
      </c>
      <c r="D246" t="s">
        <v>1914</v>
      </c>
      <c r="E246" t="s">
        <v>1915</v>
      </c>
      <c r="F246" t="s">
        <v>1916</v>
      </c>
      <c r="G246" t="s">
        <v>154</v>
      </c>
      <c r="H246" t="s">
        <v>1917</v>
      </c>
      <c r="I246" t="s">
        <v>1918</v>
      </c>
      <c r="J246" t="s">
        <v>1919</v>
      </c>
      <c r="K246" t="s">
        <v>1920</v>
      </c>
      <c r="L246" t="s">
        <v>1921</v>
      </c>
      <c r="M246" t="s">
        <v>1922</v>
      </c>
      <c r="N246" t="s">
        <v>2072</v>
      </c>
      <c r="O246" t="s">
        <v>1968</v>
      </c>
      <c r="P246" t="s">
        <v>1980</v>
      </c>
      <c r="Q246" t="s">
        <v>1971</v>
      </c>
      <c r="R246" t="s">
        <v>1991</v>
      </c>
      <c r="S246" t="s">
        <v>2073</v>
      </c>
      <c r="T246" t="s">
        <v>2074</v>
      </c>
      <c r="U246" t="s">
        <v>2075</v>
      </c>
      <c r="Y246" t="s">
        <v>2709</v>
      </c>
      <c r="Z246" t="s">
        <v>2442</v>
      </c>
      <c r="AA246" t="s">
        <v>2443</v>
      </c>
      <c r="AB246" t="s">
        <v>2710</v>
      </c>
      <c r="AC246" t="s">
        <v>2822</v>
      </c>
      <c r="AD246" t="s">
        <v>1921</v>
      </c>
      <c r="AE246" t="s">
        <v>2002</v>
      </c>
      <c r="AF246" t="s">
        <v>2818</v>
      </c>
      <c r="AG246" t="s">
        <v>2001</v>
      </c>
    </row>
    <row r="247">
      <c r="A247" t="s">
        <v>2823</v>
      </c>
      <c r="B247" t="s">
        <v>1798</v>
      </c>
      <c r="C247" t="s">
        <v>1913</v>
      </c>
      <c r="D247" t="s">
        <v>1914</v>
      </c>
      <c r="E247" t="s">
        <v>1915</v>
      </c>
      <c r="F247" t="s">
        <v>1924</v>
      </c>
      <c r="G247" t="s">
        <v>120</v>
      </c>
      <c r="H247" t="s">
        <v>1925</v>
      </c>
      <c r="I247" t="s">
        <v>1926</v>
      </c>
      <c r="J247" t="s">
        <v>1927</v>
      </c>
      <c r="K247" t="s">
        <v>1928</v>
      </c>
      <c r="L247" t="s">
        <v>1929</v>
      </c>
      <c r="M247" t="s">
        <v>1930</v>
      </c>
      <c r="N247" t="s">
        <v>2434</v>
      </c>
      <c r="O247" t="s">
        <v>1967</v>
      </c>
      <c r="P247" t="s">
        <v>1984</v>
      </c>
      <c r="Q247" t="s">
        <v>1972</v>
      </c>
      <c r="R247" t="s">
        <v>1991</v>
      </c>
      <c r="S247" t="s">
        <v>2073</v>
      </c>
      <c r="T247" t="s">
        <v>2435</v>
      </c>
      <c r="U247" t="s">
        <v>2436</v>
      </c>
      <c r="V247" t="s">
        <v>2824</v>
      </c>
      <c r="Y247" t="s">
        <v>2709</v>
      </c>
      <c r="Z247" t="s">
        <v>2442</v>
      </c>
      <c r="AA247" t="s">
        <v>2443</v>
      </c>
      <c r="AB247" t="s">
        <v>2710</v>
      </c>
      <c r="AC247" t="s">
        <v>2825</v>
      </c>
      <c r="AD247" t="s">
        <v>1929</v>
      </c>
      <c r="AE247" t="s">
        <v>2001</v>
      </c>
      <c r="AG247" t="s">
        <v>2001</v>
      </c>
    </row>
    <row r="248">
      <c r="A248" t="s">
        <v>2826</v>
      </c>
      <c r="B248" t="s">
        <v>1798</v>
      </c>
      <c r="C248" t="s">
        <v>1913</v>
      </c>
      <c r="D248" t="s">
        <v>1914</v>
      </c>
      <c r="E248" t="s">
        <v>1915</v>
      </c>
      <c r="F248" t="s">
        <v>1932</v>
      </c>
      <c r="G248" t="s">
        <v>120</v>
      </c>
      <c r="H248" t="s">
        <v>2827</v>
      </c>
      <c r="I248" t="s">
        <v>1934</v>
      </c>
      <c r="J248" t="s">
        <v>1935</v>
      </c>
      <c r="K248" t="s">
        <v>1936</v>
      </c>
      <c r="L248" t="s">
        <v>1937</v>
      </c>
      <c r="M248" t="s">
        <v>1938</v>
      </c>
      <c r="N248" t="s">
        <v>2072</v>
      </c>
      <c r="O248" t="s">
        <v>1968</v>
      </c>
      <c r="P248" t="s">
        <v>1980</v>
      </c>
      <c r="Q248" t="s">
        <v>1971</v>
      </c>
      <c r="R248" t="s">
        <v>1991</v>
      </c>
      <c r="S248" t="s">
        <v>2073</v>
      </c>
      <c r="T248" t="s">
        <v>2074</v>
      </c>
      <c r="U248" t="s">
        <v>2075</v>
      </c>
      <c r="V248" t="s">
        <v>2828</v>
      </c>
      <c r="Y248" t="s">
        <v>2709</v>
      </c>
      <c r="Z248" t="s">
        <v>2442</v>
      </c>
      <c r="AA248" t="s">
        <v>2443</v>
      </c>
      <c r="AB248" t="s">
        <v>2710</v>
      </c>
      <c r="AC248" t="s">
        <v>2829</v>
      </c>
      <c r="AD248" t="s">
        <v>1937</v>
      </c>
      <c r="AE248" t="s">
        <v>2001</v>
      </c>
      <c r="AG248" t="s">
        <v>2001</v>
      </c>
    </row>
    <row r="249">
      <c r="A249" t="s">
        <v>2830</v>
      </c>
      <c r="B249" t="s">
        <v>1798</v>
      </c>
      <c r="C249" t="s">
        <v>1939</v>
      </c>
      <c r="D249" t="s">
        <v>1940</v>
      </c>
      <c r="E249" t="s">
        <v>1941</v>
      </c>
      <c r="F249" t="s">
        <v>1942</v>
      </c>
      <c r="G249" t="s">
        <v>154</v>
      </c>
      <c r="H249" t="s">
        <v>1878</v>
      </c>
      <c r="I249" t="s">
        <v>1943</v>
      </c>
      <c r="J249" t="s">
        <v>1944</v>
      </c>
      <c r="K249" t="s">
        <v>1945</v>
      </c>
      <c r="L249" t="s">
        <v>1946</v>
      </c>
      <c r="M249" t="s">
        <v>1947</v>
      </c>
      <c r="N249" t="s">
        <v>2831</v>
      </c>
      <c r="O249" t="s">
        <v>1967</v>
      </c>
      <c r="P249" t="s">
        <v>1983</v>
      </c>
      <c r="Q249" t="s">
        <v>1972</v>
      </c>
      <c r="R249" t="s">
        <v>1991</v>
      </c>
      <c r="S249" t="s">
        <v>2073</v>
      </c>
      <c r="T249" t="s">
        <v>2832</v>
      </c>
      <c r="U249" t="s">
        <v>2436</v>
      </c>
      <c r="V249" t="s">
        <v>2833</v>
      </c>
      <c r="Y249" t="s">
        <v>2709</v>
      </c>
      <c r="Z249" t="s">
        <v>2442</v>
      </c>
      <c r="AA249" t="s">
        <v>2443</v>
      </c>
      <c r="AB249" t="s">
        <v>2710</v>
      </c>
      <c r="AC249" t="s">
        <v>2834</v>
      </c>
      <c r="AD249" t="s">
        <v>1946</v>
      </c>
      <c r="AE249" t="s">
        <v>2001</v>
      </c>
      <c r="AG249" t="s">
        <v>2001</v>
      </c>
    </row>
    <row r="250">
      <c r="A250" t="s">
        <v>2835</v>
      </c>
      <c r="B250" t="s">
        <v>1798</v>
      </c>
      <c r="C250" t="s">
        <v>1939</v>
      </c>
      <c r="D250" t="s">
        <v>1940</v>
      </c>
      <c r="E250" t="s">
        <v>1941</v>
      </c>
      <c r="F250" t="s">
        <v>1949</v>
      </c>
      <c r="G250" t="s">
        <v>154</v>
      </c>
      <c r="H250" t="s">
        <v>1950</v>
      </c>
      <c r="I250" t="s">
        <v>1951</v>
      </c>
      <c r="J250" t="s">
        <v>1952</v>
      </c>
      <c r="K250" t="s">
        <v>1945</v>
      </c>
      <c r="L250" t="s">
        <v>1953</v>
      </c>
      <c r="M250" t="s">
        <v>1954</v>
      </c>
      <c r="N250" t="s">
        <v>2831</v>
      </c>
      <c r="O250" t="s">
        <v>1967</v>
      </c>
      <c r="P250" t="s">
        <v>1983</v>
      </c>
      <c r="Q250" t="s">
        <v>1972</v>
      </c>
      <c r="R250" t="s">
        <v>1991</v>
      </c>
      <c r="S250" t="s">
        <v>2073</v>
      </c>
      <c r="T250" t="s">
        <v>2832</v>
      </c>
      <c r="U250" t="s">
        <v>2436</v>
      </c>
      <c r="V250" t="s">
        <v>2836</v>
      </c>
      <c r="Y250" t="s">
        <v>2709</v>
      </c>
      <c r="Z250" t="s">
        <v>2442</v>
      </c>
      <c r="AA250" t="s">
        <v>2443</v>
      </c>
      <c r="AB250" t="s">
        <v>2710</v>
      </c>
      <c r="AC250" t="s">
        <v>2834</v>
      </c>
      <c r="AD250" t="s">
        <v>1953</v>
      </c>
      <c r="AE250" t="s">
        <v>2001</v>
      </c>
      <c r="AG250" t="s">
        <v>2001</v>
      </c>
    </row>
    <row r="251">
      <c r="A251" t="s">
        <v>2837</v>
      </c>
      <c r="B251" t="s">
        <v>1798</v>
      </c>
      <c r="C251" t="s">
        <v>1939</v>
      </c>
      <c r="D251" t="s">
        <v>1940</v>
      </c>
      <c r="E251" t="s">
        <v>1941</v>
      </c>
      <c r="F251" t="s">
        <v>1955</v>
      </c>
      <c r="G251" t="s">
        <v>120</v>
      </c>
      <c r="H251" t="s">
        <v>1956</v>
      </c>
      <c r="I251" t="s">
        <v>1957</v>
      </c>
      <c r="J251" t="s">
        <v>1958</v>
      </c>
      <c r="K251" t="s">
        <v>1945</v>
      </c>
      <c r="L251" t="s">
        <v>1959</v>
      </c>
      <c r="M251" t="s">
        <v>1960</v>
      </c>
      <c r="N251" t="s">
        <v>2831</v>
      </c>
      <c r="O251" t="s">
        <v>1967</v>
      </c>
      <c r="P251" t="s">
        <v>1983</v>
      </c>
      <c r="Q251" t="s">
        <v>1972</v>
      </c>
      <c r="R251" t="s">
        <v>1991</v>
      </c>
      <c r="S251" t="s">
        <v>2073</v>
      </c>
      <c r="T251" t="s">
        <v>2832</v>
      </c>
      <c r="U251" t="s">
        <v>2436</v>
      </c>
      <c r="V251" t="s">
        <v>2838</v>
      </c>
      <c r="Y251" t="s">
        <v>2709</v>
      </c>
      <c r="Z251" t="s">
        <v>2442</v>
      </c>
      <c r="AA251" t="s">
        <v>2443</v>
      </c>
      <c r="AB251" t="s">
        <v>2710</v>
      </c>
      <c r="AC251" t="s">
        <v>2834</v>
      </c>
      <c r="AD251" t="s">
        <v>1959</v>
      </c>
      <c r="AE251" t="s">
        <v>2001</v>
      </c>
      <c r="AG251" t="s">
        <v>2001</v>
      </c>
    </row>
    <row r="252">
      <c r="A252" t="s">
        <v>2839</v>
      </c>
      <c r="B252" t="s">
        <v>958</v>
      </c>
      <c r="C252" t="s">
        <v>2840</v>
      </c>
      <c r="D252" t="s">
        <v>2841</v>
      </c>
      <c r="E252" t="s">
        <v>2842</v>
      </c>
      <c r="F252" t="s">
        <v>2843</v>
      </c>
      <c r="G252" t="s">
        <v>129</v>
      </c>
      <c r="H252" t="s">
        <v>2844</v>
      </c>
      <c r="I252" t="s">
        <v>2845</v>
      </c>
      <c r="J252" t="s">
        <v>2846</v>
      </c>
      <c r="K252" t="s">
        <v>2031</v>
      </c>
      <c r="L252" t="s">
        <v>2016</v>
      </c>
      <c r="M252" t="s">
        <v>2847</v>
      </c>
      <c r="N252" t="s">
        <v>2848</v>
      </c>
      <c r="O252" t="s">
        <v>2849</v>
      </c>
      <c r="P252" t="s">
        <v>2850</v>
      </c>
      <c r="Q252" t="s">
        <v>1971</v>
      </c>
      <c r="R252" t="s">
        <v>1992</v>
      </c>
      <c r="S252" t="s">
        <v>2073</v>
      </c>
      <c r="T252" t="s">
        <v>2851</v>
      </c>
      <c r="U252" t="s">
        <v>2852</v>
      </c>
      <c r="V252" t="s">
        <v>2853</v>
      </c>
      <c r="W252" t="s">
        <v>2078</v>
      </c>
      <c r="X252" t="s">
        <v>2854</v>
      </c>
      <c r="Y252" t="s">
        <v>1995</v>
      </c>
      <c r="Z252" t="s">
        <v>1995</v>
      </c>
      <c r="AA252" t="s">
        <v>1995</v>
      </c>
      <c r="AB252" t="s">
        <v>1995</v>
      </c>
      <c r="AC252" t="s">
        <v>2855</v>
      </c>
      <c r="AD252" t="s">
        <v>2016</v>
      </c>
      <c r="AE252" t="s">
        <v>2001</v>
      </c>
      <c r="AF252" t="s">
        <v>2856</v>
      </c>
      <c r="AG252" t="s">
        <v>2002</v>
      </c>
    </row>
    <row r="253">
      <c r="A253" t="s">
        <v>2857</v>
      </c>
      <c r="B253" t="s">
        <v>2858</v>
      </c>
      <c r="C253" t="s">
        <v>2859</v>
      </c>
      <c r="D253" t="s">
        <v>1986</v>
      </c>
      <c r="E253" t="s">
        <v>2860</v>
      </c>
      <c r="F253" t="s">
        <v>2861</v>
      </c>
      <c r="G253" t="s">
        <v>129</v>
      </c>
      <c r="I253" t="s">
        <v>2862</v>
      </c>
      <c r="J253" t="s">
        <v>2863</v>
      </c>
      <c r="K253" t="s">
        <v>1986</v>
      </c>
      <c r="L253" t="s">
        <v>2864</v>
      </c>
      <c r="M253" t="s">
        <v>2865</v>
      </c>
      <c r="N253" t="s">
        <v>2866</v>
      </c>
      <c r="O253" t="s">
        <v>2867</v>
      </c>
      <c r="P253" t="s">
        <v>2868</v>
      </c>
      <c r="Q253" t="s">
        <v>1998</v>
      </c>
      <c r="R253" t="s">
        <v>1992</v>
      </c>
      <c r="S253" t="s">
        <v>2073</v>
      </c>
      <c r="T253" t="s">
        <v>2869</v>
      </c>
      <c r="U253" t="s">
        <v>2870</v>
      </c>
      <c r="V253" t="s">
        <v>2865</v>
      </c>
      <c r="W253" t="s">
        <v>2078</v>
      </c>
      <c r="X253" t="s">
        <v>2078</v>
      </c>
      <c r="Y253" t="s">
        <v>1995</v>
      </c>
      <c r="Z253" t="s">
        <v>1995</v>
      </c>
      <c r="AA253" t="s">
        <v>1995</v>
      </c>
      <c r="AB253" t="s">
        <v>1995</v>
      </c>
      <c r="AC253" t="s">
        <v>2855</v>
      </c>
      <c r="AD253" t="s">
        <v>2864</v>
      </c>
      <c r="AE253" t="s">
        <v>2001</v>
      </c>
      <c r="AG253" t="s">
        <v>2002</v>
      </c>
    </row>
    <row r="254">
      <c r="A254" t="s">
        <v>2871</v>
      </c>
      <c r="B254" t="s">
        <v>2858</v>
      </c>
      <c r="C254" t="s">
        <v>2859</v>
      </c>
      <c r="D254" t="s">
        <v>1986</v>
      </c>
      <c r="E254" t="s">
        <v>2860</v>
      </c>
      <c r="F254" t="s">
        <v>2872</v>
      </c>
      <c r="G254" t="s">
        <v>129</v>
      </c>
      <c r="I254" t="s">
        <v>2873</v>
      </c>
      <c r="J254" t="s">
        <v>2863</v>
      </c>
      <c r="K254" t="s">
        <v>1986</v>
      </c>
      <c r="L254" t="s">
        <v>2864</v>
      </c>
      <c r="M254" t="s">
        <v>2874</v>
      </c>
      <c r="N254" t="s">
        <v>2875</v>
      </c>
      <c r="O254" t="s">
        <v>2867</v>
      </c>
      <c r="P254" t="s">
        <v>2868</v>
      </c>
      <c r="Q254" t="s">
        <v>1998</v>
      </c>
      <c r="R254" t="s">
        <v>1992</v>
      </c>
      <c r="S254" t="s">
        <v>2073</v>
      </c>
      <c r="T254" t="s">
        <v>2876</v>
      </c>
      <c r="U254" t="s">
        <v>2870</v>
      </c>
      <c r="V254" t="s">
        <v>2874</v>
      </c>
      <c r="W254" t="s">
        <v>2078</v>
      </c>
      <c r="X254" t="s">
        <v>2078</v>
      </c>
      <c r="Y254" t="s">
        <v>1995</v>
      </c>
      <c r="Z254" t="s">
        <v>1995</v>
      </c>
      <c r="AA254" t="s">
        <v>1995</v>
      </c>
      <c r="AB254" t="s">
        <v>1995</v>
      </c>
      <c r="AC254" t="s">
        <v>2855</v>
      </c>
      <c r="AD254" t="s">
        <v>2864</v>
      </c>
      <c r="AE254" t="s">
        <v>2001</v>
      </c>
      <c r="AG254" t="s">
        <v>2002</v>
      </c>
    </row>
    <row r="255">
      <c r="A255" t="s">
        <v>2877</v>
      </c>
      <c r="B255" t="s">
        <v>2858</v>
      </c>
      <c r="C255" t="s">
        <v>2859</v>
      </c>
      <c r="D255" t="s">
        <v>1986</v>
      </c>
      <c r="E255" t="s">
        <v>2860</v>
      </c>
      <c r="F255" t="s">
        <v>2878</v>
      </c>
      <c r="G255" t="s">
        <v>129</v>
      </c>
      <c r="I255" t="s">
        <v>2879</v>
      </c>
      <c r="J255" t="s">
        <v>2863</v>
      </c>
      <c r="K255" t="s">
        <v>1986</v>
      </c>
      <c r="L255" t="s">
        <v>2864</v>
      </c>
      <c r="M255" t="s">
        <v>2880</v>
      </c>
      <c r="N255" t="s">
        <v>2881</v>
      </c>
      <c r="O255" t="s">
        <v>2867</v>
      </c>
      <c r="P255" t="s">
        <v>2868</v>
      </c>
      <c r="Q255" t="s">
        <v>1998</v>
      </c>
      <c r="R255" t="s">
        <v>1992</v>
      </c>
      <c r="S255" t="s">
        <v>2073</v>
      </c>
      <c r="T255" t="s">
        <v>2882</v>
      </c>
      <c r="U255" t="s">
        <v>2870</v>
      </c>
      <c r="V255" t="s">
        <v>2880</v>
      </c>
      <c r="W255" t="s">
        <v>2078</v>
      </c>
      <c r="X255" t="s">
        <v>2078</v>
      </c>
      <c r="Y255" t="s">
        <v>1995</v>
      </c>
      <c r="Z255" t="s">
        <v>1995</v>
      </c>
      <c r="AA255" t="s">
        <v>1995</v>
      </c>
      <c r="AB255" t="s">
        <v>1995</v>
      </c>
      <c r="AC255" t="s">
        <v>2855</v>
      </c>
      <c r="AD255" t="s">
        <v>2864</v>
      </c>
      <c r="AE255" t="s">
        <v>2001</v>
      </c>
      <c r="AG255" t="s">
        <v>2002</v>
      </c>
    </row>
    <row r="256">
      <c r="A256" t="s">
        <v>2883</v>
      </c>
      <c r="B256" t="s">
        <v>2858</v>
      </c>
      <c r="C256" t="s">
        <v>2859</v>
      </c>
      <c r="D256" t="s">
        <v>1986</v>
      </c>
      <c r="E256" t="s">
        <v>2860</v>
      </c>
      <c r="F256" t="s">
        <v>2884</v>
      </c>
      <c r="G256" t="s">
        <v>129</v>
      </c>
      <c r="I256" t="s">
        <v>2885</v>
      </c>
      <c r="J256" t="s">
        <v>2863</v>
      </c>
      <c r="K256" t="s">
        <v>1986</v>
      </c>
      <c r="L256" t="s">
        <v>2864</v>
      </c>
      <c r="M256" t="s">
        <v>2886</v>
      </c>
      <c r="N256" t="s">
        <v>2887</v>
      </c>
      <c r="O256" t="s">
        <v>2867</v>
      </c>
      <c r="P256" t="s">
        <v>2868</v>
      </c>
      <c r="Q256" t="s">
        <v>1998</v>
      </c>
      <c r="R256" t="s">
        <v>1992</v>
      </c>
      <c r="S256" t="s">
        <v>2073</v>
      </c>
      <c r="T256" t="s">
        <v>2888</v>
      </c>
      <c r="U256" t="s">
        <v>2870</v>
      </c>
      <c r="V256" t="s">
        <v>2886</v>
      </c>
      <c r="W256" t="s">
        <v>2078</v>
      </c>
      <c r="X256" t="s">
        <v>2078</v>
      </c>
      <c r="Y256" t="s">
        <v>1995</v>
      </c>
      <c r="Z256" t="s">
        <v>1995</v>
      </c>
      <c r="AA256" t="s">
        <v>1995</v>
      </c>
      <c r="AB256" t="s">
        <v>1995</v>
      </c>
      <c r="AC256" t="s">
        <v>2855</v>
      </c>
      <c r="AD256" t="s">
        <v>2864</v>
      </c>
      <c r="AE256" t="s">
        <v>2001</v>
      </c>
      <c r="AG256" t="s">
        <v>2002</v>
      </c>
    </row>
    <row r="257">
      <c r="A257" t="s">
        <v>2889</v>
      </c>
      <c r="B257" t="s">
        <v>2858</v>
      </c>
      <c r="C257" t="s">
        <v>2859</v>
      </c>
      <c r="D257" t="s">
        <v>1986</v>
      </c>
      <c r="E257" t="s">
        <v>2860</v>
      </c>
      <c r="F257" t="s">
        <v>2890</v>
      </c>
      <c r="G257" t="s">
        <v>129</v>
      </c>
      <c r="I257" t="s">
        <v>2891</v>
      </c>
      <c r="J257" t="s">
        <v>2863</v>
      </c>
      <c r="K257" t="s">
        <v>1986</v>
      </c>
      <c r="L257" t="s">
        <v>2864</v>
      </c>
      <c r="M257" t="s">
        <v>2892</v>
      </c>
      <c r="N257" t="s">
        <v>2893</v>
      </c>
      <c r="O257" t="s">
        <v>2867</v>
      </c>
      <c r="P257" t="s">
        <v>2868</v>
      </c>
      <c r="Q257" t="s">
        <v>1998</v>
      </c>
      <c r="R257" t="s">
        <v>1992</v>
      </c>
      <c r="S257" t="s">
        <v>2073</v>
      </c>
      <c r="T257" t="s">
        <v>2073</v>
      </c>
      <c r="U257" t="s">
        <v>2870</v>
      </c>
      <c r="V257" t="s">
        <v>2892</v>
      </c>
      <c r="W257" t="s">
        <v>2078</v>
      </c>
      <c r="X257" t="s">
        <v>2078</v>
      </c>
      <c r="Y257" t="s">
        <v>1995</v>
      </c>
      <c r="Z257" t="s">
        <v>1995</v>
      </c>
      <c r="AA257" t="s">
        <v>1995</v>
      </c>
      <c r="AB257" t="s">
        <v>1995</v>
      </c>
      <c r="AC257" t="s">
        <v>2855</v>
      </c>
      <c r="AD257" t="s">
        <v>2864</v>
      </c>
      <c r="AE257" t="s">
        <v>2001</v>
      </c>
      <c r="AG257" t="s">
        <v>2002</v>
      </c>
    </row>
    <row r="258">
      <c r="A258" t="s">
        <v>2894</v>
      </c>
      <c r="B258" t="s">
        <v>2858</v>
      </c>
      <c r="C258" t="s">
        <v>2859</v>
      </c>
      <c r="D258" t="s">
        <v>1986</v>
      </c>
      <c r="E258" t="s">
        <v>2860</v>
      </c>
      <c r="F258" t="s">
        <v>2895</v>
      </c>
      <c r="G258" t="s">
        <v>129</v>
      </c>
      <c r="I258" t="s">
        <v>2896</v>
      </c>
      <c r="J258" t="s">
        <v>2863</v>
      </c>
      <c r="K258" t="s">
        <v>1986</v>
      </c>
      <c r="L258" t="s">
        <v>2864</v>
      </c>
      <c r="M258" t="s">
        <v>2897</v>
      </c>
      <c r="N258" t="s">
        <v>2898</v>
      </c>
      <c r="O258" t="s">
        <v>2867</v>
      </c>
      <c r="P258" t="s">
        <v>2868</v>
      </c>
      <c r="Q258" t="s">
        <v>1998</v>
      </c>
      <c r="R258" t="s">
        <v>1992</v>
      </c>
      <c r="S258" t="s">
        <v>2073</v>
      </c>
      <c r="T258" t="s">
        <v>2899</v>
      </c>
      <c r="U258" t="s">
        <v>2870</v>
      </c>
      <c r="V258" t="s">
        <v>2897</v>
      </c>
      <c r="W258" t="s">
        <v>2078</v>
      </c>
      <c r="X258" t="s">
        <v>2078</v>
      </c>
      <c r="Y258" t="s">
        <v>1995</v>
      </c>
      <c r="Z258" t="s">
        <v>1995</v>
      </c>
      <c r="AA258" t="s">
        <v>1995</v>
      </c>
      <c r="AB258" t="s">
        <v>1995</v>
      </c>
      <c r="AC258" t="s">
        <v>2855</v>
      </c>
      <c r="AD258" t="s">
        <v>2864</v>
      </c>
      <c r="AE258" t="s">
        <v>2001</v>
      </c>
      <c r="AG258" t="s">
        <v>2002</v>
      </c>
    </row>
    <row r="259">
      <c r="A259" t="s">
        <v>2900</v>
      </c>
      <c r="B259" t="s">
        <v>2858</v>
      </c>
      <c r="C259" t="s">
        <v>2859</v>
      </c>
      <c r="D259" t="s">
        <v>1986</v>
      </c>
      <c r="E259" t="s">
        <v>2860</v>
      </c>
      <c r="F259" t="s">
        <v>2901</v>
      </c>
      <c r="G259" t="s">
        <v>129</v>
      </c>
      <c r="I259" t="s">
        <v>2902</v>
      </c>
      <c r="J259" t="s">
        <v>2863</v>
      </c>
      <c r="K259" t="s">
        <v>1986</v>
      </c>
      <c r="L259" t="s">
        <v>2864</v>
      </c>
      <c r="M259" t="s">
        <v>2903</v>
      </c>
      <c r="N259" t="s">
        <v>2904</v>
      </c>
      <c r="O259" t="s">
        <v>2867</v>
      </c>
      <c r="P259" t="s">
        <v>2868</v>
      </c>
      <c r="Q259" t="s">
        <v>1998</v>
      </c>
      <c r="R259" t="s">
        <v>1992</v>
      </c>
      <c r="S259" t="s">
        <v>2073</v>
      </c>
      <c r="T259" t="s">
        <v>2905</v>
      </c>
      <c r="U259" t="s">
        <v>2870</v>
      </c>
      <c r="V259" t="s">
        <v>2903</v>
      </c>
      <c r="W259" t="s">
        <v>2078</v>
      </c>
      <c r="X259" t="s">
        <v>2078</v>
      </c>
      <c r="Y259" t="s">
        <v>1995</v>
      </c>
      <c r="Z259" t="s">
        <v>1995</v>
      </c>
      <c r="AA259" t="s">
        <v>1995</v>
      </c>
      <c r="AB259" t="s">
        <v>1995</v>
      </c>
      <c r="AC259" t="s">
        <v>2855</v>
      </c>
      <c r="AD259" t="s">
        <v>2864</v>
      </c>
      <c r="AE259" t="s">
        <v>2001</v>
      </c>
      <c r="AG259" t="s">
        <v>2002</v>
      </c>
    </row>
    <row r="260">
      <c r="A260" t="s">
        <v>2906</v>
      </c>
      <c r="B260" t="s">
        <v>2858</v>
      </c>
      <c r="C260" t="s">
        <v>2859</v>
      </c>
      <c r="D260" t="s">
        <v>1986</v>
      </c>
      <c r="E260" t="s">
        <v>2860</v>
      </c>
      <c r="F260" t="s">
        <v>2907</v>
      </c>
      <c r="G260" t="s">
        <v>129</v>
      </c>
      <c r="I260" t="s">
        <v>2908</v>
      </c>
      <c r="J260" t="s">
        <v>2863</v>
      </c>
      <c r="K260" t="s">
        <v>1986</v>
      </c>
      <c r="L260" t="s">
        <v>2864</v>
      </c>
      <c r="M260" t="s">
        <v>2909</v>
      </c>
      <c r="N260" t="s">
        <v>2910</v>
      </c>
      <c r="O260" t="s">
        <v>2867</v>
      </c>
      <c r="P260" t="s">
        <v>2868</v>
      </c>
      <c r="Q260" t="s">
        <v>1998</v>
      </c>
      <c r="R260" t="s">
        <v>1992</v>
      </c>
      <c r="S260" t="s">
        <v>2073</v>
      </c>
      <c r="T260" t="s">
        <v>2911</v>
      </c>
      <c r="U260" t="s">
        <v>2870</v>
      </c>
      <c r="V260" t="s">
        <v>2909</v>
      </c>
      <c r="W260" t="s">
        <v>2078</v>
      </c>
      <c r="X260" t="s">
        <v>2078</v>
      </c>
      <c r="Y260" t="s">
        <v>1995</v>
      </c>
      <c r="Z260" t="s">
        <v>1995</v>
      </c>
      <c r="AA260" t="s">
        <v>1995</v>
      </c>
      <c r="AB260" t="s">
        <v>1995</v>
      </c>
      <c r="AC260" t="s">
        <v>2855</v>
      </c>
      <c r="AD260" t="s">
        <v>2864</v>
      </c>
      <c r="AE260" t="s">
        <v>2001</v>
      </c>
      <c r="AG260" t="s">
        <v>2002</v>
      </c>
    </row>
    <row r="261">
      <c r="A261" t="s">
        <v>2912</v>
      </c>
      <c r="B261" t="s">
        <v>2858</v>
      </c>
      <c r="C261" t="s">
        <v>2859</v>
      </c>
      <c r="D261" t="s">
        <v>1986</v>
      </c>
      <c r="E261" t="s">
        <v>2860</v>
      </c>
      <c r="F261" t="s">
        <v>2913</v>
      </c>
      <c r="G261" t="s">
        <v>129</v>
      </c>
      <c r="I261" t="s">
        <v>2914</v>
      </c>
      <c r="J261" t="s">
        <v>2863</v>
      </c>
      <c r="K261" t="s">
        <v>1986</v>
      </c>
      <c r="L261" t="s">
        <v>2864</v>
      </c>
      <c r="M261" t="s">
        <v>2915</v>
      </c>
      <c r="N261" t="s">
        <v>2916</v>
      </c>
      <c r="O261" t="s">
        <v>2867</v>
      </c>
      <c r="P261" t="s">
        <v>2868</v>
      </c>
      <c r="Q261" t="s">
        <v>1998</v>
      </c>
      <c r="R261" t="s">
        <v>1992</v>
      </c>
      <c r="S261" t="s">
        <v>2073</v>
      </c>
      <c r="T261" t="s">
        <v>2917</v>
      </c>
      <c r="U261" t="s">
        <v>2870</v>
      </c>
      <c r="V261" t="s">
        <v>2915</v>
      </c>
      <c r="W261" t="s">
        <v>2078</v>
      </c>
      <c r="X261" t="s">
        <v>2078</v>
      </c>
      <c r="Y261" t="s">
        <v>1995</v>
      </c>
      <c r="Z261" t="s">
        <v>1995</v>
      </c>
      <c r="AA261" t="s">
        <v>1995</v>
      </c>
      <c r="AB261" t="s">
        <v>1995</v>
      </c>
      <c r="AC261" t="s">
        <v>2855</v>
      </c>
      <c r="AD261" t="s">
        <v>2864</v>
      </c>
      <c r="AE261" t="s">
        <v>2001</v>
      </c>
      <c r="AG261" t="s">
        <v>2002</v>
      </c>
    </row>
    <row r="262">
      <c r="A262" t="s">
        <v>2918</v>
      </c>
      <c r="B262" t="s">
        <v>2858</v>
      </c>
      <c r="C262" t="s">
        <v>2859</v>
      </c>
      <c r="D262" t="s">
        <v>1987</v>
      </c>
      <c r="E262" t="s">
        <v>2860</v>
      </c>
      <c r="F262" t="s">
        <v>2919</v>
      </c>
      <c r="G262" t="s">
        <v>129</v>
      </c>
      <c r="I262" t="s">
        <v>2920</v>
      </c>
      <c r="J262" t="s">
        <v>2863</v>
      </c>
      <c r="K262" t="s">
        <v>1987</v>
      </c>
      <c r="L262" t="s">
        <v>2864</v>
      </c>
      <c r="M262" t="s">
        <v>2921</v>
      </c>
      <c r="N262" t="s">
        <v>2922</v>
      </c>
      <c r="O262" t="s">
        <v>2923</v>
      </c>
      <c r="P262" t="s">
        <v>2868</v>
      </c>
      <c r="Q262" t="s">
        <v>1998</v>
      </c>
      <c r="R262" t="s">
        <v>1991</v>
      </c>
      <c r="S262" t="s">
        <v>2073</v>
      </c>
      <c r="T262" t="s">
        <v>2924</v>
      </c>
      <c r="U262" t="s">
        <v>2870</v>
      </c>
      <c r="V262" t="s">
        <v>2921</v>
      </c>
      <c r="W262" t="s">
        <v>2077</v>
      </c>
      <c r="X262" t="s">
        <v>2078</v>
      </c>
      <c r="Y262" t="s">
        <v>1995</v>
      </c>
      <c r="Z262" t="s">
        <v>1995</v>
      </c>
      <c r="AA262" t="s">
        <v>1995</v>
      </c>
      <c r="AB262" t="s">
        <v>1995</v>
      </c>
      <c r="AC262" t="s">
        <v>2855</v>
      </c>
      <c r="AD262" t="s">
        <v>2864</v>
      </c>
      <c r="AE262" t="s">
        <v>2001</v>
      </c>
      <c r="AG262" t="s">
        <v>2002</v>
      </c>
    </row>
    <row r="263">
      <c r="A263" t="s">
        <v>2925</v>
      </c>
      <c r="B263" t="s">
        <v>160</v>
      </c>
      <c r="C263" t="s">
        <v>2926</v>
      </c>
      <c r="D263" t="s">
        <v>2927</v>
      </c>
      <c r="E263" t="s">
        <v>2928</v>
      </c>
      <c r="F263" t="s">
        <v>2929</v>
      </c>
      <c r="G263" t="s">
        <v>129</v>
      </c>
      <c r="H263" t="s">
        <v>2930</v>
      </c>
      <c r="I263" t="s">
        <v>2931</v>
      </c>
      <c r="J263" t="s">
        <v>2932</v>
      </c>
      <c r="K263" t="s">
        <v>2933</v>
      </c>
      <c r="L263" t="s">
        <v>2934</v>
      </c>
      <c r="M263" t="s">
        <v>2935</v>
      </c>
      <c r="N263" t="s">
        <v>2072</v>
      </c>
      <c r="O263" t="s">
        <v>2936</v>
      </c>
      <c r="P263" t="s">
        <v>2937</v>
      </c>
      <c r="Q263" t="s">
        <v>1971</v>
      </c>
      <c r="R263" t="s">
        <v>1992</v>
      </c>
      <c r="S263" t="s">
        <v>2073</v>
      </c>
      <c r="T263" t="s">
        <v>2938</v>
      </c>
      <c r="U263" t="s">
        <v>2075</v>
      </c>
      <c r="V263" t="s">
        <v>2935</v>
      </c>
      <c r="W263" t="s">
        <v>2077</v>
      </c>
      <c r="X263" t="s">
        <v>2078</v>
      </c>
      <c r="Y263" t="s">
        <v>1995</v>
      </c>
      <c r="Z263" t="s">
        <v>1995</v>
      </c>
      <c r="AA263" t="s">
        <v>1995</v>
      </c>
      <c r="AB263" t="s">
        <v>1995</v>
      </c>
      <c r="AC263" t="s">
        <v>2855</v>
      </c>
      <c r="AD263" t="s">
        <v>2934</v>
      </c>
      <c r="AE263" t="s">
        <v>2001</v>
      </c>
      <c r="AF263" t="s">
        <v>2939</v>
      </c>
      <c r="AG263" t="s">
        <v>2002</v>
      </c>
    </row>
    <row r="264">
      <c r="A264" t="s">
        <v>2940</v>
      </c>
      <c r="B264" t="s">
        <v>2858</v>
      </c>
      <c r="C264" t="s">
        <v>2859</v>
      </c>
      <c r="D264" t="s">
        <v>1987</v>
      </c>
      <c r="E264" t="s">
        <v>2860</v>
      </c>
      <c r="F264" t="s">
        <v>2941</v>
      </c>
      <c r="G264" t="s">
        <v>129</v>
      </c>
      <c r="I264" t="s">
        <v>2942</v>
      </c>
      <c r="J264" t="s">
        <v>2863</v>
      </c>
      <c r="K264" t="s">
        <v>1987</v>
      </c>
      <c r="L264" t="s">
        <v>2864</v>
      </c>
      <c r="M264" t="s">
        <v>2943</v>
      </c>
      <c r="N264" t="s">
        <v>2944</v>
      </c>
      <c r="O264" t="s">
        <v>2923</v>
      </c>
      <c r="P264" t="s">
        <v>2868</v>
      </c>
      <c r="Q264" t="s">
        <v>1998</v>
      </c>
      <c r="R264" t="s">
        <v>1992</v>
      </c>
      <c r="S264" t="s">
        <v>2073</v>
      </c>
      <c r="T264" t="s">
        <v>2074</v>
      </c>
      <c r="U264" t="s">
        <v>2870</v>
      </c>
      <c r="V264" t="s">
        <v>2943</v>
      </c>
      <c r="W264" t="s">
        <v>2078</v>
      </c>
      <c r="X264" t="s">
        <v>2078</v>
      </c>
      <c r="Y264" t="s">
        <v>1995</v>
      </c>
      <c r="Z264" t="s">
        <v>1995</v>
      </c>
      <c r="AA264" t="s">
        <v>1995</v>
      </c>
      <c r="AB264" t="s">
        <v>1995</v>
      </c>
      <c r="AC264" t="s">
        <v>2855</v>
      </c>
      <c r="AD264" t="s">
        <v>2864</v>
      </c>
      <c r="AE264" t="s">
        <v>2001</v>
      </c>
      <c r="AG264" t="s">
        <v>2002</v>
      </c>
    </row>
    <row r="265">
      <c r="A265" t="s">
        <v>2945</v>
      </c>
      <c r="B265" t="s">
        <v>2858</v>
      </c>
      <c r="C265" t="s">
        <v>2859</v>
      </c>
      <c r="D265" t="s">
        <v>1987</v>
      </c>
      <c r="E265" t="s">
        <v>2860</v>
      </c>
      <c r="F265" t="s">
        <v>2946</v>
      </c>
      <c r="G265" t="s">
        <v>129</v>
      </c>
      <c r="I265" t="s">
        <v>2947</v>
      </c>
      <c r="J265" t="s">
        <v>2863</v>
      </c>
      <c r="K265" t="s">
        <v>1987</v>
      </c>
      <c r="L265" t="s">
        <v>2864</v>
      </c>
      <c r="M265" t="s">
        <v>2138</v>
      </c>
      <c r="N265" t="s">
        <v>2944</v>
      </c>
      <c r="O265" t="s">
        <v>2923</v>
      </c>
      <c r="P265" t="s">
        <v>2868</v>
      </c>
      <c r="Q265" t="s">
        <v>1998</v>
      </c>
      <c r="R265" t="s">
        <v>1992</v>
      </c>
      <c r="S265" t="s">
        <v>2073</v>
      </c>
      <c r="T265" t="s">
        <v>2074</v>
      </c>
      <c r="U265" t="s">
        <v>2870</v>
      </c>
      <c r="V265" t="s">
        <v>2138</v>
      </c>
      <c r="W265" t="s">
        <v>2078</v>
      </c>
      <c r="X265" t="s">
        <v>2078</v>
      </c>
      <c r="Y265" t="s">
        <v>1995</v>
      </c>
      <c r="Z265" t="s">
        <v>1995</v>
      </c>
      <c r="AA265" t="s">
        <v>1995</v>
      </c>
      <c r="AB265" t="s">
        <v>1995</v>
      </c>
      <c r="AC265" t="s">
        <v>2855</v>
      </c>
      <c r="AD265" t="s">
        <v>2864</v>
      </c>
      <c r="AE265" t="s">
        <v>2001</v>
      </c>
      <c r="AG265" t="s">
        <v>2002</v>
      </c>
    </row>
    <row r="266">
      <c r="A266" t="s">
        <v>2948</v>
      </c>
      <c r="B266" t="s">
        <v>2858</v>
      </c>
      <c r="C266" t="s">
        <v>2859</v>
      </c>
      <c r="D266" t="s">
        <v>1987</v>
      </c>
      <c r="E266" t="s">
        <v>2860</v>
      </c>
      <c r="F266" t="s">
        <v>2949</v>
      </c>
      <c r="G266" t="s">
        <v>129</v>
      </c>
      <c r="I266" t="s">
        <v>2950</v>
      </c>
      <c r="J266" t="s">
        <v>2863</v>
      </c>
      <c r="K266" t="s">
        <v>1987</v>
      </c>
      <c r="L266" t="s">
        <v>2864</v>
      </c>
      <c r="M266" t="s">
        <v>2951</v>
      </c>
      <c r="N266" t="s">
        <v>2952</v>
      </c>
      <c r="O266" t="s">
        <v>2923</v>
      </c>
      <c r="P266" t="s">
        <v>2868</v>
      </c>
      <c r="Q266" t="s">
        <v>1998</v>
      </c>
      <c r="R266" t="s">
        <v>1992</v>
      </c>
      <c r="S266" t="s">
        <v>2073</v>
      </c>
      <c r="T266" t="s">
        <v>2953</v>
      </c>
      <c r="U266" t="s">
        <v>2870</v>
      </c>
      <c r="V266" t="s">
        <v>2951</v>
      </c>
      <c r="W266" t="s">
        <v>2078</v>
      </c>
      <c r="X266" t="s">
        <v>2078</v>
      </c>
      <c r="Y266" t="s">
        <v>1995</v>
      </c>
      <c r="Z266" t="s">
        <v>1995</v>
      </c>
      <c r="AA266" t="s">
        <v>1995</v>
      </c>
      <c r="AB266" t="s">
        <v>1995</v>
      </c>
      <c r="AC266" t="s">
        <v>2855</v>
      </c>
      <c r="AD266" t="s">
        <v>2864</v>
      </c>
      <c r="AE266" t="s">
        <v>2001</v>
      </c>
      <c r="AG266" t="s">
        <v>2002</v>
      </c>
    </row>
    <row r="267">
      <c r="A267" t="s">
        <v>2954</v>
      </c>
      <c r="B267" t="s">
        <v>2858</v>
      </c>
      <c r="C267" t="s">
        <v>2859</v>
      </c>
      <c r="D267" t="s">
        <v>1987</v>
      </c>
      <c r="E267" t="s">
        <v>2860</v>
      </c>
      <c r="F267" t="s">
        <v>2955</v>
      </c>
      <c r="G267" t="s">
        <v>129</v>
      </c>
      <c r="I267" t="s">
        <v>2956</v>
      </c>
      <c r="J267" t="s">
        <v>2863</v>
      </c>
      <c r="K267" t="s">
        <v>1987</v>
      </c>
      <c r="L267" t="s">
        <v>2864</v>
      </c>
      <c r="M267" t="s">
        <v>2957</v>
      </c>
      <c r="N267" t="s">
        <v>2958</v>
      </c>
      <c r="O267" t="s">
        <v>2923</v>
      </c>
      <c r="P267" t="s">
        <v>2868</v>
      </c>
      <c r="Q267" t="s">
        <v>1998</v>
      </c>
      <c r="R267" t="s">
        <v>1992</v>
      </c>
      <c r="S267" t="s">
        <v>2073</v>
      </c>
      <c r="T267" t="s">
        <v>2959</v>
      </c>
      <c r="U267" t="s">
        <v>2870</v>
      </c>
      <c r="V267" t="s">
        <v>2957</v>
      </c>
      <c r="W267" t="s">
        <v>2078</v>
      </c>
      <c r="X267" t="s">
        <v>2078</v>
      </c>
      <c r="Y267" t="s">
        <v>1995</v>
      </c>
      <c r="Z267" t="s">
        <v>1995</v>
      </c>
      <c r="AA267" t="s">
        <v>1995</v>
      </c>
      <c r="AB267" t="s">
        <v>1995</v>
      </c>
      <c r="AC267" t="s">
        <v>2855</v>
      </c>
      <c r="AD267" t="s">
        <v>2864</v>
      </c>
      <c r="AE267" t="s">
        <v>2001</v>
      </c>
      <c r="AG267" t="s">
        <v>2002</v>
      </c>
    </row>
    <row r="268">
      <c r="A268" t="s">
        <v>2960</v>
      </c>
      <c r="B268" t="s">
        <v>2858</v>
      </c>
      <c r="C268" t="s">
        <v>2859</v>
      </c>
      <c r="D268" t="s">
        <v>1987</v>
      </c>
      <c r="E268" t="s">
        <v>2860</v>
      </c>
      <c r="F268" t="s">
        <v>2961</v>
      </c>
      <c r="G268" t="s">
        <v>129</v>
      </c>
      <c r="I268" t="s">
        <v>2962</v>
      </c>
      <c r="J268" t="s">
        <v>2863</v>
      </c>
      <c r="K268" t="s">
        <v>1987</v>
      </c>
      <c r="L268" t="s">
        <v>2864</v>
      </c>
      <c r="M268" t="s">
        <v>2963</v>
      </c>
      <c r="N268" t="s">
        <v>2964</v>
      </c>
      <c r="O268" t="s">
        <v>2923</v>
      </c>
      <c r="P268" t="s">
        <v>2868</v>
      </c>
      <c r="Q268" t="s">
        <v>1998</v>
      </c>
      <c r="R268" t="s">
        <v>1992</v>
      </c>
      <c r="S268" t="s">
        <v>2073</v>
      </c>
      <c r="T268" t="s">
        <v>2965</v>
      </c>
      <c r="U268" t="s">
        <v>2870</v>
      </c>
      <c r="V268" t="s">
        <v>2963</v>
      </c>
      <c r="W268" t="s">
        <v>2078</v>
      </c>
      <c r="X268" t="s">
        <v>2078</v>
      </c>
      <c r="Y268" t="s">
        <v>1995</v>
      </c>
      <c r="Z268" t="s">
        <v>1995</v>
      </c>
      <c r="AA268" t="s">
        <v>1995</v>
      </c>
      <c r="AB268" t="s">
        <v>1995</v>
      </c>
      <c r="AC268" t="s">
        <v>2855</v>
      </c>
      <c r="AD268" t="s">
        <v>2864</v>
      </c>
      <c r="AE268" t="s">
        <v>2001</v>
      </c>
      <c r="AG268" t="s">
        <v>2002</v>
      </c>
    </row>
    <row r="269">
      <c r="A269" t="s">
        <v>2966</v>
      </c>
      <c r="B269" t="s">
        <v>2858</v>
      </c>
      <c r="C269" t="s">
        <v>2859</v>
      </c>
      <c r="D269" t="s">
        <v>1987</v>
      </c>
      <c r="E269" t="s">
        <v>2860</v>
      </c>
      <c r="F269" t="s">
        <v>2967</v>
      </c>
      <c r="G269" t="s">
        <v>129</v>
      </c>
      <c r="I269" t="s">
        <v>2968</v>
      </c>
      <c r="J269" t="s">
        <v>2863</v>
      </c>
      <c r="K269" t="s">
        <v>1987</v>
      </c>
      <c r="L269" t="s">
        <v>2864</v>
      </c>
      <c r="M269" t="s">
        <v>2969</v>
      </c>
      <c r="N269" t="s">
        <v>2964</v>
      </c>
      <c r="O269" t="s">
        <v>2923</v>
      </c>
      <c r="P269" t="s">
        <v>2868</v>
      </c>
      <c r="Q269" t="s">
        <v>1998</v>
      </c>
      <c r="R269" t="s">
        <v>1992</v>
      </c>
      <c r="S269" t="s">
        <v>2073</v>
      </c>
      <c r="T269" t="s">
        <v>2965</v>
      </c>
      <c r="U269" t="s">
        <v>2870</v>
      </c>
      <c r="V269" t="s">
        <v>2969</v>
      </c>
      <c r="W269" t="s">
        <v>2078</v>
      </c>
      <c r="X269" t="s">
        <v>2078</v>
      </c>
      <c r="Y269" t="s">
        <v>1995</v>
      </c>
      <c r="Z269" t="s">
        <v>1995</v>
      </c>
      <c r="AA269" t="s">
        <v>1995</v>
      </c>
      <c r="AB269" t="s">
        <v>1995</v>
      </c>
      <c r="AC269" t="s">
        <v>2855</v>
      </c>
      <c r="AD269" t="s">
        <v>2864</v>
      </c>
      <c r="AE269" t="s">
        <v>2001</v>
      </c>
      <c r="AG269" t="s">
        <v>2002</v>
      </c>
    </row>
    <row r="270">
      <c r="A270" t="s">
        <v>2970</v>
      </c>
      <c r="B270" t="s">
        <v>2858</v>
      </c>
      <c r="C270" t="s">
        <v>2859</v>
      </c>
      <c r="D270" t="s">
        <v>1987</v>
      </c>
      <c r="E270" t="s">
        <v>2860</v>
      </c>
      <c r="F270" t="s">
        <v>2971</v>
      </c>
      <c r="G270" t="s">
        <v>129</v>
      </c>
      <c r="I270" t="s">
        <v>2972</v>
      </c>
      <c r="J270" t="s">
        <v>2863</v>
      </c>
      <c r="K270" t="s">
        <v>1987</v>
      </c>
      <c r="L270" t="s">
        <v>2864</v>
      </c>
      <c r="M270" t="s">
        <v>2973</v>
      </c>
      <c r="N270" t="s">
        <v>2974</v>
      </c>
      <c r="O270" t="s">
        <v>2923</v>
      </c>
      <c r="P270" t="s">
        <v>2868</v>
      </c>
      <c r="Q270" t="s">
        <v>1998</v>
      </c>
      <c r="R270" t="s">
        <v>1992</v>
      </c>
      <c r="S270" t="s">
        <v>2073</v>
      </c>
      <c r="T270" t="s">
        <v>2975</v>
      </c>
      <c r="U270" t="s">
        <v>2870</v>
      </c>
      <c r="V270" t="s">
        <v>2973</v>
      </c>
      <c r="W270" t="s">
        <v>2078</v>
      </c>
      <c r="X270" t="s">
        <v>2078</v>
      </c>
      <c r="Y270" t="s">
        <v>1995</v>
      </c>
      <c r="Z270" t="s">
        <v>1995</v>
      </c>
      <c r="AA270" t="s">
        <v>1995</v>
      </c>
      <c r="AB270" t="s">
        <v>1995</v>
      </c>
      <c r="AC270" t="s">
        <v>2855</v>
      </c>
      <c r="AD270" t="s">
        <v>2864</v>
      </c>
      <c r="AE270" t="s">
        <v>2001</v>
      </c>
      <c r="AG270" t="s">
        <v>2002</v>
      </c>
    </row>
    <row r="271">
      <c r="A271" t="s">
        <v>2976</v>
      </c>
      <c r="B271" t="s">
        <v>2858</v>
      </c>
      <c r="C271" t="s">
        <v>2859</v>
      </c>
      <c r="D271" t="s">
        <v>1987</v>
      </c>
      <c r="E271" t="s">
        <v>2860</v>
      </c>
      <c r="F271" t="s">
        <v>2977</v>
      </c>
      <c r="G271" t="s">
        <v>129</v>
      </c>
      <c r="I271" t="s">
        <v>2978</v>
      </c>
      <c r="J271" t="s">
        <v>2863</v>
      </c>
      <c r="K271" t="s">
        <v>1987</v>
      </c>
      <c r="L271" t="s">
        <v>2864</v>
      </c>
      <c r="M271" t="s">
        <v>2979</v>
      </c>
      <c r="N271" t="s">
        <v>2980</v>
      </c>
      <c r="O271" t="s">
        <v>2923</v>
      </c>
      <c r="P271" t="s">
        <v>2868</v>
      </c>
      <c r="Q271" t="s">
        <v>1998</v>
      </c>
      <c r="R271" t="s">
        <v>1992</v>
      </c>
      <c r="S271" t="s">
        <v>2073</v>
      </c>
      <c r="T271" t="s">
        <v>2981</v>
      </c>
      <c r="U271" t="s">
        <v>2870</v>
      </c>
      <c r="V271" t="s">
        <v>2979</v>
      </c>
      <c r="W271" t="s">
        <v>2078</v>
      </c>
      <c r="X271" t="s">
        <v>2078</v>
      </c>
      <c r="Y271" t="s">
        <v>1995</v>
      </c>
      <c r="Z271" t="s">
        <v>1995</v>
      </c>
      <c r="AA271" t="s">
        <v>1995</v>
      </c>
      <c r="AB271" t="s">
        <v>1995</v>
      </c>
      <c r="AC271" t="s">
        <v>2855</v>
      </c>
      <c r="AD271" t="s">
        <v>2864</v>
      </c>
      <c r="AE271" t="s">
        <v>2001</v>
      </c>
      <c r="AG271" t="s">
        <v>2002</v>
      </c>
    </row>
    <row r="272">
      <c r="A272" t="s">
        <v>2982</v>
      </c>
      <c r="B272" t="s">
        <v>2858</v>
      </c>
      <c r="C272" t="s">
        <v>2859</v>
      </c>
      <c r="D272" t="s">
        <v>1987</v>
      </c>
      <c r="E272" t="s">
        <v>2860</v>
      </c>
      <c r="F272" t="s">
        <v>2983</v>
      </c>
      <c r="G272" t="s">
        <v>129</v>
      </c>
      <c r="I272" t="s">
        <v>2984</v>
      </c>
      <c r="J272" t="s">
        <v>2863</v>
      </c>
      <c r="K272" t="s">
        <v>1987</v>
      </c>
      <c r="L272" t="s">
        <v>2864</v>
      </c>
      <c r="M272" t="s">
        <v>2985</v>
      </c>
      <c r="N272" t="s">
        <v>2986</v>
      </c>
      <c r="O272" t="s">
        <v>2923</v>
      </c>
      <c r="P272" t="s">
        <v>2868</v>
      </c>
      <c r="Q272" t="s">
        <v>1998</v>
      </c>
      <c r="R272" t="s">
        <v>1992</v>
      </c>
      <c r="S272" t="s">
        <v>2073</v>
      </c>
      <c r="T272" t="s">
        <v>2987</v>
      </c>
      <c r="U272" t="s">
        <v>2870</v>
      </c>
      <c r="V272" t="s">
        <v>2985</v>
      </c>
      <c r="W272" t="s">
        <v>2078</v>
      </c>
      <c r="X272" t="s">
        <v>2078</v>
      </c>
      <c r="Y272" t="s">
        <v>1995</v>
      </c>
      <c r="Z272" t="s">
        <v>1995</v>
      </c>
      <c r="AA272" t="s">
        <v>1995</v>
      </c>
      <c r="AB272" t="s">
        <v>1995</v>
      </c>
      <c r="AC272" t="s">
        <v>2855</v>
      </c>
      <c r="AD272" t="s">
        <v>2864</v>
      </c>
      <c r="AE272" t="s">
        <v>2001</v>
      </c>
      <c r="AG272" t="s">
        <v>2002</v>
      </c>
    </row>
    <row r="273">
      <c r="A273" t="s">
        <v>2988</v>
      </c>
      <c r="B273" t="s">
        <v>2858</v>
      </c>
      <c r="C273" t="s">
        <v>2859</v>
      </c>
      <c r="D273" t="s">
        <v>1987</v>
      </c>
      <c r="E273" t="s">
        <v>2860</v>
      </c>
      <c r="F273" t="s">
        <v>2989</v>
      </c>
      <c r="G273" t="s">
        <v>129</v>
      </c>
      <c r="I273" t="s">
        <v>2990</v>
      </c>
      <c r="J273" t="s">
        <v>2863</v>
      </c>
      <c r="K273" t="s">
        <v>1987</v>
      </c>
      <c r="L273" t="s">
        <v>2864</v>
      </c>
      <c r="M273" t="s">
        <v>2991</v>
      </c>
      <c r="N273" t="s">
        <v>2992</v>
      </c>
      <c r="O273" t="s">
        <v>2923</v>
      </c>
      <c r="P273" t="s">
        <v>2868</v>
      </c>
      <c r="Q273" t="s">
        <v>1998</v>
      </c>
      <c r="R273" t="s">
        <v>1992</v>
      </c>
      <c r="S273" t="s">
        <v>2073</v>
      </c>
      <c r="T273" t="s">
        <v>2993</v>
      </c>
      <c r="U273" t="s">
        <v>2870</v>
      </c>
      <c r="V273" t="s">
        <v>2991</v>
      </c>
      <c r="W273" t="s">
        <v>2078</v>
      </c>
      <c r="X273" t="s">
        <v>2078</v>
      </c>
      <c r="Y273" t="s">
        <v>1995</v>
      </c>
      <c r="Z273" t="s">
        <v>1995</v>
      </c>
      <c r="AA273" t="s">
        <v>1995</v>
      </c>
      <c r="AB273" t="s">
        <v>1995</v>
      </c>
      <c r="AC273" t="s">
        <v>2855</v>
      </c>
      <c r="AD273" t="s">
        <v>2864</v>
      </c>
      <c r="AE273" t="s">
        <v>2001</v>
      </c>
      <c r="AG273" t="s">
        <v>2002</v>
      </c>
    </row>
    <row r="274">
      <c r="A274" t="s">
        <v>2994</v>
      </c>
      <c r="B274" t="s">
        <v>2858</v>
      </c>
      <c r="C274" t="s">
        <v>2859</v>
      </c>
      <c r="D274" t="s">
        <v>1987</v>
      </c>
      <c r="E274" t="s">
        <v>2860</v>
      </c>
      <c r="F274" t="s">
        <v>2995</v>
      </c>
      <c r="G274" t="s">
        <v>129</v>
      </c>
      <c r="I274" t="s">
        <v>2996</v>
      </c>
      <c r="J274" t="s">
        <v>2863</v>
      </c>
      <c r="K274" t="s">
        <v>1987</v>
      </c>
      <c r="L274" t="s">
        <v>2864</v>
      </c>
      <c r="M274" t="s">
        <v>2997</v>
      </c>
      <c r="N274" t="s">
        <v>2916</v>
      </c>
      <c r="O274" t="s">
        <v>2923</v>
      </c>
      <c r="P274" t="s">
        <v>2868</v>
      </c>
      <c r="Q274" t="s">
        <v>1998</v>
      </c>
      <c r="R274" t="s">
        <v>1992</v>
      </c>
      <c r="S274" t="s">
        <v>2073</v>
      </c>
      <c r="T274" t="s">
        <v>2917</v>
      </c>
      <c r="U274" t="s">
        <v>2870</v>
      </c>
      <c r="V274" t="s">
        <v>2997</v>
      </c>
      <c r="W274" t="s">
        <v>2078</v>
      </c>
      <c r="X274" t="s">
        <v>2078</v>
      </c>
      <c r="Y274" t="s">
        <v>1995</v>
      </c>
      <c r="Z274" t="s">
        <v>1995</v>
      </c>
      <c r="AA274" t="s">
        <v>1995</v>
      </c>
      <c r="AB274" t="s">
        <v>1995</v>
      </c>
      <c r="AC274" t="s">
        <v>2855</v>
      </c>
      <c r="AD274" t="s">
        <v>2864</v>
      </c>
      <c r="AE274" t="s">
        <v>2001</v>
      </c>
      <c r="AG274" t="s">
        <v>2002</v>
      </c>
    </row>
    <row r="275">
      <c r="A275" t="s">
        <v>2998</v>
      </c>
      <c r="B275" t="s">
        <v>2858</v>
      </c>
      <c r="C275" t="s">
        <v>2859</v>
      </c>
      <c r="D275" t="s">
        <v>1987</v>
      </c>
      <c r="E275" t="s">
        <v>2860</v>
      </c>
      <c r="F275" t="s">
        <v>2999</v>
      </c>
      <c r="G275" t="s">
        <v>129</v>
      </c>
      <c r="I275" t="s">
        <v>3000</v>
      </c>
      <c r="J275" t="s">
        <v>2863</v>
      </c>
      <c r="K275" t="s">
        <v>1987</v>
      </c>
      <c r="L275" t="s">
        <v>2864</v>
      </c>
      <c r="M275" t="s">
        <v>3001</v>
      </c>
      <c r="N275" t="s">
        <v>3002</v>
      </c>
      <c r="O275" t="s">
        <v>2923</v>
      </c>
      <c r="P275" t="s">
        <v>2868</v>
      </c>
      <c r="Q275" t="s">
        <v>1998</v>
      </c>
      <c r="R275" t="s">
        <v>1992</v>
      </c>
      <c r="S275" t="s">
        <v>2073</v>
      </c>
      <c r="T275" t="s">
        <v>3003</v>
      </c>
      <c r="U275" t="s">
        <v>2870</v>
      </c>
      <c r="V275" t="s">
        <v>3001</v>
      </c>
      <c r="W275" t="s">
        <v>2078</v>
      </c>
      <c r="X275" t="s">
        <v>2078</v>
      </c>
      <c r="Y275" t="s">
        <v>1995</v>
      </c>
      <c r="Z275" t="s">
        <v>1995</v>
      </c>
      <c r="AA275" t="s">
        <v>1995</v>
      </c>
      <c r="AB275" t="s">
        <v>1995</v>
      </c>
      <c r="AC275" t="s">
        <v>2855</v>
      </c>
      <c r="AD275" t="s">
        <v>2864</v>
      </c>
      <c r="AE275" t="s">
        <v>2001</v>
      </c>
      <c r="AG275" t="s">
        <v>2002</v>
      </c>
    </row>
    <row r="276">
      <c r="A276" t="s">
        <v>3004</v>
      </c>
      <c r="B276" t="s">
        <v>2858</v>
      </c>
      <c r="C276" t="s">
        <v>2859</v>
      </c>
      <c r="D276" t="s">
        <v>1987</v>
      </c>
      <c r="E276" t="s">
        <v>2860</v>
      </c>
      <c r="F276" t="s">
        <v>3005</v>
      </c>
      <c r="G276" t="s">
        <v>129</v>
      </c>
      <c r="I276" t="s">
        <v>3006</v>
      </c>
      <c r="J276" t="s">
        <v>2863</v>
      </c>
      <c r="K276" t="s">
        <v>1987</v>
      </c>
      <c r="L276" t="s">
        <v>2864</v>
      </c>
      <c r="M276" t="s">
        <v>3007</v>
      </c>
      <c r="N276" t="s">
        <v>3008</v>
      </c>
      <c r="O276" t="s">
        <v>2923</v>
      </c>
      <c r="P276" t="s">
        <v>2868</v>
      </c>
      <c r="Q276" t="s">
        <v>1998</v>
      </c>
      <c r="R276" t="s">
        <v>1992</v>
      </c>
      <c r="S276" t="s">
        <v>2073</v>
      </c>
      <c r="T276" t="s">
        <v>3009</v>
      </c>
      <c r="U276" t="s">
        <v>2870</v>
      </c>
      <c r="V276" t="s">
        <v>3007</v>
      </c>
      <c r="W276" t="s">
        <v>2078</v>
      </c>
      <c r="X276" t="s">
        <v>2078</v>
      </c>
      <c r="Y276" t="s">
        <v>1995</v>
      </c>
      <c r="Z276" t="s">
        <v>1995</v>
      </c>
      <c r="AA276" t="s">
        <v>1995</v>
      </c>
      <c r="AB276" t="s">
        <v>1995</v>
      </c>
      <c r="AC276" t="s">
        <v>2855</v>
      </c>
      <c r="AD276" t="s">
        <v>2864</v>
      </c>
      <c r="AE276" t="s">
        <v>2001</v>
      </c>
      <c r="AG276" t="s">
        <v>2002</v>
      </c>
    </row>
    <row r="277">
      <c r="A277" t="s">
        <v>3010</v>
      </c>
      <c r="B277" t="s">
        <v>2858</v>
      </c>
      <c r="C277" t="s">
        <v>2859</v>
      </c>
      <c r="D277" t="s">
        <v>1987</v>
      </c>
      <c r="E277" t="s">
        <v>2860</v>
      </c>
      <c r="F277" t="s">
        <v>3011</v>
      </c>
      <c r="G277" t="s">
        <v>129</v>
      </c>
      <c r="I277" t="s">
        <v>3012</v>
      </c>
      <c r="J277" t="s">
        <v>2863</v>
      </c>
      <c r="K277" t="s">
        <v>1987</v>
      </c>
      <c r="L277" t="s">
        <v>2864</v>
      </c>
      <c r="M277" t="s">
        <v>3013</v>
      </c>
      <c r="N277" t="s">
        <v>3014</v>
      </c>
      <c r="O277" t="s">
        <v>2923</v>
      </c>
      <c r="P277" t="s">
        <v>2868</v>
      </c>
      <c r="Q277" t="s">
        <v>1998</v>
      </c>
      <c r="R277" t="s">
        <v>1992</v>
      </c>
      <c r="S277" t="s">
        <v>2073</v>
      </c>
      <c r="T277" t="s">
        <v>2226</v>
      </c>
      <c r="U277" t="s">
        <v>2870</v>
      </c>
      <c r="V277" t="s">
        <v>3013</v>
      </c>
      <c r="W277" t="s">
        <v>2078</v>
      </c>
      <c r="X277" t="s">
        <v>2078</v>
      </c>
      <c r="Y277" t="s">
        <v>1995</v>
      </c>
      <c r="Z277" t="s">
        <v>1995</v>
      </c>
      <c r="AA277" t="s">
        <v>1995</v>
      </c>
      <c r="AB277" t="s">
        <v>1995</v>
      </c>
      <c r="AC277" t="s">
        <v>2855</v>
      </c>
      <c r="AD277" t="s">
        <v>2864</v>
      </c>
      <c r="AE277" t="s">
        <v>2001</v>
      </c>
      <c r="AG277" t="s">
        <v>2002</v>
      </c>
    </row>
    <row r="278">
      <c r="A278" t="s">
        <v>3015</v>
      </c>
      <c r="B278" t="s">
        <v>2858</v>
      </c>
      <c r="C278" t="s">
        <v>2859</v>
      </c>
      <c r="D278" t="s">
        <v>1987</v>
      </c>
      <c r="E278" t="s">
        <v>2860</v>
      </c>
      <c r="F278" t="s">
        <v>3016</v>
      </c>
      <c r="G278" t="s">
        <v>129</v>
      </c>
      <c r="I278" t="s">
        <v>3017</v>
      </c>
      <c r="J278" t="s">
        <v>2863</v>
      </c>
      <c r="K278" t="s">
        <v>1987</v>
      </c>
      <c r="L278" t="s">
        <v>2864</v>
      </c>
      <c r="M278" t="s">
        <v>3018</v>
      </c>
      <c r="N278" t="s">
        <v>2974</v>
      </c>
      <c r="O278" t="s">
        <v>2923</v>
      </c>
      <c r="P278" t="s">
        <v>2868</v>
      </c>
      <c r="Q278" t="s">
        <v>1998</v>
      </c>
      <c r="R278" t="s">
        <v>1992</v>
      </c>
      <c r="S278" t="s">
        <v>2073</v>
      </c>
      <c r="T278" t="s">
        <v>2975</v>
      </c>
      <c r="U278" t="s">
        <v>2870</v>
      </c>
      <c r="V278" t="s">
        <v>3018</v>
      </c>
      <c r="W278" t="s">
        <v>2078</v>
      </c>
      <c r="X278" t="s">
        <v>2078</v>
      </c>
      <c r="Y278" t="s">
        <v>1995</v>
      </c>
      <c r="Z278" t="s">
        <v>1995</v>
      </c>
      <c r="AA278" t="s">
        <v>1995</v>
      </c>
      <c r="AB278" t="s">
        <v>1995</v>
      </c>
      <c r="AC278" t="s">
        <v>2855</v>
      </c>
      <c r="AD278" t="s">
        <v>2864</v>
      </c>
      <c r="AE278" t="s">
        <v>2001</v>
      </c>
      <c r="AG278" t="s">
        <v>2002</v>
      </c>
    </row>
    <row r="279">
      <c r="A279" t="s">
        <v>3019</v>
      </c>
      <c r="B279" t="s">
        <v>2858</v>
      </c>
      <c r="C279" t="s">
        <v>2859</v>
      </c>
      <c r="D279" t="s">
        <v>1987</v>
      </c>
      <c r="E279" t="s">
        <v>2860</v>
      </c>
      <c r="F279" t="s">
        <v>3020</v>
      </c>
      <c r="G279" t="s">
        <v>129</v>
      </c>
      <c r="I279" t="s">
        <v>3021</v>
      </c>
      <c r="J279" t="s">
        <v>2863</v>
      </c>
      <c r="K279" t="s">
        <v>1987</v>
      </c>
      <c r="L279" t="s">
        <v>2864</v>
      </c>
      <c r="M279" t="s">
        <v>3022</v>
      </c>
      <c r="N279" t="s">
        <v>3023</v>
      </c>
      <c r="O279" t="s">
        <v>2923</v>
      </c>
      <c r="P279" t="s">
        <v>2868</v>
      </c>
      <c r="Q279" t="s">
        <v>1998</v>
      </c>
      <c r="R279" t="s">
        <v>1992</v>
      </c>
      <c r="S279" t="s">
        <v>2073</v>
      </c>
      <c r="T279" t="s">
        <v>3024</v>
      </c>
      <c r="U279" t="s">
        <v>2870</v>
      </c>
      <c r="V279" t="s">
        <v>3022</v>
      </c>
      <c r="W279" t="s">
        <v>2078</v>
      </c>
      <c r="X279" t="s">
        <v>2078</v>
      </c>
      <c r="Y279" t="s">
        <v>1995</v>
      </c>
      <c r="Z279" t="s">
        <v>1995</v>
      </c>
      <c r="AA279" t="s">
        <v>1995</v>
      </c>
      <c r="AB279" t="s">
        <v>1995</v>
      </c>
      <c r="AC279" t="s">
        <v>2855</v>
      </c>
      <c r="AD279" t="s">
        <v>2864</v>
      </c>
      <c r="AE279" t="s">
        <v>2001</v>
      </c>
      <c r="AG279" t="s">
        <v>2002</v>
      </c>
    </row>
    <row r="280">
      <c r="A280" t="s">
        <v>3025</v>
      </c>
      <c r="B280" t="s">
        <v>958</v>
      </c>
      <c r="C280" t="s">
        <v>2840</v>
      </c>
      <c r="D280" t="s">
        <v>3026</v>
      </c>
      <c r="E280" t="s">
        <v>3027</v>
      </c>
      <c r="F280" t="s">
        <v>3028</v>
      </c>
      <c r="G280" t="s">
        <v>154</v>
      </c>
      <c r="H280" t="s">
        <v>3029</v>
      </c>
      <c r="I280" t="s">
        <v>3030</v>
      </c>
      <c r="J280" t="s">
        <v>3031</v>
      </c>
      <c r="K280" t="s">
        <v>3032</v>
      </c>
      <c r="L280" t="s">
        <v>3033</v>
      </c>
      <c r="M280" t="s">
        <v>3034</v>
      </c>
      <c r="N280" t="s">
        <v>3035</v>
      </c>
      <c r="O280" t="s">
        <v>3036</v>
      </c>
      <c r="P280" t="s">
        <v>3037</v>
      </c>
      <c r="Q280" t="s">
        <v>1971</v>
      </c>
      <c r="R280" t="s">
        <v>1992</v>
      </c>
      <c r="S280" t="s">
        <v>3038</v>
      </c>
      <c r="T280" t="s">
        <v>3003</v>
      </c>
      <c r="U280" t="s">
        <v>2852</v>
      </c>
      <c r="V280" t="s">
        <v>3039</v>
      </c>
      <c r="X280" t="s">
        <v>3040</v>
      </c>
      <c r="Y280" t="s">
        <v>1995</v>
      </c>
      <c r="Z280" t="s">
        <v>1995</v>
      </c>
      <c r="AA280" t="s">
        <v>1995</v>
      </c>
      <c r="AB280" t="s">
        <v>1995</v>
      </c>
      <c r="AD280" t="s">
        <v>3033</v>
      </c>
      <c r="AE280" t="s">
        <v>2001</v>
      </c>
      <c r="AF280" t="s">
        <v>3041</v>
      </c>
      <c r="AG280" t="s">
        <v>2002</v>
      </c>
    </row>
    <row r="281">
      <c r="A281" t="s">
        <v>3042</v>
      </c>
      <c r="B281" t="s">
        <v>958</v>
      </c>
      <c r="C281" t="s">
        <v>2840</v>
      </c>
      <c r="D281" t="s">
        <v>3026</v>
      </c>
      <c r="E281" t="s">
        <v>3043</v>
      </c>
      <c r="F281" t="s">
        <v>3044</v>
      </c>
      <c r="G281" t="s">
        <v>154</v>
      </c>
      <c r="H281" t="s">
        <v>3045</v>
      </c>
      <c r="I281" t="s">
        <v>3046</v>
      </c>
      <c r="J281" t="s">
        <v>3047</v>
      </c>
      <c r="K281" t="s">
        <v>3048</v>
      </c>
      <c r="L281" t="s">
        <v>3049</v>
      </c>
      <c r="M281" t="s">
        <v>3050</v>
      </c>
      <c r="N281" t="s">
        <v>2848</v>
      </c>
      <c r="O281" t="s">
        <v>3051</v>
      </c>
      <c r="P281" t="s">
        <v>3052</v>
      </c>
      <c r="Q281" t="s">
        <v>1971</v>
      </c>
      <c r="R281" t="s">
        <v>1993</v>
      </c>
      <c r="S281" t="s">
        <v>3038</v>
      </c>
      <c r="T281" t="s">
        <v>3003</v>
      </c>
      <c r="U281" t="s">
        <v>2852</v>
      </c>
      <c r="V281" t="s">
        <v>3053</v>
      </c>
      <c r="X281" t="s">
        <v>3040</v>
      </c>
      <c r="Y281" t="s">
        <v>1995</v>
      </c>
      <c r="Z281" t="s">
        <v>1995</v>
      </c>
      <c r="AA281" t="s">
        <v>1995</v>
      </c>
      <c r="AB281" t="s">
        <v>1995</v>
      </c>
      <c r="AD281" t="s">
        <v>3049</v>
      </c>
      <c r="AE281" t="s">
        <v>2001</v>
      </c>
      <c r="AF281" t="s">
        <v>3054</v>
      </c>
      <c r="AG281" t="s">
        <v>2002</v>
      </c>
    </row>
    <row r="282">
      <c r="A282" t="s">
        <v>3055</v>
      </c>
      <c r="B282" t="s">
        <v>958</v>
      </c>
      <c r="C282" t="s">
        <v>2840</v>
      </c>
      <c r="D282" t="s">
        <v>3026</v>
      </c>
      <c r="E282" t="s">
        <v>3056</v>
      </c>
      <c r="F282" t="s">
        <v>3057</v>
      </c>
      <c r="G282" t="s">
        <v>120</v>
      </c>
      <c r="H282" t="s">
        <v>3058</v>
      </c>
      <c r="I282" t="s">
        <v>3059</v>
      </c>
      <c r="J282" t="s">
        <v>3060</v>
      </c>
      <c r="K282" t="s">
        <v>3061</v>
      </c>
      <c r="L282" t="s">
        <v>3062</v>
      </c>
      <c r="M282" t="s">
        <v>3063</v>
      </c>
      <c r="N282" t="s">
        <v>3035</v>
      </c>
      <c r="O282" t="s">
        <v>3064</v>
      </c>
      <c r="P282" t="s">
        <v>3065</v>
      </c>
      <c r="Q282" t="s">
        <v>1971</v>
      </c>
      <c r="R282" t="s">
        <v>1992</v>
      </c>
      <c r="S282" t="s">
        <v>3066</v>
      </c>
      <c r="T282" t="s">
        <v>3003</v>
      </c>
      <c r="U282" t="s">
        <v>2852</v>
      </c>
      <c r="V282" t="s">
        <v>3067</v>
      </c>
      <c r="X282" t="s">
        <v>3040</v>
      </c>
      <c r="Y282" t="s">
        <v>1995</v>
      </c>
      <c r="Z282" t="s">
        <v>1995</v>
      </c>
      <c r="AA282" t="s">
        <v>1995</v>
      </c>
      <c r="AB282" t="s">
        <v>1995</v>
      </c>
      <c r="AD282" t="s">
        <v>3062</v>
      </c>
      <c r="AE282" t="s">
        <v>2001</v>
      </c>
      <c r="AF282" t="s">
        <v>3068</v>
      </c>
      <c r="AG282" t="s">
        <v>2002</v>
      </c>
    </row>
    <row r="283">
      <c r="A283" t="s">
        <v>3069</v>
      </c>
      <c r="B283" t="s">
        <v>958</v>
      </c>
      <c r="C283" t="s">
        <v>1198</v>
      </c>
      <c r="D283" t="s">
        <v>3070</v>
      </c>
      <c r="E283" t="s">
        <v>3071</v>
      </c>
      <c r="F283" t="s">
        <v>3072</v>
      </c>
      <c r="G283" t="s">
        <v>120</v>
      </c>
      <c r="H283" t="s">
        <v>3073</v>
      </c>
      <c r="I283" t="s">
        <v>3074</v>
      </c>
      <c r="J283" t="s">
        <v>3075</v>
      </c>
      <c r="K283" t="s">
        <v>1989</v>
      </c>
      <c r="L283" t="s">
        <v>3076</v>
      </c>
      <c r="M283" t="s">
        <v>3077</v>
      </c>
      <c r="N283" t="s">
        <v>3078</v>
      </c>
      <c r="O283" t="s">
        <v>3079</v>
      </c>
      <c r="P283" t="s">
        <v>3080</v>
      </c>
      <c r="Q283" t="s">
        <v>1999</v>
      </c>
      <c r="R283" t="s">
        <v>1993</v>
      </c>
      <c r="S283" t="s">
        <v>3081</v>
      </c>
      <c r="T283" t="s">
        <v>3082</v>
      </c>
      <c r="U283" t="s">
        <v>3083</v>
      </c>
      <c r="V283" t="s">
        <v>3084</v>
      </c>
      <c r="X283" t="s">
        <v>3085</v>
      </c>
      <c r="Y283" t="s">
        <v>2441</v>
      </c>
      <c r="Z283" t="s">
        <v>2442</v>
      </c>
      <c r="AA283" t="s">
        <v>2443</v>
      </c>
      <c r="AB283" t="s">
        <v>2444</v>
      </c>
      <c r="AD283" t="s">
        <v>3076</v>
      </c>
      <c r="AE283" t="s">
        <v>2001</v>
      </c>
      <c r="AG283" t="s">
        <v>2001</v>
      </c>
    </row>
    <row r="284">
      <c r="A284" t="s">
        <v>3086</v>
      </c>
      <c r="B284" t="s">
        <v>958</v>
      </c>
      <c r="C284" t="s">
        <v>1198</v>
      </c>
      <c r="D284" t="s">
        <v>3070</v>
      </c>
      <c r="E284" t="s">
        <v>3087</v>
      </c>
      <c r="F284" t="s">
        <v>3088</v>
      </c>
      <c r="G284" t="s">
        <v>120</v>
      </c>
      <c r="H284" t="s">
        <v>3089</v>
      </c>
      <c r="I284" t="s">
        <v>3090</v>
      </c>
      <c r="J284" t="s">
        <v>3091</v>
      </c>
      <c r="K284" t="s">
        <v>1988</v>
      </c>
      <c r="L284" t="s">
        <v>3092</v>
      </c>
      <c r="M284" t="s">
        <v>3093</v>
      </c>
      <c r="N284" t="s">
        <v>3094</v>
      </c>
      <c r="O284" t="s">
        <v>3095</v>
      </c>
      <c r="P284" t="s">
        <v>3096</v>
      </c>
      <c r="Q284" t="s">
        <v>1999</v>
      </c>
      <c r="R284" t="s">
        <v>1993</v>
      </c>
      <c r="S284" t="s">
        <v>3081</v>
      </c>
      <c r="T284" t="s">
        <v>3082</v>
      </c>
      <c r="U284" t="s">
        <v>3097</v>
      </c>
      <c r="V284" t="s">
        <v>3098</v>
      </c>
      <c r="X284" t="s">
        <v>3085</v>
      </c>
      <c r="Y284" t="s">
        <v>2441</v>
      </c>
      <c r="Z284" t="s">
        <v>2442</v>
      </c>
      <c r="AA284" t="s">
        <v>2443</v>
      </c>
      <c r="AB284" t="s">
        <v>2444</v>
      </c>
      <c r="AD284" t="s">
        <v>3092</v>
      </c>
      <c r="AE284" t="s">
        <v>2001</v>
      </c>
      <c r="AG284" t="s">
        <v>2001</v>
      </c>
    </row>
    <row r="285">
      <c r="A285" t="s">
        <v>3099</v>
      </c>
      <c r="B285" t="s">
        <v>958</v>
      </c>
      <c r="C285" t="s">
        <v>1198</v>
      </c>
      <c r="D285" t="s">
        <v>3070</v>
      </c>
      <c r="E285" t="s">
        <v>3100</v>
      </c>
      <c r="F285" t="s">
        <v>3101</v>
      </c>
      <c r="G285" t="s">
        <v>120</v>
      </c>
      <c r="H285" t="s">
        <v>3102</v>
      </c>
      <c r="I285" t="s">
        <v>3103</v>
      </c>
      <c r="J285" t="s">
        <v>3104</v>
      </c>
      <c r="K285" t="s">
        <v>1988</v>
      </c>
      <c r="L285" t="s">
        <v>3105</v>
      </c>
      <c r="M285" t="s">
        <v>3106</v>
      </c>
      <c r="N285" t="s">
        <v>3107</v>
      </c>
      <c r="O285" t="s">
        <v>3108</v>
      </c>
      <c r="P285" t="s">
        <v>3109</v>
      </c>
      <c r="Q285" t="s">
        <v>1999</v>
      </c>
      <c r="R285" t="s">
        <v>1993</v>
      </c>
      <c r="S285" t="s">
        <v>3081</v>
      </c>
      <c r="T285" t="s">
        <v>3082</v>
      </c>
      <c r="U285" t="s">
        <v>3110</v>
      </c>
      <c r="V285" t="s">
        <v>3111</v>
      </c>
      <c r="X285" t="s">
        <v>3085</v>
      </c>
      <c r="Y285" t="s">
        <v>2441</v>
      </c>
      <c r="Z285" t="s">
        <v>2442</v>
      </c>
      <c r="AA285" t="s">
        <v>2443</v>
      </c>
      <c r="AB285" t="s">
        <v>2444</v>
      </c>
      <c r="AD285" t="s">
        <v>3105</v>
      </c>
      <c r="AE285" t="s">
        <v>2001</v>
      </c>
      <c r="AG285" t="s">
        <v>2001</v>
      </c>
    </row>
    <row r="286">
      <c r="A286" t="s">
        <v>3112</v>
      </c>
      <c r="B286" t="s">
        <v>160</v>
      </c>
      <c r="C286" t="s">
        <v>161</v>
      </c>
      <c r="D286" t="s">
        <v>3113</v>
      </c>
      <c r="E286" t="s">
        <v>3114</v>
      </c>
      <c r="F286" t="s">
        <v>3115</v>
      </c>
      <c r="G286" t="s">
        <v>129</v>
      </c>
      <c r="H286" t="s">
        <v>3116</v>
      </c>
      <c r="I286" t="s">
        <v>3117</v>
      </c>
      <c r="J286" t="s">
        <v>3118</v>
      </c>
      <c r="K286" t="s">
        <v>181</v>
      </c>
      <c r="L286" t="s">
        <v>3119</v>
      </c>
      <c r="M286" t="s">
        <v>3120</v>
      </c>
      <c r="N286" t="s">
        <v>2072</v>
      </c>
      <c r="O286" t="s">
        <v>3121</v>
      </c>
      <c r="P286" t="s">
        <v>1980</v>
      </c>
      <c r="Q286" t="s">
        <v>1971</v>
      </c>
      <c r="R286" t="s">
        <v>1991</v>
      </c>
      <c r="S286" t="s">
        <v>2073</v>
      </c>
      <c r="T286" t="s">
        <v>2074</v>
      </c>
      <c r="U286" t="s">
        <v>2075</v>
      </c>
      <c r="V286" t="s">
        <v>3122</v>
      </c>
      <c r="W286" t="s">
        <v>2077</v>
      </c>
      <c r="X286" t="s">
        <v>161</v>
      </c>
      <c r="Y286" t="s">
        <v>1995</v>
      </c>
      <c r="Z286" t="s">
        <v>1995</v>
      </c>
      <c r="AA286" t="s">
        <v>1995</v>
      </c>
      <c r="AB286" t="s">
        <v>1995</v>
      </c>
      <c r="AC286" t="s">
        <v>3123</v>
      </c>
      <c r="AD286" t="s">
        <v>3119</v>
      </c>
      <c r="AE286" t="s">
        <v>2001</v>
      </c>
    </row>
    <row r="287">
      <c r="A287" t="s">
        <v>3124</v>
      </c>
      <c r="B287" t="s">
        <v>160</v>
      </c>
      <c r="C287" t="s">
        <v>161</v>
      </c>
      <c r="D287" t="s">
        <v>3125</v>
      </c>
      <c r="E287" t="s">
        <v>3126</v>
      </c>
      <c r="F287" t="s">
        <v>3125</v>
      </c>
      <c r="G287" t="s">
        <v>129</v>
      </c>
      <c r="H287" t="s">
        <v>3127</v>
      </c>
      <c r="I287" t="s">
        <v>3128</v>
      </c>
      <c r="J287" t="s">
        <v>3129</v>
      </c>
      <c r="K287" t="s">
        <v>181</v>
      </c>
      <c r="L287" t="s">
        <v>3130</v>
      </c>
      <c r="M287" t="s">
        <v>3131</v>
      </c>
      <c r="N287" t="s">
        <v>2072</v>
      </c>
      <c r="O287" t="s">
        <v>3132</v>
      </c>
      <c r="P287" t="s">
        <v>1980</v>
      </c>
      <c r="Q287" t="s">
        <v>1971</v>
      </c>
      <c r="R287" t="s">
        <v>1991</v>
      </c>
      <c r="S287" t="s">
        <v>2073</v>
      </c>
      <c r="T287" t="s">
        <v>2074</v>
      </c>
      <c r="U287" t="s">
        <v>2075</v>
      </c>
      <c r="V287" t="s">
        <v>3133</v>
      </c>
      <c r="W287" t="s">
        <v>2077</v>
      </c>
      <c r="X287" t="s">
        <v>161</v>
      </c>
      <c r="Y287" t="s">
        <v>1995</v>
      </c>
      <c r="Z287" t="s">
        <v>1995</v>
      </c>
      <c r="AA287" t="s">
        <v>1995</v>
      </c>
      <c r="AB287" t="s">
        <v>1995</v>
      </c>
      <c r="AC287" t="s">
        <v>3134</v>
      </c>
      <c r="AD287" t="s">
        <v>3130</v>
      </c>
      <c r="AE287" t="s">
        <v>2001</v>
      </c>
      <c r="AG287" t="s">
        <v>2002</v>
      </c>
    </row>
    <row r="288">
      <c r="A288" t="s">
        <v>3135</v>
      </c>
      <c r="B288" t="s">
        <v>160</v>
      </c>
      <c r="C288" t="s">
        <v>161</v>
      </c>
      <c r="D288" t="s">
        <v>3136</v>
      </c>
      <c r="E288" t="s">
        <v>3137</v>
      </c>
      <c r="F288" t="s">
        <v>3138</v>
      </c>
      <c r="G288" t="s">
        <v>97</v>
      </c>
      <c r="H288" t="s">
        <v>3139</v>
      </c>
      <c r="I288" t="s">
        <v>3140</v>
      </c>
      <c r="J288" t="s">
        <v>3141</v>
      </c>
      <c r="K288" t="s">
        <v>181</v>
      </c>
      <c r="L288" t="s">
        <v>3142</v>
      </c>
      <c r="M288" t="s">
        <v>3143</v>
      </c>
      <c r="N288" t="s">
        <v>2072</v>
      </c>
      <c r="O288" t="s">
        <v>3144</v>
      </c>
      <c r="P288" t="s">
        <v>1980</v>
      </c>
      <c r="Q288" t="s">
        <v>1971</v>
      </c>
      <c r="R288" t="s">
        <v>1992</v>
      </c>
      <c r="S288" t="s">
        <v>2073</v>
      </c>
      <c r="T288" t="s">
        <v>2074</v>
      </c>
      <c r="U288" t="s">
        <v>2075</v>
      </c>
      <c r="V288" t="s">
        <v>3145</v>
      </c>
      <c r="W288" t="s">
        <v>2078</v>
      </c>
      <c r="X288" t="s">
        <v>161</v>
      </c>
      <c r="Y288" t="s">
        <v>1995</v>
      </c>
      <c r="Z288" t="s">
        <v>1995</v>
      </c>
      <c r="AA288" t="s">
        <v>1995</v>
      </c>
      <c r="AB288" t="s">
        <v>1995</v>
      </c>
      <c r="AC288" t="s">
        <v>3146</v>
      </c>
      <c r="AD288" t="s">
        <v>3142</v>
      </c>
      <c r="AE288" t="s">
        <v>2001</v>
      </c>
      <c r="AG288" t="s">
        <v>2002</v>
      </c>
    </row>
    <row r="289">
      <c r="A289" t="s">
        <v>3147</v>
      </c>
      <c r="B289" t="s">
        <v>160</v>
      </c>
      <c r="C289" t="s">
        <v>161</v>
      </c>
      <c r="D289" t="s">
        <v>3148</v>
      </c>
      <c r="E289" t="s">
        <v>3149</v>
      </c>
      <c r="F289" t="s">
        <v>3148</v>
      </c>
      <c r="G289" t="s">
        <v>97</v>
      </c>
      <c r="H289" t="s">
        <v>3150</v>
      </c>
      <c r="I289" t="s">
        <v>3151</v>
      </c>
      <c r="J289" t="s">
        <v>3152</v>
      </c>
      <c r="K289" t="s">
        <v>181</v>
      </c>
      <c r="L289" t="s">
        <v>3153</v>
      </c>
      <c r="M289" t="s">
        <v>3154</v>
      </c>
      <c r="N289" t="s">
        <v>3155</v>
      </c>
      <c r="O289" t="s">
        <v>3156</v>
      </c>
      <c r="P289" t="s">
        <v>1980</v>
      </c>
      <c r="Q289" t="s">
        <v>3157</v>
      </c>
      <c r="R289" t="s">
        <v>1991</v>
      </c>
      <c r="S289" t="s">
        <v>2073</v>
      </c>
      <c r="T289" t="s">
        <v>3158</v>
      </c>
      <c r="U289" t="s">
        <v>2075</v>
      </c>
      <c r="V289" t="s">
        <v>3159</v>
      </c>
      <c r="W289" t="s">
        <v>2078</v>
      </c>
      <c r="X289" t="s">
        <v>161</v>
      </c>
      <c r="Y289" t="s">
        <v>1995</v>
      </c>
      <c r="Z289" t="s">
        <v>1995</v>
      </c>
      <c r="AA289" t="s">
        <v>1995</v>
      </c>
      <c r="AB289" t="s">
        <v>1995</v>
      </c>
      <c r="AC289" t="s">
        <v>3160</v>
      </c>
      <c r="AD289" t="s">
        <v>3153</v>
      </c>
      <c r="AE289" t="s">
        <v>2001</v>
      </c>
      <c r="AF289" t="s">
        <v>3161</v>
      </c>
      <c r="AG289" t="s">
        <v>2002</v>
      </c>
    </row>
    <row r="290">
      <c r="A290" t="s">
        <v>3162</v>
      </c>
      <c r="B290" t="s">
        <v>958</v>
      </c>
      <c r="C290" t="s">
        <v>970</v>
      </c>
      <c r="D290" t="s">
        <v>1013</v>
      </c>
      <c r="E290" t="s">
        <v>3163</v>
      </c>
      <c r="F290" t="s">
        <v>3164</v>
      </c>
      <c r="G290" t="s">
        <v>154</v>
      </c>
      <c r="H290" t="s">
        <v>3165</v>
      </c>
      <c r="I290" t="s">
        <v>3166</v>
      </c>
      <c r="J290" t="s">
        <v>3167</v>
      </c>
      <c r="K290" t="s">
        <v>3168</v>
      </c>
      <c r="L290" t="s">
        <v>3169</v>
      </c>
      <c r="M290" t="s">
        <v>3170</v>
      </c>
      <c r="N290" t="s">
        <v>3171</v>
      </c>
      <c r="O290" t="s">
        <v>3172</v>
      </c>
      <c r="P290" t="s">
        <v>3173</v>
      </c>
      <c r="Q290" t="s">
        <v>3157</v>
      </c>
      <c r="R290" t="s">
        <v>1991</v>
      </c>
      <c r="S290" t="s">
        <v>2073</v>
      </c>
      <c r="T290" t="s">
        <v>2975</v>
      </c>
      <c r="U290" t="s">
        <v>3174</v>
      </c>
      <c r="V290" t="s">
        <v>3175</v>
      </c>
      <c r="W290" t="s">
        <v>2078</v>
      </c>
      <c r="X290" t="s">
        <v>3176</v>
      </c>
      <c r="Y290" t="s">
        <v>1995</v>
      </c>
      <c r="Z290" t="s">
        <v>1995</v>
      </c>
      <c r="AA290" t="s">
        <v>1995</v>
      </c>
      <c r="AB290" t="s">
        <v>1995</v>
      </c>
      <c r="AC290" t="s">
        <v>3177</v>
      </c>
      <c r="AD290" t="s">
        <v>3169</v>
      </c>
      <c r="AE290" t="s">
        <v>2001</v>
      </c>
      <c r="AF290" t="s">
        <v>3178</v>
      </c>
      <c r="AG290" t="s">
        <v>2002</v>
      </c>
    </row>
    <row r="291">
      <c r="A291" t="s">
        <v>3179</v>
      </c>
      <c r="B291" t="s">
        <v>958</v>
      </c>
      <c r="C291" t="s">
        <v>3180</v>
      </c>
      <c r="D291" t="s">
        <v>3181</v>
      </c>
      <c r="E291" t="s">
        <v>3182</v>
      </c>
      <c r="F291" t="s">
        <v>3183</v>
      </c>
      <c r="G291" t="s">
        <v>154</v>
      </c>
      <c r="H291" t="s">
        <v>3184</v>
      </c>
      <c r="I291" t="s">
        <v>3185</v>
      </c>
      <c r="J291" t="s">
        <v>3186</v>
      </c>
      <c r="K291" t="s">
        <v>3187</v>
      </c>
      <c r="L291" t="s">
        <v>3188</v>
      </c>
      <c r="M291" t="s">
        <v>3189</v>
      </c>
      <c r="N291" t="s">
        <v>3190</v>
      </c>
      <c r="O291" t="s">
        <v>3191</v>
      </c>
      <c r="P291" t="s">
        <v>3192</v>
      </c>
      <c r="Q291" t="s">
        <v>3157</v>
      </c>
      <c r="R291" t="s">
        <v>1992</v>
      </c>
      <c r="S291" t="s">
        <v>2073</v>
      </c>
      <c r="T291" t="s">
        <v>3193</v>
      </c>
      <c r="U291" t="s">
        <v>3194</v>
      </c>
      <c r="V291" t="s">
        <v>3195</v>
      </c>
      <c r="W291" t="s">
        <v>2078</v>
      </c>
      <c r="X291" t="s">
        <v>3196</v>
      </c>
      <c r="Y291" t="s">
        <v>2441</v>
      </c>
      <c r="Z291" t="s">
        <v>3197</v>
      </c>
      <c r="AA291" t="s">
        <v>2443</v>
      </c>
      <c r="AB291" t="s">
        <v>2444</v>
      </c>
      <c r="AC291" t="s">
        <v>3198</v>
      </c>
      <c r="AD291" t="s">
        <v>3188</v>
      </c>
      <c r="AE291" t="s">
        <v>2001</v>
      </c>
      <c r="AF291" t="s">
        <v>3199</v>
      </c>
      <c r="AG291" t="s">
        <v>2001</v>
      </c>
    </row>
    <row r="292">
      <c r="A292" t="s">
        <v>3200</v>
      </c>
      <c r="B292" t="s">
        <v>958</v>
      </c>
      <c r="C292" t="s">
        <v>970</v>
      </c>
      <c r="D292" t="s">
        <v>971</v>
      </c>
      <c r="E292" t="s">
        <v>3201</v>
      </c>
      <c r="F292" t="s">
        <v>3202</v>
      </c>
      <c r="G292" t="s">
        <v>154</v>
      </c>
      <c r="H292" t="s">
        <v>3203</v>
      </c>
      <c r="I292" t="s">
        <v>3204</v>
      </c>
      <c r="J292" t="s">
        <v>3205</v>
      </c>
      <c r="K292" t="s">
        <v>3206</v>
      </c>
      <c r="L292" t="s">
        <v>3207</v>
      </c>
      <c r="M292" t="s">
        <v>3208</v>
      </c>
      <c r="N292" t="s">
        <v>3209</v>
      </c>
      <c r="O292" t="s">
        <v>3210</v>
      </c>
      <c r="P292" t="s">
        <v>3211</v>
      </c>
      <c r="Q292" t="s">
        <v>3157</v>
      </c>
      <c r="R292" t="s">
        <v>1991</v>
      </c>
      <c r="S292" t="s">
        <v>2073</v>
      </c>
      <c r="T292" t="s">
        <v>3212</v>
      </c>
      <c r="U292" t="s">
        <v>3174</v>
      </c>
      <c r="V292" t="s">
        <v>3213</v>
      </c>
      <c r="W292" t="s">
        <v>2078</v>
      </c>
      <c r="X292" t="s">
        <v>3176</v>
      </c>
      <c r="Y292" t="s">
        <v>1995</v>
      </c>
      <c r="Z292" t="s">
        <v>1995</v>
      </c>
      <c r="AA292" t="s">
        <v>1995</v>
      </c>
      <c r="AB292" t="s">
        <v>1995</v>
      </c>
      <c r="AC292" t="s">
        <v>3214</v>
      </c>
      <c r="AD292" t="s">
        <v>3207</v>
      </c>
      <c r="AE292" t="s">
        <v>2001</v>
      </c>
      <c r="AF292" t="s">
        <v>3215</v>
      </c>
      <c r="AG292" t="s">
        <v>2002</v>
      </c>
    </row>
    <row r="293">
      <c r="A293" t="s">
        <v>3216</v>
      </c>
      <c r="B293" t="s">
        <v>160</v>
      </c>
      <c r="C293" t="s">
        <v>161</v>
      </c>
      <c r="D293" t="s">
        <v>3217</v>
      </c>
      <c r="E293" t="s">
        <v>3218</v>
      </c>
      <c r="F293" t="s">
        <v>3219</v>
      </c>
      <c r="G293" t="s">
        <v>97</v>
      </c>
      <c r="H293" t="s">
        <v>3220</v>
      </c>
      <c r="I293" t="s">
        <v>3221</v>
      </c>
      <c r="J293" t="s">
        <v>3222</v>
      </c>
      <c r="K293" t="s">
        <v>181</v>
      </c>
      <c r="L293" t="s">
        <v>3223</v>
      </c>
      <c r="M293" t="s">
        <v>3224</v>
      </c>
      <c r="N293" t="s">
        <v>3225</v>
      </c>
      <c r="O293" t="s">
        <v>3226</v>
      </c>
      <c r="P293" t="s">
        <v>1980</v>
      </c>
      <c r="Q293" t="s">
        <v>1971</v>
      </c>
      <c r="R293" t="s">
        <v>1991</v>
      </c>
      <c r="S293" t="s">
        <v>2073</v>
      </c>
      <c r="T293" t="s">
        <v>3227</v>
      </c>
      <c r="U293" t="s">
        <v>3228</v>
      </c>
      <c r="V293" t="s">
        <v>3229</v>
      </c>
      <c r="W293" t="s">
        <v>2078</v>
      </c>
      <c r="X293" t="s">
        <v>3230</v>
      </c>
      <c r="Y293" t="s">
        <v>2709</v>
      </c>
      <c r="Z293" t="s">
        <v>3231</v>
      </c>
      <c r="AA293" t="s">
        <v>2443</v>
      </c>
      <c r="AB293" t="s">
        <v>2444</v>
      </c>
      <c r="AC293" t="s">
        <v>3232</v>
      </c>
      <c r="AD293" t="s">
        <v>3223</v>
      </c>
      <c r="AE293" t="s">
        <v>2001</v>
      </c>
      <c r="AF293" t="s">
        <v>3233</v>
      </c>
      <c r="AG293" t="s">
        <v>2001</v>
      </c>
    </row>
    <row r="294">
      <c r="A294" t="s">
        <v>3234</v>
      </c>
      <c r="B294" t="s">
        <v>160</v>
      </c>
      <c r="C294" t="s">
        <v>161</v>
      </c>
      <c r="D294" t="s">
        <v>3217</v>
      </c>
      <c r="E294" t="s">
        <v>3235</v>
      </c>
      <c r="F294" t="s">
        <v>3236</v>
      </c>
      <c r="G294" t="s">
        <v>154</v>
      </c>
      <c r="H294" t="s">
        <v>3237</v>
      </c>
      <c r="I294" t="s">
        <v>3238</v>
      </c>
      <c r="J294" t="s">
        <v>3239</v>
      </c>
      <c r="K294" t="s">
        <v>181</v>
      </c>
      <c r="L294" t="s">
        <v>3240</v>
      </c>
      <c r="M294" t="s">
        <v>3241</v>
      </c>
      <c r="N294" t="s">
        <v>3225</v>
      </c>
      <c r="O294" t="s">
        <v>3242</v>
      </c>
      <c r="P294" t="s">
        <v>1980</v>
      </c>
      <c r="Q294" t="s">
        <v>1971</v>
      </c>
      <c r="R294" t="s">
        <v>1991</v>
      </c>
      <c r="S294" t="s">
        <v>2073</v>
      </c>
      <c r="T294" t="s">
        <v>3227</v>
      </c>
      <c r="U294" t="s">
        <v>3228</v>
      </c>
      <c r="V294" t="s">
        <v>3243</v>
      </c>
      <c r="W294" t="s">
        <v>2078</v>
      </c>
      <c r="X294" t="s">
        <v>3244</v>
      </c>
      <c r="Y294" t="s">
        <v>2709</v>
      </c>
      <c r="Z294" t="s">
        <v>3245</v>
      </c>
      <c r="AA294" t="s">
        <v>2443</v>
      </c>
      <c r="AB294" t="s">
        <v>2710</v>
      </c>
      <c r="AC294" t="s">
        <v>3246</v>
      </c>
      <c r="AD294" t="s">
        <v>3240</v>
      </c>
      <c r="AE294" t="s">
        <v>2001</v>
      </c>
      <c r="AF294" t="s">
        <v>3247</v>
      </c>
      <c r="AG294" t="s">
        <v>2001</v>
      </c>
    </row>
    <row r="295">
      <c r="A295" t="s">
        <v>3248</v>
      </c>
      <c r="B295" t="s">
        <v>160</v>
      </c>
      <c r="C295" t="s">
        <v>161</v>
      </c>
      <c r="D295" t="s">
        <v>3217</v>
      </c>
      <c r="E295" t="s">
        <v>3249</v>
      </c>
      <c r="F295" t="s">
        <v>3250</v>
      </c>
      <c r="G295" t="s">
        <v>154</v>
      </c>
      <c r="H295" t="s">
        <v>3251</v>
      </c>
      <c r="I295" t="s">
        <v>3252</v>
      </c>
      <c r="J295" t="s">
        <v>3253</v>
      </c>
      <c r="K295" t="s">
        <v>181</v>
      </c>
      <c r="L295" t="s">
        <v>3254</v>
      </c>
      <c r="M295" t="s">
        <v>3255</v>
      </c>
      <c r="N295" t="s">
        <v>3256</v>
      </c>
      <c r="O295" t="s">
        <v>3257</v>
      </c>
      <c r="P295" t="s">
        <v>1980</v>
      </c>
      <c r="Q295" t="s">
        <v>1971</v>
      </c>
      <c r="R295" t="s">
        <v>1991</v>
      </c>
      <c r="S295" t="s">
        <v>2073</v>
      </c>
      <c r="T295" t="s">
        <v>3258</v>
      </c>
      <c r="U295" t="s">
        <v>3259</v>
      </c>
      <c r="V295" t="s">
        <v>3260</v>
      </c>
      <c r="W295" t="s">
        <v>2078</v>
      </c>
      <c r="X295" t="s">
        <v>3244</v>
      </c>
      <c r="Y295" t="s">
        <v>2709</v>
      </c>
      <c r="Z295" t="s">
        <v>3261</v>
      </c>
      <c r="AA295" t="s">
        <v>2443</v>
      </c>
      <c r="AB295" t="s">
        <v>2710</v>
      </c>
      <c r="AC295" t="s">
        <v>3262</v>
      </c>
      <c r="AD295" t="s">
        <v>3254</v>
      </c>
      <c r="AE295" t="s">
        <v>2001</v>
      </c>
      <c r="AF295" t="s">
        <v>3263</v>
      </c>
      <c r="AG295" t="s">
        <v>2001</v>
      </c>
    </row>
    <row r="296">
      <c r="A296" t="s">
        <v>3264</v>
      </c>
      <c r="B296" t="s">
        <v>160</v>
      </c>
      <c r="C296" t="s">
        <v>161</v>
      </c>
      <c r="D296" t="s">
        <v>3217</v>
      </c>
      <c r="E296" t="s">
        <v>3265</v>
      </c>
      <c r="F296" t="s">
        <v>3266</v>
      </c>
      <c r="G296" t="s">
        <v>154</v>
      </c>
      <c r="H296" t="s">
        <v>3267</v>
      </c>
      <c r="I296" t="s">
        <v>3268</v>
      </c>
      <c r="J296" t="s">
        <v>3269</v>
      </c>
      <c r="K296" t="s">
        <v>181</v>
      </c>
      <c r="L296" t="s">
        <v>3270</v>
      </c>
      <c r="M296" t="s">
        <v>3271</v>
      </c>
      <c r="N296" t="s">
        <v>3272</v>
      </c>
      <c r="O296" t="s">
        <v>3273</v>
      </c>
      <c r="P296" t="s">
        <v>1980</v>
      </c>
      <c r="Q296" t="s">
        <v>1971</v>
      </c>
      <c r="R296" t="s">
        <v>1991</v>
      </c>
      <c r="S296" t="s">
        <v>2073</v>
      </c>
      <c r="T296" t="s">
        <v>3227</v>
      </c>
      <c r="U296" t="s">
        <v>3274</v>
      </c>
      <c r="V296" t="s">
        <v>3275</v>
      </c>
      <c r="W296" t="s">
        <v>2078</v>
      </c>
      <c r="X296" t="s">
        <v>3276</v>
      </c>
      <c r="Y296" t="s">
        <v>2709</v>
      </c>
      <c r="Z296" t="s">
        <v>3277</v>
      </c>
      <c r="AA296" t="s">
        <v>2443</v>
      </c>
      <c r="AB296" t="s">
        <v>2444</v>
      </c>
      <c r="AC296" t="s">
        <v>3278</v>
      </c>
      <c r="AD296" t="s">
        <v>3270</v>
      </c>
      <c r="AE296" t="s">
        <v>2001</v>
      </c>
      <c r="AF296" t="s">
        <v>3279</v>
      </c>
      <c r="AG296" t="s">
        <v>2001</v>
      </c>
    </row>
    <row r="297">
      <c r="A297" t="s">
        <v>3280</v>
      </c>
      <c r="B297" t="s">
        <v>160</v>
      </c>
      <c r="C297" t="s">
        <v>161</v>
      </c>
      <c r="D297" t="s">
        <v>3217</v>
      </c>
      <c r="E297" t="s">
        <v>3281</v>
      </c>
      <c r="F297" t="s">
        <v>3282</v>
      </c>
      <c r="G297" t="s">
        <v>97</v>
      </c>
      <c r="H297" t="s">
        <v>3283</v>
      </c>
      <c r="I297" t="s">
        <v>3284</v>
      </c>
      <c r="J297" t="s">
        <v>3285</v>
      </c>
      <c r="K297" t="s">
        <v>181</v>
      </c>
      <c r="L297" t="s">
        <v>3286</v>
      </c>
      <c r="M297" t="s">
        <v>3287</v>
      </c>
      <c r="N297" t="s">
        <v>3288</v>
      </c>
      <c r="O297" t="s">
        <v>3289</v>
      </c>
      <c r="P297" t="s">
        <v>1980</v>
      </c>
      <c r="Q297" t="s">
        <v>1971</v>
      </c>
      <c r="R297" t="s">
        <v>1991</v>
      </c>
      <c r="S297" t="s">
        <v>2073</v>
      </c>
      <c r="T297" t="s">
        <v>3290</v>
      </c>
      <c r="U297" t="s">
        <v>3228</v>
      </c>
      <c r="V297" t="s">
        <v>3291</v>
      </c>
      <c r="W297" t="s">
        <v>2078</v>
      </c>
      <c r="X297" t="s">
        <v>3230</v>
      </c>
      <c r="Y297" t="s">
        <v>2709</v>
      </c>
      <c r="Z297" t="s">
        <v>3292</v>
      </c>
      <c r="AA297" t="s">
        <v>2443</v>
      </c>
      <c r="AB297" t="s">
        <v>2710</v>
      </c>
      <c r="AC297" t="s">
        <v>3293</v>
      </c>
      <c r="AD297" t="s">
        <v>3286</v>
      </c>
      <c r="AE297" t="s">
        <v>2001</v>
      </c>
      <c r="AF297" t="s">
        <v>3294</v>
      </c>
      <c r="AG297" t="s">
        <v>2001</v>
      </c>
    </row>
    <row r="298">
      <c r="A298" t="s">
        <v>3295</v>
      </c>
      <c r="B298" t="s">
        <v>958</v>
      </c>
      <c r="C298" t="s">
        <v>2840</v>
      </c>
      <c r="D298" t="s">
        <v>3296</v>
      </c>
      <c r="E298" t="s">
        <v>3297</v>
      </c>
      <c r="F298" t="s">
        <v>3298</v>
      </c>
      <c r="G298" t="s">
        <v>97</v>
      </c>
      <c r="H298" t="s">
        <v>3299</v>
      </c>
      <c r="I298" t="s">
        <v>3300</v>
      </c>
      <c r="J298" t="s">
        <v>3301</v>
      </c>
      <c r="K298" t="s">
        <v>2036</v>
      </c>
      <c r="L298" t="s">
        <v>3302</v>
      </c>
      <c r="M298" t="s">
        <v>3303</v>
      </c>
      <c r="N298" t="s">
        <v>2848</v>
      </c>
      <c r="O298" t="s">
        <v>3302</v>
      </c>
      <c r="P298" t="s">
        <v>2850</v>
      </c>
      <c r="Q298" t="s">
        <v>3157</v>
      </c>
      <c r="R298" t="s">
        <v>1992</v>
      </c>
      <c r="S298" t="s">
        <v>2073</v>
      </c>
      <c r="T298" t="s">
        <v>3304</v>
      </c>
      <c r="U298" t="s">
        <v>2852</v>
      </c>
      <c r="V298" t="s">
        <v>3305</v>
      </c>
      <c r="W298" t="s">
        <v>2078</v>
      </c>
      <c r="X298" t="s">
        <v>2854</v>
      </c>
      <c r="Y298" t="s">
        <v>1995</v>
      </c>
      <c r="Z298" t="s">
        <v>1995</v>
      </c>
      <c r="AA298" t="s">
        <v>1995</v>
      </c>
      <c r="AB298" t="s">
        <v>1995</v>
      </c>
      <c r="AC298" t="s">
        <v>3306</v>
      </c>
      <c r="AD298" t="s">
        <v>3302</v>
      </c>
      <c r="AE298" t="s">
        <v>2001</v>
      </c>
      <c r="AF298" t="s">
        <v>3307</v>
      </c>
      <c r="AG298" t="s">
        <v>2002</v>
      </c>
    </row>
    <row r="299">
      <c r="A299" t="s">
        <v>3308</v>
      </c>
      <c r="B299" t="s">
        <v>958</v>
      </c>
      <c r="C299" t="s">
        <v>2840</v>
      </c>
      <c r="D299" t="s">
        <v>3296</v>
      </c>
      <c r="E299" t="s">
        <v>3309</v>
      </c>
      <c r="F299" t="s">
        <v>3310</v>
      </c>
      <c r="G299" t="s">
        <v>97</v>
      </c>
      <c r="H299" t="s">
        <v>3311</v>
      </c>
      <c r="I299" t="s">
        <v>3312</v>
      </c>
      <c r="J299" t="s">
        <v>3313</v>
      </c>
      <c r="K299" t="s">
        <v>2031</v>
      </c>
      <c r="L299" t="s">
        <v>3314</v>
      </c>
      <c r="M299" t="s">
        <v>3315</v>
      </c>
      <c r="N299" t="s">
        <v>2848</v>
      </c>
      <c r="O299" t="s">
        <v>2849</v>
      </c>
      <c r="P299" t="s">
        <v>2850</v>
      </c>
      <c r="Q299" t="s">
        <v>3157</v>
      </c>
      <c r="R299" t="s">
        <v>1991</v>
      </c>
      <c r="S299" t="s">
        <v>2073</v>
      </c>
      <c r="T299" t="s">
        <v>3304</v>
      </c>
      <c r="U299" t="s">
        <v>2852</v>
      </c>
      <c r="V299" t="s">
        <v>3316</v>
      </c>
      <c r="W299" t="s">
        <v>2078</v>
      </c>
      <c r="X299" t="s">
        <v>2854</v>
      </c>
      <c r="Y299" t="s">
        <v>1995</v>
      </c>
      <c r="Z299" t="s">
        <v>1995</v>
      </c>
      <c r="AA299" t="s">
        <v>1995</v>
      </c>
      <c r="AB299" t="s">
        <v>1995</v>
      </c>
      <c r="AC299" t="s">
        <v>3317</v>
      </c>
      <c r="AD299" t="s">
        <v>3314</v>
      </c>
      <c r="AE299" t="s">
        <v>2001</v>
      </c>
      <c r="AF299" t="s">
        <v>3318</v>
      </c>
      <c r="AG299" t="s">
        <v>2002</v>
      </c>
    </row>
    <row r="300">
      <c r="A300" t="s">
        <v>3319</v>
      </c>
      <c r="B300" t="s">
        <v>958</v>
      </c>
      <c r="C300" t="s">
        <v>2840</v>
      </c>
      <c r="D300" t="s">
        <v>3296</v>
      </c>
      <c r="E300" t="s">
        <v>3297</v>
      </c>
      <c r="F300" t="s">
        <v>3320</v>
      </c>
      <c r="G300" t="s">
        <v>97</v>
      </c>
      <c r="H300" t="s">
        <v>3321</v>
      </c>
      <c r="I300" t="s">
        <v>3322</v>
      </c>
      <c r="J300" t="s">
        <v>3323</v>
      </c>
      <c r="K300" t="s">
        <v>2031</v>
      </c>
      <c r="L300" t="s">
        <v>3324</v>
      </c>
      <c r="M300" t="s">
        <v>3325</v>
      </c>
      <c r="N300" t="s">
        <v>2848</v>
      </c>
      <c r="O300" t="s">
        <v>2849</v>
      </c>
      <c r="P300" t="s">
        <v>2850</v>
      </c>
      <c r="Q300" t="s">
        <v>3157</v>
      </c>
      <c r="R300" t="s">
        <v>1991</v>
      </c>
      <c r="S300" t="s">
        <v>2073</v>
      </c>
      <c r="T300" t="s">
        <v>3304</v>
      </c>
      <c r="U300" t="s">
        <v>2852</v>
      </c>
      <c r="V300" t="s">
        <v>3326</v>
      </c>
      <c r="W300" t="s">
        <v>2078</v>
      </c>
      <c r="X300" t="s">
        <v>2854</v>
      </c>
      <c r="Y300" t="s">
        <v>1995</v>
      </c>
      <c r="Z300" t="s">
        <v>1995</v>
      </c>
      <c r="AA300" t="s">
        <v>1995</v>
      </c>
      <c r="AB300" t="s">
        <v>1995</v>
      </c>
      <c r="AC300" t="s">
        <v>3327</v>
      </c>
      <c r="AD300" t="s">
        <v>3324</v>
      </c>
      <c r="AE300" t="s">
        <v>2001</v>
      </c>
      <c r="AF300" t="s">
        <v>3328</v>
      </c>
      <c r="AG300" t="s">
        <v>2002</v>
      </c>
    </row>
    <row r="301">
      <c r="A301" t="s">
        <v>3329</v>
      </c>
      <c r="B301" t="s">
        <v>958</v>
      </c>
      <c r="C301" t="s">
        <v>2840</v>
      </c>
      <c r="D301" t="s">
        <v>3330</v>
      </c>
      <c r="E301" t="s">
        <v>3331</v>
      </c>
      <c r="F301" t="s">
        <v>3332</v>
      </c>
      <c r="G301" t="s">
        <v>120</v>
      </c>
      <c r="H301" t="s">
        <v>3333</v>
      </c>
      <c r="I301" t="s">
        <v>3334</v>
      </c>
      <c r="J301" t="s">
        <v>3335</v>
      </c>
      <c r="K301" t="s">
        <v>2034</v>
      </c>
      <c r="L301" t="s">
        <v>3336</v>
      </c>
      <c r="M301" t="s">
        <v>3337</v>
      </c>
      <c r="N301" t="s">
        <v>2848</v>
      </c>
      <c r="O301" t="s">
        <v>3338</v>
      </c>
      <c r="P301" t="s">
        <v>2850</v>
      </c>
      <c r="Q301" t="s">
        <v>3157</v>
      </c>
      <c r="R301" t="s">
        <v>1992</v>
      </c>
      <c r="S301" t="s">
        <v>2073</v>
      </c>
      <c r="T301" t="s">
        <v>3304</v>
      </c>
      <c r="U301" t="s">
        <v>2852</v>
      </c>
      <c r="V301" t="s">
        <v>3339</v>
      </c>
      <c r="W301" t="s">
        <v>2078</v>
      </c>
      <c r="X301" t="s">
        <v>3040</v>
      </c>
      <c r="Y301" t="s">
        <v>2441</v>
      </c>
      <c r="Z301" t="s">
        <v>3340</v>
      </c>
      <c r="AA301" t="s">
        <v>3341</v>
      </c>
      <c r="AB301" t="s">
        <v>2710</v>
      </c>
      <c r="AC301" t="s">
        <v>3342</v>
      </c>
      <c r="AD301" t="s">
        <v>3336</v>
      </c>
      <c r="AE301" t="s">
        <v>2001</v>
      </c>
      <c r="AF301" t="s">
        <v>3343</v>
      </c>
      <c r="AG301" t="s">
        <v>2001</v>
      </c>
    </row>
    <row r="302">
      <c r="A302" t="s">
        <v>3344</v>
      </c>
      <c r="B302" t="s">
        <v>958</v>
      </c>
      <c r="C302" t="s">
        <v>2840</v>
      </c>
      <c r="D302" t="s">
        <v>3330</v>
      </c>
      <c r="E302" t="s">
        <v>3331</v>
      </c>
      <c r="F302" t="s">
        <v>3345</v>
      </c>
      <c r="G302" t="s">
        <v>120</v>
      </c>
      <c r="H302" t="s">
        <v>3346</v>
      </c>
      <c r="I302" t="s">
        <v>3347</v>
      </c>
      <c r="J302" t="s">
        <v>3348</v>
      </c>
      <c r="K302" t="s">
        <v>2034</v>
      </c>
      <c r="L302" t="s">
        <v>3349</v>
      </c>
      <c r="M302" t="s">
        <v>3350</v>
      </c>
      <c r="N302" t="s">
        <v>2848</v>
      </c>
      <c r="O302" t="s">
        <v>3338</v>
      </c>
      <c r="P302" t="s">
        <v>2850</v>
      </c>
      <c r="Q302" t="s">
        <v>3157</v>
      </c>
      <c r="R302" t="s">
        <v>1992</v>
      </c>
      <c r="S302" t="s">
        <v>2073</v>
      </c>
      <c r="T302" t="s">
        <v>3304</v>
      </c>
      <c r="U302" t="s">
        <v>2852</v>
      </c>
      <c r="V302" t="s">
        <v>3351</v>
      </c>
      <c r="W302" t="s">
        <v>2078</v>
      </c>
      <c r="X302" t="s">
        <v>3040</v>
      </c>
      <c r="Y302" t="s">
        <v>2441</v>
      </c>
      <c r="Z302" t="s">
        <v>3352</v>
      </c>
      <c r="AA302" t="s">
        <v>3353</v>
      </c>
      <c r="AB302" t="s">
        <v>2710</v>
      </c>
      <c r="AC302" t="s">
        <v>3354</v>
      </c>
      <c r="AD302" t="s">
        <v>3349</v>
      </c>
      <c r="AE302" t="s">
        <v>2001</v>
      </c>
      <c r="AF302" t="s">
        <v>3355</v>
      </c>
      <c r="AG302" t="s">
        <v>2001</v>
      </c>
    </row>
    <row r="303">
      <c r="A303" t="s">
        <v>3356</v>
      </c>
      <c r="B303" t="s">
        <v>958</v>
      </c>
      <c r="C303" t="s">
        <v>2840</v>
      </c>
      <c r="D303" t="s">
        <v>3330</v>
      </c>
      <c r="E303" t="s">
        <v>3331</v>
      </c>
      <c r="F303" t="s">
        <v>3357</v>
      </c>
      <c r="G303" t="s">
        <v>120</v>
      </c>
      <c r="H303" t="s">
        <v>3358</v>
      </c>
      <c r="I303" t="s">
        <v>3359</v>
      </c>
      <c r="J303" t="s">
        <v>3360</v>
      </c>
      <c r="K303" t="s">
        <v>2034</v>
      </c>
      <c r="L303" t="s">
        <v>3361</v>
      </c>
      <c r="M303" t="s">
        <v>3362</v>
      </c>
      <c r="N303" t="s">
        <v>2848</v>
      </c>
      <c r="O303" t="s">
        <v>3338</v>
      </c>
      <c r="P303" t="s">
        <v>2850</v>
      </c>
      <c r="Q303" t="s">
        <v>3157</v>
      </c>
      <c r="R303" t="s">
        <v>1992</v>
      </c>
      <c r="S303" t="s">
        <v>2073</v>
      </c>
      <c r="T303" t="s">
        <v>3304</v>
      </c>
      <c r="U303" t="s">
        <v>2852</v>
      </c>
      <c r="V303" t="s">
        <v>3363</v>
      </c>
      <c r="W303" t="s">
        <v>2078</v>
      </c>
      <c r="X303" t="s">
        <v>3040</v>
      </c>
      <c r="Y303" t="s">
        <v>1995</v>
      </c>
      <c r="Z303" t="s">
        <v>1995</v>
      </c>
      <c r="AA303" t="s">
        <v>1995</v>
      </c>
      <c r="AB303" t="s">
        <v>1995</v>
      </c>
      <c r="AC303" t="s">
        <v>3364</v>
      </c>
      <c r="AD303" t="s">
        <v>3361</v>
      </c>
      <c r="AE303" t="s">
        <v>2001</v>
      </c>
      <c r="AF303" t="s">
        <v>3365</v>
      </c>
      <c r="AG303" t="s">
        <v>2002</v>
      </c>
    </row>
    <row r="304">
      <c r="A304" t="s">
        <v>3366</v>
      </c>
      <c r="B304" t="s">
        <v>958</v>
      </c>
      <c r="C304" t="s">
        <v>2840</v>
      </c>
      <c r="D304" t="s">
        <v>3330</v>
      </c>
      <c r="E304" t="s">
        <v>3331</v>
      </c>
      <c r="F304" t="s">
        <v>3367</v>
      </c>
      <c r="G304" t="s">
        <v>97</v>
      </c>
      <c r="H304" t="s">
        <v>3368</v>
      </c>
      <c r="I304" t="s">
        <v>3369</v>
      </c>
      <c r="J304" t="s">
        <v>3370</v>
      </c>
      <c r="K304" t="s">
        <v>2032</v>
      </c>
      <c r="L304" t="s">
        <v>3371</v>
      </c>
      <c r="M304" t="s">
        <v>3372</v>
      </c>
      <c r="N304" t="s">
        <v>2848</v>
      </c>
      <c r="O304" t="s">
        <v>3373</v>
      </c>
      <c r="P304" t="s">
        <v>2850</v>
      </c>
      <c r="Q304" t="s">
        <v>3157</v>
      </c>
      <c r="R304" t="s">
        <v>1991</v>
      </c>
      <c r="S304" t="s">
        <v>2073</v>
      </c>
      <c r="T304" t="s">
        <v>3304</v>
      </c>
      <c r="U304" t="s">
        <v>2852</v>
      </c>
      <c r="V304" t="s">
        <v>3374</v>
      </c>
      <c r="W304" t="s">
        <v>2078</v>
      </c>
      <c r="X304" t="s">
        <v>2854</v>
      </c>
      <c r="Y304" t="s">
        <v>2441</v>
      </c>
      <c r="Z304" t="s">
        <v>3375</v>
      </c>
      <c r="AA304" t="s">
        <v>3376</v>
      </c>
      <c r="AB304" t="s">
        <v>2444</v>
      </c>
      <c r="AC304" t="s">
        <v>3377</v>
      </c>
      <c r="AD304" t="s">
        <v>3371</v>
      </c>
      <c r="AE304" t="s">
        <v>2001</v>
      </c>
      <c r="AF304" t="s">
        <v>3378</v>
      </c>
      <c r="AG304" t="s">
        <v>2001</v>
      </c>
    </row>
    <row r="305">
      <c r="A305" t="s">
        <v>3379</v>
      </c>
      <c r="B305" t="s">
        <v>958</v>
      </c>
      <c r="C305" t="s">
        <v>2840</v>
      </c>
      <c r="D305" t="s">
        <v>3380</v>
      </c>
      <c r="E305" t="s">
        <v>3381</v>
      </c>
      <c r="F305" t="s">
        <v>3382</v>
      </c>
      <c r="G305" t="s">
        <v>120</v>
      </c>
      <c r="H305" t="s">
        <v>3383</v>
      </c>
      <c r="I305" t="s">
        <v>3384</v>
      </c>
      <c r="J305" t="s">
        <v>3385</v>
      </c>
      <c r="K305" t="s">
        <v>2032</v>
      </c>
      <c r="L305" t="s">
        <v>3386</v>
      </c>
      <c r="M305" t="s">
        <v>3387</v>
      </c>
      <c r="N305" t="s">
        <v>2848</v>
      </c>
      <c r="O305" t="s">
        <v>3373</v>
      </c>
      <c r="P305" t="s">
        <v>2850</v>
      </c>
      <c r="Q305" t="s">
        <v>3157</v>
      </c>
      <c r="R305" t="s">
        <v>1991</v>
      </c>
      <c r="S305" t="s">
        <v>2073</v>
      </c>
      <c r="T305" t="s">
        <v>3304</v>
      </c>
      <c r="U305" t="s">
        <v>2852</v>
      </c>
      <c r="V305" t="s">
        <v>3388</v>
      </c>
      <c r="W305" t="s">
        <v>2078</v>
      </c>
      <c r="X305" t="s">
        <v>3040</v>
      </c>
      <c r="Y305" t="s">
        <v>1995</v>
      </c>
      <c r="Z305" t="s">
        <v>1995</v>
      </c>
      <c r="AA305" t="s">
        <v>1995</v>
      </c>
      <c r="AB305" t="s">
        <v>1995</v>
      </c>
      <c r="AC305" t="s">
        <v>3389</v>
      </c>
      <c r="AD305" t="s">
        <v>3386</v>
      </c>
      <c r="AE305" t="s">
        <v>2001</v>
      </c>
      <c r="AF305" t="s">
        <v>3390</v>
      </c>
      <c r="AG305" t="s">
        <v>2002</v>
      </c>
    </row>
    <row r="306">
      <c r="A306" t="s">
        <v>3391</v>
      </c>
      <c r="B306" t="s">
        <v>958</v>
      </c>
      <c r="C306" t="s">
        <v>2840</v>
      </c>
      <c r="D306" t="s">
        <v>3380</v>
      </c>
      <c r="E306" t="s">
        <v>3381</v>
      </c>
      <c r="F306" t="s">
        <v>3392</v>
      </c>
      <c r="G306" t="s">
        <v>97</v>
      </c>
      <c r="H306" t="s">
        <v>3393</v>
      </c>
      <c r="I306" t="s">
        <v>3394</v>
      </c>
      <c r="J306" t="s">
        <v>3395</v>
      </c>
      <c r="K306" t="s">
        <v>2032</v>
      </c>
      <c r="L306" t="s">
        <v>3396</v>
      </c>
      <c r="M306" t="s">
        <v>3397</v>
      </c>
      <c r="N306" t="s">
        <v>2848</v>
      </c>
      <c r="O306" t="s">
        <v>3373</v>
      </c>
      <c r="P306" t="s">
        <v>2850</v>
      </c>
      <c r="Q306" t="s">
        <v>3157</v>
      </c>
      <c r="R306" t="s">
        <v>1991</v>
      </c>
      <c r="S306" t="s">
        <v>2073</v>
      </c>
      <c r="T306" t="s">
        <v>3304</v>
      </c>
      <c r="U306" t="s">
        <v>2852</v>
      </c>
      <c r="V306" t="s">
        <v>3398</v>
      </c>
      <c r="W306" t="s">
        <v>2078</v>
      </c>
      <c r="X306" t="s">
        <v>2854</v>
      </c>
      <c r="Y306" t="s">
        <v>2441</v>
      </c>
      <c r="Z306" t="s">
        <v>3399</v>
      </c>
      <c r="AA306" t="s">
        <v>3400</v>
      </c>
      <c r="AB306" t="s">
        <v>2710</v>
      </c>
      <c r="AC306" t="s">
        <v>3401</v>
      </c>
      <c r="AD306" t="s">
        <v>3396</v>
      </c>
      <c r="AE306" t="s">
        <v>2001</v>
      </c>
      <c r="AF306" t="s">
        <v>3402</v>
      </c>
      <c r="AG306" t="s">
        <v>2001</v>
      </c>
    </row>
    <row r="307">
      <c r="A307" t="s">
        <v>3403</v>
      </c>
      <c r="B307" t="s">
        <v>958</v>
      </c>
      <c r="C307" t="s">
        <v>2840</v>
      </c>
      <c r="D307" t="s">
        <v>3404</v>
      </c>
      <c r="E307" t="s">
        <v>3405</v>
      </c>
      <c r="F307" t="s">
        <v>3406</v>
      </c>
      <c r="G307" t="s">
        <v>97</v>
      </c>
      <c r="H307" t="s">
        <v>3407</v>
      </c>
      <c r="I307" t="s">
        <v>3408</v>
      </c>
      <c r="J307" t="s">
        <v>3409</v>
      </c>
      <c r="K307" t="s">
        <v>2035</v>
      </c>
      <c r="L307" t="s">
        <v>3410</v>
      </c>
      <c r="M307" t="s">
        <v>3411</v>
      </c>
      <c r="N307" t="s">
        <v>2848</v>
      </c>
      <c r="O307" t="s">
        <v>3412</v>
      </c>
      <c r="P307" t="s">
        <v>2850</v>
      </c>
      <c r="Q307" t="s">
        <v>3157</v>
      </c>
      <c r="R307" t="s">
        <v>1991</v>
      </c>
      <c r="S307" t="s">
        <v>2073</v>
      </c>
      <c r="T307" t="s">
        <v>3304</v>
      </c>
      <c r="U307" t="s">
        <v>2852</v>
      </c>
      <c r="V307" t="s">
        <v>3413</v>
      </c>
      <c r="W307" t="s">
        <v>2078</v>
      </c>
      <c r="X307" t="s">
        <v>2854</v>
      </c>
      <c r="Y307" t="s">
        <v>2441</v>
      </c>
      <c r="Z307" t="s">
        <v>3414</v>
      </c>
      <c r="AA307" t="s">
        <v>3353</v>
      </c>
      <c r="AB307" t="s">
        <v>2710</v>
      </c>
      <c r="AC307" t="s">
        <v>3415</v>
      </c>
      <c r="AD307" t="s">
        <v>3410</v>
      </c>
      <c r="AE307" t="s">
        <v>2001</v>
      </c>
      <c r="AF307" t="s">
        <v>3416</v>
      </c>
      <c r="AG307" t="s">
        <v>2001</v>
      </c>
    </row>
    <row r="308">
      <c r="A308" t="s">
        <v>3417</v>
      </c>
      <c r="B308" t="s">
        <v>958</v>
      </c>
      <c r="C308" t="s">
        <v>2840</v>
      </c>
      <c r="D308" t="s">
        <v>3404</v>
      </c>
      <c r="E308" t="s">
        <v>3405</v>
      </c>
      <c r="F308" t="s">
        <v>3418</v>
      </c>
      <c r="G308" t="s">
        <v>97</v>
      </c>
      <c r="H308" t="s">
        <v>3419</v>
      </c>
      <c r="I308" t="s">
        <v>3420</v>
      </c>
      <c r="J308" t="s">
        <v>3421</v>
      </c>
      <c r="K308" t="s">
        <v>2035</v>
      </c>
      <c r="L308" t="s">
        <v>3422</v>
      </c>
      <c r="M308" t="s">
        <v>3423</v>
      </c>
      <c r="N308" t="s">
        <v>2848</v>
      </c>
      <c r="O308" t="s">
        <v>3412</v>
      </c>
      <c r="P308" t="s">
        <v>2850</v>
      </c>
      <c r="Q308" t="s">
        <v>3157</v>
      </c>
      <c r="R308" t="s">
        <v>1991</v>
      </c>
      <c r="S308" t="s">
        <v>2073</v>
      </c>
      <c r="T308" t="s">
        <v>3304</v>
      </c>
      <c r="U308" t="s">
        <v>2852</v>
      </c>
      <c r="V308" t="s">
        <v>3424</v>
      </c>
      <c r="W308" t="s">
        <v>2078</v>
      </c>
      <c r="X308" t="s">
        <v>2854</v>
      </c>
      <c r="Y308" t="s">
        <v>2441</v>
      </c>
      <c r="Z308" t="s">
        <v>3425</v>
      </c>
      <c r="AA308" t="s">
        <v>3426</v>
      </c>
      <c r="AB308" t="s">
        <v>2710</v>
      </c>
      <c r="AC308" t="s">
        <v>3427</v>
      </c>
      <c r="AD308" t="s">
        <v>3422</v>
      </c>
      <c r="AE308" t="s">
        <v>2001</v>
      </c>
      <c r="AF308" t="s">
        <v>3428</v>
      </c>
      <c r="AG308" t="s">
        <v>2001</v>
      </c>
    </row>
    <row r="309">
      <c r="A309" t="s">
        <v>3429</v>
      </c>
      <c r="B309" t="s">
        <v>958</v>
      </c>
      <c r="C309" t="s">
        <v>2840</v>
      </c>
      <c r="D309" t="s">
        <v>3404</v>
      </c>
      <c r="E309" t="s">
        <v>3405</v>
      </c>
      <c r="F309" t="s">
        <v>3430</v>
      </c>
      <c r="G309" t="s">
        <v>120</v>
      </c>
      <c r="H309" t="s">
        <v>3431</v>
      </c>
      <c r="I309" t="s">
        <v>3432</v>
      </c>
      <c r="J309" t="s">
        <v>3433</v>
      </c>
      <c r="K309" t="s">
        <v>2035</v>
      </c>
      <c r="L309" t="s">
        <v>3434</v>
      </c>
      <c r="M309" t="s">
        <v>3435</v>
      </c>
      <c r="N309" t="s">
        <v>2848</v>
      </c>
      <c r="O309" t="s">
        <v>3412</v>
      </c>
      <c r="P309" t="s">
        <v>2850</v>
      </c>
      <c r="Q309" t="s">
        <v>3157</v>
      </c>
      <c r="R309" t="s">
        <v>1992</v>
      </c>
      <c r="S309" t="s">
        <v>2073</v>
      </c>
      <c r="T309" t="s">
        <v>3304</v>
      </c>
      <c r="U309" t="s">
        <v>2852</v>
      </c>
      <c r="V309" t="s">
        <v>3436</v>
      </c>
      <c r="W309" t="s">
        <v>2078</v>
      </c>
      <c r="X309" t="s">
        <v>3040</v>
      </c>
      <c r="Y309" t="s">
        <v>2441</v>
      </c>
      <c r="Z309" t="s">
        <v>3437</v>
      </c>
      <c r="AA309" t="s">
        <v>3376</v>
      </c>
      <c r="AB309" t="s">
        <v>2444</v>
      </c>
      <c r="AC309" t="s">
        <v>3438</v>
      </c>
      <c r="AD309" t="s">
        <v>3434</v>
      </c>
      <c r="AE309" t="s">
        <v>2001</v>
      </c>
      <c r="AF309" t="s">
        <v>3439</v>
      </c>
      <c r="AG309" t="s">
        <v>2001</v>
      </c>
    </row>
    <row r="310">
      <c r="A310" t="s">
        <v>3440</v>
      </c>
      <c r="B310" t="s">
        <v>958</v>
      </c>
      <c r="C310" t="s">
        <v>2840</v>
      </c>
      <c r="D310" t="s">
        <v>3404</v>
      </c>
      <c r="E310" t="s">
        <v>3405</v>
      </c>
      <c r="F310" t="s">
        <v>3441</v>
      </c>
      <c r="G310" t="s">
        <v>120</v>
      </c>
      <c r="H310" t="s">
        <v>3442</v>
      </c>
      <c r="I310" t="s">
        <v>3443</v>
      </c>
      <c r="J310" t="s">
        <v>3444</v>
      </c>
      <c r="K310" t="s">
        <v>2035</v>
      </c>
      <c r="L310" t="s">
        <v>3445</v>
      </c>
      <c r="M310" t="s">
        <v>3446</v>
      </c>
      <c r="N310" t="s">
        <v>2848</v>
      </c>
      <c r="O310" t="s">
        <v>3412</v>
      </c>
      <c r="P310" t="s">
        <v>2850</v>
      </c>
      <c r="Q310" t="s">
        <v>3157</v>
      </c>
      <c r="R310" t="s">
        <v>1992</v>
      </c>
      <c r="S310" t="s">
        <v>2073</v>
      </c>
      <c r="T310" t="s">
        <v>3304</v>
      </c>
      <c r="U310" t="s">
        <v>2852</v>
      </c>
      <c r="V310" t="s">
        <v>3447</v>
      </c>
      <c r="W310" t="s">
        <v>2078</v>
      </c>
      <c r="X310" t="s">
        <v>3040</v>
      </c>
      <c r="Y310" t="s">
        <v>2441</v>
      </c>
      <c r="Z310" t="s">
        <v>3448</v>
      </c>
      <c r="AA310" t="s">
        <v>3376</v>
      </c>
      <c r="AB310" t="s">
        <v>2444</v>
      </c>
      <c r="AC310" t="s">
        <v>3449</v>
      </c>
      <c r="AD310" t="s">
        <v>3445</v>
      </c>
      <c r="AE310" t="s">
        <v>2001</v>
      </c>
      <c r="AF310" t="s">
        <v>3450</v>
      </c>
      <c r="AG310" t="s">
        <v>2001</v>
      </c>
    </row>
    <row r="311">
      <c r="A311" t="s">
        <v>3451</v>
      </c>
      <c r="B311" t="s">
        <v>958</v>
      </c>
      <c r="C311" t="s">
        <v>2840</v>
      </c>
      <c r="D311" t="s">
        <v>3452</v>
      </c>
      <c r="E311" t="s">
        <v>3453</v>
      </c>
      <c r="F311" t="s">
        <v>3452</v>
      </c>
      <c r="G311" t="s">
        <v>97</v>
      </c>
      <c r="H311" t="s">
        <v>3454</v>
      </c>
      <c r="I311" t="s">
        <v>3455</v>
      </c>
      <c r="J311" t="s">
        <v>3456</v>
      </c>
      <c r="K311" t="s">
        <v>2033</v>
      </c>
      <c r="L311" t="s">
        <v>3457</v>
      </c>
      <c r="M311" t="s">
        <v>3458</v>
      </c>
      <c r="N311" t="s">
        <v>2848</v>
      </c>
      <c r="O311" t="s">
        <v>3459</v>
      </c>
      <c r="P311" t="s">
        <v>2850</v>
      </c>
      <c r="Q311" t="s">
        <v>3157</v>
      </c>
      <c r="R311" t="s">
        <v>1991</v>
      </c>
      <c r="S311" t="s">
        <v>2073</v>
      </c>
      <c r="T311" t="s">
        <v>3304</v>
      </c>
      <c r="U311" t="s">
        <v>2852</v>
      </c>
      <c r="V311" t="s">
        <v>3460</v>
      </c>
      <c r="W311" t="s">
        <v>2078</v>
      </c>
      <c r="X311" t="s">
        <v>2854</v>
      </c>
      <c r="Y311" t="s">
        <v>2441</v>
      </c>
      <c r="Z311" t="s">
        <v>3461</v>
      </c>
      <c r="AA311" t="s">
        <v>3462</v>
      </c>
      <c r="AB311" t="s">
        <v>2710</v>
      </c>
      <c r="AC311" t="s">
        <v>3463</v>
      </c>
      <c r="AD311" t="s">
        <v>3457</v>
      </c>
      <c r="AE311" t="s">
        <v>2001</v>
      </c>
      <c r="AF311" t="s">
        <v>3464</v>
      </c>
      <c r="AG311" t="s">
        <v>2001</v>
      </c>
    </row>
    <row r="312">
      <c r="A312" t="s">
        <v>3465</v>
      </c>
      <c r="B312" t="s">
        <v>958</v>
      </c>
      <c r="C312" t="s">
        <v>2840</v>
      </c>
      <c r="D312" t="s">
        <v>3452</v>
      </c>
      <c r="E312" t="s">
        <v>3453</v>
      </c>
      <c r="F312" t="s">
        <v>3466</v>
      </c>
      <c r="G312" t="s">
        <v>97</v>
      </c>
      <c r="H312" t="s">
        <v>3467</v>
      </c>
      <c r="I312" t="s">
        <v>3468</v>
      </c>
      <c r="J312" t="s">
        <v>3469</v>
      </c>
      <c r="K312" t="s">
        <v>2033</v>
      </c>
      <c r="L312" t="s">
        <v>3470</v>
      </c>
      <c r="M312" t="s">
        <v>3471</v>
      </c>
      <c r="N312" t="s">
        <v>2848</v>
      </c>
      <c r="O312" t="s">
        <v>3459</v>
      </c>
      <c r="P312" t="s">
        <v>2850</v>
      </c>
      <c r="Q312" t="s">
        <v>3157</v>
      </c>
      <c r="R312" t="s">
        <v>1991</v>
      </c>
      <c r="S312" t="s">
        <v>2073</v>
      </c>
      <c r="T312" t="s">
        <v>3304</v>
      </c>
      <c r="U312" t="s">
        <v>2852</v>
      </c>
      <c r="V312" t="s">
        <v>3472</v>
      </c>
      <c r="W312" t="s">
        <v>2078</v>
      </c>
      <c r="X312" t="s">
        <v>2854</v>
      </c>
      <c r="Y312" t="s">
        <v>2441</v>
      </c>
      <c r="Z312" t="s">
        <v>3473</v>
      </c>
      <c r="AA312" t="s">
        <v>3474</v>
      </c>
      <c r="AB312" t="s">
        <v>2444</v>
      </c>
      <c r="AC312" t="s">
        <v>3475</v>
      </c>
      <c r="AD312" t="s">
        <v>3470</v>
      </c>
      <c r="AE312" t="s">
        <v>2001</v>
      </c>
      <c r="AF312" t="s">
        <v>3476</v>
      </c>
      <c r="AG312" t="s">
        <v>2001</v>
      </c>
    </row>
    <row r="313">
      <c r="A313" t="s">
        <v>3477</v>
      </c>
      <c r="B313" t="s">
        <v>958</v>
      </c>
      <c r="C313" t="s">
        <v>2840</v>
      </c>
      <c r="D313" t="s">
        <v>3478</v>
      </c>
      <c r="E313" t="s">
        <v>3479</v>
      </c>
      <c r="F313" t="s">
        <v>3480</v>
      </c>
      <c r="G313" t="s">
        <v>97</v>
      </c>
      <c r="H313" t="s">
        <v>3481</v>
      </c>
      <c r="I313" t="s">
        <v>3482</v>
      </c>
      <c r="J313" t="s">
        <v>3483</v>
      </c>
      <c r="K313" t="s">
        <v>2037</v>
      </c>
      <c r="L313" t="s">
        <v>3484</v>
      </c>
      <c r="M313" t="s">
        <v>3485</v>
      </c>
      <c r="N313" t="s">
        <v>2848</v>
      </c>
      <c r="O313" t="s">
        <v>3486</v>
      </c>
      <c r="P313" t="s">
        <v>2850</v>
      </c>
      <c r="Q313" t="s">
        <v>3157</v>
      </c>
      <c r="R313" t="s">
        <v>1992</v>
      </c>
      <c r="S313" t="s">
        <v>2073</v>
      </c>
      <c r="T313" t="s">
        <v>3304</v>
      </c>
      <c r="U313" t="s">
        <v>2852</v>
      </c>
      <c r="V313" t="s">
        <v>3487</v>
      </c>
      <c r="W313" t="s">
        <v>2078</v>
      </c>
      <c r="X313" t="s">
        <v>2854</v>
      </c>
      <c r="Y313" t="s">
        <v>2441</v>
      </c>
      <c r="Z313" t="s">
        <v>3488</v>
      </c>
      <c r="AA313" t="s">
        <v>3489</v>
      </c>
      <c r="AB313" t="s">
        <v>2444</v>
      </c>
      <c r="AC313" t="s">
        <v>3490</v>
      </c>
      <c r="AD313" t="s">
        <v>3484</v>
      </c>
      <c r="AE313" t="s">
        <v>2001</v>
      </c>
      <c r="AF313" t="s">
        <v>3491</v>
      </c>
      <c r="AG313" t="s">
        <v>2001</v>
      </c>
    </row>
    <row r="314">
      <c r="A314" t="s">
        <v>3492</v>
      </c>
      <c r="B314" t="s">
        <v>958</v>
      </c>
      <c r="C314" t="s">
        <v>2840</v>
      </c>
      <c r="D314" t="s">
        <v>3478</v>
      </c>
      <c r="E314" t="s">
        <v>3479</v>
      </c>
      <c r="F314" t="s">
        <v>3493</v>
      </c>
      <c r="G314" t="s">
        <v>97</v>
      </c>
      <c r="H314" t="s">
        <v>3494</v>
      </c>
      <c r="I314" t="s">
        <v>3495</v>
      </c>
      <c r="J314" t="s">
        <v>3496</v>
      </c>
      <c r="K314" t="s">
        <v>2038</v>
      </c>
      <c r="L314" t="s">
        <v>3497</v>
      </c>
      <c r="M314" t="s">
        <v>3498</v>
      </c>
      <c r="N314" t="s">
        <v>2848</v>
      </c>
      <c r="O314" t="s">
        <v>3499</v>
      </c>
      <c r="P314" t="s">
        <v>2850</v>
      </c>
      <c r="Q314" t="s">
        <v>3157</v>
      </c>
      <c r="R314" t="s">
        <v>1991</v>
      </c>
      <c r="S314" t="s">
        <v>2073</v>
      </c>
      <c r="T314" t="s">
        <v>3304</v>
      </c>
      <c r="U314" t="s">
        <v>2852</v>
      </c>
      <c r="V314" t="s">
        <v>3500</v>
      </c>
      <c r="W314" t="s">
        <v>2078</v>
      </c>
      <c r="X314" t="s">
        <v>2854</v>
      </c>
      <c r="Y314" t="s">
        <v>2441</v>
      </c>
      <c r="Z314" t="s">
        <v>3501</v>
      </c>
      <c r="AA314" t="s">
        <v>3502</v>
      </c>
      <c r="AB314" t="s">
        <v>2710</v>
      </c>
      <c r="AC314" t="s">
        <v>3503</v>
      </c>
      <c r="AD314" t="s">
        <v>3497</v>
      </c>
      <c r="AE314" t="s">
        <v>2001</v>
      </c>
      <c r="AF314" t="s">
        <v>3504</v>
      </c>
      <c r="AG314" t="s">
        <v>2001</v>
      </c>
    </row>
    <row r="315">
      <c r="A315" t="s">
        <v>3505</v>
      </c>
      <c r="B315" t="s">
        <v>958</v>
      </c>
      <c r="C315" t="s">
        <v>2840</v>
      </c>
      <c r="D315" t="s">
        <v>3478</v>
      </c>
      <c r="E315" t="s">
        <v>3479</v>
      </c>
      <c r="F315" t="s">
        <v>3506</v>
      </c>
      <c r="G315" t="s">
        <v>97</v>
      </c>
      <c r="H315" t="s">
        <v>3507</v>
      </c>
      <c r="I315" t="s">
        <v>3508</v>
      </c>
      <c r="J315" t="s">
        <v>3509</v>
      </c>
      <c r="K315" t="s">
        <v>2039</v>
      </c>
      <c r="L315" t="s">
        <v>3510</v>
      </c>
      <c r="M315" t="s">
        <v>3511</v>
      </c>
      <c r="N315" t="s">
        <v>2848</v>
      </c>
      <c r="O315" t="s">
        <v>3512</v>
      </c>
      <c r="P315" t="s">
        <v>2850</v>
      </c>
      <c r="Q315" t="s">
        <v>3157</v>
      </c>
      <c r="R315" t="s">
        <v>1991</v>
      </c>
      <c r="S315" t="s">
        <v>2073</v>
      </c>
      <c r="T315" t="s">
        <v>3304</v>
      </c>
      <c r="U315" t="s">
        <v>2852</v>
      </c>
      <c r="V315" t="s">
        <v>3513</v>
      </c>
      <c r="W315" t="s">
        <v>2078</v>
      </c>
      <c r="X315" t="s">
        <v>2854</v>
      </c>
      <c r="Y315" t="s">
        <v>1995</v>
      </c>
      <c r="Z315" t="s">
        <v>1995</v>
      </c>
      <c r="AA315" t="s">
        <v>1995</v>
      </c>
      <c r="AB315" t="s">
        <v>1995</v>
      </c>
      <c r="AC315" t="s">
        <v>3514</v>
      </c>
      <c r="AD315" t="s">
        <v>3510</v>
      </c>
      <c r="AE315" t="s">
        <v>2001</v>
      </c>
      <c r="AF315" t="s">
        <v>3515</v>
      </c>
      <c r="AG315" t="s">
        <v>2002</v>
      </c>
    </row>
    <row r="316">
      <c r="A316" t="s">
        <v>3516</v>
      </c>
      <c r="B316" t="s">
        <v>958</v>
      </c>
      <c r="C316" t="s">
        <v>2840</v>
      </c>
      <c r="D316" t="s">
        <v>3026</v>
      </c>
      <c r="E316" t="s">
        <v>3517</v>
      </c>
      <c r="F316" t="s">
        <v>3518</v>
      </c>
      <c r="G316" t="s">
        <v>154</v>
      </c>
      <c r="H316" t="s">
        <v>3519</v>
      </c>
      <c r="I316" t="s">
        <v>3520</v>
      </c>
      <c r="J316" t="s">
        <v>3521</v>
      </c>
      <c r="K316" t="s">
        <v>2040</v>
      </c>
      <c r="L316" t="s">
        <v>3522</v>
      </c>
      <c r="M316" t="s">
        <v>3523</v>
      </c>
      <c r="N316" t="s">
        <v>2848</v>
      </c>
      <c r="O316" t="s">
        <v>3524</v>
      </c>
      <c r="P316" t="s">
        <v>2850</v>
      </c>
      <c r="Q316" t="s">
        <v>3157</v>
      </c>
      <c r="R316" t="s">
        <v>1991</v>
      </c>
      <c r="S316" t="s">
        <v>2073</v>
      </c>
      <c r="T316" t="s">
        <v>3304</v>
      </c>
      <c r="U316" t="s">
        <v>2852</v>
      </c>
      <c r="V316" t="s">
        <v>3525</v>
      </c>
      <c r="W316" t="s">
        <v>2078</v>
      </c>
      <c r="X316" t="s">
        <v>3040</v>
      </c>
      <c r="Y316" t="s">
        <v>2441</v>
      </c>
      <c r="Z316" t="s">
        <v>3526</v>
      </c>
      <c r="AA316" t="s">
        <v>3400</v>
      </c>
      <c r="AB316" t="s">
        <v>2710</v>
      </c>
      <c r="AC316" t="s">
        <v>3527</v>
      </c>
      <c r="AD316" t="s">
        <v>3528</v>
      </c>
      <c r="AE316" t="s">
        <v>3522</v>
      </c>
      <c r="AF316" t="s">
        <v>3529</v>
      </c>
      <c r="AG316" t="s">
        <v>2001</v>
      </c>
    </row>
    <row r="317">
      <c r="A317" t="s">
        <v>3530</v>
      </c>
      <c r="B317" t="s">
        <v>958</v>
      </c>
      <c r="C317" t="s">
        <v>2840</v>
      </c>
      <c r="D317" t="s">
        <v>3026</v>
      </c>
      <c r="E317" t="s">
        <v>3531</v>
      </c>
      <c r="F317" t="s">
        <v>3532</v>
      </c>
      <c r="G317" t="s">
        <v>120</v>
      </c>
      <c r="H317" t="s">
        <v>3533</v>
      </c>
      <c r="I317" t="s">
        <v>3534</v>
      </c>
      <c r="J317" t="s">
        <v>3535</v>
      </c>
      <c r="K317" t="s">
        <v>3536</v>
      </c>
      <c r="L317" t="s">
        <v>3537</v>
      </c>
      <c r="M317" t="s">
        <v>3538</v>
      </c>
      <c r="N317" t="s">
        <v>2848</v>
      </c>
      <c r="O317" t="s">
        <v>3539</v>
      </c>
      <c r="P317" t="s">
        <v>2850</v>
      </c>
      <c r="Q317" t="s">
        <v>3157</v>
      </c>
      <c r="R317" t="s">
        <v>1991</v>
      </c>
      <c r="S317" t="s">
        <v>2073</v>
      </c>
      <c r="T317" t="s">
        <v>3304</v>
      </c>
      <c r="U317" t="s">
        <v>2852</v>
      </c>
      <c r="V317" t="s">
        <v>3540</v>
      </c>
      <c r="W317" t="s">
        <v>2078</v>
      </c>
      <c r="X317" t="s">
        <v>3040</v>
      </c>
      <c r="Y317" t="s">
        <v>1995</v>
      </c>
      <c r="Z317" t="s">
        <v>1995</v>
      </c>
      <c r="AA317" t="s">
        <v>1995</v>
      </c>
      <c r="AB317" t="s">
        <v>1995</v>
      </c>
      <c r="AC317" t="s">
        <v>3541</v>
      </c>
      <c r="AD317" t="s">
        <v>3542</v>
      </c>
      <c r="AE317" t="s">
        <v>3537</v>
      </c>
      <c r="AF317" t="s">
        <v>3543</v>
      </c>
      <c r="AG317" t="s">
        <v>2002</v>
      </c>
    </row>
    <row r="318">
      <c r="A318" t="s">
        <v>3544</v>
      </c>
      <c r="B318" t="s">
        <v>958</v>
      </c>
      <c r="C318" t="s">
        <v>2840</v>
      </c>
      <c r="D318" t="s">
        <v>3545</v>
      </c>
      <c r="E318" t="s">
        <v>3546</v>
      </c>
      <c r="F318" t="s">
        <v>3547</v>
      </c>
      <c r="G318" t="s">
        <v>154</v>
      </c>
      <c r="H318" t="s">
        <v>3548</v>
      </c>
      <c r="I318" t="s">
        <v>3549</v>
      </c>
      <c r="J318" t="s">
        <v>3550</v>
      </c>
      <c r="K318" t="s">
        <v>2030</v>
      </c>
      <c r="L318" t="s">
        <v>3551</v>
      </c>
      <c r="M318" t="s">
        <v>3552</v>
      </c>
      <c r="N318" t="s">
        <v>2848</v>
      </c>
      <c r="O318" t="s">
        <v>3553</v>
      </c>
      <c r="P318" t="s">
        <v>2850</v>
      </c>
      <c r="Q318" t="s">
        <v>3157</v>
      </c>
      <c r="R318" t="s">
        <v>1991</v>
      </c>
      <c r="S318" t="s">
        <v>2073</v>
      </c>
      <c r="T318" t="s">
        <v>3304</v>
      </c>
      <c r="U318" t="s">
        <v>2852</v>
      </c>
      <c r="V318" t="s">
        <v>3554</v>
      </c>
      <c r="W318" t="s">
        <v>2078</v>
      </c>
      <c r="X318" t="s">
        <v>3555</v>
      </c>
      <c r="Y318" t="s">
        <v>2441</v>
      </c>
      <c r="Z318" t="s">
        <v>3556</v>
      </c>
      <c r="AA318" t="s">
        <v>3557</v>
      </c>
      <c r="AB318" t="s">
        <v>2710</v>
      </c>
      <c r="AC318" t="s">
        <v>3558</v>
      </c>
      <c r="AD318" t="s">
        <v>3551</v>
      </c>
      <c r="AE318" t="s">
        <v>2001</v>
      </c>
      <c r="AF318" t="s">
        <v>3559</v>
      </c>
      <c r="AG318" t="s">
        <v>2001</v>
      </c>
    </row>
    <row r="319">
      <c r="A319" t="s">
        <v>3560</v>
      </c>
      <c r="B319" t="s">
        <v>958</v>
      </c>
      <c r="C319" t="s">
        <v>2840</v>
      </c>
      <c r="D319" t="s">
        <v>3545</v>
      </c>
      <c r="E319" t="s">
        <v>3546</v>
      </c>
      <c r="F319" t="s">
        <v>3561</v>
      </c>
      <c r="G319" t="s">
        <v>120</v>
      </c>
      <c r="H319" t="s">
        <v>3562</v>
      </c>
      <c r="I319" t="s">
        <v>3563</v>
      </c>
      <c r="J319" t="s">
        <v>3564</v>
      </c>
      <c r="K319" t="s">
        <v>2029</v>
      </c>
      <c r="L319" t="s">
        <v>3565</v>
      </c>
      <c r="M319" t="s">
        <v>3566</v>
      </c>
      <c r="N319" t="s">
        <v>2848</v>
      </c>
      <c r="O319" t="s">
        <v>3567</v>
      </c>
      <c r="P319" t="s">
        <v>2850</v>
      </c>
      <c r="Q319" t="s">
        <v>3157</v>
      </c>
      <c r="R319" t="s">
        <v>1991</v>
      </c>
      <c r="S319" t="s">
        <v>2073</v>
      </c>
      <c r="T319" t="s">
        <v>3304</v>
      </c>
      <c r="U319" t="s">
        <v>2852</v>
      </c>
      <c r="V319" t="s">
        <v>3568</v>
      </c>
      <c r="W319" t="s">
        <v>2078</v>
      </c>
      <c r="X319" t="s">
        <v>3040</v>
      </c>
      <c r="Y319" t="s">
        <v>2441</v>
      </c>
      <c r="Z319" t="s">
        <v>3569</v>
      </c>
      <c r="AA319" t="s">
        <v>3570</v>
      </c>
      <c r="AB319" t="s">
        <v>2710</v>
      </c>
      <c r="AC319" t="s">
        <v>3571</v>
      </c>
      <c r="AD319" t="s">
        <v>3565</v>
      </c>
      <c r="AE319" t="s">
        <v>2001</v>
      </c>
      <c r="AF319" t="s">
        <v>3572</v>
      </c>
      <c r="AG319" t="s">
        <v>2001</v>
      </c>
    </row>
    <row r="320">
      <c r="A320" t="s">
        <v>3573</v>
      </c>
      <c r="B320" t="s">
        <v>958</v>
      </c>
      <c r="C320" t="s">
        <v>2840</v>
      </c>
      <c r="D320" t="s">
        <v>3574</v>
      </c>
      <c r="E320" t="s">
        <v>3575</v>
      </c>
      <c r="F320" t="s">
        <v>3576</v>
      </c>
      <c r="G320" t="s">
        <v>97</v>
      </c>
      <c r="H320" t="s">
        <v>3577</v>
      </c>
      <c r="I320" t="s">
        <v>3578</v>
      </c>
      <c r="J320" t="s">
        <v>3579</v>
      </c>
      <c r="K320" t="s">
        <v>2028</v>
      </c>
      <c r="L320" t="s">
        <v>3580</v>
      </c>
      <c r="M320" t="s">
        <v>3581</v>
      </c>
      <c r="N320" t="s">
        <v>2848</v>
      </c>
      <c r="O320" t="s">
        <v>3582</v>
      </c>
      <c r="P320" t="s">
        <v>2850</v>
      </c>
      <c r="Q320" t="s">
        <v>3157</v>
      </c>
      <c r="R320" t="s">
        <v>1992</v>
      </c>
      <c r="S320" t="s">
        <v>2073</v>
      </c>
      <c r="T320" t="s">
        <v>3304</v>
      </c>
      <c r="U320" t="s">
        <v>2852</v>
      </c>
      <c r="V320" t="s">
        <v>3583</v>
      </c>
      <c r="W320" t="s">
        <v>2078</v>
      </c>
      <c r="X320" t="s">
        <v>2854</v>
      </c>
      <c r="Y320" t="s">
        <v>2441</v>
      </c>
      <c r="Z320" t="s">
        <v>3584</v>
      </c>
      <c r="AA320" t="s">
        <v>3376</v>
      </c>
      <c r="AB320" t="s">
        <v>2444</v>
      </c>
      <c r="AC320" t="s">
        <v>3585</v>
      </c>
      <c r="AD320" t="s">
        <v>3580</v>
      </c>
      <c r="AE320" t="s">
        <v>2001</v>
      </c>
      <c r="AF320" t="s">
        <v>3586</v>
      </c>
      <c r="AG320" t="s">
        <v>2001</v>
      </c>
    </row>
    <row r="321">
      <c r="A321" t="s">
        <v>3587</v>
      </c>
      <c r="B321" t="s">
        <v>958</v>
      </c>
      <c r="C321" t="s">
        <v>2840</v>
      </c>
      <c r="D321" t="s">
        <v>3404</v>
      </c>
      <c r="E321" t="s">
        <v>3405</v>
      </c>
      <c r="F321" t="s">
        <v>3588</v>
      </c>
      <c r="G321" t="s">
        <v>120</v>
      </c>
      <c r="H321" t="s">
        <v>3589</v>
      </c>
      <c r="I321" t="s">
        <v>3590</v>
      </c>
      <c r="J321" t="s">
        <v>3591</v>
      </c>
      <c r="K321" t="s">
        <v>2035</v>
      </c>
      <c r="L321" t="s">
        <v>3592</v>
      </c>
      <c r="M321" t="s">
        <v>3593</v>
      </c>
      <c r="N321" t="s">
        <v>2848</v>
      </c>
      <c r="O321" t="s">
        <v>3412</v>
      </c>
      <c r="P321" t="s">
        <v>2850</v>
      </c>
      <c r="Q321" t="s">
        <v>3157</v>
      </c>
      <c r="R321" t="s">
        <v>1991</v>
      </c>
      <c r="S321" t="s">
        <v>2073</v>
      </c>
      <c r="T321" t="s">
        <v>3304</v>
      </c>
      <c r="U321" t="s">
        <v>2852</v>
      </c>
      <c r="V321" t="s">
        <v>3594</v>
      </c>
      <c r="W321" t="s">
        <v>2078</v>
      </c>
      <c r="X321" t="s">
        <v>3040</v>
      </c>
      <c r="Y321" t="s">
        <v>2441</v>
      </c>
      <c r="Z321" t="s">
        <v>3595</v>
      </c>
      <c r="AA321" t="s">
        <v>3353</v>
      </c>
      <c r="AB321" t="s">
        <v>2710</v>
      </c>
      <c r="AC321" t="s">
        <v>3596</v>
      </c>
      <c r="AD321" t="s">
        <v>3592</v>
      </c>
      <c r="AE321" t="s">
        <v>2001</v>
      </c>
      <c r="AF321" t="s">
        <v>3597</v>
      </c>
      <c r="AG321" t="s">
        <v>2001</v>
      </c>
    </row>
    <row r="322">
      <c r="A322" t="s">
        <v>3598</v>
      </c>
      <c r="B322" t="s">
        <v>958</v>
      </c>
      <c r="C322" t="s">
        <v>3599</v>
      </c>
      <c r="D322" t="s">
        <v>3600</v>
      </c>
      <c r="E322" t="s">
        <v>3601</v>
      </c>
      <c r="F322" t="s">
        <v>3602</v>
      </c>
      <c r="G322" t="s">
        <v>97</v>
      </c>
      <c r="H322" t="s">
        <v>3603</v>
      </c>
      <c r="I322" t="s">
        <v>3604</v>
      </c>
      <c r="J322" t="s">
        <v>3605</v>
      </c>
      <c r="K322" t="s">
        <v>2042</v>
      </c>
      <c r="L322" t="s">
        <v>3606</v>
      </c>
      <c r="M322" t="s">
        <v>3607</v>
      </c>
      <c r="N322" t="s">
        <v>3608</v>
      </c>
      <c r="O322" t="s">
        <v>2051</v>
      </c>
      <c r="P322" t="s">
        <v>3609</v>
      </c>
      <c r="Q322" t="s">
        <v>3157</v>
      </c>
      <c r="R322" t="s">
        <v>1991</v>
      </c>
      <c r="S322" t="s">
        <v>2073</v>
      </c>
      <c r="T322" t="s">
        <v>3610</v>
      </c>
      <c r="U322" t="s">
        <v>3611</v>
      </c>
      <c r="V322" t="s">
        <v>3612</v>
      </c>
      <c r="W322" t="s">
        <v>2046</v>
      </c>
      <c r="X322" t="s">
        <v>2046</v>
      </c>
      <c r="Y322" t="s">
        <v>3613</v>
      </c>
      <c r="Z322" t="s">
        <v>3614</v>
      </c>
      <c r="AA322" t="s">
        <v>3615</v>
      </c>
      <c r="AB322" t="s">
        <v>2710</v>
      </c>
      <c r="AC322" t="s">
        <v>3616</v>
      </c>
      <c r="AD322" t="s">
        <v>3617</v>
      </c>
      <c r="AE322" t="s">
        <v>2001</v>
      </c>
      <c r="AF322" t="s">
        <v>3618</v>
      </c>
      <c r="AG322" t="s">
        <v>2001</v>
      </c>
    </row>
    <row r="323">
      <c r="A323" t="s">
        <v>3619</v>
      </c>
      <c r="B323" t="s">
        <v>958</v>
      </c>
      <c r="C323" t="s">
        <v>3599</v>
      </c>
      <c r="D323" t="s">
        <v>3600</v>
      </c>
      <c r="E323" t="s">
        <v>3601</v>
      </c>
      <c r="F323" t="s">
        <v>3620</v>
      </c>
      <c r="G323" t="s">
        <v>97</v>
      </c>
      <c r="H323" t="s">
        <v>3621</v>
      </c>
      <c r="I323" t="s">
        <v>3622</v>
      </c>
      <c r="J323" t="s">
        <v>3623</v>
      </c>
      <c r="K323" t="s">
        <v>2042</v>
      </c>
      <c r="L323" t="s">
        <v>3606</v>
      </c>
      <c r="M323" t="s">
        <v>3624</v>
      </c>
      <c r="N323" t="s">
        <v>3608</v>
      </c>
      <c r="O323" t="s">
        <v>2051</v>
      </c>
      <c r="P323" t="s">
        <v>3609</v>
      </c>
      <c r="Q323" t="s">
        <v>3157</v>
      </c>
      <c r="R323" t="s">
        <v>1991</v>
      </c>
      <c r="S323" t="s">
        <v>2073</v>
      </c>
      <c r="T323" t="s">
        <v>3610</v>
      </c>
      <c r="U323" t="s">
        <v>3611</v>
      </c>
      <c r="V323" t="s">
        <v>3625</v>
      </c>
      <c r="W323" t="s">
        <v>2046</v>
      </c>
      <c r="X323" t="s">
        <v>2046</v>
      </c>
      <c r="Y323" t="s">
        <v>3613</v>
      </c>
      <c r="Z323" t="s">
        <v>3614</v>
      </c>
      <c r="AA323" t="s">
        <v>3615</v>
      </c>
      <c r="AB323" t="s">
        <v>2710</v>
      </c>
      <c r="AC323" t="s">
        <v>3616</v>
      </c>
      <c r="AD323" t="s">
        <v>3617</v>
      </c>
      <c r="AE323" t="s">
        <v>2001</v>
      </c>
      <c r="AF323" t="s">
        <v>3618</v>
      </c>
      <c r="AG323" t="s">
        <v>2001</v>
      </c>
    </row>
    <row r="324">
      <c r="A324" t="s">
        <v>3626</v>
      </c>
      <c r="B324" t="s">
        <v>958</v>
      </c>
      <c r="C324" t="s">
        <v>3599</v>
      </c>
      <c r="D324" t="s">
        <v>3600</v>
      </c>
      <c r="E324" t="s">
        <v>3601</v>
      </c>
      <c r="F324" t="s">
        <v>3627</v>
      </c>
      <c r="G324" t="s">
        <v>97</v>
      </c>
      <c r="H324" t="s">
        <v>3628</v>
      </c>
      <c r="I324" t="s">
        <v>3629</v>
      </c>
      <c r="J324" t="s">
        <v>3630</v>
      </c>
      <c r="K324" t="s">
        <v>2042</v>
      </c>
      <c r="L324" t="s">
        <v>3606</v>
      </c>
      <c r="M324" t="s">
        <v>3631</v>
      </c>
      <c r="N324" t="s">
        <v>3608</v>
      </c>
      <c r="O324" t="s">
        <v>2051</v>
      </c>
      <c r="P324" t="s">
        <v>3609</v>
      </c>
      <c r="Q324" t="s">
        <v>3157</v>
      </c>
      <c r="R324" t="s">
        <v>1991</v>
      </c>
      <c r="S324" t="s">
        <v>2073</v>
      </c>
      <c r="T324" t="s">
        <v>3610</v>
      </c>
      <c r="U324" t="s">
        <v>3611</v>
      </c>
      <c r="V324" t="s">
        <v>3632</v>
      </c>
      <c r="W324" t="s">
        <v>2046</v>
      </c>
      <c r="X324" t="s">
        <v>2046</v>
      </c>
      <c r="Y324" t="s">
        <v>3613</v>
      </c>
      <c r="Z324" t="s">
        <v>3614</v>
      </c>
      <c r="AA324" t="s">
        <v>3615</v>
      </c>
      <c r="AB324" t="s">
        <v>2710</v>
      </c>
      <c r="AC324" t="s">
        <v>3616</v>
      </c>
      <c r="AD324" t="s">
        <v>3617</v>
      </c>
      <c r="AE324" t="s">
        <v>2001</v>
      </c>
      <c r="AF324" t="s">
        <v>3618</v>
      </c>
      <c r="AG324" t="s">
        <v>2001</v>
      </c>
    </row>
    <row r="325">
      <c r="A325" t="s">
        <v>3633</v>
      </c>
      <c r="B325" t="s">
        <v>958</v>
      </c>
      <c r="C325" t="s">
        <v>3599</v>
      </c>
      <c r="D325" t="s">
        <v>3600</v>
      </c>
      <c r="E325" t="s">
        <v>3601</v>
      </c>
      <c r="F325" t="s">
        <v>3634</v>
      </c>
      <c r="G325" t="s">
        <v>97</v>
      </c>
      <c r="H325" t="s">
        <v>3635</v>
      </c>
      <c r="I325" t="s">
        <v>3636</v>
      </c>
      <c r="J325" t="s">
        <v>3637</v>
      </c>
      <c r="K325" t="s">
        <v>2042</v>
      </c>
      <c r="L325" t="s">
        <v>3606</v>
      </c>
      <c r="M325" t="s">
        <v>3638</v>
      </c>
      <c r="N325" t="s">
        <v>3608</v>
      </c>
      <c r="O325" t="s">
        <v>2051</v>
      </c>
      <c r="P325" t="s">
        <v>3609</v>
      </c>
      <c r="Q325" t="s">
        <v>3157</v>
      </c>
      <c r="R325" t="s">
        <v>1991</v>
      </c>
      <c r="S325" t="s">
        <v>2073</v>
      </c>
      <c r="T325" t="s">
        <v>3610</v>
      </c>
      <c r="U325" t="s">
        <v>3611</v>
      </c>
      <c r="V325" t="s">
        <v>3639</v>
      </c>
      <c r="W325" t="s">
        <v>2046</v>
      </c>
      <c r="X325" t="s">
        <v>2046</v>
      </c>
      <c r="Y325" t="s">
        <v>3613</v>
      </c>
      <c r="Z325" t="s">
        <v>3614</v>
      </c>
      <c r="AA325" t="s">
        <v>3615</v>
      </c>
      <c r="AB325" t="s">
        <v>2710</v>
      </c>
      <c r="AC325" t="s">
        <v>3616</v>
      </c>
      <c r="AD325" t="s">
        <v>3617</v>
      </c>
      <c r="AE325" t="s">
        <v>2001</v>
      </c>
      <c r="AF325" t="s">
        <v>3618</v>
      </c>
      <c r="AG325" t="s">
        <v>2001</v>
      </c>
    </row>
    <row r="326">
      <c r="A326" t="s">
        <v>3640</v>
      </c>
      <c r="B326" t="s">
        <v>958</v>
      </c>
      <c r="C326" t="s">
        <v>3599</v>
      </c>
      <c r="D326" t="s">
        <v>3600</v>
      </c>
      <c r="E326" t="s">
        <v>3601</v>
      </c>
      <c r="F326" t="s">
        <v>3641</v>
      </c>
      <c r="G326" t="s">
        <v>97</v>
      </c>
      <c r="H326" t="s">
        <v>3642</v>
      </c>
      <c r="I326" t="s">
        <v>3643</v>
      </c>
      <c r="J326" t="s">
        <v>3644</v>
      </c>
      <c r="K326" t="s">
        <v>2042</v>
      </c>
      <c r="L326" t="s">
        <v>3606</v>
      </c>
      <c r="M326" t="s">
        <v>3645</v>
      </c>
      <c r="N326" t="s">
        <v>3608</v>
      </c>
      <c r="O326" t="s">
        <v>2051</v>
      </c>
      <c r="P326" t="s">
        <v>3609</v>
      </c>
      <c r="Q326" t="s">
        <v>3157</v>
      </c>
      <c r="R326" t="s">
        <v>1991</v>
      </c>
      <c r="S326" t="s">
        <v>2073</v>
      </c>
      <c r="T326" t="s">
        <v>3610</v>
      </c>
      <c r="U326" t="s">
        <v>3611</v>
      </c>
      <c r="V326" t="s">
        <v>3646</v>
      </c>
      <c r="W326" t="s">
        <v>2046</v>
      </c>
      <c r="X326" t="s">
        <v>2046</v>
      </c>
      <c r="Y326" t="s">
        <v>3613</v>
      </c>
      <c r="Z326" t="s">
        <v>3614</v>
      </c>
      <c r="AA326" t="s">
        <v>3615</v>
      </c>
      <c r="AB326" t="s">
        <v>2710</v>
      </c>
      <c r="AC326" t="s">
        <v>3616</v>
      </c>
      <c r="AD326" t="s">
        <v>3617</v>
      </c>
      <c r="AE326" t="s">
        <v>2001</v>
      </c>
      <c r="AF326" t="s">
        <v>3618</v>
      </c>
      <c r="AG326" t="s">
        <v>2001</v>
      </c>
    </row>
    <row r="327">
      <c r="A327" t="s">
        <v>3647</v>
      </c>
      <c r="B327" t="s">
        <v>958</v>
      </c>
      <c r="C327" t="s">
        <v>3599</v>
      </c>
      <c r="D327" t="s">
        <v>3600</v>
      </c>
      <c r="E327" t="s">
        <v>3601</v>
      </c>
      <c r="F327" t="s">
        <v>3648</v>
      </c>
      <c r="G327" t="s">
        <v>97</v>
      </c>
      <c r="H327" t="s">
        <v>3649</v>
      </c>
      <c r="I327" t="s">
        <v>3650</v>
      </c>
      <c r="J327" t="s">
        <v>3651</v>
      </c>
      <c r="K327" t="s">
        <v>2042</v>
      </c>
      <c r="L327" t="s">
        <v>3606</v>
      </c>
      <c r="M327" t="s">
        <v>3652</v>
      </c>
      <c r="N327" t="s">
        <v>3608</v>
      </c>
      <c r="O327" t="s">
        <v>2051</v>
      </c>
      <c r="P327" t="s">
        <v>3609</v>
      </c>
      <c r="Q327" t="s">
        <v>3157</v>
      </c>
      <c r="R327" t="s">
        <v>1991</v>
      </c>
      <c r="S327" t="s">
        <v>2073</v>
      </c>
      <c r="T327" t="s">
        <v>3610</v>
      </c>
      <c r="U327" t="s">
        <v>3611</v>
      </c>
      <c r="V327" t="s">
        <v>3653</v>
      </c>
      <c r="W327" t="s">
        <v>2046</v>
      </c>
      <c r="X327" t="s">
        <v>2046</v>
      </c>
      <c r="Y327" t="s">
        <v>3613</v>
      </c>
      <c r="Z327" t="s">
        <v>3614</v>
      </c>
      <c r="AA327" t="s">
        <v>3615</v>
      </c>
      <c r="AB327" t="s">
        <v>2710</v>
      </c>
      <c r="AC327" t="s">
        <v>3616</v>
      </c>
      <c r="AD327" t="s">
        <v>3617</v>
      </c>
      <c r="AE327" t="s">
        <v>2001</v>
      </c>
      <c r="AF327" t="s">
        <v>3618</v>
      </c>
      <c r="AG327" t="s">
        <v>2001</v>
      </c>
    </row>
    <row r="328">
      <c r="A328" t="s">
        <v>3654</v>
      </c>
      <c r="B328" t="s">
        <v>958</v>
      </c>
      <c r="C328" t="s">
        <v>3599</v>
      </c>
      <c r="D328" t="s">
        <v>3655</v>
      </c>
      <c r="E328" t="s">
        <v>3656</v>
      </c>
      <c r="F328" t="s">
        <v>3657</v>
      </c>
      <c r="G328" t="s">
        <v>97</v>
      </c>
      <c r="H328" t="s">
        <v>3658</v>
      </c>
      <c r="I328" t="s">
        <v>3659</v>
      </c>
      <c r="J328" t="s">
        <v>3660</v>
      </c>
      <c r="K328" t="s">
        <v>2042</v>
      </c>
      <c r="L328" t="s">
        <v>3661</v>
      </c>
      <c r="M328" t="s">
        <v>3662</v>
      </c>
      <c r="N328" t="s">
        <v>3608</v>
      </c>
      <c r="O328" t="s">
        <v>2053</v>
      </c>
      <c r="P328" t="s">
        <v>3609</v>
      </c>
      <c r="Q328" t="s">
        <v>3157</v>
      </c>
      <c r="R328" t="s">
        <v>1991</v>
      </c>
      <c r="S328" t="s">
        <v>2073</v>
      </c>
      <c r="T328" t="s">
        <v>3610</v>
      </c>
      <c r="U328" t="s">
        <v>3611</v>
      </c>
      <c r="V328" t="s">
        <v>3663</v>
      </c>
      <c r="W328" t="s">
        <v>2046</v>
      </c>
      <c r="X328" t="s">
        <v>2046</v>
      </c>
      <c r="Y328" t="s">
        <v>3613</v>
      </c>
      <c r="Z328" t="s">
        <v>3614</v>
      </c>
      <c r="AA328" t="s">
        <v>3615</v>
      </c>
      <c r="AB328" t="s">
        <v>2710</v>
      </c>
      <c r="AC328" t="s">
        <v>3616</v>
      </c>
      <c r="AD328" t="s">
        <v>3617</v>
      </c>
      <c r="AE328" t="s">
        <v>2001</v>
      </c>
      <c r="AF328" t="s">
        <v>3618</v>
      </c>
      <c r="AG328" t="s">
        <v>2001</v>
      </c>
    </row>
    <row r="329">
      <c r="A329" t="s">
        <v>3664</v>
      </c>
      <c r="B329" t="s">
        <v>958</v>
      </c>
      <c r="C329" t="s">
        <v>3599</v>
      </c>
      <c r="D329" t="s">
        <v>3655</v>
      </c>
      <c r="E329" t="s">
        <v>3656</v>
      </c>
      <c r="F329" t="s">
        <v>3665</v>
      </c>
      <c r="G329" t="s">
        <v>97</v>
      </c>
      <c r="H329" t="s">
        <v>3666</v>
      </c>
      <c r="I329" t="s">
        <v>3667</v>
      </c>
      <c r="J329" t="s">
        <v>3668</v>
      </c>
      <c r="K329" t="s">
        <v>2042</v>
      </c>
      <c r="L329" t="s">
        <v>3661</v>
      </c>
      <c r="M329" t="s">
        <v>3669</v>
      </c>
      <c r="N329" t="s">
        <v>3608</v>
      </c>
      <c r="O329" t="s">
        <v>2053</v>
      </c>
      <c r="P329" t="s">
        <v>3609</v>
      </c>
      <c r="Q329" t="s">
        <v>3157</v>
      </c>
      <c r="R329" t="s">
        <v>1991</v>
      </c>
      <c r="S329" t="s">
        <v>2073</v>
      </c>
      <c r="T329" t="s">
        <v>3610</v>
      </c>
      <c r="U329" t="s">
        <v>3611</v>
      </c>
      <c r="V329" t="s">
        <v>3670</v>
      </c>
      <c r="W329" t="s">
        <v>2046</v>
      </c>
      <c r="X329" t="s">
        <v>2046</v>
      </c>
      <c r="Y329" t="s">
        <v>3613</v>
      </c>
      <c r="Z329" t="s">
        <v>3614</v>
      </c>
      <c r="AA329" t="s">
        <v>3615</v>
      </c>
      <c r="AB329" t="s">
        <v>2710</v>
      </c>
      <c r="AC329" t="s">
        <v>3616</v>
      </c>
      <c r="AD329" t="s">
        <v>3617</v>
      </c>
      <c r="AE329" t="s">
        <v>2001</v>
      </c>
      <c r="AF329" t="s">
        <v>3618</v>
      </c>
      <c r="AG329" t="s">
        <v>2001</v>
      </c>
    </row>
    <row r="330">
      <c r="A330" t="s">
        <v>3671</v>
      </c>
      <c r="B330" t="s">
        <v>958</v>
      </c>
      <c r="C330" t="s">
        <v>3599</v>
      </c>
      <c r="D330" t="s">
        <v>3655</v>
      </c>
      <c r="E330" t="s">
        <v>3656</v>
      </c>
      <c r="F330" t="s">
        <v>3672</v>
      </c>
      <c r="G330" t="s">
        <v>97</v>
      </c>
      <c r="H330" t="s">
        <v>3673</v>
      </c>
      <c r="I330" t="s">
        <v>3674</v>
      </c>
      <c r="J330" t="s">
        <v>3675</v>
      </c>
      <c r="K330" t="s">
        <v>2042</v>
      </c>
      <c r="L330" t="s">
        <v>3661</v>
      </c>
      <c r="M330" t="s">
        <v>3676</v>
      </c>
      <c r="N330" t="s">
        <v>3608</v>
      </c>
      <c r="O330" t="s">
        <v>2053</v>
      </c>
      <c r="P330" t="s">
        <v>3609</v>
      </c>
      <c r="Q330" t="s">
        <v>3157</v>
      </c>
      <c r="R330" t="s">
        <v>1991</v>
      </c>
      <c r="S330" t="s">
        <v>2073</v>
      </c>
      <c r="T330" t="s">
        <v>3610</v>
      </c>
      <c r="U330" t="s">
        <v>3611</v>
      </c>
      <c r="V330" t="s">
        <v>3677</v>
      </c>
      <c r="W330" t="s">
        <v>2046</v>
      </c>
      <c r="X330" t="s">
        <v>2046</v>
      </c>
      <c r="Y330" t="s">
        <v>3613</v>
      </c>
      <c r="Z330" t="s">
        <v>3614</v>
      </c>
      <c r="AA330" t="s">
        <v>3615</v>
      </c>
      <c r="AB330" t="s">
        <v>2710</v>
      </c>
      <c r="AC330" t="s">
        <v>3616</v>
      </c>
      <c r="AD330" t="s">
        <v>3617</v>
      </c>
      <c r="AE330" t="s">
        <v>2001</v>
      </c>
      <c r="AF330" t="s">
        <v>3618</v>
      </c>
      <c r="AG330" t="s">
        <v>2001</v>
      </c>
    </row>
    <row r="331">
      <c r="A331" t="s">
        <v>3678</v>
      </c>
      <c r="B331" t="s">
        <v>958</v>
      </c>
      <c r="C331" t="s">
        <v>3599</v>
      </c>
      <c r="D331" t="s">
        <v>3655</v>
      </c>
      <c r="E331" t="s">
        <v>3656</v>
      </c>
      <c r="F331" t="s">
        <v>3679</v>
      </c>
      <c r="G331" t="s">
        <v>97</v>
      </c>
      <c r="H331" t="s">
        <v>3680</v>
      </c>
      <c r="I331" t="s">
        <v>3681</v>
      </c>
      <c r="J331" t="s">
        <v>3682</v>
      </c>
      <c r="K331" t="s">
        <v>2042</v>
      </c>
      <c r="L331" t="s">
        <v>3661</v>
      </c>
      <c r="M331" t="s">
        <v>3683</v>
      </c>
      <c r="N331" t="s">
        <v>3608</v>
      </c>
      <c r="O331" t="s">
        <v>2053</v>
      </c>
      <c r="P331" t="s">
        <v>3609</v>
      </c>
      <c r="Q331" t="s">
        <v>3157</v>
      </c>
      <c r="R331" t="s">
        <v>1991</v>
      </c>
      <c r="S331" t="s">
        <v>2073</v>
      </c>
      <c r="T331" t="s">
        <v>3610</v>
      </c>
      <c r="U331" t="s">
        <v>3611</v>
      </c>
      <c r="V331" t="s">
        <v>3684</v>
      </c>
      <c r="W331" t="s">
        <v>2046</v>
      </c>
      <c r="X331" t="s">
        <v>2046</v>
      </c>
      <c r="Y331" t="s">
        <v>3613</v>
      </c>
      <c r="Z331" t="s">
        <v>3614</v>
      </c>
      <c r="AA331" t="s">
        <v>3615</v>
      </c>
      <c r="AB331" t="s">
        <v>2710</v>
      </c>
      <c r="AC331" t="s">
        <v>3616</v>
      </c>
      <c r="AD331" t="s">
        <v>3617</v>
      </c>
      <c r="AE331" t="s">
        <v>2001</v>
      </c>
      <c r="AF331" t="s">
        <v>3618</v>
      </c>
      <c r="AG331" t="s">
        <v>2001</v>
      </c>
    </row>
    <row r="332">
      <c r="A332" t="s">
        <v>3685</v>
      </c>
      <c r="B332" t="s">
        <v>958</v>
      </c>
      <c r="C332" t="s">
        <v>3599</v>
      </c>
      <c r="D332" t="s">
        <v>3655</v>
      </c>
      <c r="E332" t="s">
        <v>3656</v>
      </c>
      <c r="F332" t="s">
        <v>3686</v>
      </c>
      <c r="G332" t="s">
        <v>97</v>
      </c>
      <c r="H332" t="s">
        <v>3687</v>
      </c>
      <c r="I332" t="s">
        <v>3688</v>
      </c>
      <c r="J332" t="s">
        <v>3689</v>
      </c>
      <c r="K332" t="s">
        <v>2042</v>
      </c>
      <c r="L332" t="s">
        <v>3661</v>
      </c>
      <c r="M332" t="s">
        <v>3690</v>
      </c>
      <c r="N332" t="s">
        <v>3608</v>
      </c>
      <c r="O332" t="s">
        <v>2053</v>
      </c>
      <c r="P332" t="s">
        <v>3609</v>
      </c>
      <c r="Q332" t="s">
        <v>3157</v>
      </c>
      <c r="R332" t="s">
        <v>1991</v>
      </c>
      <c r="S332" t="s">
        <v>2073</v>
      </c>
      <c r="T332" t="s">
        <v>3610</v>
      </c>
      <c r="U332" t="s">
        <v>3611</v>
      </c>
      <c r="V332" t="s">
        <v>3691</v>
      </c>
      <c r="W332" t="s">
        <v>2046</v>
      </c>
      <c r="X332" t="s">
        <v>2046</v>
      </c>
      <c r="Y332" t="s">
        <v>3613</v>
      </c>
      <c r="Z332" t="s">
        <v>3614</v>
      </c>
      <c r="AA332" t="s">
        <v>3615</v>
      </c>
      <c r="AB332" t="s">
        <v>2710</v>
      </c>
      <c r="AC332" t="s">
        <v>3616</v>
      </c>
      <c r="AD332" t="s">
        <v>3617</v>
      </c>
      <c r="AE332" t="s">
        <v>2001</v>
      </c>
      <c r="AF332" t="s">
        <v>3618</v>
      </c>
      <c r="AG332" t="s">
        <v>2001</v>
      </c>
    </row>
    <row r="333">
      <c r="A333" t="s">
        <v>3692</v>
      </c>
      <c r="B333" t="s">
        <v>958</v>
      </c>
      <c r="C333" t="s">
        <v>3599</v>
      </c>
      <c r="D333" t="s">
        <v>3655</v>
      </c>
      <c r="E333" t="s">
        <v>3656</v>
      </c>
      <c r="F333" t="s">
        <v>3693</v>
      </c>
      <c r="G333" t="s">
        <v>97</v>
      </c>
      <c r="H333" t="s">
        <v>3694</v>
      </c>
      <c r="I333" t="s">
        <v>3695</v>
      </c>
      <c r="J333" t="s">
        <v>3696</v>
      </c>
      <c r="K333" t="s">
        <v>2042</v>
      </c>
      <c r="L333" t="s">
        <v>3661</v>
      </c>
      <c r="M333" t="s">
        <v>3697</v>
      </c>
      <c r="N333" t="s">
        <v>3608</v>
      </c>
      <c r="O333" t="s">
        <v>2053</v>
      </c>
      <c r="P333" t="s">
        <v>3609</v>
      </c>
      <c r="Q333" t="s">
        <v>3157</v>
      </c>
      <c r="R333" t="s">
        <v>1991</v>
      </c>
      <c r="S333" t="s">
        <v>2073</v>
      </c>
      <c r="T333" t="s">
        <v>3610</v>
      </c>
      <c r="U333" t="s">
        <v>3611</v>
      </c>
      <c r="V333" t="s">
        <v>3698</v>
      </c>
      <c r="W333" t="s">
        <v>2046</v>
      </c>
      <c r="X333" t="s">
        <v>2046</v>
      </c>
      <c r="Y333" t="s">
        <v>3613</v>
      </c>
      <c r="Z333" t="s">
        <v>3614</v>
      </c>
      <c r="AA333" t="s">
        <v>3615</v>
      </c>
      <c r="AB333" t="s">
        <v>2710</v>
      </c>
      <c r="AC333" t="s">
        <v>3616</v>
      </c>
      <c r="AD333" t="s">
        <v>3617</v>
      </c>
      <c r="AE333" t="s">
        <v>2001</v>
      </c>
      <c r="AF333" t="s">
        <v>3618</v>
      </c>
      <c r="AG333" t="s">
        <v>2001</v>
      </c>
    </row>
    <row r="334">
      <c r="A334" t="s">
        <v>3699</v>
      </c>
      <c r="B334" t="s">
        <v>958</v>
      </c>
      <c r="C334" t="s">
        <v>3599</v>
      </c>
      <c r="D334" t="s">
        <v>3655</v>
      </c>
      <c r="E334" t="s">
        <v>3656</v>
      </c>
      <c r="F334" t="s">
        <v>3700</v>
      </c>
      <c r="G334" t="s">
        <v>154</v>
      </c>
      <c r="H334" t="s">
        <v>3701</v>
      </c>
      <c r="I334" t="s">
        <v>3702</v>
      </c>
      <c r="J334" t="s">
        <v>3703</v>
      </c>
      <c r="K334" t="s">
        <v>2042</v>
      </c>
      <c r="L334" t="s">
        <v>3661</v>
      </c>
      <c r="M334" t="s">
        <v>3704</v>
      </c>
      <c r="N334" t="s">
        <v>3608</v>
      </c>
      <c r="O334" t="s">
        <v>2053</v>
      </c>
      <c r="P334" t="s">
        <v>3609</v>
      </c>
      <c r="Q334" t="s">
        <v>3157</v>
      </c>
      <c r="R334" t="s">
        <v>1991</v>
      </c>
      <c r="S334" t="s">
        <v>2073</v>
      </c>
      <c r="T334" t="s">
        <v>3610</v>
      </c>
      <c r="U334" t="s">
        <v>3611</v>
      </c>
      <c r="V334" t="s">
        <v>3705</v>
      </c>
      <c r="W334" t="s">
        <v>2046</v>
      </c>
      <c r="X334" t="s">
        <v>2046</v>
      </c>
      <c r="Y334" t="s">
        <v>3613</v>
      </c>
      <c r="Z334" t="s">
        <v>3614</v>
      </c>
      <c r="AA334" t="s">
        <v>3615</v>
      </c>
      <c r="AB334" t="s">
        <v>2710</v>
      </c>
      <c r="AC334" t="s">
        <v>3616</v>
      </c>
      <c r="AD334" t="s">
        <v>3617</v>
      </c>
      <c r="AE334" t="s">
        <v>2001</v>
      </c>
      <c r="AF334" t="s">
        <v>3618</v>
      </c>
      <c r="AG334" t="s">
        <v>2001</v>
      </c>
    </row>
    <row r="335">
      <c r="A335" t="s">
        <v>3706</v>
      </c>
      <c r="B335" t="s">
        <v>958</v>
      </c>
      <c r="C335" t="s">
        <v>3599</v>
      </c>
      <c r="D335" t="s">
        <v>3655</v>
      </c>
      <c r="E335" t="s">
        <v>3656</v>
      </c>
      <c r="F335" t="s">
        <v>3707</v>
      </c>
      <c r="G335" t="s">
        <v>154</v>
      </c>
      <c r="H335" t="s">
        <v>3708</v>
      </c>
      <c r="I335" t="s">
        <v>3709</v>
      </c>
      <c r="J335" t="s">
        <v>3710</v>
      </c>
      <c r="K335" t="s">
        <v>2042</v>
      </c>
      <c r="L335" t="s">
        <v>3661</v>
      </c>
      <c r="M335" t="s">
        <v>3711</v>
      </c>
      <c r="N335" t="s">
        <v>3608</v>
      </c>
      <c r="O335" t="s">
        <v>2053</v>
      </c>
      <c r="P335" t="s">
        <v>3609</v>
      </c>
      <c r="Q335" t="s">
        <v>3157</v>
      </c>
      <c r="R335" t="s">
        <v>1991</v>
      </c>
      <c r="S335" t="s">
        <v>2073</v>
      </c>
      <c r="T335" t="s">
        <v>3610</v>
      </c>
      <c r="U335" t="s">
        <v>3611</v>
      </c>
      <c r="V335" t="s">
        <v>3712</v>
      </c>
      <c r="W335" t="s">
        <v>2047</v>
      </c>
      <c r="X335" t="s">
        <v>2047</v>
      </c>
      <c r="Y335" t="s">
        <v>3613</v>
      </c>
      <c r="Z335" t="s">
        <v>3614</v>
      </c>
      <c r="AA335" t="s">
        <v>3615</v>
      </c>
      <c r="AB335" t="s">
        <v>2710</v>
      </c>
      <c r="AC335" t="s">
        <v>3616</v>
      </c>
      <c r="AD335" t="s">
        <v>3617</v>
      </c>
      <c r="AE335" t="s">
        <v>2001</v>
      </c>
      <c r="AF335" t="s">
        <v>3618</v>
      </c>
      <c r="AG335" t="s">
        <v>2001</v>
      </c>
    </row>
    <row r="336">
      <c r="A336" t="s">
        <v>3713</v>
      </c>
      <c r="B336" t="s">
        <v>958</v>
      </c>
      <c r="C336" t="s">
        <v>3599</v>
      </c>
      <c r="D336" t="s">
        <v>3655</v>
      </c>
      <c r="E336" t="s">
        <v>3656</v>
      </c>
      <c r="F336" t="s">
        <v>3714</v>
      </c>
      <c r="G336" t="s">
        <v>97</v>
      </c>
      <c r="H336" t="s">
        <v>3715</v>
      </c>
      <c r="I336" t="s">
        <v>3716</v>
      </c>
      <c r="J336" t="s">
        <v>3717</v>
      </c>
      <c r="K336" t="s">
        <v>2042</v>
      </c>
      <c r="L336" t="s">
        <v>3661</v>
      </c>
      <c r="M336" t="s">
        <v>3718</v>
      </c>
      <c r="N336" t="s">
        <v>3608</v>
      </c>
      <c r="O336" t="s">
        <v>2053</v>
      </c>
      <c r="P336" t="s">
        <v>3609</v>
      </c>
      <c r="Q336" t="s">
        <v>3157</v>
      </c>
      <c r="R336" t="s">
        <v>1991</v>
      </c>
      <c r="S336" t="s">
        <v>2073</v>
      </c>
      <c r="T336" t="s">
        <v>3610</v>
      </c>
      <c r="U336" t="s">
        <v>3611</v>
      </c>
      <c r="V336" t="s">
        <v>3719</v>
      </c>
      <c r="W336" t="s">
        <v>2046</v>
      </c>
      <c r="X336" t="s">
        <v>2046</v>
      </c>
      <c r="Y336" t="s">
        <v>3613</v>
      </c>
      <c r="Z336" t="s">
        <v>3614</v>
      </c>
      <c r="AA336" t="s">
        <v>3615</v>
      </c>
      <c r="AB336" t="s">
        <v>2710</v>
      </c>
      <c r="AC336" t="s">
        <v>3616</v>
      </c>
      <c r="AD336" t="s">
        <v>3617</v>
      </c>
      <c r="AE336" t="s">
        <v>2001</v>
      </c>
      <c r="AF336" t="s">
        <v>3618</v>
      </c>
      <c r="AG336" t="s">
        <v>2001</v>
      </c>
    </row>
    <row r="337">
      <c r="A337" t="s">
        <v>3720</v>
      </c>
      <c r="B337" t="s">
        <v>958</v>
      </c>
      <c r="C337" t="s">
        <v>3599</v>
      </c>
      <c r="D337" t="s">
        <v>3655</v>
      </c>
      <c r="E337" t="s">
        <v>3656</v>
      </c>
      <c r="F337" t="s">
        <v>3721</v>
      </c>
      <c r="G337" t="s">
        <v>97</v>
      </c>
      <c r="H337" t="s">
        <v>3722</v>
      </c>
      <c r="I337" t="s">
        <v>3723</v>
      </c>
      <c r="J337" t="s">
        <v>3724</v>
      </c>
      <c r="K337" t="s">
        <v>2042</v>
      </c>
      <c r="L337" t="s">
        <v>3661</v>
      </c>
      <c r="M337" t="s">
        <v>3725</v>
      </c>
      <c r="N337" t="s">
        <v>3608</v>
      </c>
      <c r="O337" t="s">
        <v>2053</v>
      </c>
      <c r="P337" t="s">
        <v>3609</v>
      </c>
      <c r="Q337" t="s">
        <v>3157</v>
      </c>
      <c r="R337" t="s">
        <v>1991</v>
      </c>
      <c r="S337" t="s">
        <v>2073</v>
      </c>
      <c r="T337" t="s">
        <v>3610</v>
      </c>
      <c r="U337" t="s">
        <v>3611</v>
      </c>
      <c r="V337" t="s">
        <v>3726</v>
      </c>
      <c r="W337" t="s">
        <v>2046</v>
      </c>
      <c r="X337" t="s">
        <v>2046</v>
      </c>
      <c r="Y337" t="s">
        <v>3613</v>
      </c>
      <c r="Z337" t="s">
        <v>3614</v>
      </c>
      <c r="AA337" t="s">
        <v>3615</v>
      </c>
      <c r="AB337" t="s">
        <v>2710</v>
      </c>
      <c r="AC337" t="s">
        <v>3616</v>
      </c>
      <c r="AD337" t="s">
        <v>3617</v>
      </c>
      <c r="AE337" t="s">
        <v>2001</v>
      </c>
      <c r="AF337" t="s">
        <v>3618</v>
      </c>
      <c r="AG337" t="s">
        <v>2001</v>
      </c>
    </row>
    <row r="338">
      <c r="A338" t="s">
        <v>3727</v>
      </c>
      <c r="B338" t="s">
        <v>958</v>
      </c>
      <c r="C338" t="s">
        <v>3599</v>
      </c>
      <c r="D338" t="s">
        <v>3728</v>
      </c>
      <c r="E338" t="s">
        <v>3729</v>
      </c>
      <c r="F338" t="s">
        <v>3730</v>
      </c>
      <c r="G338" t="s">
        <v>120</v>
      </c>
      <c r="H338" t="s">
        <v>3731</v>
      </c>
      <c r="I338" t="s">
        <v>3732</v>
      </c>
      <c r="J338" t="s">
        <v>3733</v>
      </c>
      <c r="K338" t="s">
        <v>2042</v>
      </c>
      <c r="L338" t="s">
        <v>3734</v>
      </c>
      <c r="M338" t="s">
        <v>3735</v>
      </c>
      <c r="N338" t="s">
        <v>3608</v>
      </c>
      <c r="O338" t="s">
        <v>2054</v>
      </c>
      <c r="P338" t="s">
        <v>3609</v>
      </c>
      <c r="Q338" t="s">
        <v>3157</v>
      </c>
      <c r="R338" t="s">
        <v>1991</v>
      </c>
      <c r="S338" t="s">
        <v>2073</v>
      </c>
      <c r="T338" t="s">
        <v>3610</v>
      </c>
      <c r="U338" t="s">
        <v>3611</v>
      </c>
      <c r="V338" t="s">
        <v>3736</v>
      </c>
      <c r="W338" t="s">
        <v>2048</v>
      </c>
      <c r="X338" t="s">
        <v>2048</v>
      </c>
      <c r="Y338" t="s">
        <v>3613</v>
      </c>
      <c r="Z338" t="s">
        <v>3614</v>
      </c>
      <c r="AA338" t="s">
        <v>3615</v>
      </c>
      <c r="AB338" t="s">
        <v>2710</v>
      </c>
      <c r="AC338" t="s">
        <v>3616</v>
      </c>
      <c r="AD338" t="s">
        <v>3617</v>
      </c>
      <c r="AE338" t="s">
        <v>2001</v>
      </c>
      <c r="AF338" t="s">
        <v>3618</v>
      </c>
      <c r="AG338" t="s">
        <v>2001</v>
      </c>
    </row>
    <row r="339">
      <c r="A339" t="s">
        <v>3737</v>
      </c>
      <c r="B339" t="s">
        <v>958</v>
      </c>
      <c r="C339" t="s">
        <v>3599</v>
      </c>
      <c r="D339" t="s">
        <v>3728</v>
      </c>
      <c r="E339" t="s">
        <v>3729</v>
      </c>
      <c r="F339" t="s">
        <v>3738</v>
      </c>
      <c r="G339" t="s">
        <v>120</v>
      </c>
      <c r="H339" t="s">
        <v>3739</v>
      </c>
      <c r="I339" t="s">
        <v>3740</v>
      </c>
      <c r="J339" t="s">
        <v>3741</v>
      </c>
      <c r="K339" t="s">
        <v>2042</v>
      </c>
      <c r="L339" t="s">
        <v>3734</v>
      </c>
      <c r="M339" t="s">
        <v>3742</v>
      </c>
      <c r="N339" t="s">
        <v>3608</v>
      </c>
      <c r="O339" t="s">
        <v>2054</v>
      </c>
      <c r="P339" t="s">
        <v>3609</v>
      </c>
      <c r="Q339" t="s">
        <v>3157</v>
      </c>
      <c r="R339" t="s">
        <v>1991</v>
      </c>
      <c r="S339" t="s">
        <v>2073</v>
      </c>
      <c r="T339" t="s">
        <v>3610</v>
      </c>
      <c r="U339" t="s">
        <v>3611</v>
      </c>
      <c r="V339" t="s">
        <v>3743</v>
      </c>
      <c r="W339" t="s">
        <v>2048</v>
      </c>
      <c r="X339" t="s">
        <v>2048</v>
      </c>
      <c r="Y339" t="s">
        <v>3613</v>
      </c>
      <c r="Z339" t="s">
        <v>3614</v>
      </c>
      <c r="AA339" t="s">
        <v>3615</v>
      </c>
      <c r="AB339" t="s">
        <v>2710</v>
      </c>
      <c r="AC339" t="s">
        <v>3616</v>
      </c>
      <c r="AD339" t="s">
        <v>3617</v>
      </c>
      <c r="AE339" t="s">
        <v>2001</v>
      </c>
      <c r="AF339" t="s">
        <v>3618</v>
      </c>
      <c r="AG339" t="s">
        <v>2001</v>
      </c>
    </row>
    <row r="340">
      <c r="A340" t="s">
        <v>3744</v>
      </c>
      <c r="B340" t="s">
        <v>958</v>
      </c>
      <c r="C340" t="s">
        <v>3599</v>
      </c>
      <c r="D340" t="s">
        <v>3728</v>
      </c>
      <c r="E340" t="s">
        <v>3729</v>
      </c>
      <c r="F340" t="s">
        <v>3745</v>
      </c>
      <c r="G340" t="s">
        <v>120</v>
      </c>
      <c r="H340" t="s">
        <v>3746</v>
      </c>
      <c r="I340" t="s">
        <v>3747</v>
      </c>
      <c r="J340" t="s">
        <v>3748</v>
      </c>
      <c r="K340" t="s">
        <v>2042</v>
      </c>
      <c r="L340" t="s">
        <v>3734</v>
      </c>
      <c r="M340" t="s">
        <v>3749</v>
      </c>
      <c r="N340" t="s">
        <v>3608</v>
      </c>
      <c r="O340" t="s">
        <v>2054</v>
      </c>
      <c r="P340" t="s">
        <v>3609</v>
      </c>
      <c r="Q340" t="s">
        <v>3157</v>
      </c>
      <c r="R340" t="s">
        <v>1991</v>
      </c>
      <c r="S340" t="s">
        <v>2073</v>
      </c>
      <c r="T340" t="s">
        <v>3610</v>
      </c>
      <c r="U340" t="s">
        <v>3611</v>
      </c>
      <c r="V340" t="s">
        <v>3750</v>
      </c>
      <c r="W340" t="s">
        <v>2048</v>
      </c>
      <c r="X340" t="s">
        <v>2048</v>
      </c>
      <c r="Y340" t="s">
        <v>3613</v>
      </c>
      <c r="Z340" t="s">
        <v>3614</v>
      </c>
      <c r="AA340" t="s">
        <v>3615</v>
      </c>
      <c r="AB340" t="s">
        <v>2710</v>
      </c>
      <c r="AC340" t="s">
        <v>3616</v>
      </c>
      <c r="AD340" t="s">
        <v>3617</v>
      </c>
      <c r="AE340" t="s">
        <v>2001</v>
      </c>
      <c r="AF340" t="s">
        <v>3618</v>
      </c>
      <c r="AG340" t="s">
        <v>2001</v>
      </c>
    </row>
    <row r="341">
      <c r="A341" t="s">
        <v>3751</v>
      </c>
      <c r="B341" t="s">
        <v>958</v>
      </c>
      <c r="C341" t="s">
        <v>3599</v>
      </c>
      <c r="D341" t="s">
        <v>3728</v>
      </c>
      <c r="E341" t="s">
        <v>3729</v>
      </c>
      <c r="F341" t="s">
        <v>3752</v>
      </c>
      <c r="G341" t="s">
        <v>120</v>
      </c>
      <c r="H341" t="s">
        <v>3753</v>
      </c>
      <c r="I341" t="s">
        <v>3754</v>
      </c>
      <c r="J341" t="s">
        <v>3755</v>
      </c>
      <c r="K341" t="s">
        <v>2042</v>
      </c>
      <c r="L341" t="s">
        <v>3734</v>
      </c>
      <c r="M341" t="s">
        <v>3756</v>
      </c>
      <c r="N341" t="s">
        <v>3608</v>
      </c>
      <c r="O341" t="s">
        <v>2054</v>
      </c>
      <c r="P341" t="s">
        <v>3609</v>
      </c>
      <c r="Q341" t="s">
        <v>3157</v>
      </c>
      <c r="R341" t="s">
        <v>1991</v>
      </c>
      <c r="S341" t="s">
        <v>2073</v>
      </c>
      <c r="T341" t="s">
        <v>3610</v>
      </c>
      <c r="U341" t="s">
        <v>3611</v>
      </c>
      <c r="V341" t="s">
        <v>3757</v>
      </c>
      <c r="W341" t="s">
        <v>2048</v>
      </c>
      <c r="X341" t="s">
        <v>2048</v>
      </c>
      <c r="Y341" t="s">
        <v>3613</v>
      </c>
      <c r="Z341" t="s">
        <v>3614</v>
      </c>
      <c r="AA341" t="s">
        <v>3615</v>
      </c>
      <c r="AB341" t="s">
        <v>2710</v>
      </c>
      <c r="AC341" t="s">
        <v>3616</v>
      </c>
      <c r="AD341" t="s">
        <v>3617</v>
      </c>
      <c r="AE341" t="s">
        <v>2001</v>
      </c>
      <c r="AF341" t="s">
        <v>3618</v>
      </c>
      <c r="AG341" t="s">
        <v>2001</v>
      </c>
    </row>
    <row r="342">
      <c r="A342" t="s">
        <v>3758</v>
      </c>
      <c r="B342" t="s">
        <v>958</v>
      </c>
      <c r="C342" t="s">
        <v>3599</v>
      </c>
      <c r="D342" t="s">
        <v>3728</v>
      </c>
      <c r="E342" t="s">
        <v>3729</v>
      </c>
      <c r="F342" t="s">
        <v>3759</v>
      </c>
      <c r="G342" t="s">
        <v>120</v>
      </c>
      <c r="H342" t="s">
        <v>3760</v>
      </c>
      <c r="I342" t="s">
        <v>3761</v>
      </c>
      <c r="J342" t="s">
        <v>3762</v>
      </c>
      <c r="K342" t="s">
        <v>2042</v>
      </c>
      <c r="L342" t="s">
        <v>3734</v>
      </c>
      <c r="M342" t="s">
        <v>3763</v>
      </c>
      <c r="N342" t="s">
        <v>3608</v>
      </c>
      <c r="O342" t="s">
        <v>2054</v>
      </c>
      <c r="P342" t="s">
        <v>3609</v>
      </c>
      <c r="Q342" t="s">
        <v>3157</v>
      </c>
      <c r="R342" t="s">
        <v>1991</v>
      </c>
      <c r="S342" t="s">
        <v>2073</v>
      </c>
      <c r="T342" t="s">
        <v>3610</v>
      </c>
      <c r="U342" t="s">
        <v>3611</v>
      </c>
      <c r="V342" t="s">
        <v>3764</v>
      </c>
      <c r="W342" t="s">
        <v>2048</v>
      </c>
      <c r="X342" t="s">
        <v>2048</v>
      </c>
      <c r="Y342" t="s">
        <v>3613</v>
      </c>
      <c r="Z342" t="s">
        <v>3614</v>
      </c>
      <c r="AA342" t="s">
        <v>3615</v>
      </c>
      <c r="AB342" t="s">
        <v>2710</v>
      </c>
      <c r="AC342" t="s">
        <v>3616</v>
      </c>
      <c r="AD342" t="s">
        <v>3617</v>
      </c>
      <c r="AE342" t="s">
        <v>2001</v>
      </c>
      <c r="AF342" t="s">
        <v>3618</v>
      </c>
      <c r="AG342" t="s">
        <v>2001</v>
      </c>
    </row>
    <row r="343">
      <c r="A343" t="s">
        <v>3765</v>
      </c>
      <c r="B343" t="s">
        <v>958</v>
      </c>
      <c r="C343" t="s">
        <v>3599</v>
      </c>
      <c r="D343" t="s">
        <v>3728</v>
      </c>
      <c r="E343" t="s">
        <v>3729</v>
      </c>
      <c r="F343" t="s">
        <v>3766</v>
      </c>
      <c r="G343" t="s">
        <v>120</v>
      </c>
      <c r="H343" t="s">
        <v>3767</v>
      </c>
      <c r="I343" t="s">
        <v>3768</v>
      </c>
      <c r="J343" t="s">
        <v>3769</v>
      </c>
      <c r="K343" t="s">
        <v>2042</v>
      </c>
      <c r="L343" t="s">
        <v>3734</v>
      </c>
      <c r="M343" t="s">
        <v>3770</v>
      </c>
      <c r="N343" t="s">
        <v>3608</v>
      </c>
      <c r="O343" t="s">
        <v>2054</v>
      </c>
      <c r="P343" t="s">
        <v>3609</v>
      </c>
      <c r="Q343" t="s">
        <v>3157</v>
      </c>
      <c r="R343" t="s">
        <v>1991</v>
      </c>
      <c r="S343" t="s">
        <v>2073</v>
      </c>
      <c r="T343" t="s">
        <v>3610</v>
      </c>
      <c r="U343" t="s">
        <v>3611</v>
      </c>
      <c r="V343" t="s">
        <v>3771</v>
      </c>
      <c r="W343" t="s">
        <v>2048</v>
      </c>
      <c r="X343" t="s">
        <v>2048</v>
      </c>
      <c r="Y343" t="s">
        <v>3613</v>
      </c>
      <c r="Z343" t="s">
        <v>3614</v>
      </c>
      <c r="AA343" t="s">
        <v>3615</v>
      </c>
      <c r="AB343" t="s">
        <v>2710</v>
      </c>
      <c r="AC343" t="s">
        <v>3616</v>
      </c>
      <c r="AD343" t="s">
        <v>3617</v>
      </c>
      <c r="AE343" t="s">
        <v>2001</v>
      </c>
      <c r="AF343" t="s">
        <v>3618</v>
      </c>
      <c r="AG343" t="s">
        <v>2001</v>
      </c>
    </row>
    <row r="344">
      <c r="A344" t="s">
        <v>3772</v>
      </c>
      <c r="B344" t="s">
        <v>958</v>
      </c>
      <c r="C344" t="s">
        <v>3599</v>
      </c>
      <c r="D344" t="s">
        <v>3728</v>
      </c>
      <c r="E344" t="s">
        <v>3729</v>
      </c>
      <c r="F344" t="s">
        <v>3773</v>
      </c>
      <c r="G344" t="s">
        <v>120</v>
      </c>
      <c r="H344" t="s">
        <v>3774</v>
      </c>
      <c r="I344" t="s">
        <v>3775</v>
      </c>
      <c r="J344" t="s">
        <v>3776</v>
      </c>
      <c r="K344" t="s">
        <v>2042</v>
      </c>
      <c r="L344" t="s">
        <v>3734</v>
      </c>
      <c r="M344" t="s">
        <v>3777</v>
      </c>
      <c r="N344" t="s">
        <v>3608</v>
      </c>
      <c r="O344" t="s">
        <v>2054</v>
      </c>
      <c r="P344" t="s">
        <v>3609</v>
      </c>
      <c r="Q344" t="s">
        <v>3157</v>
      </c>
      <c r="R344" t="s">
        <v>1991</v>
      </c>
      <c r="S344" t="s">
        <v>2073</v>
      </c>
      <c r="T344" t="s">
        <v>3610</v>
      </c>
      <c r="U344" t="s">
        <v>3611</v>
      </c>
      <c r="V344" t="s">
        <v>3778</v>
      </c>
      <c r="W344" t="s">
        <v>2048</v>
      </c>
      <c r="X344" t="s">
        <v>2048</v>
      </c>
      <c r="Y344" t="s">
        <v>3613</v>
      </c>
      <c r="Z344" t="s">
        <v>3614</v>
      </c>
      <c r="AA344" t="s">
        <v>3615</v>
      </c>
      <c r="AB344" t="s">
        <v>2710</v>
      </c>
      <c r="AC344" t="s">
        <v>3616</v>
      </c>
      <c r="AD344" t="s">
        <v>3617</v>
      </c>
      <c r="AE344" t="s">
        <v>2001</v>
      </c>
      <c r="AF344" t="s">
        <v>3618</v>
      </c>
      <c r="AG344" t="s">
        <v>2001</v>
      </c>
    </row>
    <row r="345">
      <c r="A345" t="s">
        <v>3779</v>
      </c>
      <c r="B345" t="s">
        <v>958</v>
      </c>
      <c r="C345" t="s">
        <v>3599</v>
      </c>
      <c r="D345" t="s">
        <v>3780</v>
      </c>
      <c r="E345" t="s">
        <v>3781</v>
      </c>
      <c r="F345" t="s">
        <v>3782</v>
      </c>
      <c r="G345" t="s">
        <v>3783</v>
      </c>
      <c r="H345" t="s">
        <v>3784</v>
      </c>
      <c r="I345" t="s">
        <v>3785</v>
      </c>
      <c r="J345" t="s">
        <v>3786</v>
      </c>
      <c r="K345" t="s">
        <v>2042</v>
      </c>
      <c r="L345" t="s">
        <v>3787</v>
      </c>
      <c r="M345" t="s">
        <v>3788</v>
      </c>
      <c r="N345" t="s">
        <v>3608</v>
      </c>
      <c r="O345" t="s">
        <v>2055</v>
      </c>
      <c r="P345" t="s">
        <v>3609</v>
      </c>
      <c r="Q345" t="s">
        <v>3157</v>
      </c>
      <c r="R345" t="s">
        <v>1991</v>
      </c>
      <c r="S345" t="s">
        <v>2073</v>
      </c>
      <c r="T345" t="s">
        <v>3610</v>
      </c>
      <c r="U345" t="s">
        <v>3611</v>
      </c>
      <c r="V345" t="s">
        <v>3789</v>
      </c>
      <c r="W345" t="s">
        <v>2049</v>
      </c>
      <c r="X345" t="s">
        <v>2049</v>
      </c>
      <c r="Y345" t="s">
        <v>3790</v>
      </c>
      <c r="Z345" t="s">
        <v>3791</v>
      </c>
      <c r="AA345" t="s">
        <v>3615</v>
      </c>
      <c r="AB345" t="s">
        <v>2444</v>
      </c>
      <c r="AC345" t="s">
        <v>3616</v>
      </c>
      <c r="AD345" t="s">
        <v>3617</v>
      </c>
      <c r="AE345" t="s">
        <v>2001</v>
      </c>
      <c r="AF345" t="s">
        <v>3618</v>
      </c>
      <c r="AG345" t="s">
        <v>2001</v>
      </c>
    </row>
    <row r="346">
      <c r="A346" t="s">
        <v>3792</v>
      </c>
      <c r="B346" t="s">
        <v>958</v>
      </c>
      <c r="C346" t="s">
        <v>3599</v>
      </c>
      <c r="D346" t="s">
        <v>3780</v>
      </c>
      <c r="E346" t="s">
        <v>3781</v>
      </c>
      <c r="F346" t="s">
        <v>3793</v>
      </c>
      <c r="G346" t="s">
        <v>3783</v>
      </c>
      <c r="H346" t="s">
        <v>3794</v>
      </c>
      <c r="I346" t="s">
        <v>3795</v>
      </c>
      <c r="J346" t="s">
        <v>3796</v>
      </c>
      <c r="K346" t="s">
        <v>2042</v>
      </c>
      <c r="L346" t="s">
        <v>3787</v>
      </c>
      <c r="M346" t="s">
        <v>3797</v>
      </c>
      <c r="N346" t="s">
        <v>3608</v>
      </c>
      <c r="O346" t="s">
        <v>2055</v>
      </c>
      <c r="P346" t="s">
        <v>3609</v>
      </c>
      <c r="Q346" t="s">
        <v>3157</v>
      </c>
      <c r="R346" t="s">
        <v>1991</v>
      </c>
      <c r="S346" t="s">
        <v>2073</v>
      </c>
      <c r="T346" t="s">
        <v>3610</v>
      </c>
      <c r="U346" t="s">
        <v>3611</v>
      </c>
      <c r="V346" t="s">
        <v>3798</v>
      </c>
      <c r="W346" t="s">
        <v>2049</v>
      </c>
      <c r="X346" t="s">
        <v>2049</v>
      </c>
      <c r="Y346" t="s">
        <v>3790</v>
      </c>
      <c r="Z346" t="s">
        <v>3791</v>
      </c>
      <c r="AA346" t="s">
        <v>3615</v>
      </c>
      <c r="AB346" t="s">
        <v>2444</v>
      </c>
      <c r="AC346" t="s">
        <v>3616</v>
      </c>
      <c r="AD346" t="s">
        <v>3617</v>
      </c>
      <c r="AE346" t="s">
        <v>2001</v>
      </c>
      <c r="AF346" t="s">
        <v>3618</v>
      </c>
      <c r="AG346" t="s">
        <v>2001</v>
      </c>
    </row>
    <row r="347">
      <c r="A347" t="s">
        <v>3799</v>
      </c>
      <c r="B347" t="s">
        <v>958</v>
      </c>
      <c r="C347" t="s">
        <v>3599</v>
      </c>
      <c r="D347" t="s">
        <v>3780</v>
      </c>
      <c r="E347" t="s">
        <v>3781</v>
      </c>
      <c r="F347" t="s">
        <v>3800</v>
      </c>
      <c r="G347" t="s">
        <v>3783</v>
      </c>
      <c r="H347" t="s">
        <v>3801</v>
      </c>
      <c r="I347" t="s">
        <v>3802</v>
      </c>
      <c r="J347" t="s">
        <v>3803</v>
      </c>
      <c r="K347" t="s">
        <v>2042</v>
      </c>
      <c r="L347" t="s">
        <v>3787</v>
      </c>
      <c r="M347" t="s">
        <v>3804</v>
      </c>
      <c r="N347" t="s">
        <v>3608</v>
      </c>
      <c r="O347" t="s">
        <v>2055</v>
      </c>
      <c r="P347" t="s">
        <v>3609</v>
      </c>
      <c r="Q347" t="s">
        <v>3157</v>
      </c>
      <c r="R347" t="s">
        <v>1991</v>
      </c>
      <c r="S347" t="s">
        <v>2073</v>
      </c>
      <c r="T347" t="s">
        <v>3610</v>
      </c>
      <c r="U347" t="s">
        <v>3611</v>
      </c>
      <c r="V347" t="s">
        <v>3805</v>
      </c>
      <c r="W347" t="s">
        <v>2049</v>
      </c>
      <c r="X347" t="s">
        <v>2049</v>
      </c>
      <c r="Y347" t="s">
        <v>3790</v>
      </c>
      <c r="Z347" t="s">
        <v>3791</v>
      </c>
      <c r="AA347" t="s">
        <v>3615</v>
      </c>
      <c r="AB347" t="s">
        <v>2444</v>
      </c>
      <c r="AC347" t="s">
        <v>3616</v>
      </c>
      <c r="AD347" t="s">
        <v>3617</v>
      </c>
      <c r="AE347" t="s">
        <v>2001</v>
      </c>
      <c r="AF347" t="s">
        <v>3618</v>
      </c>
      <c r="AG347" t="s">
        <v>2001</v>
      </c>
    </row>
    <row r="348">
      <c r="A348" t="s">
        <v>3806</v>
      </c>
      <c r="B348" t="s">
        <v>958</v>
      </c>
      <c r="C348" t="s">
        <v>3599</v>
      </c>
      <c r="D348" t="s">
        <v>3780</v>
      </c>
      <c r="E348" t="s">
        <v>3781</v>
      </c>
      <c r="F348" t="s">
        <v>3807</v>
      </c>
      <c r="G348" t="s">
        <v>3783</v>
      </c>
      <c r="H348" t="s">
        <v>3808</v>
      </c>
      <c r="I348" t="s">
        <v>3809</v>
      </c>
      <c r="J348" t="s">
        <v>3810</v>
      </c>
      <c r="K348" t="s">
        <v>2042</v>
      </c>
      <c r="L348" t="s">
        <v>3787</v>
      </c>
      <c r="M348" t="s">
        <v>3811</v>
      </c>
      <c r="N348" t="s">
        <v>3608</v>
      </c>
      <c r="O348" t="s">
        <v>2055</v>
      </c>
      <c r="P348" t="s">
        <v>3609</v>
      </c>
      <c r="Q348" t="s">
        <v>3157</v>
      </c>
      <c r="R348" t="s">
        <v>1991</v>
      </c>
      <c r="S348" t="s">
        <v>2073</v>
      </c>
      <c r="T348" t="s">
        <v>3610</v>
      </c>
      <c r="U348" t="s">
        <v>3611</v>
      </c>
      <c r="V348" t="s">
        <v>3812</v>
      </c>
      <c r="W348" t="s">
        <v>2049</v>
      </c>
      <c r="X348" t="s">
        <v>2049</v>
      </c>
      <c r="Y348" t="s">
        <v>3790</v>
      </c>
      <c r="Z348" t="s">
        <v>3791</v>
      </c>
      <c r="AA348" t="s">
        <v>3615</v>
      </c>
      <c r="AB348" t="s">
        <v>2444</v>
      </c>
      <c r="AC348" t="s">
        <v>3616</v>
      </c>
      <c r="AD348" t="s">
        <v>3617</v>
      </c>
      <c r="AE348" t="s">
        <v>2001</v>
      </c>
      <c r="AF348" t="s">
        <v>3618</v>
      </c>
      <c r="AG348" t="s">
        <v>2001</v>
      </c>
    </row>
    <row r="349">
      <c r="A349" t="s">
        <v>3813</v>
      </c>
      <c r="B349" t="s">
        <v>958</v>
      </c>
      <c r="C349" t="s">
        <v>3599</v>
      </c>
      <c r="D349" t="s">
        <v>3780</v>
      </c>
      <c r="E349" t="s">
        <v>3781</v>
      </c>
      <c r="F349" t="s">
        <v>3814</v>
      </c>
      <c r="G349" t="s">
        <v>3783</v>
      </c>
      <c r="H349" t="s">
        <v>3815</v>
      </c>
      <c r="I349" t="s">
        <v>3816</v>
      </c>
      <c r="J349" t="s">
        <v>3817</v>
      </c>
      <c r="K349" t="s">
        <v>2042</v>
      </c>
      <c r="L349" t="s">
        <v>3787</v>
      </c>
      <c r="M349" t="s">
        <v>3818</v>
      </c>
      <c r="N349" t="s">
        <v>3608</v>
      </c>
      <c r="O349" t="s">
        <v>2055</v>
      </c>
      <c r="P349" t="s">
        <v>3609</v>
      </c>
      <c r="Q349" t="s">
        <v>3157</v>
      </c>
      <c r="R349" t="s">
        <v>1991</v>
      </c>
      <c r="S349" t="s">
        <v>2073</v>
      </c>
      <c r="T349" t="s">
        <v>3610</v>
      </c>
      <c r="U349" t="s">
        <v>3611</v>
      </c>
      <c r="V349" t="s">
        <v>3819</v>
      </c>
      <c r="W349" t="s">
        <v>2049</v>
      </c>
      <c r="X349" t="s">
        <v>2049</v>
      </c>
      <c r="Y349" t="s">
        <v>3790</v>
      </c>
      <c r="Z349" t="s">
        <v>3791</v>
      </c>
      <c r="AA349" t="s">
        <v>3615</v>
      </c>
      <c r="AB349" t="s">
        <v>2444</v>
      </c>
      <c r="AC349" t="s">
        <v>3616</v>
      </c>
      <c r="AD349" t="s">
        <v>3617</v>
      </c>
      <c r="AE349" t="s">
        <v>2001</v>
      </c>
      <c r="AF349" t="s">
        <v>3618</v>
      </c>
      <c r="AG349" t="s">
        <v>2001</v>
      </c>
    </row>
    <row r="350">
      <c r="A350" t="s">
        <v>3820</v>
      </c>
      <c r="B350" t="s">
        <v>958</v>
      </c>
      <c r="C350" t="s">
        <v>3599</v>
      </c>
      <c r="D350" t="s">
        <v>3780</v>
      </c>
      <c r="E350" t="s">
        <v>3781</v>
      </c>
      <c r="F350" t="s">
        <v>3821</v>
      </c>
      <c r="G350" t="s">
        <v>3783</v>
      </c>
      <c r="H350" t="s">
        <v>3822</v>
      </c>
      <c r="I350" t="s">
        <v>3823</v>
      </c>
      <c r="J350" t="s">
        <v>3824</v>
      </c>
      <c r="K350" t="s">
        <v>2042</v>
      </c>
      <c r="L350" t="s">
        <v>3787</v>
      </c>
      <c r="M350" t="s">
        <v>3825</v>
      </c>
      <c r="N350" t="s">
        <v>3608</v>
      </c>
      <c r="O350" t="s">
        <v>2055</v>
      </c>
      <c r="P350" t="s">
        <v>3609</v>
      </c>
      <c r="Q350" t="s">
        <v>3157</v>
      </c>
      <c r="R350" t="s">
        <v>1991</v>
      </c>
      <c r="S350" t="s">
        <v>2073</v>
      </c>
      <c r="T350" t="s">
        <v>3610</v>
      </c>
      <c r="U350" t="s">
        <v>3611</v>
      </c>
      <c r="V350" t="s">
        <v>3826</v>
      </c>
      <c r="W350" t="s">
        <v>2049</v>
      </c>
      <c r="X350" t="s">
        <v>2049</v>
      </c>
      <c r="Y350" t="s">
        <v>3790</v>
      </c>
      <c r="Z350" t="s">
        <v>3791</v>
      </c>
      <c r="AA350" t="s">
        <v>3615</v>
      </c>
      <c r="AB350" t="s">
        <v>2444</v>
      </c>
      <c r="AC350" t="s">
        <v>3616</v>
      </c>
      <c r="AD350" t="s">
        <v>3617</v>
      </c>
      <c r="AE350" t="s">
        <v>2001</v>
      </c>
      <c r="AF350" t="s">
        <v>3618</v>
      </c>
      <c r="AG350" t="s">
        <v>2001</v>
      </c>
    </row>
    <row r="351">
      <c r="A351" t="s">
        <v>3827</v>
      </c>
      <c r="B351" t="s">
        <v>958</v>
      </c>
      <c r="C351" t="s">
        <v>3599</v>
      </c>
      <c r="D351" t="s">
        <v>3828</v>
      </c>
      <c r="E351" t="s">
        <v>3829</v>
      </c>
      <c r="F351" t="s">
        <v>3830</v>
      </c>
      <c r="G351" t="s">
        <v>97</v>
      </c>
      <c r="H351" t="s">
        <v>3831</v>
      </c>
      <c r="I351" t="s">
        <v>3832</v>
      </c>
      <c r="J351" t="s">
        <v>3833</v>
      </c>
      <c r="K351" t="s">
        <v>2042</v>
      </c>
      <c r="L351" t="s">
        <v>3834</v>
      </c>
      <c r="M351" t="s">
        <v>3835</v>
      </c>
      <c r="N351" t="s">
        <v>3608</v>
      </c>
      <c r="O351" t="s">
        <v>2056</v>
      </c>
      <c r="P351" t="s">
        <v>3609</v>
      </c>
      <c r="Q351" t="s">
        <v>3157</v>
      </c>
      <c r="R351" t="s">
        <v>1991</v>
      </c>
      <c r="S351" t="s">
        <v>2073</v>
      </c>
      <c r="T351" t="s">
        <v>3610</v>
      </c>
      <c r="U351" t="s">
        <v>3611</v>
      </c>
      <c r="V351" t="s">
        <v>3836</v>
      </c>
      <c r="W351" t="s">
        <v>2046</v>
      </c>
      <c r="X351" t="s">
        <v>2046</v>
      </c>
      <c r="Y351" t="s">
        <v>3613</v>
      </c>
      <c r="Z351" t="s">
        <v>3614</v>
      </c>
      <c r="AA351" t="s">
        <v>3615</v>
      </c>
      <c r="AB351" t="s">
        <v>2710</v>
      </c>
      <c r="AC351" t="s">
        <v>3616</v>
      </c>
      <c r="AD351" t="s">
        <v>3617</v>
      </c>
      <c r="AE351" t="s">
        <v>2001</v>
      </c>
      <c r="AF351" t="s">
        <v>3618</v>
      </c>
      <c r="AG351" t="s">
        <v>2001</v>
      </c>
    </row>
    <row r="352">
      <c r="A352" t="s">
        <v>3837</v>
      </c>
      <c r="B352" t="s">
        <v>958</v>
      </c>
      <c r="C352" t="s">
        <v>3599</v>
      </c>
      <c r="D352" t="s">
        <v>3828</v>
      </c>
      <c r="E352" t="s">
        <v>3829</v>
      </c>
      <c r="F352" t="s">
        <v>3838</v>
      </c>
      <c r="G352" t="s">
        <v>120</v>
      </c>
      <c r="H352" t="s">
        <v>3839</v>
      </c>
      <c r="I352" t="s">
        <v>3840</v>
      </c>
      <c r="J352" t="s">
        <v>3841</v>
      </c>
      <c r="K352" t="s">
        <v>2042</v>
      </c>
      <c r="L352" t="s">
        <v>3834</v>
      </c>
      <c r="M352" t="s">
        <v>3842</v>
      </c>
      <c r="N352" t="s">
        <v>3608</v>
      </c>
      <c r="O352" t="s">
        <v>2056</v>
      </c>
      <c r="P352" t="s">
        <v>3609</v>
      </c>
      <c r="Q352" t="s">
        <v>3157</v>
      </c>
      <c r="R352" t="s">
        <v>1991</v>
      </c>
      <c r="S352" t="s">
        <v>2073</v>
      </c>
      <c r="T352" t="s">
        <v>3610</v>
      </c>
      <c r="U352" t="s">
        <v>3611</v>
      </c>
      <c r="V352" t="s">
        <v>3843</v>
      </c>
      <c r="W352" t="s">
        <v>2048</v>
      </c>
      <c r="X352" t="s">
        <v>2048</v>
      </c>
      <c r="Y352" t="s">
        <v>3613</v>
      </c>
      <c r="Z352" t="s">
        <v>3614</v>
      </c>
      <c r="AA352" t="s">
        <v>3615</v>
      </c>
      <c r="AB352" t="s">
        <v>2710</v>
      </c>
      <c r="AC352" t="s">
        <v>3616</v>
      </c>
      <c r="AD352" t="s">
        <v>3617</v>
      </c>
      <c r="AE352" t="s">
        <v>2001</v>
      </c>
      <c r="AF352" t="s">
        <v>3618</v>
      </c>
      <c r="AG352" t="s">
        <v>2001</v>
      </c>
    </row>
    <row r="353" ht="48" customHeight="1">
      <c r="A353" s="74" t="s">
        <v>7286</v>
      </c>
      <c r="B353" s="74" t="s">
        <v>7287</v>
      </c>
      <c r="C353" s="74" t="s">
        <v>7288</v>
      </c>
      <c r="D353" s="74" t="s">
        <v>7289</v>
      </c>
      <c r="E353" s="74" t="s">
        <v>7290</v>
      </c>
      <c r="F353" s="74" t="s">
        <v>7291</v>
      </c>
      <c r="G353" s="74" t="s">
        <v>120</v>
      </c>
      <c r="H353" s="74" t="s">
        <v>7292</v>
      </c>
      <c r="I353" s="74" t="s">
        <v>7293</v>
      </c>
      <c r="J353" s="74" t="s">
        <v>7294</v>
      </c>
      <c r="K353" s="74" t="s">
        <v>7295</v>
      </c>
      <c r="L353" s="74" t="s">
        <v>7296</v>
      </c>
      <c r="M353" s="74" t="s">
        <v>7297</v>
      </c>
      <c r="N353" s="74" t="s">
        <v>7298</v>
      </c>
      <c r="O353" s="74" t="s">
        <v>7299</v>
      </c>
      <c r="P353" s="74" t="s">
        <v>1984</v>
      </c>
      <c r="Q353" s="74" t="s">
        <v>1971</v>
      </c>
      <c r="R353" s="74" t="s">
        <v>1992</v>
      </c>
      <c r="S353" s="74" t="s">
        <v>2073</v>
      </c>
      <c r="T353" s="74" t="s">
        <v>7300</v>
      </c>
      <c r="U353" s="74" t="s">
        <v>7301</v>
      </c>
      <c r="V353" s="74" t="s">
        <v>7302</v>
      </c>
      <c r="W353" s="74" t="s">
        <v>7303</v>
      </c>
      <c r="X353" s="74" t="s">
        <v>7304</v>
      </c>
      <c r="Y353" s="74" t="s">
        <v>1995</v>
      </c>
      <c r="Z353" s="74" t="s">
        <v>1995</v>
      </c>
      <c r="AA353" s="74" t="s">
        <v>1995</v>
      </c>
      <c r="AB353" s="74" t="s">
        <v>1995</v>
      </c>
      <c r="AC353" s="74" t="s">
        <v>7305</v>
      </c>
      <c r="AD353" s="74" t="s">
        <v>7306</v>
      </c>
      <c r="AE353" s="74" t="s">
        <v>2001</v>
      </c>
      <c r="AF353" s="74" t="s">
        <v>7307</v>
      </c>
      <c r="AG353" s="74" t="s">
        <v>2002</v>
      </c>
    </row>
    <row r="354" ht="48" customHeight="1">
      <c r="A354" s="74" t="s">
        <v>7308</v>
      </c>
      <c r="B354" s="74" t="s">
        <v>7287</v>
      </c>
      <c r="C354" s="74" t="s">
        <v>7288</v>
      </c>
      <c r="D354" s="74" t="s">
        <v>7309</v>
      </c>
      <c r="E354" s="74" t="s">
        <v>7310</v>
      </c>
      <c r="F354" s="74" t="s">
        <v>7311</v>
      </c>
      <c r="G354" s="74" t="s">
        <v>154</v>
      </c>
      <c r="H354" s="74" t="s">
        <v>7312</v>
      </c>
      <c r="I354" s="74" t="s">
        <v>7313</v>
      </c>
      <c r="J354" s="74" t="s">
        <v>7314</v>
      </c>
      <c r="K354" s="74" t="s">
        <v>7295</v>
      </c>
      <c r="L354" s="74" t="s">
        <v>7315</v>
      </c>
      <c r="M354" s="74" t="s">
        <v>7316</v>
      </c>
      <c r="N354" s="74" t="s">
        <v>7298</v>
      </c>
      <c r="O354" s="74" t="s">
        <v>7299</v>
      </c>
      <c r="P354" s="74" t="s">
        <v>1984</v>
      </c>
      <c r="Q354" s="74" t="s">
        <v>1971</v>
      </c>
      <c r="R354" s="74" t="s">
        <v>1992</v>
      </c>
      <c r="S354" s="74" t="s">
        <v>2073</v>
      </c>
      <c r="T354" s="74" t="s">
        <v>7300</v>
      </c>
      <c r="U354" s="74" t="s">
        <v>7301</v>
      </c>
      <c r="V354" s="74" t="s">
        <v>7317</v>
      </c>
      <c r="W354" s="74" t="s">
        <v>7318</v>
      </c>
      <c r="X354" s="74" t="s">
        <v>7319</v>
      </c>
      <c r="Y354" s="74" t="s">
        <v>1995</v>
      </c>
      <c r="Z354" s="74" t="s">
        <v>1995</v>
      </c>
      <c r="AA354" s="74" t="str">
        <v>NA</v>
      </c>
      <c r="AB354" s="74" t="str">
        <v>NA</v>
      </c>
      <c r="AC354" s="74" t="str">
        <v>DWS-BUNDLE;TASK-BUNDLE;WORKFLOW-BUNDLE;EVIDENCE-LINK;ORG-DIR-BUNDLE</v>
      </c>
      <c r="AD354" s="74" t="str">
        <v>Versioned structure/hierarchy/dependency/baseline contracts with typed external task, workflow, evidence and principal references.</v>
      </c>
      <c r="AE354" s="74" t="str">
        <v>Y</v>
      </c>
      <c r="AF354" s="74" t="s">
        <v>7320</v>
      </c>
      <c r="AG354" s="74" t="str">
        <v>N</v>
      </c>
    </row>
    <row r="355" ht="48" customHeight="1">
      <c r="A355" s="74" t="s">
        <v>7321</v>
      </c>
      <c r="B355" s="74" t="s">
        <v>7287</v>
      </c>
      <c r="C355" s="74" t="s">
        <v>7288</v>
      </c>
      <c r="D355" s="74" t="s">
        <v>7322</v>
      </c>
      <c r="E355" s="74" t="s">
        <v>7323</v>
      </c>
      <c r="F355" s="74" t="s">
        <v>7324</v>
      </c>
      <c r="G355" s="74" t="s">
        <v>120</v>
      </c>
      <c r="H355" s="74" t="s">
        <v>7325</v>
      </c>
      <c r="I355" s="74" t="s">
        <v>7326</v>
      </c>
      <c r="J355" s="74" t="s">
        <v>7327</v>
      </c>
      <c r="K355" s="74" t="s">
        <v>7295</v>
      </c>
      <c r="L355" s="74" t="s">
        <v>7328</v>
      </c>
      <c r="M355" s="74" t="s">
        <v>7329</v>
      </c>
      <c r="N355" s="74" t="s">
        <v>7298</v>
      </c>
      <c r="O355" s="74" t="s">
        <v>7299</v>
      </c>
      <c r="P355" s="74" t="s">
        <v>1984</v>
      </c>
      <c r="Q355" s="74" t="s">
        <v>1971</v>
      </c>
      <c r="R355" s="74" t="s">
        <v>1992</v>
      </c>
      <c r="S355" s="74" t="s">
        <v>2073</v>
      </c>
      <c r="T355" s="74" t="s">
        <v>7300</v>
      </c>
      <c r="U355" s="74" t="s">
        <v>7301</v>
      </c>
      <c r="V355" s="74" t="s">
        <v>7330</v>
      </c>
      <c r="W355" s="74" t="s">
        <v>7303</v>
      </c>
      <c r="X355" s="74" t="s">
        <v>7304</v>
      </c>
      <c r="Y355" s="74" t="s">
        <v>1995</v>
      </c>
      <c r="Z355" s="74" t="s">
        <v>1995</v>
      </c>
      <c r="AA355" s="74" t="str">
        <v>NA</v>
      </c>
      <c r="AB355" s="74" t="str">
        <v>NA</v>
      </c>
      <c r="AC355" s="74" t="s">
        <v>7332</v>
      </c>
      <c r="AD355" s="74" t="s">
        <v>7333</v>
      </c>
      <c r="AE355" s="74" t="str">
        <v>Y</v>
      </c>
      <c r="AF355" s="74" t="s">
        <v>7331</v>
      </c>
      <c r="AG355" s="74" t="str">
        <v>N</v>
      </c>
    </row>
    <row r="356" ht="48" customHeight="1">
      <c r="A356" s="74" t="s">
        <v>7334</v>
      </c>
      <c r="B356" s="74" t="s">
        <v>7287</v>
      </c>
      <c r="C356" s="74" t="s">
        <v>7288</v>
      </c>
      <c r="D356" s="74" t="s">
        <v>7335</v>
      </c>
      <c r="E356" s="74" t="s">
        <v>7336</v>
      </c>
      <c r="F356" s="74" t="s">
        <v>7337</v>
      </c>
      <c r="G356" s="74" t="s">
        <v>3783</v>
      </c>
      <c r="H356" s="74" t="s">
        <v>7338</v>
      </c>
      <c r="I356" s="74" t="s">
        <v>7339</v>
      </c>
      <c r="J356" s="74" t="s">
        <v>7340</v>
      </c>
      <c r="K356" s="74" t="s">
        <v>7295</v>
      </c>
      <c r="L356" s="74" t="s">
        <v>7341</v>
      </c>
      <c r="M356" s="74" t="s">
        <v>7342</v>
      </c>
      <c r="N356" s="74" t="s">
        <v>7298</v>
      </c>
      <c r="O356" s="74" t="s">
        <v>7299</v>
      </c>
      <c r="P356" s="74" t="s">
        <v>1984</v>
      </c>
      <c r="Q356" s="74" t="s">
        <v>1971</v>
      </c>
      <c r="R356" s="74" t="s">
        <v>1992</v>
      </c>
      <c r="S356" s="74" t="s">
        <v>2073</v>
      </c>
      <c r="T356" s="74" t="s">
        <v>7300</v>
      </c>
      <c r="U356" s="74" t="s">
        <v>7301</v>
      </c>
      <c r="V356" s="74" t="s">
        <v>7343</v>
      </c>
      <c r="W356" s="74" t="s">
        <v>7303</v>
      </c>
      <c r="X356" s="74" t="s">
        <v>7304</v>
      </c>
      <c r="Y356" s="74" t="s">
        <v>1995</v>
      </c>
      <c r="Z356" s="74" t="s">
        <v>1995</v>
      </c>
      <c r="AA356" s="74" t="str">
        <v>NA</v>
      </c>
      <c r="AB356" s="74" t="str">
        <v>NA</v>
      </c>
      <c r="AC356" s="74" t="str">
        <v>REVIEW-CADENCE-BUNDLE;REVIEW-BUNDLE;WORKFLOW-BUNDLE;TASK-BUNDLE;EVIDENCE-LINK;ORG-DIR-BUNDLE</v>
      </c>
      <c r="AD356" s="74" t="s">
        <v>7345</v>
      </c>
      <c r="AE356" s="74" t="str">
        <v>Y</v>
      </c>
      <c r="AF356" s="74" t="s">
        <v>7344</v>
      </c>
      <c r="AG356" s="74" t="str">
        <v>N</v>
      </c>
    </row>
    <row r="357" ht="48" customHeight="1">
      <c r="A357" s="74" t="s">
        <v>7346</v>
      </c>
      <c r="B357" s="74" t="s">
        <v>7287</v>
      </c>
      <c r="C357" s="74" t="s">
        <v>7288</v>
      </c>
      <c r="D357" s="74" t="s">
        <v>7347</v>
      </c>
      <c r="E357" s="74" t="s">
        <v>7348</v>
      </c>
      <c r="F357" s="74" t="s">
        <v>7349</v>
      </c>
      <c r="G357" s="74" t="s">
        <v>154</v>
      </c>
      <c r="H357" s="74" t="s">
        <v>7350</v>
      </c>
      <c r="I357" s="74" t="s">
        <v>7351</v>
      </c>
      <c r="J357" s="74" t="s">
        <v>7352</v>
      </c>
      <c r="K357" s="74" t="s">
        <v>7295</v>
      </c>
      <c r="L357" s="74" t="s">
        <v>7353</v>
      </c>
      <c r="M357" s="74" t="s">
        <v>7354</v>
      </c>
      <c r="N357" s="74" t="s">
        <v>7298</v>
      </c>
      <c r="O357" s="74" t="s">
        <v>7299</v>
      </c>
      <c r="P357" s="74" t="s">
        <v>1984</v>
      </c>
      <c r="Q357" s="74" t="s">
        <v>1971</v>
      </c>
      <c r="R357" s="74" t="s">
        <v>1992</v>
      </c>
      <c r="S357" s="74" t="s">
        <v>2073</v>
      </c>
      <c r="T357" s="74" t="s">
        <v>7300</v>
      </c>
      <c r="U357" s="74" t="s">
        <v>7301</v>
      </c>
      <c r="V357" s="74" t="s">
        <v>7355</v>
      </c>
      <c r="W357" s="74" t="s">
        <v>7318</v>
      </c>
      <c r="X357" s="74" t="s">
        <v>7319</v>
      </c>
      <c r="Y357" s="74" t="s">
        <v>1995</v>
      </c>
      <c r="Z357" s="74" t="s">
        <v>1995</v>
      </c>
      <c r="AA357" s="74" t="str">
        <v>NA</v>
      </c>
      <c r="AB357" s="74" t="str">
        <v>NA</v>
      </c>
      <c r="AC357" s="74" t="str">
        <v>AUTHORITY-BUNDLE;SEC-AUTHZ-BUNDLE;WORKFLOW-BUNDLE;RULES-BUNDLE;ORG-DIR-BUNDLE</v>
      </c>
      <c r="AD357" s="74" t="s">
        <v>7357</v>
      </c>
      <c r="AE357" s="74" t="str">
        <v>Y</v>
      </c>
      <c r="AF357" s="74" t="s">
        <v>7356</v>
      </c>
      <c r="AG357" s="74" t="str">
        <v>N</v>
      </c>
    </row>
    <row r="358" ht="48" customHeight="1">
      <c r="A358" s="74" t="s">
        <v>7358</v>
      </c>
      <c r="B358" s="74" t="s">
        <v>7287</v>
      </c>
      <c r="C358" s="74" t="s">
        <v>7288</v>
      </c>
      <c r="D358" s="74" t="s">
        <v>7347</v>
      </c>
      <c r="E358" s="74" t="s">
        <v>7359</v>
      </c>
      <c r="F358" s="74" t="s">
        <v>7360</v>
      </c>
      <c r="G358" s="74" t="s">
        <v>154</v>
      </c>
      <c r="H358" s="74" t="s">
        <v>7361</v>
      </c>
      <c r="I358" s="74" t="s">
        <v>7362</v>
      </c>
      <c r="J358" s="74" t="s">
        <v>7363</v>
      </c>
      <c r="K358" s="74" t="s">
        <v>7295</v>
      </c>
      <c r="L358" s="74" t="s">
        <v>7364</v>
      </c>
      <c r="M358" s="74" t="s">
        <v>7365</v>
      </c>
      <c r="N358" s="74" t="s">
        <v>7298</v>
      </c>
      <c r="O358" s="74" t="s">
        <v>7299</v>
      </c>
      <c r="P358" s="74" t="s">
        <v>1984</v>
      </c>
      <c r="Q358" s="74" t="s">
        <v>1971</v>
      </c>
      <c r="R358" s="74" t="s">
        <v>1992</v>
      </c>
      <c r="S358" s="74" t="s">
        <v>2073</v>
      </c>
      <c r="T358" s="74" t="s">
        <v>7300</v>
      </c>
      <c r="U358" s="74" t="s">
        <v>7301</v>
      </c>
      <c r="V358" s="74" t="s">
        <v>7366</v>
      </c>
      <c r="W358" s="74" t="s">
        <v>7303</v>
      </c>
      <c r="X358" s="74" t="s">
        <v>7304</v>
      </c>
      <c r="Y358" s="74" t="s">
        <v>1995</v>
      </c>
      <c r="Z358" s="74" t="s">
        <v>1995</v>
      </c>
      <c r="AA358" s="74" t="str">
        <v>NA</v>
      </c>
      <c r="AB358" s="74" t="str">
        <v>NA</v>
      </c>
      <c r="AC358" s="74" t="str">
        <v>GOVERNANCE-CHARTER-BUNDLE;GOV-REG-BUNDLE;WORKFLOW-BUNDLE;CONTROLLED-DOC-BUNDLE;ORG-DIR-BUNDLE</v>
      </c>
      <c r="AD358" s="74" t="s">
        <v>7368</v>
      </c>
      <c r="AE358" s="74" t="str">
        <v>Y</v>
      </c>
      <c r="AF358" s="74" t="s">
        <v>7367</v>
      </c>
      <c r="AG358" s="74" t="str">
        <v>N</v>
      </c>
    </row>
    <row r="999" ht="48"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row>
    <row r="1000" ht="48"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c r="AG1000" s="74"/>
    </row>
    <row r="1001" ht="48"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c r="AB1001" s="74"/>
      <c r="AC1001" s="74"/>
      <c r="AD1001" s="74"/>
      <c r="AE1001" s="74"/>
      <c r="AF1001" s="74"/>
      <c r="AG1001" s="74"/>
    </row>
    <row r="1002" ht="48"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c r="AA1002" s="74"/>
      <c r="AB1002" s="74"/>
      <c r="AC1002" s="74"/>
      <c r="AD1002" s="74"/>
      <c r="AE1002" s="74"/>
      <c r="AF1002" s="74"/>
      <c r="AG1002" s="74"/>
    </row>
    <row r="1003" ht="48"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c r="AA1003" s="74"/>
      <c r="AB1003" s="74"/>
      <c r="AC1003" s="74"/>
      <c r="AD1003" s="74"/>
      <c r="AE1003" s="74"/>
      <c r="AF1003" s="74"/>
      <c r="AG1003" s="74"/>
    </row>
    <row r="1004" ht="48"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c r="AA1004" s="74"/>
      <c r="AB1004" s="74"/>
      <c r="AC1004" s="74"/>
      <c r="AD1004" s="74"/>
      <c r="AE1004" s="74"/>
      <c r="AF1004" s="74"/>
      <c r="AG1004" s="74"/>
    </row>
    <row r="1005" ht="48"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c r="AA1005" s="74"/>
      <c r="AB1005" s="74"/>
      <c r="AC1005" s="74"/>
      <c r="AD1005" s="74"/>
      <c r="AE1005" s="74"/>
      <c r="AF1005" s="74"/>
      <c r="AG1005" s="74"/>
    </row>
    <row r="1006" ht="48"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c r="AA1006" s="74"/>
      <c r="AB1006" s="74"/>
      <c r="AC1006" s="74"/>
      <c r="AD1006" s="74"/>
      <c r="AE1006" s="74"/>
      <c r="AF1006" s="74"/>
      <c r="AG1006" s="74"/>
    </row>
  </sheetData>
  <dataValidations count="3">
    <dataValidation type="list" allowBlank="1" errorTitle="Invalid value" error="Select a value from the list." sqref="Q2:Q251">
      <formula1>"Build,Buy/Partner,Hybrid"</formula1>
    </dataValidation>
    <dataValidation type="list" allowBlank="1" errorTitle="Invalid value" error="Select a value from the list." sqref="R2:R251">
      <formula1>"Gold,Silver,Bronze"</formula1>
    </dataValidation>
    <dataValidation type="list" allowBlank="1" errorTitle="Invalid value" error="Select a value from the list." sqref="P2:P251">
      <formula1>"Control Plane,Platform Backbone,Data &amp; Intelligence Plane,SSM Governance Suite,Regulated Overlay,Domain Applications,Integration Bridges"</formula1>
    </dataValidation>
  </dataValidations>
  <pageMargins left="0.7" right="0.7" top="0.75" bottom="0.75" header="0.3" footer="0.3"/>
  <tableParts count="1">
    <tablePart r:id="R8bc8b26fa2c54db1"/>
  </tableParts>
</worksheet>
</file>

<file path=xl/worksheets/sheet6.xml><?xml version="1.0" encoding="utf-8"?>
<worksheet xmlns="http://schemas.openxmlformats.org/spreadsheetml/2006/main" xmlns:r="http://schemas.openxmlformats.org/officeDocument/2006/relationships">
  <sheetFormatPr baseColWidth="10" defaultColWidth="8.83203125" defaultRowHeight="13"/>
  <cols>
    <col min="1" max="6" width="22" customWidth="1"/>
    <col min="7" max="22" width="30" customWidth="1"/>
  </cols>
  <sheetData>
    <row r="1">
      <c r="A1" t="s">
        <v>2058</v>
      </c>
      <c r="B1" t="s">
        <v>62</v>
      </c>
      <c r="C1" t="s">
        <v>81</v>
      </c>
      <c r="D1" t="s">
        <v>82</v>
      </c>
      <c r="E1" t="s">
        <v>83</v>
      </c>
      <c r="F1" t="s">
        <v>61</v>
      </c>
      <c r="G1" t="s">
        <v>63</v>
      </c>
      <c r="H1" t="s">
        <v>84</v>
      </c>
      <c r="I1" t="s">
        <v>85</v>
      </c>
      <c r="J1" t="s">
        <v>86</v>
      </c>
      <c r="K1" t="s">
        <v>87</v>
      </c>
      <c r="L1" t="s">
        <v>88</v>
      </c>
      <c r="M1" t="s">
        <v>89</v>
      </c>
      <c r="N1" t="s">
        <v>90</v>
      </c>
      <c r="O1" t="s">
        <v>91</v>
      </c>
      <c r="P1" t="s">
        <v>2059</v>
      </c>
      <c r="Q1" t="s">
        <v>1996</v>
      </c>
      <c r="R1" t="s">
        <v>1990</v>
      </c>
      <c r="S1" t="s">
        <v>2060</v>
      </c>
      <c r="T1" t="s">
        <v>2061</v>
      </c>
      <c r="U1" t="s">
        <v>2062</v>
      </c>
      <c r="V1" t="s">
        <v>2063</v>
      </c>
      <c r="W1" t="s">
        <v>64</v>
      </c>
      <c r="X1" t="s">
        <v>2045</v>
      </c>
    </row>
    <row r="2">
      <c r="A2" t="s">
        <v>2071</v>
      </c>
      <c r="B2" t="s">
        <v>92</v>
      </c>
      <c r="C2" t="s">
        <v>93</v>
      </c>
      <c r="D2" t="s">
        <v>94</v>
      </c>
      <c r="E2" t="s">
        <v>95</v>
      </c>
      <c r="F2" t="s">
        <v>96</v>
      </c>
      <c r="G2" t="s">
        <v>97</v>
      </c>
      <c r="H2" t="s">
        <v>98</v>
      </c>
      <c r="I2" t="s">
        <v>99</v>
      </c>
      <c r="J2" t="s">
        <v>100</v>
      </c>
      <c r="K2" t="s">
        <v>101</v>
      </c>
      <c r="L2" t="s">
        <v>102</v>
      </c>
      <c r="M2" t="s">
        <v>103</v>
      </c>
      <c r="N2" t="s">
        <v>104</v>
      </c>
      <c r="O2" t="s">
        <v>105</v>
      </c>
      <c r="P2" t="s">
        <v>1979</v>
      </c>
      <c r="Q2" t="s">
        <v>1971</v>
      </c>
      <c r="R2" t="s">
        <v>1975</v>
      </c>
      <c r="S2" t="s">
        <v>2073</v>
      </c>
      <c r="T2" t="s">
        <v>2074</v>
      </c>
      <c r="U2" t="s">
        <v>2075</v>
      </c>
      <c r="V2" t="s">
        <v>2076</v>
      </c>
    </row>
    <row r="3">
      <c r="A3" t="s">
        <v>2079</v>
      </c>
      <c r="F3" t="s">
        <v>106</v>
      </c>
      <c r="G3" t="s">
        <v>97</v>
      </c>
      <c r="H3" t="s">
        <v>107</v>
      </c>
      <c r="I3" t="s">
        <v>108</v>
      </c>
      <c r="J3" t="s">
        <v>109</v>
      </c>
      <c r="K3" t="s">
        <v>101</v>
      </c>
      <c r="L3" t="s">
        <v>110</v>
      </c>
      <c r="M3" t="s">
        <v>111</v>
      </c>
      <c r="N3" t="s">
        <v>104</v>
      </c>
      <c r="O3" t="s">
        <v>112</v>
      </c>
      <c r="P3" t="s">
        <v>1979</v>
      </c>
      <c r="Q3" t="s">
        <v>1971</v>
      </c>
      <c r="R3" t="s">
        <v>1975</v>
      </c>
      <c r="S3" t="s">
        <v>2073</v>
      </c>
      <c r="T3" t="s">
        <v>2074</v>
      </c>
      <c r="U3" t="s">
        <v>2075</v>
      </c>
      <c r="V3" t="s">
        <v>2080</v>
      </c>
    </row>
    <row r="4">
      <c r="A4" t="s">
        <v>2081</v>
      </c>
      <c r="F4" t="s">
        <v>113</v>
      </c>
      <c r="G4" t="s">
        <v>97</v>
      </c>
      <c r="H4" t="s">
        <v>106</v>
      </c>
      <c r="I4" t="s">
        <v>114</v>
      </c>
      <c r="J4" t="s">
        <v>115</v>
      </c>
      <c r="K4" t="s">
        <v>101</v>
      </c>
      <c r="L4" t="s">
        <v>116</v>
      </c>
      <c r="M4" t="s">
        <v>117</v>
      </c>
      <c r="N4" t="s">
        <v>104</v>
      </c>
      <c r="O4" t="s">
        <v>118</v>
      </c>
      <c r="P4" t="s">
        <v>1979</v>
      </c>
      <c r="Q4" t="s">
        <v>1971</v>
      </c>
      <c r="R4" t="s">
        <v>1975</v>
      </c>
      <c r="S4" t="s">
        <v>2073</v>
      </c>
      <c r="T4" t="s">
        <v>2074</v>
      </c>
      <c r="U4" t="s">
        <v>2075</v>
      </c>
      <c r="V4" t="s">
        <v>2082</v>
      </c>
    </row>
    <row r="5">
      <c r="A5" t="s">
        <v>2084</v>
      </c>
      <c r="F5" t="s">
        <v>119</v>
      </c>
      <c r="G5" t="s">
        <v>120</v>
      </c>
      <c r="H5" t="s">
        <v>121</v>
      </c>
      <c r="I5" t="s">
        <v>122</v>
      </c>
      <c r="J5" t="s">
        <v>123</v>
      </c>
      <c r="K5" t="s">
        <v>124</v>
      </c>
      <c r="L5" t="s">
        <v>125</v>
      </c>
      <c r="M5" t="s">
        <v>126</v>
      </c>
      <c r="N5" t="s">
        <v>127</v>
      </c>
      <c r="O5" t="s">
        <v>118</v>
      </c>
      <c r="P5" t="s">
        <v>1979</v>
      </c>
      <c r="Q5" t="s">
        <v>1971</v>
      </c>
      <c r="R5" t="s">
        <v>1975</v>
      </c>
      <c r="S5" t="s">
        <v>2073</v>
      </c>
      <c r="T5" t="s">
        <v>2074</v>
      </c>
      <c r="U5" t="s">
        <v>2075</v>
      </c>
      <c r="V5" t="s">
        <v>2085</v>
      </c>
    </row>
    <row r="6">
      <c r="A6" t="s">
        <v>2087</v>
      </c>
      <c r="F6" t="s">
        <v>128</v>
      </c>
      <c r="G6" t="s">
        <v>129</v>
      </c>
      <c r="H6" t="s">
        <v>130</v>
      </c>
      <c r="I6" t="s">
        <v>131</v>
      </c>
      <c r="J6" t="s">
        <v>132</v>
      </c>
      <c r="K6" t="s">
        <v>133</v>
      </c>
      <c r="L6" t="s">
        <v>110</v>
      </c>
      <c r="M6" t="s">
        <v>134</v>
      </c>
      <c r="N6" t="s">
        <v>135</v>
      </c>
      <c r="O6" t="s">
        <v>136</v>
      </c>
      <c r="P6" t="s">
        <v>1979</v>
      </c>
      <c r="Q6" t="s">
        <v>1971</v>
      </c>
      <c r="R6" t="s">
        <v>1975</v>
      </c>
      <c r="S6" t="s">
        <v>2073</v>
      </c>
      <c r="T6" t="s">
        <v>2074</v>
      </c>
      <c r="U6" t="s">
        <v>2075</v>
      </c>
      <c r="V6" t="s">
        <v>2088</v>
      </c>
    </row>
    <row r="7">
      <c r="A7" t="s">
        <v>2089</v>
      </c>
      <c r="F7" t="s">
        <v>137</v>
      </c>
      <c r="G7" t="s">
        <v>97</v>
      </c>
      <c r="H7" t="s">
        <v>138</v>
      </c>
      <c r="I7" t="s">
        <v>139</v>
      </c>
      <c r="J7" t="s">
        <v>140</v>
      </c>
      <c r="K7" t="s">
        <v>141</v>
      </c>
      <c r="L7" t="s">
        <v>142</v>
      </c>
      <c r="M7" t="s">
        <v>143</v>
      </c>
      <c r="N7" t="s">
        <v>135</v>
      </c>
      <c r="O7" t="s">
        <v>144</v>
      </c>
      <c r="P7" t="s">
        <v>1979</v>
      </c>
      <c r="Q7" t="s">
        <v>1971</v>
      </c>
      <c r="R7" t="s">
        <v>1975</v>
      </c>
      <c r="S7" t="s">
        <v>2073</v>
      </c>
      <c r="T7" t="s">
        <v>2074</v>
      </c>
      <c r="U7" t="s">
        <v>2075</v>
      </c>
      <c r="V7" t="s">
        <v>2090</v>
      </c>
    </row>
    <row r="8">
      <c r="A8" t="s">
        <v>2092</v>
      </c>
      <c r="F8" t="s">
        <v>145</v>
      </c>
      <c r="G8" t="s">
        <v>129</v>
      </c>
      <c r="H8" t="s">
        <v>146</v>
      </c>
      <c r="I8" t="s">
        <v>147</v>
      </c>
      <c r="J8" t="s">
        <v>148</v>
      </c>
      <c r="K8" t="s">
        <v>149</v>
      </c>
      <c r="L8" t="s">
        <v>150</v>
      </c>
      <c r="M8" t="s">
        <v>151</v>
      </c>
      <c r="N8" t="s">
        <v>152</v>
      </c>
      <c r="O8" t="s">
        <v>136</v>
      </c>
      <c r="P8" t="s">
        <v>1979</v>
      </c>
      <c r="Q8" t="s">
        <v>1971</v>
      </c>
      <c r="R8" t="s">
        <v>1975</v>
      </c>
      <c r="S8" t="s">
        <v>2073</v>
      </c>
      <c r="T8" t="s">
        <v>2074</v>
      </c>
      <c r="U8" t="s">
        <v>2075</v>
      </c>
      <c r="V8" t="s">
        <v>2093</v>
      </c>
    </row>
    <row r="9">
      <c r="A9" t="s">
        <v>2095</v>
      </c>
      <c r="F9" t="s">
        <v>153</v>
      </c>
      <c r="G9" t="s">
        <v>154</v>
      </c>
      <c r="H9" t="s">
        <v>155</v>
      </c>
      <c r="I9" t="s">
        <v>156</v>
      </c>
      <c r="J9" t="s">
        <v>157</v>
      </c>
      <c r="K9" t="s">
        <v>158</v>
      </c>
      <c r="L9" t="s">
        <v>110</v>
      </c>
      <c r="M9" t="s">
        <v>159</v>
      </c>
      <c r="N9" t="s">
        <v>152</v>
      </c>
      <c r="O9" t="s">
        <v>105</v>
      </c>
      <c r="P9" t="s">
        <v>1979</v>
      </c>
      <c r="Q9" t="s">
        <v>1971</v>
      </c>
      <c r="R9" t="s">
        <v>1975</v>
      </c>
      <c r="S9" t="s">
        <v>2073</v>
      </c>
      <c r="T9" t="s">
        <v>2074</v>
      </c>
      <c r="U9" t="s">
        <v>2075</v>
      </c>
      <c r="V9" t="s">
        <v>2096</v>
      </c>
    </row>
    <row r="10">
      <c r="A10" t="s">
        <v>2097</v>
      </c>
      <c r="B10" t="s">
        <v>160</v>
      </c>
      <c r="C10" t="s">
        <v>161</v>
      </c>
      <c r="D10" t="s">
        <v>162</v>
      </c>
      <c r="E10" t="s">
        <v>163</v>
      </c>
      <c r="F10" t="s">
        <v>164</v>
      </c>
      <c r="G10" t="s">
        <v>129</v>
      </c>
      <c r="H10" t="s">
        <v>165</v>
      </c>
      <c r="I10" t="s">
        <v>166</v>
      </c>
      <c r="J10" t="s">
        <v>167</v>
      </c>
      <c r="K10" t="s">
        <v>168</v>
      </c>
      <c r="L10" t="s">
        <v>169</v>
      </c>
      <c r="M10" t="s">
        <v>170</v>
      </c>
      <c r="N10" t="s">
        <v>171</v>
      </c>
      <c r="O10" t="s">
        <v>1964</v>
      </c>
      <c r="P10" t="s">
        <v>1980</v>
      </c>
      <c r="Q10" t="s">
        <v>1971</v>
      </c>
      <c r="R10" t="s">
        <v>1975</v>
      </c>
      <c r="S10" t="s">
        <v>2073</v>
      </c>
      <c r="T10" t="s">
        <v>2074</v>
      </c>
      <c r="U10" t="s">
        <v>2075</v>
      </c>
      <c r="V10" t="s">
        <v>2098</v>
      </c>
    </row>
    <row r="11">
      <c r="A11" t="s">
        <v>2100</v>
      </c>
      <c r="F11" t="s">
        <v>172</v>
      </c>
      <c r="G11" t="s">
        <v>129</v>
      </c>
      <c r="H11" t="s">
        <v>2101</v>
      </c>
      <c r="I11" t="s">
        <v>173</v>
      </c>
      <c r="J11" t="s">
        <v>174</v>
      </c>
      <c r="K11" t="s">
        <v>168</v>
      </c>
      <c r="L11" t="s">
        <v>175</v>
      </c>
      <c r="M11" t="s">
        <v>176</v>
      </c>
      <c r="N11" t="s">
        <v>171</v>
      </c>
      <c r="O11" t="s">
        <v>1964</v>
      </c>
      <c r="P11" t="s">
        <v>1980</v>
      </c>
      <c r="Q11" t="s">
        <v>1971</v>
      </c>
      <c r="R11" t="s">
        <v>1975</v>
      </c>
      <c r="S11" t="s">
        <v>2073</v>
      </c>
      <c r="T11" t="s">
        <v>2074</v>
      </c>
      <c r="U11" t="s">
        <v>2075</v>
      </c>
      <c r="V11" t="s">
        <v>2102</v>
      </c>
    </row>
    <row r="12">
      <c r="A12" t="s">
        <v>2104</v>
      </c>
      <c r="F12" t="s">
        <v>177</v>
      </c>
      <c r="G12" t="s">
        <v>154</v>
      </c>
      <c r="H12" t="s">
        <v>178</v>
      </c>
      <c r="I12" t="s">
        <v>179</v>
      </c>
      <c r="J12" t="s">
        <v>180</v>
      </c>
      <c r="K12" t="s">
        <v>181</v>
      </c>
      <c r="L12" t="s">
        <v>182</v>
      </c>
      <c r="M12" t="s">
        <v>183</v>
      </c>
      <c r="N12" t="s">
        <v>171</v>
      </c>
      <c r="O12" t="s">
        <v>1964</v>
      </c>
      <c r="P12" t="s">
        <v>1980</v>
      </c>
      <c r="Q12" t="s">
        <v>1971</v>
      </c>
      <c r="R12" t="s">
        <v>1975</v>
      </c>
      <c r="S12" t="s">
        <v>2073</v>
      </c>
      <c r="T12" t="s">
        <v>2074</v>
      </c>
      <c r="U12" t="s">
        <v>2075</v>
      </c>
      <c r="V12" t="s">
        <v>2105</v>
      </c>
    </row>
    <row r="13">
      <c r="A13" t="s">
        <v>2107</v>
      </c>
      <c r="F13" t="s">
        <v>184</v>
      </c>
      <c r="G13" t="s">
        <v>129</v>
      </c>
      <c r="H13" t="s">
        <v>164</v>
      </c>
      <c r="I13" t="s">
        <v>185</v>
      </c>
      <c r="J13" t="s">
        <v>186</v>
      </c>
      <c r="K13" t="s">
        <v>181</v>
      </c>
      <c r="L13" t="s">
        <v>187</v>
      </c>
      <c r="M13" t="s">
        <v>188</v>
      </c>
      <c r="N13" t="s">
        <v>189</v>
      </c>
      <c r="O13" t="s">
        <v>1964</v>
      </c>
      <c r="P13" t="s">
        <v>1980</v>
      </c>
      <c r="Q13" t="s">
        <v>1971</v>
      </c>
      <c r="R13" t="s">
        <v>1975</v>
      </c>
      <c r="S13" t="s">
        <v>2073</v>
      </c>
      <c r="T13" t="s">
        <v>2074</v>
      </c>
      <c r="U13" t="s">
        <v>2075</v>
      </c>
      <c r="V13" t="s">
        <v>2108</v>
      </c>
    </row>
    <row r="14">
      <c r="A14" t="s">
        <v>2110</v>
      </c>
      <c r="B14" t="s">
        <v>160</v>
      </c>
      <c r="C14" t="s">
        <v>161</v>
      </c>
      <c r="D14" t="s">
        <v>190</v>
      </c>
      <c r="E14" t="s">
        <v>191</v>
      </c>
      <c r="F14" t="s">
        <v>192</v>
      </c>
      <c r="G14" t="s">
        <v>129</v>
      </c>
      <c r="H14" t="s">
        <v>172</v>
      </c>
      <c r="I14" t="s">
        <v>193</v>
      </c>
      <c r="J14" t="s">
        <v>194</v>
      </c>
      <c r="K14" t="s">
        <v>195</v>
      </c>
      <c r="L14" t="s">
        <v>110</v>
      </c>
      <c r="M14" t="s">
        <v>196</v>
      </c>
      <c r="N14" t="s">
        <v>197</v>
      </c>
      <c r="O14" t="s">
        <v>105</v>
      </c>
      <c r="P14" t="s">
        <v>1979</v>
      </c>
      <c r="Q14" t="s">
        <v>1971</v>
      </c>
      <c r="R14" t="s">
        <v>1975</v>
      </c>
      <c r="S14" t="s">
        <v>2073</v>
      </c>
      <c r="T14" t="s">
        <v>2074</v>
      </c>
      <c r="U14" t="s">
        <v>2075</v>
      </c>
      <c r="V14" t="s">
        <v>2111</v>
      </c>
    </row>
    <row r="15">
      <c r="A15" t="s">
        <v>2112</v>
      </c>
      <c r="F15" t="s">
        <v>198</v>
      </c>
      <c r="G15" t="s">
        <v>129</v>
      </c>
      <c r="H15" t="s">
        <v>192</v>
      </c>
      <c r="I15" t="s">
        <v>199</v>
      </c>
      <c r="J15" t="s">
        <v>200</v>
      </c>
      <c r="K15" t="s">
        <v>201</v>
      </c>
      <c r="L15" t="s">
        <v>110</v>
      </c>
      <c r="M15" t="s">
        <v>202</v>
      </c>
      <c r="N15" t="s">
        <v>203</v>
      </c>
      <c r="O15" t="s">
        <v>105</v>
      </c>
      <c r="P15" t="s">
        <v>1979</v>
      </c>
      <c r="Q15" t="s">
        <v>1971</v>
      </c>
      <c r="R15" t="s">
        <v>1975</v>
      </c>
      <c r="S15" t="s">
        <v>2073</v>
      </c>
      <c r="T15" t="s">
        <v>2074</v>
      </c>
      <c r="U15" t="s">
        <v>2075</v>
      </c>
      <c r="V15" t="s">
        <v>2113</v>
      </c>
    </row>
    <row r="16">
      <c r="A16" t="s">
        <v>2114</v>
      </c>
      <c r="F16" t="s">
        <v>204</v>
      </c>
      <c r="G16" t="s">
        <v>154</v>
      </c>
      <c r="H16" t="s">
        <v>205</v>
      </c>
      <c r="I16" t="s">
        <v>206</v>
      </c>
      <c r="J16" t="s">
        <v>207</v>
      </c>
      <c r="K16" t="s">
        <v>208</v>
      </c>
      <c r="L16" t="s">
        <v>209</v>
      </c>
      <c r="M16" t="s">
        <v>210</v>
      </c>
      <c r="N16" t="s">
        <v>171</v>
      </c>
      <c r="O16" t="s">
        <v>1967</v>
      </c>
      <c r="P16" t="s">
        <v>1980</v>
      </c>
      <c r="Q16" t="s">
        <v>1971</v>
      </c>
      <c r="R16" t="s">
        <v>1975</v>
      </c>
      <c r="S16" t="s">
        <v>2073</v>
      </c>
      <c r="T16" t="s">
        <v>2074</v>
      </c>
      <c r="U16" t="s">
        <v>2075</v>
      </c>
      <c r="V16" t="s">
        <v>2116</v>
      </c>
    </row>
    <row r="17">
      <c r="A17" t="s">
        <v>2117</v>
      </c>
      <c r="F17" t="s">
        <v>211</v>
      </c>
      <c r="G17" t="s">
        <v>120</v>
      </c>
      <c r="H17" t="s">
        <v>204</v>
      </c>
      <c r="I17" t="s">
        <v>212</v>
      </c>
      <c r="J17" t="s">
        <v>213</v>
      </c>
      <c r="K17" t="s">
        <v>208</v>
      </c>
      <c r="L17" t="s">
        <v>214</v>
      </c>
      <c r="M17" t="s">
        <v>215</v>
      </c>
      <c r="N17" t="s">
        <v>197</v>
      </c>
      <c r="O17" t="s">
        <v>1967</v>
      </c>
      <c r="P17" t="s">
        <v>1980</v>
      </c>
      <c r="Q17" t="s">
        <v>1971</v>
      </c>
      <c r="R17" t="s">
        <v>1975</v>
      </c>
      <c r="S17" t="s">
        <v>2073</v>
      </c>
      <c r="T17" t="s">
        <v>2074</v>
      </c>
      <c r="U17" t="s">
        <v>2075</v>
      </c>
      <c r="V17" t="s">
        <v>2118</v>
      </c>
    </row>
    <row r="18">
      <c r="A18" t="s">
        <v>2120</v>
      </c>
      <c r="B18" t="s">
        <v>160</v>
      </c>
      <c r="C18" t="s">
        <v>216</v>
      </c>
      <c r="D18" t="s">
        <v>217</v>
      </c>
      <c r="E18" t="s">
        <v>218</v>
      </c>
      <c r="F18" t="s">
        <v>219</v>
      </c>
      <c r="G18" t="s">
        <v>129</v>
      </c>
      <c r="H18" t="s">
        <v>2121</v>
      </c>
      <c r="I18" t="s">
        <v>220</v>
      </c>
      <c r="J18" t="s">
        <v>221</v>
      </c>
      <c r="K18" t="s">
        <v>222</v>
      </c>
      <c r="L18" t="s">
        <v>223</v>
      </c>
      <c r="M18" t="s">
        <v>224</v>
      </c>
      <c r="N18" t="s">
        <v>225</v>
      </c>
      <c r="O18" t="s">
        <v>1964</v>
      </c>
      <c r="P18" t="s">
        <v>1980</v>
      </c>
      <c r="Q18" t="s">
        <v>1971</v>
      </c>
      <c r="R18" t="s">
        <v>1975</v>
      </c>
      <c r="S18" t="s">
        <v>2073</v>
      </c>
      <c r="T18" t="s">
        <v>2074</v>
      </c>
      <c r="U18" t="s">
        <v>2075</v>
      </c>
      <c r="V18" t="s">
        <v>2122</v>
      </c>
    </row>
    <row r="19">
      <c r="A19" t="s">
        <v>2124</v>
      </c>
      <c r="F19" t="s">
        <v>226</v>
      </c>
      <c r="G19" t="s">
        <v>129</v>
      </c>
      <c r="H19" t="s">
        <v>219</v>
      </c>
      <c r="I19" t="s">
        <v>227</v>
      </c>
      <c r="J19" t="s">
        <v>228</v>
      </c>
      <c r="K19" t="s">
        <v>222</v>
      </c>
      <c r="L19" t="s">
        <v>229</v>
      </c>
      <c r="M19" t="s">
        <v>230</v>
      </c>
      <c r="N19" t="s">
        <v>225</v>
      </c>
      <c r="O19" t="s">
        <v>1964</v>
      </c>
      <c r="P19" t="s">
        <v>1980</v>
      </c>
      <c r="Q19" t="s">
        <v>1971</v>
      </c>
      <c r="R19" t="s">
        <v>1975</v>
      </c>
      <c r="S19" t="s">
        <v>2073</v>
      </c>
      <c r="T19" t="s">
        <v>2074</v>
      </c>
      <c r="U19" t="s">
        <v>2075</v>
      </c>
      <c r="V19" t="s">
        <v>2125</v>
      </c>
    </row>
    <row r="20">
      <c r="A20" t="s">
        <v>2127</v>
      </c>
      <c r="F20" t="s">
        <v>231</v>
      </c>
      <c r="G20" t="s">
        <v>154</v>
      </c>
      <c r="H20" t="s">
        <v>232</v>
      </c>
      <c r="I20" t="s">
        <v>233</v>
      </c>
      <c r="J20" t="s">
        <v>234</v>
      </c>
      <c r="K20" t="s">
        <v>222</v>
      </c>
      <c r="L20" t="s">
        <v>235</v>
      </c>
      <c r="M20" t="s">
        <v>236</v>
      </c>
      <c r="N20" t="s">
        <v>237</v>
      </c>
      <c r="O20" t="s">
        <v>1964</v>
      </c>
      <c r="P20" t="s">
        <v>1980</v>
      </c>
      <c r="Q20" t="s">
        <v>1971</v>
      </c>
      <c r="R20" t="s">
        <v>1975</v>
      </c>
      <c r="S20" t="s">
        <v>2073</v>
      </c>
      <c r="T20" t="s">
        <v>2074</v>
      </c>
      <c r="U20" t="s">
        <v>2075</v>
      </c>
      <c r="V20" t="s">
        <v>2128</v>
      </c>
    </row>
    <row r="21">
      <c r="A21" t="s">
        <v>2130</v>
      </c>
      <c r="B21" t="s">
        <v>160</v>
      </c>
      <c r="C21" t="s">
        <v>216</v>
      </c>
      <c r="D21" t="s">
        <v>238</v>
      </c>
      <c r="E21" t="s">
        <v>239</v>
      </c>
      <c r="F21" t="s">
        <v>240</v>
      </c>
      <c r="G21" t="s">
        <v>154</v>
      </c>
      <c r="H21" t="s">
        <v>241</v>
      </c>
      <c r="I21" t="s">
        <v>242</v>
      </c>
      <c r="J21" t="s">
        <v>243</v>
      </c>
      <c r="K21" t="s">
        <v>244</v>
      </c>
      <c r="L21" t="s">
        <v>245</v>
      </c>
      <c r="M21" t="s">
        <v>246</v>
      </c>
      <c r="N21" t="s">
        <v>247</v>
      </c>
      <c r="O21" t="s">
        <v>1964</v>
      </c>
      <c r="P21" t="s">
        <v>1980</v>
      </c>
      <c r="Q21" t="s">
        <v>1971</v>
      </c>
      <c r="R21" t="s">
        <v>1975</v>
      </c>
      <c r="S21" t="s">
        <v>2073</v>
      </c>
      <c r="T21" t="s">
        <v>2074</v>
      </c>
      <c r="U21" t="s">
        <v>2075</v>
      </c>
      <c r="V21" t="s">
        <v>2131</v>
      </c>
    </row>
    <row r="22">
      <c r="A22" t="s">
        <v>2133</v>
      </c>
      <c r="F22" t="s">
        <v>248</v>
      </c>
      <c r="G22" t="s">
        <v>129</v>
      </c>
      <c r="H22" t="s">
        <v>219</v>
      </c>
      <c r="I22" t="s">
        <v>249</v>
      </c>
      <c r="J22" t="s">
        <v>250</v>
      </c>
      <c r="K22" t="s">
        <v>244</v>
      </c>
      <c r="L22" t="s">
        <v>251</v>
      </c>
      <c r="M22" t="s">
        <v>252</v>
      </c>
      <c r="N22" t="s">
        <v>253</v>
      </c>
      <c r="O22" t="s">
        <v>1964</v>
      </c>
      <c r="P22" t="s">
        <v>1980</v>
      </c>
      <c r="Q22" t="s">
        <v>1971</v>
      </c>
      <c r="R22" t="s">
        <v>1975</v>
      </c>
      <c r="S22" t="s">
        <v>2073</v>
      </c>
      <c r="T22" t="s">
        <v>2074</v>
      </c>
      <c r="U22" t="s">
        <v>2075</v>
      </c>
      <c r="V22" t="s">
        <v>2134</v>
      </c>
    </row>
    <row r="23">
      <c r="A23" t="s">
        <v>2136</v>
      </c>
      <c r="F23" t="s">
        <v>254</v>
      </c>
      <c r="G23" t="s">
        <v>120</v>
      </c>
      <c r="H23" t="s">
        <v>2137</v>
      </c>
      <c r="I23" t="s">
        <v>256</v>
      </c>
      <c r="J23" t="s">
        <v>257</v>
      </c>
      <c r="K23" t="s">
        <v>244</v>
      </c>
      <c r="L23" t="s">
        <v>258</v>
      </c>
      <c r="M23" t="s">
        <v>259</v>
      </c>
      <c r="N23" t="s">
        <v>247</v>
      </c>
      <c r="O23" t="s">
        <v>1964</v>
      </c>
      <c r="P23" t="s">
        <v>1980</v>
      </c>
      <c r="Q23" t="s">
        <v>1971</v>
      </c>
      <c r="R23" t="s">
        <v>1975</v>
      </c>
      <c r="S23" t="s">
        <v>2073</v>
      </c>
      <c r="T23" t="s">
        <v>2074</v>
      </c>
      <c r="U23" t="s">
        <v>2075</v>
      </c>
      <c r="V23" t="s">
        <v>2138</v>
      </c>
    </row>
    <row r="24">
      <c r="A24" t="s">
        <v>2140</v>
      </c>
      <c r="B24" t="s">
        <v>160</v>
      </c>
      <c r="C24" t="s">
        <v>260</v>
      </c>
      <c r="D24" t="s">
        <v>261</v>
      </c>
      <c r="E24" t="s">
        <v>262</v>
      </c>
      <c r="F24" t="s">
        <v>263</v>
      </c>
      <c r="G24" t="s">
        <v>129</v>
      </c>
      <c r="H24" t="s">
        <v>264</v>
      </c>
      <c r="I24" t="s">
        <v>265</v>
      </c>
      <c r="J24" t="s">
        <v>266</v>
      </c>
      <c r="K24" t="s">
        <v>267</v>
      </c>
      <c r="L24" t="s">
        <v>268</v>
      </c>
      <c r="M24" t="s">
        <v>269</v>
      </c>
      <c r="N24" t="s">
        <v>270</v>
      </c>
      <c r="O24" t="s">
        <v>1964</v>
      </c>
      <c r="P24" t="s">
        <v>1980</v>
      </c>
      <c r="Q24" t="s">
        <v>1971</v>
      </c>
      <c r="R24" t="s">
        <v>1975</v>
      </c>
      <c r="S24" t="s">
        <v>2073</v>
      </c>
      <c r="T24" t="s">
        <v>2074</v>
      </c>
      <c r="U24" t="s">
        <v>2075</v>
      </c>
      <c r="V24" t="s">
        <v>2141</v>
      </c>
    </row>
    <row r="25">
      <c r="A25" t="s">
        <v>2143</v>
      </c>
      <c r="F25" t="s">
        <v>271</v>
      </c>
      <c r="G25" t="s">
        <v>97</v>
      </c>
      <c r="H25" t="s">
        <v>272</v>
      </c>
      <c r="I25" t="s">
        <v>273</v>
      </c>
      <c r="J25" t="s">
        <v>274</v>
      </c>
      <c r="K25" t="s">
        <v>267</v>
      </c>
      <c r="L25" t="s">
        <v>275</v>
      </c>
      <c r="M25" t="s">
        <v>276</v>
      </c>
      <c r="N25" t="s">
        <v>270</v>
      </c>
      <c r="O25" t="s">
        <v>1964</v>
      </c>
      <c r="P25" t="s">
        <v>1980</v>
      </c>
      <c r="Q25" t="s">
        <v>1971</v>
      </c>
      <c r="R25" t="s">
        <v>1975</v>
      </c>
      <c r="S25" t="s">
        <v>2073</v>
      </c>
      <c r="T25" t="s">
        <v>2074</v>
      </c>
      <c r="U25" t="s">
        <v>2075</v>
      </c>
      <c r="V25" t="s">
        <v>2144</v>
      </c>
    </row>
    <row r="26">
      <c r="A26" t="s">
        <v>2146</v>
      </c>
      <c r="B26" t="s">
        <v>160</v>
      </c>
      <c r="C26" t="s">
        <v>260</v>
      </c>
      <c r="D26" t="s">
        <v>277</v>
      </c>
      <c r="E26" t="s">
        <v>278</v>
      </c>
      <c r="F26" t="s">
        <v>279</v>
      </c>
      <c r="G26" t="s">
        <v>97</v>
      </c>
      <c r="H26" t="s">
        <v>280</v>
      </c>
      <c r="I26" t="s">
        <v>281</v>
      </c>
      <c r="J26" t="s">
        <v>282</v>
      </c>
      <c r="K26" t="s">
        <v>283</v>
      </c>
      <c r="L26" t="s">
        <v>284</v>
      </c>
      <c r="M26" t="s">
        <v>285</v>
      </c>
      <c r="N26" t="s">
        <v>286</v>
      </c>
      <c r="O26" t="s">
        <v>1964</v>
      </c>
      <c r="P26" t="s">
        <v>1980</v>
      </c>
      <c r="Q26" t="s">
        <v>1971</v>
      </c>
      <c r="R26" t="s">
        <v>1975</v>
      </c>
      <c r="S26" t="s">
        <v>2073</v>
      </c>
      <c r="T26" t="s">
        <v>2074</v>
      </c>
      <c r="U26" t="s">
        <v>2075</v>
      </c>
      <c r="V26" t="s">
        <v>2147</v>
      </c>
    </row>
    <row r="27">
      <c r="A27" t="s">
        <v>2149</v>
      </c>
      <c r="F27" t="s">
        <v>287</v>
      </c>
      <c r="G27" t="s">
        <v>97</v>
      </c>
      <c r="H27" t="s">
        <v>288</v>
      </c>
      <c r="I27" t="s">
        <v>289</v>
      </c>
      <c r="J27" t="s">
        <v>290</v>
      </c>
      <c r="K27" t="s">
        <v>283</v>
      </c>
      <c r="L27" t="s">
        <v>291</v>
      </c>
      <c r="M27" t="s">
        <v>292</v>
      </c>
      <c r="N27" t="s">
        <v>286</v>
      </c>
      <c r="O27" t="s">
        <v>1964</v>
      </c>
      <c r="P27" t="s">
        <v>1980</v>
      </c>
      <c r="Q27" t="s">
        <v>1971</v>
      </c>
      <c r="R27" t="s">
        <v>1975</v>
      </c>
      <c r="S27" t="s">
        <v>2073</v>
      </c>
      <c r="T27" t="s">
        <v>2074</v>
      </c>
      <c r="U27" t="s">
        <v>2075</v>
      </c>
      <c r="V27" t="s">
        <v>2150</v>
      </c>
    </row>
    <row r="28">
      <c r="A28" t="s">
        <v>2152</v>
      </c>
      <c r="B28" t="s">
        <v>160</v>
      </c>
      <c r="C28" t="s">
        <v>260</v>
      </c>
      <c r="D28" t="s">
        <v>293</v>
      </c>
      <c r="E28" t="s">
        <v>294</v>
      </c>
      <c r="F28" t="s">
        <v>295</v>
      </c>
      <c r="G28" t="s">
        <v>97</v>
      </c>
      <c r="H28" t="s">
        <v>2153</v>
      </c>
      <c r="I28" t="s">
        <v>297</v>
      </c>
      <c r="J28" t="s">
        <v>298</v>
      </c>
      <c r="K28" t="s">
        <v>299</v>
      </c>
      <c r="L28" t="s">
        <v>300</v>
      </c>
      <c r="M28" t="s">
        <v>301</v>
      </c>
      <c r="N28" t="s">
        <v>302</v>
      </c>
      <c r="O28" t="s">
        <v>1964</v>
      </c>
      <c r="P28" t="s">
        <v>1980</v>
      </c>
      <c r="Q28" t="s">
        <v>1971</v>
      </c>
      <c r="R28" t="s">
        <v>1975</v>
      </c>
      <c r="S28" t="s">
        <v>2073</v>
      </c>
      <c r="T28" t="s">
        <v>2074</v>
      </c>
      <c r="U28" t="s">
        <v>2075</v>
      </c>
      <c r="V28" t="s">
        <v>2154</v>
      </c>
    </row>
    <row r="29">
      <c r="A29" t="s">
        <v>2156</v>
      </c>
      <c r="B29" t="s">
        <v>160</v>
      </c>
      <c r="C29" t="s">
        <v>303</v>
      </c>
      <c r="D29" t="s">
        <v>304</v>
      </c>
      <c r="E29" t="s">
        <v>305</v>
      </c>
      <c r="F29" t="s">
        <v>306</v>
      </c>
      <c r="G29" t="s">
        <v>129</v>
      </c>
      <c r="H29" t="s">
        <v>2158</v>
      </c>
      <c r="I29" t="s">
        <v>307</v>
      </c>
      <c r="J29" t="s">
        <v>308</v>
      </c>
      <c r="K29" t="s">
        <v>309</v>
      </c>
      <c r="L29" t="s">
        <v>310</v>
      </c>
      <c r="M29" t="s">
        <v>311</v>
      </c>
      <c r="N29" t="s">
        <v>312</v>
      </c>
      <c r="O29" t="s">
        <v>1964</v>
      </c>
      <c r="P29" t="s">
        <v>1980</v>
      </c>
      <c r="Q29" t="s">
        <v>1971</v>
      </c>
      <c r="R29" t="s">
        <v>1975</v>
      </c>
      <c r="S29" t="s">
        <v>2073</v>
      </c>
      <c r="T29" t="s">
        <v>2074</v>
      </c>
      <c r="U29" t="s">
        <v>2075</v>
      </c>
      <c r="V29" t="s">
        <v>2159</v>
      </c>
    </row>
    <row r="30">
      <c r="A30" t="s">
        <v>2161</v>
      </c>
      <c r="F30" t="s">
        <v>313</v>
      </c>
      <c r="G30" t="s">
        <v>154</v>
      </c>
      <c r="H30" t="s">
        <v>314</v>
      </c>
      <c r="I30" t="s">
        <v>315</v>
      </c>
      <c r="J30" t="s">
        <v>316</v>
      </c>
      <c r="K30" t="s">
        <v>309</v>
      </c>
      <c r="L30" t="s">
        <v>317</v>
      </c>
      <c r="M30" t="s">
        <v>318</v>
      </c>
      <c r="N30" t="s">
        <v>319</v>
      </c>
      <c r="O30" t="s">
        <v>1964</v>
      </c>
      <c r="P30" t="s">
        <v>1980</v>
      </c>
      <c r="Q30" t="s">
        <v>1971</v>
      </c>
      <c r="R30" t="s">
        <v>1975</v>
      </c>
      <c r="S30" t="s">
        <v>2073</v>
      </c>
      <c r="T30" t="s">
        <v>2074</v>
      </c>
      <c r="U30" t="s">
        <v>2075</v>
      </c>
      <c r="V30" t="s">
        <v>2162</v>
      </c>
    </row>
    <row r="31">
      <c r="A31" t="s">
        <v>2164</v>
      </c>
      <c r="B31" t="s">
        <v>160</v>
      </c>
      <c r="C31" t="s">
        <v>303</v>
      </c>
      <c r="D31" t="s">
        <v>320</v>
      </c>
      <c r="E31" t="s">
        <v>321</v>
      </c>
      <c r="F31" t="s">
        <v>322</v>
      </c>
      <c r="G31" t="s">
        <v>120</v>
      </c>
      <c r="H31" t="s">
        <v>323</v>
      </c>
      <c r="I31" t="s">
        <v>324</v>
      </c>
      <c r="J31" t="s">
        <v>325</v>
      </c>
      <c r="K31" t="s">
        <v>326</v>
      </c>
      <c r="L31" t="s">
        <v>327</v>
      </c>
      <c r="M31" t="s">
        <v>328</v>
      </c>
      <c r="N31" t="s">
        <v>329</v>
      </c>
      <c r="O31" t="s">
        <v>1964</v>
      </c>
      <c r="P31" t="s">
        <v>1980</v>
      </c>
      <c r="Q31" t="s">
        <v>1971</v>
      </c>
      <c r="R31" t="s">
        <v>1975</v>
      </c>
      <c r="S31" t="s">
        <v>2073</v>
      </c>
      <c r="T31" t="s">
        <v>2074</v>
      </c>
      <c r="U31" t="s">
        <v>2075</v>
      </c>
      <c r="V31" t="s">
        <v>2165</v>
      </c>
    </row>
    <row r="32">
      <c r="A32" t="s">
        <v>2167</v>
      </c>
      <c r="B32" t="s">
        <v>160</v>
      </c>
      <c r="C32" t="s">
        <v>303</v>
      </c>
      <c r="D32" t="s">
        <v>330</v>
      </c>
      <c r="E32" t="s">
        <v>331</v>
      </c>
      <c r="F32" t="s">
        <v>332</v>
      </c>
      <c r="G32" t="s">
        <v>120</v>
      </c>
      <c r="H32" t="s">
        <v>333</v>
      </c>
      <c r="I32" t="s">
        <v>334</v>
      </c>
      <c r="J32" t="s">
        <v>335</v>
      </c>
      <c r="K32" t="s">
        <v>336</v>
      </c>
      <c r="L32" t="s">
        <v>337</v>
      </c>
      <c r="M32" t="s">
        <v>338</v>
      </c>
      <c r="N32" t="s">
        <v>339</v>
      </c>
      <c r="O32" t="s">
        <v>1964</v>
      </c>
      <c r="P32" t="s">
        <v>1980</v>
      </c>
      <c r="Q32" t="s">
        <v>1971</v>
      </c>
      <c r="R32" t="s">
        <v>1975</v>
      </c>
      <c r="S32" t="s">
        <v>2073</v>
      </c>
      <c r="T32" t="s">
        <v>2074</v>
      </c>
      <c r="U32" t="s">
        <v>2075</v>
      </c>
      <c r="V32" t="s">
        <v>2168</v>
      </c>
    </row>
    <row r="33">
      <c r="A33" t="s">
        <v>2170</v>
      </c>
      <c r="B33" t="s">
        <v>160</v>
      </c>
      <c r="C33" t="s">
        <v>340</v>
      </c>
      <c r="D33" t="s">
        <v>341</v>
      </c>
      <c r="E33" t="s">
        <v>342</v>
      </c>
      <c r="F33" t="s">
        <v>343</v>
      </c>
      <c r="G33" t="s">
        <v>129</v>
      </c>
      <c r="H33" t="s">
        <v>3844</v>
      </c>
      <c r="I33" t="s">
        <v>345</v>
      </c>
      <c r="J33" t="s">
        <v>346</v>
      </c>
      <c r="K33" t="s">
        <v>347</v>
      </c>
      <c r="L33" t="s">
        <v>348</v>
      </c>
      <c r="M33" t="s">
        <v>349</v>
      </c>
      <c r="N33" t="s">
        <v>350</v>
      </c>
      <c r="O33" t="s">
        <v>1964</v>
      </c>
      <c r="P33" t="s">
        <v>1980</v>
      </c>
      <c r="Q33" t="s">
        <v>1971</v>
      </c>
      <c r="R33" t="s">
        <v>1975</v>
      </c>
      <c r="S33" t="s">
        <v>2073</v>
      </c>
      <c r="T33" t="s">
        <v>2074</v>
      </c>
      <c r="U33" t="s">
        <v>2075</v>
      </c>
      <c r="V33" t="s">
        <v>2173</v>
      </c>
    </row>
    <row r="34">
      <c r="A34" t="s">
        <v>2174</v>
      </c>
      <c r="F34" t="s">
        <v>351</v>
      </c>
      <c r="G34" t="s">
        <v>97</v>
      </c>
      <c r="H34" t="s">
        <v>352</v>
      </c>
      <c r="I34" t="s">
        <v>353</v>
      </c>
      <c r="J34" t="s">
        <v>354</v>
      </c>
      <c r="K34" t="s">
        <v>347</v>
      </c>
      <c r="L34" t="s">
        <v>355</v>
      </c>
      <c r="M34" t="s">
        <v>356</v>
      </c>
      <c r="N34" t="s">
        <v>350</v>
      </c>
      <c r="O34" t="s">
        <v>1964</v>
      </c>
      <c r="P34" t="s">
        <v>1980</v>
      </c>
      <c r="Q34" t="s">
        <v>1971</v>
      </c>
      <c r="R34" t="s">
        <v>1975</v>
      </c>
      <c r="S34" t="s">
        <v>2073</v>
      </c>
      <c r="T34" t="s">
        <v>2074</v>
      </c>
      <c r="U34" t="s">
        <v>2075</v>
      </c>
      <c r="V34" t="s">
        <v>2175</v>
      </c>
    </row>
    <row r="35">
      <c r="A35" t="s">
        <v>2177</v>
      </c>
      <c r="F35" t="s">
        <v>357</v>
      </c>
      <c r="G35" t="s">
        <v>97</v>
      </c>
      <c r="H35" t="s">
        <v>358</v>
      </c>
      <c r="I35" t="s">
        <v>359</v>
      </c>
      <c r="J35" t="s">
        <v>360</v>
      </c>
      <c r="K35" t="s">
        <v>347</v>
      </c>
      <c r="L35" t="s">
        <v>361</v>
      </c>
      <c r="M35" t="s">
        <v>362</v>
      </c>
      <c r="N35" t="s">
        <v>350</v>
      </c>
      <c r="O35" t="s">
        <v>1964</v>
      </c>
      <c r="P35" t="s">
        <v>1980</v>
      </c>
      <c r="Q35" t="s">
        <v>1971</v>
      </c>
      <c r="R35" t="s">
        <v>1975</v>
      </c>
      <c r="S35" t="s">
        <v>2073</v>
      </c>
      <c r="T35" t="s">
        <v>2074</v>
      </c>
      <c r="U35" t="s">
        <v>2075</v>
      </c>
      <c r="V35" t="s">
        <v>2178</v>
      </c>
    </row>
    <row r="36">
      <c r="A36" t="s">
        <v>2180</v>
      </c>
      <c r="F36" t="s">
        <v>363</v>
      </c>
      <c r="G36" t="s">
        <v>97</v>
      </c>
      <c r="H36" t="s">
        <v>2181</v>
      </c>
      <c r="I36" t="s">
        <v>365</v>
      </c>
      <c r="J36" t="s">
        <v>366</v>
      </c>
      <c r="K36" t="s">
        <v>347</v>
      </c>
      <c r="L36" t="s">
        <v>367</v>
      </c>
      <c r="M36" t="s">
        <v>368</v>
      </c>
      <c r="N36" t="s">
        <v>350</v>
      </c>
      <c r="O36" t="s">
        <v>1964</v>
      </c>
      <c r="P36" t="s">
        <v>1980</v>
      </c>
      <c r="Q36" t="s">
        <v>1971</v>
      </c>
      <c r="R36" t="s">
        <v>1975</v>
      </c>
      <c r="S36" t="s">
        <v>2073</v>
      </c>
      <c r="T36" t="s">
        <v>2074</v>
      </c>
      <c r="U36" t="s">
        <v>2075</v>
      </c>
      <c r="V36" t="s">
        <v>2182</v>
      </c>
    </row>
    <row r="37">
      <c r="A37" t="s">
        <v>2184</v>
      </c>
      <c r="F37" t="s">
        <v>369</v>
      </c>
      <c r="G37" t="s">
        <v>120</v>
      </c>
      <c r="H37" t="s">
        <v>2185</v>
      </c>
      <c r="I37" t="s">
        <v>371</v>
      </c>
      <c r="J37" t="s">
        <v>372</v>
      </c>
      <c r="K37" t="s">
        <v>347</v>
      </c>
      <c r="L37" t="s">
        <v>373</v>
      </c>
      <c r="M37" t="s">
        <v>374</v>
      </c>
      <c r="N37" t="s">
        <v>375</v>
      </c>
      <c r="O37" t="s">
        <v>1964</v>
      </c>
      <c r="P37" t="s">
        <v>1980</v>
      </c>
      <c r="Q37" t="s">
        <v>1971</v>
      </c>
      <c r="R37" t="s">
        <v>1975</v>
      </c>
      <c r="S37" t="s">
        <v>2073</v>
      </c>
      <c r="T37" t="s">
        <v>2074</v>
      </c>
      <c r="U37" t="s">
        <v>2075</v>
      </c>
      <c r="V37" t="s">
        <v>2186</v>
      </c>
    </row>
    <row r="38">
      <c r="A38" t="s">
        <v>2188</v>
      </c>
      <c r="B38" t="s">
        <v>160</v>
      </c>
      <c r="C38" t="s">
        <v>340</v>
      </c>
      <c r="D38" t="s">
        <v>376</v>
      </c>
      <c r="E38" t="s">
        <v>377</v>
      </c>
      <c r="F38" t="s">
        <v>378</v>
      </c>
      <c r="G38" t="s">
        <v>97</v>
      </c>
      <c r="H38" t="s">
        <v>379</v>
      </c>
      <c r="I38" t="s">
        <v>380</v>
      </c>
      <c r="J38" t="s">
        <v>381</v>
      </c>
      <c r="K38" t="s">
        <v>382</v>
      </c>
      <c r="L38" t="s">
        <v>383</v>
      </c>
      <c r="M38" t="s">
        <v>384</v>
      </c>
      <c r="N38" t="s">
        <v>375</v>
      </c>
      <c r="O38" t="s">
        <v>1964</v>
      </c>
      <c r="P38" t="s">
        <v>1980</v>
      </c>
      <c r="Q38" t="s">
        <v>1971</v>
      </c>
      <c r="R38" t="s">
        <v>1975</v>
      </c>
      <c r="S38" t="s">
        <v>2073</v>
      </c>
      <c r="T38" t="s">
        <v>2074</v>
      </c>
      <c r="U38" t="s">
        <v>2075</v>
      </c>
      <c r="V38" t="s">
        <v>2189</v>
      </c>
    </row>
    <row r="39">
      <c r="A39" t="s">
        <v>2191</v>
      </c>
      <c r="B39" t="s">
        <v>160</v>
      </c>
      <c r="C39" t="s">
        <v>340</v>
      </c>
      <c r="D39" t="s">
        <v>385</v>
      </c>
      <c r="E39" t="s">
        <v>386</v>
      </c>
      <c r="F39" t="s">
        <v>387</v>
      </c>
      <c r="G39" t="s">
        <v>97</v>
      </c>
      <c r="H39" t="s">
        <v>388</v>
      </c>
      <c r="I39" t="s">
        <v>389</v>
      </c>
      <c r="J39" t="s">
        <v>390</v>
      </c>
      <c r="K39" t="s">
        <v>195</v>
      </c>
      <c r="L39" t="s">
        <v>391</v>
      </c>
      <c r="M39" t="s">
        <v>392</v>
      </c>
      <c r="N39" t="s">
        <v>393</v>
      </c>
      <c r="O39" t="s">
        <v>105</v>
      </c>
      <c r="P39" t="s">
        <v>1979</v>
      </c>
      <c r="Q39" t="s">
        <v>1971</v>
      </c>
      <c r="R39" t="s">
        <v>1975</v>
      </c>
      <c r="S39" t="s">
        <v>2073</v>
      </c>
      <c r="T39" t="s">
        <v>2074</v>
      </c>
      <c r="U39" t="s">
        <v>2075</v>
      </c>
      <c r="V39" t="s">
        <v>2192</v>
      </c>
    </row>
    <row r="40">
      <c r="A40" t="s">
        <v>2193</v>
      </c>
      <c r="F40" t="s">
        <v>394</v>
      </c>
      <c r="G40" t="s">
        <v>97</v>
      </c>
      <c r="H40" t="s">
        <v>113</v>
      </c>
      <c r="I40" t="s">
        <v>395</v>
      </c>
      <c r="J40" t="s">
        <v>396</v>
      </c>
      <c r="K40" t="s">
        <v>397</v>
      </c>
      <c r="L40" t="s">
        <v>398</v>
      </c>
      <c r="M40" t="s">
        <v>399</v>
      </c>
      <c r="N40" t="s">
        <v>393</v>
      </c>
      <c r="O40" t="s">
        <v>105</v>
      </c>
      <c r="P40" t="s">
        <v>1979</v>
      </c>
      <c r="Q40" t="s">
        <v>1971</v>
      </c>
      <c r="R40" t="s">
        <v>1975</v>
      </c>
      <c r="S40" t="s">
        <v>2073</v>
      </c>
      <c r="T40" t="s">
        <v>2074</v>
      </c>
      <c r="U40" t="s">
        <v>2075</v>
      </c>
      <c r="V40" t="s">
        <v>2194</v>
      </c>
    </row>
    <row r="41">
      <c r="A41" t="s">
        <v>2196</v>
      </c>
      <c r="F41" t="s">
        <v>400</v>
      </c>
      <c r="G41" t="s">
        <v>97</v>
      </c>
      <c r="H41" t="s">
        <v>401</v>
      </c>
      <c r="I41" t="s">
        <v>402</v>
      </c>
      <c r="J41" t="s">
        <v>403</v>
      </c>
      <c r="K41" t="s">
        <v>195</v>
      </c>
      <c r="L41" t="s">
        <v>404</v>
      </c>
      <c r="M41" t="s">
        <v>405</v>
      </c>
      <c r="N41" t="s">
        <v>406</v>
      </c>
      <c r="O41" t="s">
        <v>105</v>
      </c>
      <c r="P41" t="s">
        <v>1979</v>
      </c>
      <c r="Q41" t="s">
        <v>1971</v>
      </c>
      <c r="R41" t="s">
        <v>1975</v>
      </c>
      <c r="S41" t="s">
        <v>2073</v>
      </c>
      <c r="T41" t="s">
        <v>2074</v>
      </c>
      <c r="U41" t="s">
        <v>2075</v>
      </c>
      <c r="V41" t="s">
        <v>2197</v>
      </c>
    </row>
    <row r="42">
      <c r="A42" t="s">
        <v>2199</v>
      </c>
      <c r="B42" t="s">
        <v>160</v>
      </c>
      <c r="C42" t="s">
        <v>407</v>
      </c>
      <c r="D42" t="s">
        <v>408</v>
      </c>
      <c r="E42" t="s">
        <v>409</v>
      </c>
      <c r="F42" t="s">
        <v>410</v>
      </c>
      <c r="G42" t="s">
        <v>129</v>
      </c>
      <c r="H42" t="s">
        <v>2200</v>
      </c>
      <c r="I42" t="s">
        <v>411</v>
      </c>
      <c r="J42" t="s">
        <v>412</v>
      </c>
      <c r="K42" t="s">
        <v>413</v>
      </c>
      <c r="L42" t="s">
        <v>414</v>
      </c>
      <c r="M42" t="s">
        <v>415</v>
      </c>
      <c r="N42" t="s">
        <v>416</v>
      </c>
      <c r="O42" t="s">
        <v>1964</v>
      </c>
      <c r="P42" t="s">
        <v>1980</v>
      </c>
      <c r="Q42" t="s">
        <v>1971</v>
      </c>
      <c r="R42" t="s">
        <v>1975</v>
      </c>
      <c r="S42" t="s">
        <v>2073</v>
      </c>
      <c r="T42" t="s">
        <v>2074</v>
      </c>
      <c r="U42" t="s">
        <v>2075</v>
      </c>
      <c r="V42" t="s">
        <v>2201</v>
      </c>
    </row>
    <row r="43">
      <c r="A43" t="s">
        <v>2203</v>
      </c>
      <c r="F43" t="s">
        <v>417</v>
      </c>
      <c r="G43" t="s">
        <v>97</v>
      </c>
      <c r="H43" t="s">
        <v>410</v>
      </c>
      <c r="I43" t="s">
        <v>418</v>
      </c>
      <c r="J43" t="s">
        <v>419</v>
      </c>
      <c r="K43" t="s">
        <v>413</v>
      </c>
      <c r="L43" t="s">
        <v>420</v>
      </c>
      <c r="M43" t="s">
        <v>421</v>
      </c>
      <c r="N43" t="s">
        <v>422</v>
      </c>
      <c r="O43" t="s">
        <v>1964</v>
      </c>
      <c r="P43" t="s">
        <v>1980</v>
      </c>
      <c r="Q43" t="s">
        <v>1971</v>
      </c>
      <c r="R43" t="s">
        <v>1975</v>
      </c>
      <c r="S43" t="s">
        <v>2073</v>
      </c>
      <c r="T43" t="s">
        <v>2074</v>
      </c>
      <c r="U43" t="s">
        <v>2075</v>
      </c>
      <c r="V43" t="s">
        <v>2204</v>
      </c>
    </row>
    <row r="44">
      <c r="A44" t="s">
        <v>2206</v>
      </c>
      <c r="F44" t="s">
        <v>423</v>
      </c>
      <c r="G44" t="s">
        <v>154</v>
      </c>
      <c r="H44" t="s">
        <v>424</v>
      </c>
      <c r="I44" t="s">
        <v>425</v>
      </c>
      <c r="J44" t="s">
        <v>426</v>
      </c>
      <c r="K44" t="s">
        <v>427</v>
      </c>
      <c r="L44" t="s">
        <v>428</v>
      </c>
      <c r="M44" t="s">
        <v>429</v>
      </c>
      <c r="N44" t="s">
        <v>422</v>
      </c>
      <c r="O44" t="s">
        <v>1967</v>
      </c>
      <c r="P44" t="s">
        <v>1980</v>
      </c>
      <c r="Q44" t="s">
        <v>1971</v>
      </c>
      <c r="R44" t="s">
        <v>1975</v>
      </c>
      <c r="S44" t="s">
        <v>2073</v>
      </c>
      <c r="T44" t="s">
        <v>2074</v>
      </c>
      <c r="U44" t="s">
        <v>2075</v>
      </c>
      <c r="V44" t="s">
        <v>2207</v>
      </c>
    </row>
    <row r="45">
      <c r="A45" t="s">
        <v>2209</v>
      </c>
      <c r="B45" t="s">
        <v>160</v>
      </c>
      <c r="C45" t="s">
        <v>407</v>
      </c>
      <c r="D45" t="s">
        <v>430</v>
      </c>
      <c r="E45" t="s">
        <v>431</v>
      </c>
      <c r="F45" t="s">
        <v>432</v>
      </c>
      <c r="G45" t="s">
        <v>154</v>
      </c>
      <c r="H45" t="s">
        <v>433</v>
      </c>
      <c r="I45" t="s">
        <v>434</v>
      </c>
      <c r="J45" t="s">
        <v>435</v>
      </c>
      <c r="K45" t="s">
        <v>436</v>
      </c>
      <c r="L45" t="s">
        <v>437</v>
      </c>
      <c r="M45" t="s">
        <v>438</v>
      </c>
      <c r="N45" t="s">
        <v>171</v>
      </c>
      <c r="O45" t="s">
        <v>1964</v>
      </c>
      <c r="P45" t="s">
        <v>1980</v>
      </c>
      <c r="Q45" t="s">
        <v>1971</v>
      </c>
      <c r="R45" t="s">
        <v>1975</v>
      </c>
      <c r="S45" t="s">
        <v>2073</v>
      </c>
      <c r="T45" t="s">
        <v>2074</v>
      </c>
      <c r="U45" t="s">
        <v>2075</v>
      </c>
      <c r="V45" t="s">
        <v>2210</v>
      </c>
    </row>
    <row r="46">
      <c r="A46" t="s">
        <v>2212</v>
      </c>
      <c r="F46" t="s">
        <v>439</v>
      </c>
      <c r="G46" t="s">
        <v>120</v>
      </c>
      <c r="H46" t="s">
        <v>440</v>
      </c>
      <c r="I46" t="s">
        <v>441</v>
      </c>
      <c r="J46" t="s">
        <v>442</v>
      </c>
      <c r="K46" t="s">
        <v>443</v>
      </c>
      <c r="L46" t="s">
        <v>444</v>
      </c>
      <c r="M46" t="s">
        <v>445</v>
      </c>
      <c r="N46" t="s">
        <v>446</v>
      </c>
      <c r="O46" t="s">
        <v>1967</v>
      </c>
      <c r="P46" t="s">
        <v>1980</v>
      </c>
      <c r="Q46" t="s">
        <v>1971</v>
      </c>
      <c r="R46" t="s">
        <v>1975</v>
      </c>
      <c r="S46" t="s">
        <v>2073</v>
      </c>
      <c r="T46" t="s">
        <v>2074</v>
      </c>
      <c r="U46" t="s">
        <v>2075</v>
      </c>
      <c r="V46" t="s">
        <v>2213</v>
      </c>
    </row>
    <row r="47">
      <c r="A47" t="s">
        <v>2215</v>
      </c>
      <c r="F47" t="s">
        <v>447</v>
      </c>
      <c r="G47" t="s">
        <v>120</v>
      </c>
      <c r="H47" t="s">
        <v>448</v>
      </c>
      <c r="I47" t="s">
        <v>449</v>
      </c>
      <c r="J47" t="s">
        <v>450</v>
      </c>
      <c r="K47" t="s">
        <v>451</v>
      </c>
      <c r="L47" t="s">
        <v>452</v>
      </c>
      <c r="M47" t="s">
        <v>453</v>
      </c>
      <c r="N47" t="s">
        <v>454</v>
      </c>
      <c r="O47" t="s">
        <v>1964</v>
      </c>
      <c r="P47" t="s">
        <v>1980</v>
      </c>
      <c r="Q47" t="s">
        <v>1971</v>
      </c>
      <c r="R47" t="s">
        <v>1975</v>
      </c>
      <c r="S47" t="s">
        <v>2073</v>
      </c>
      <c r="T47" t="s">
        <v>2074</v>
      </c>
      <c r="U47" t="s">
        <v>2075</v>
      </c>
      <c r="V47" t="s">
        <v>2216</v>
      </c>
    </row>
    <row r="48">
      <c r="A48" t="s">
        <v>2218</v>
      </c>
      <c r="F48" t="s">
        <v>455</v>
      </c>
      <c r="G48" t="s">
        <v>120</v>
      </c>
      <c r="H48" t="s">
        <v>456</v>
      </c>
      <c r="I48" t="s">
        <v>457</v>
      </c>
      <c r="J48" t="s">
        <v>458</v>
      </c>
      <c r="K48" t="s">
        <v>459</v>
      </c>
      <c r="L48" t="s">
        <v>460</v>
      </c>
      <c r="M48" t="s">
        <v>461</v>
      </c>
      <c r="N48" t="s">
        <v>462</v>
      </c>
      <c r="O48" t="s">
        <v>1966</v>
      </c>
      <c r="P48" t="s">
        <v>1982</v>
      </c>
      <c r="Q48" t="s">
        <v>1971</v>
      </c>
      <c r="R48" t="s">
        <v>1975</v>
      </c>
      <c r="S48" t="s">
        <v>2073</v>
      </c>
      <c r="T48" t="s">
        <v>2220</v>
      </c>
      <c r="U48" t="s">
        <v>2221</v>
      </c>
      <c r="V48" t="s">
        <v>2222</v>
      </c>
    </row>
    <row r="49">
      <c r="A49" t="s">
        <v>2224</v>
      </c>
      <c r="B49" t="s">
        <v>463</v>
      </c>
      <c r="C49" t="s">
        <v>464</v>
      </c>
      <c r="D49" t="s">
        <v>465</v>
      </c>
      <c r="E49" t="s">
        <v>466</v>
      </c>
      <c r="F49" t="s">
        <v>467</v>
      </c>
      <c r="G49" t="s">
        <v>154</v>
      </c>
      <c r="H49" t="s">
        <v>468</v>
      </c>
      <c r="I49" t="s">
        <v>469</v>
      </c>
      <c r="J49" t="s">
        <v>470</v>
      </c>
      <c r="K49" t="s">
        <v>471</v>
      </c>
      <c r="L49" t="s">
        <v>472</v>
      </c>
      <c r="M49" t="s">
        <v>473</v>
      </c>
      <c r="N49" t="s">
        <v>474</v>
      </c>
      <c r="O49" t="s">
        <v>1965</v>
      </c>
      <c r="P49" t="s">
        <v>1981</v>
      </c>
      <c r="Q49" t="s">
        <v>1971</v>
      </c>
      <c r="R49" t="s">
        <v>1976</v>
      </c>
      <c r="S49" t="s">
        <v>2073</v>
      </c>
      <c r="T49" t="s">
        <v>2226</v>
      </c>
      <c r="U49" t="s">
        <v>2227</v>
      </c>
      <c r="V49" t="s">
        <v>2228</v>
      </c>
    </row>
    <row r="50">
      <c r="A50" t="s">
        <v>2230</v>
      </c>
      <c r="F50" t="s">
        <v>475</v>
      </c>
      <c r="G50" t="s">
        <v>120</v>
      </c>
      <c r="H50" t="s">
        <v>476</v>
      </c>
      <c r="I50" t="s">
        <v>477</v>
      </c>
      <c r="J50" t="s">
        <v>478</v>
      </c>
      <c r="K50" t="s">
        <v>471</v>
      </c>
      <c r="L50" t="s">
        <v>479</v>
      </c>
      <c r="M50" t="s">
        <v>480</v>
      </c>
      <c r="N50" t="s">
        <v>474</v>
      </c>
      <c r="O50" t="s">
        <v>1965</v>
      </c>
      <c r="P50" t="s">
        <v>1981</v>
      </c>
      <c r="Q50" t="s">
        <v>1971</v>
      </c>
      <c r="R50" t="s">
        <v>1976</v>
      </c>
      <c r="S50" t="s">
        <v>2073</v>
      </c>
      <c r="T50" t="s">
        <v>2226</v>
      </c>
      <c r="U50" t="s">
        <v>2227</v>
      </c>
      <c r="V50" t="s">
        <v>2231</v>
      </c>
    </row>
    <row r="51">
      <c r="A51" t="s">
        <v>2233</v>
      </c>
      <c r="F51" t="s">
        <v>481</v>
      </c>
      <c r="G51" t="s">
        <v>120</v>
      </c>
      <c r="H51" t="s">
        <v>482</v>
      </c>
      <c r="I51" t="s">
        <v>483</v>
      </c>
      <c r="J51" t="s">
        <v>484</v>
      </c>
      <c r="K51" t="s">
        <v>471</v>
      </c>
      <c r="L51" t="s">
        <v>485</v>
      </c>
      <c r="M51" t="s">
        <v>486</v>
      </c>
      <c r="N51" t="s">
        <v>487</v>
      </c>
      <c r="O51" t="s">
        <v>1965</v>
      </c>
      <c r="P51" t="s">
        <v>1981</v>
      </c>
      <c r="Q51" t="s">
        <v>1971</v>
      </c>
      <c r="R51" t="s">
        <v>1976</v>
      </c>
      <c r="S51" t="s">
        <v>2073</v>
      </c>
      <c r="T51" t="s">
        <v>2226</v>
      </c>
      <c r="U51" t="s">
        <v>2227</v>
      </c>
      <c r="V51" t="s">
        <v>2234</v>
      </c>
    </row>
    <row r="52">
      <c r="A52" t="s">
        <v>2236</v>
      </c>
      <c r="F52" t="s">
        <v>488</v>
      </c>
      <c r="G52" t="s">
        <v>120</v>
      </c>
      <c r="H52" t="s">
        <v>489</v>
      </c>
      <c r="I52" t="s">
        <v>490</v>
      </c>
      <c r="J52" t="s">
        <v>491</v>
      </c>
      <c r="K52" t="s">
        <v>471</v>
      </c>
      <c r="L52" t="s">
        <v>492</v>
      </c>
      <c r="M52" t="s">
        <v>493</v>
      </c>
      <c r="N52" t="s">
        <v>474</v>
      </c>
      <c r="O52" t="s">
        <v>1965</v>
      </c>
      <c r="P52" t="s">
        <v>1981</v>
      </c>
      <c r="Q52" t="s">
        <v>1971</v>
      </c>
      <c r="R52" t="s">
        <v>1976</v>
      </c>
      <c r="S52" t="s">
        <v>2073</v>
      </c>
      <c r="T52" t="s">
        <v>2226</v>
      </c>
      <c r="U52" t="s">
        <v>2227</v>
      </c>
      <c r="V52" t="s">
        <v>2237</v>
      </c>
    </row>
    <row r="53">
      <c r="A53" t="s">
        <v>2239</v>
      </c>
      <c r="B53" t="s">
        <v>463</v>
      </c>
      <c r="C53" t="s">
        <v>464</v>
      </c>
      <c r="D53" t="s">
        <v>494</v>
      </c>
      <c r="E53" t="s">
        <v>495</v>
      </c>
      <c r="F53" t="s">
        <v>496</v>
      </c>
      <c r="G53" t="s">
        <v>154</v>
      </c>
      <c r="H53" t="s">
        <v>497</v>
      </c>
      <c r="I53" t="s">
        <v>498</v>
      </c>
      <c r="J53" t="s">
        <v>499</v>
      </c>
      <c r="K53" t="s">
        <v>471</v>
      </c>
      <c r="L53" t="s">
        <v>500</v>
      </c>
      <c r="M53" t="s">
        <v>501</v>
      </c>
      <c r="N53" t="s">
        <v>474</v>
      </c>
      <c r="O53" t="s">
        <v>1965</v>
      </c>
      <c r="P53" t="s">
        <v>1981</v>
      </c>
      <c r="Q53" t="s">
        <v>1971</v>
      </c>
      <c r="R53" t="s">
        <v>1976</v>
      </c>
      <c r="S53" t="s">
        <v>2073</v>
      </c>
      <c r="T53" t="s">
        <v>2226</v>
      </c>
      <c r="U53" t="s">
        <v>2227</v>
      </c>
      <c r="V53" t="s">
        <v>2240</v>
      </c>
    </row>
    <row r="54">
      <c r="A54" t="s">
        <v>2242</v>
      </c>
      <c r="F54" t="s">
        <v>502</v>
      </c>
      <c r="G54" t="s">
        <v>154</v>
      </c>
      <c r="H54" t="s">
        <v>496</v>
      </c>
      <c r="I54" t="s">
        <v>503</v>
      </c>
      <c r="J54" t="s">
        <v>504</v>
      </c>
      <c r="K54" t="s">
        <v>471</v>
      </c>
      <c r="L54" t="s">
        <v>505</v>
      </c>
      <c r="M54" t="s">
        <v>506</v>
      </c>
      <c r="N54" t="s">
        <v>507</v>
      </c>
      <c r="O54" t="s">
        <v>1965</v>
      </c>
      <c r="P54" t="s">
        <v>1981</v>
      </c>
      <c r="Q54" t="s">
        <v>1971</v>
      </c>
      <c r="R54" t="s">
        <v>1976</v>
      </c>
      <c r="S54" t="s">
        <v>2073</v>
      </c>
      <c r="T54" t="s">
        <v>2226</v>
      </c>
      <c r="U54" t="s">
        <v>2227</v>
      </c>
      <c r="V54" t="s">
        <v>2243</v>
      </c>
    </row>
    <row r="55">
      <c r="A55" t="s">
        <v>2245</v>
      </c>
      <c r="F55" t="s">
        <v>508</v>
      </c>
      <c r="G55" t="s">
        <v>154</v>
      </c>
      <c r="H55" t="s">
        <v>509</v>
      </c>
      <c r="I55" t="s">
        <v>510</v>
      </c>
      <c r="J55" t="s">
        <v>511</v>
      </c>
      <c r="K55" t="s">
        <v>471</v>
      </c>
      <c r="L55" t="s">
        <v>512</v>
      </c>
      <c r="M55" t="s">
        <v>513</v>
      </c>
      <c r="N55" t="s">
        <v>514</v>
      </c>
      <c r="O55" t="s">
        <v>1965</v>
      </c>
      <c r="P55" t="s">
        <v>1981</v>
      </c>
      <c r="Q55" t="s">
        <v>1971</v>
      </c>
      <c r="R55" t="s">
        <v>1976</v>
      </c>
      <c r="S55" t="s">
        <v>2073</v>
      </c>
      <c r="T55" t="s">
        <v>2226</v>
      </c>
      <c r="U55" t="s">
        <v>2227</v>
      </c>
      <c r="V55" t="s">
        <v>2246</v>
      </c>
    </row>
    <row r="56">
      <c r="A56" t="s">
        <v>2248</v>
      </c>
      <c r="F56" t="s">
        <v>515</v>
      </c>
      <c r="G56" t="s">
        <v>120</v>
      </c>
      <c r="H56" t="s">
        <v>516</v>
      </c>
      <c r="I56" t="s">
        <v>517</v>
      </c>
      <c r="J56" t="s">
        <v>518</v>
      </c>
      <c r="K56" t="s">
        <v>519</v>
      </c>
      <c r="L56" t="s">
        <v>520</v>
      </c>
      <c r="M56" t="s">
        <v>521</v>
      </c>
      <c r="N56" t="s">
        <v>474</v>
      </c>
      <c r="O56" t="s">
        <v>1964</v>
      </c>
      <c r="P56" t="s">
        <v>1981</v>
      </c>
      <c r="Q56" t="s">
        <v>1971</v>
      </c>
      <c r="R56" t="s">
        <v>1975</v>
      </c>
      <c r="S56" t="s">
        <v>2073</v>
      </c>
      <c r="T56" t="s">
        <v>2226</v>
      </c>
      <c r="U56" t="s">
        <v>2227</v>
      </c>
      <c r="V56" t="s">
        <v>2249</v>
      </c>
    </row>
    <row r="57">
      <c r="A57" t="s">
        <v>2251</v>
      </c>
      <c r="B57" t="s">
        <v>463</v>
      </c>
      <c r="C57" t="s">
        <v>464</v>
      </c>
      <c r="D57" t="s">
        <v>522</v>
      </c>
      <c r="E57" t="s">
        <v>523</v>
      </c>
      <c r="F57" t="s">
        <v>524</v>
      </c>
      <c r="G57" t="s">
        <v>120</v>
      </c>
      <c r="H57" t="s">
        <v>525</v>
      </c>
      <c r="I57" t="s">
        <v>526</v>
      </c>
      <c r="J57" t="s">
        <v>527</v>
      </c>
      <c r="K57" t="s">
        <v>528</v>
      </c>
      <c r="L57" t="s">
        <v>529</v>
      </c>
      <c r="M57" t="s">
        <v>530</v>
      </c>
      <c r="N57" t="s">
        <v>531</v>
      </c>
      <c r="O57" t="s">
        <v>1967</v>
      </c>
      <c r="P57" t="s">
        <v>1981</v>
      </c>
      <c r="Q57" t="s">
        <v>1971</v>
      </c>
      <c r="R57" t="s">
        <v>1976</v>
      </c>
      <c r="S57" t="s">
        <v>2073</v>
      </c>
      <c r="T57" t="s">
        <v>2226</v>
      </c>
      <c r="U57" t="s">
        <v>2227</v>
      </c>
      <c r="V57" t="s">
        <v>2253</v>
      </c>
    </row>
    <row r="58">
      <c r="A58" t="s">
        <v>2254</v>
      </c>
      <c r="F58" t="s">
        <v>532</v>
      </c>
      <c r="G58" t="s">
        <v>120</v>
      </c>
      <c r="H58" t="s">
        <v>533</v>
      </c>
      <c r="I58" t="s">
        <v>534</v>
      </c>
      <c r="J58" t="s">
        <v>535</v>
      </c>
      <c r="K58" t="s">
        <v>471</v>
      </c>
      <c r="L58" t="s">
        <v>536</v>
      </c>
      <c r="M58" t="s">
        <v>537</v>
      </c>
      <c r="N58" t="s">
        <v>507</v>
      </c>
      <c r="O58" t="s">
        <v>1965</v>
      </c>
      <c r="P58" t="s">
        <v>1981</v>
      </c>
      <c r="Q58" t="s">
        <v>1971</v>
      </c>
      <c r="R58" t="s">
        <v>1976</v>
      </c>
      <c r="S58" t="s">
        <v>2073</v>
      </c>
      <c r="T58" t="s">
        <v>2226</v>
      </c>
      <c r="U58" t="s">
        <v>2227</v>
      </c>
      <c r="V58" t="s">
        <v>2255</v>
      </c>
    </row>
    <row r="59">
      <c r="A59" t="s">
        <v>2257</v>
      </c>
      <c r="F59" t="s">
        <v>538</v>
      </c>
      <c r="G59" t="s">
        <v>120</v>
      </c>
      <c r="H59" t="s">
        <v>539</v>
      </c>
      <c r="I59" t="s">
        <v>540</v>
      </c>
      <c r="J59" t="s">
        <v>541</v>
      </c>
      <c r="K59" t="s">
        <v>542</v>
      </c>
      <c r="L59" t="s">
        <v>543</v>
      </c>
      <c r="M59" t="s">
        <v>544</v>
      </c>
      <c r="N59" t="s">
        <v>545</v>
      </c>
      <c r="O59" t="s">
        <v>1967</v>
      </c>
      <c r="P59" t="s">
        <v>1981</v>
      </c>
      <c r="Q59" t="s">
        <v>1971</v>
      </c>
      <c r="R59" t="s">
        <v>1976</v>
      </c>
      <c r="S59" t="s">
        <v>2073</v>
      </c>
      <c r="T59" t="s">
        <v>2226</v>
      </c>
      <c r="U59" t="s">
        <v>2227</v>
      </c>
      <c r="V59" t="s">
        <v>2258</v>
      </c>
    </row>
    <row r="60">
      <c r="A60" t="s">
        <v>2260</v>
      </c>
      <c r="B60" t="s">
        <v>463</v>
      </c>
      <c r="C60" t="s">
        <v>464</v>
      </c>
      <c r="D60" t="s">
        <v>546</v>
      </c>
      <c r="E60" t="s">
        <v>547</v>
      </c>
      <c r="F60" t="s">
        <v>548</v>
      </c>
      <c r="G60" t="s">
        <v>120</v>
      </c>
      <c r="H60" t="s">
        <v>549</v>
      </c>
      <c r="I60" t="s">
        <v>550</v>
      </c>
      <c r="J60" t="s">
        <v>551</v>
      </c>
      <c r="K60" t="s">
        <v>552</v>
      </c>
      <c r="L60" t="s">
        <v>553</v>
      </c>
      <c r="M60" t="s">
        <v>554</v>
      </c>
      <c r="N60" t="s">
        <v>555</v>
      </c>
      <c r="O60" t="s">
        <v>1967</v>
      </c>
      <c r="P60" t="s">
        <v>1981</v>
      </c>
      <c r="Q60" t="s">
        <v>1971</v>
      </c>
      <c r="R60" t="s">
        <v>1976</v>
      </c>
      <c r="S60" t="s">
        <v>2073</v>
      </c>
      <c r="T60" t="s">
        <v>2226</v>
      </c>
      <c r="U60" t="s">
        <v>2227</v>
      </c>
      <c r="V60" t="s">
        <v>2261</v>
      </c>
    </row>
    <row r="61">
      <c r="A61" t="s">
        <v>2263</v>
      </c>
      <c r="F61" t="s">
        <v>556</v>
      </c>
      <c r="G61" t="s">
        <v>120</v>
      </c>
      <c r="H61" t="s">
        <v>548</v>
      </c>
      <c r="I61" t="s">
        <v>557</v>
      </c>
      <c r="J61" t="s">
        <v>558</v>
      </c>
      <c r="K61" t="s">
        <v>552</v>
      </c>
      <c r="L61" t="s">
        <v>559</v>
      </c>
      <c r="M61" t="s">
        <v>560</v>
      </c>
      <c r="N61" t="s">
        <v>555</v>
      </c>
      <c r="O61" t="s">
        <v>1967</v>
      </c>
      <c r="P61" t="s">
        <v>1981</v>
      </c>
      <c r="Q61" t="s">
        <v>1971</v>
      </c>
      <c r="R61" t="s">
        <v>1976</v>
      </c>
      <c r="S61" t="s">
        <v>2073</v>
      </c>
      <c r="T61" t="s">
        <v>2226</v>
      </c>
      <c r="U61" t="s">
        <v>2227</v>
      </c>
      <c r="V61" t="s">
        <v>2264</v>
      </c>
    </row>
    <row r="62">
      <c r="A62" t="s">
        <v>2266</v>
      </c>
      <c r="F62" t="s">
        <v>561</v>
      </c>
      <c r="G62" t="s">
        <v>120</v>
      </c>
      <c r="H62" t="s">
        <v>562</v>
      </c>
      <c r="I62" t="s">
        <v>563</v>
      </c>
      <c r="J62" t="s">
        <v>564</v>
      </c>
      <c r="K62" t="s">
        <v>565</v>
      </c>
      <c r="L62" t="s">
        <v>566</v>
      </c>
      <c r="M62" t="s">
        <v>567</v>
      </c>
      <c r="N62" t="s">
        <v>568</v>
      </c>
      <c r="O62" t="s">
        <v>1967</v>
      </c>
      <c r="P62" t="s">
        <v>1981</v>
      </c>
      <c r="Q62" t="s">
        <v>1971</v>
      </c>
      <c r="R62" t="s">
        <v>1976</v>
      </c>
      <c r="S62" t="s">
        <v>2073</v>
      </c>
      <c r="T62" t="s">
        <v>2226</v>
      </c>
      <c r="U62" t="s">
        <v>2227</v>
      </c>
      <c r="V62" t="s">
        <v>2268</v>
      </c>
    </row>
    <row r="63">
      <c r="A63" t="s">
        <v>2269</v>
      </c>
      <c r="F63" t="s">
        <v>569</v>
      </c>
      <c r="G63" t="s">
        <v>120</v>
      </c>
      <c r="H63" t="s">
        <v>570</v>
      </c>
      <c r="I63" t="s">
        <v>571</v>
      </c>
      <c r="J63" t="s">
        <v>572</v>
      </c>
      <c r="K63" t="s">
        <v>573</v>
      </c>
      <c r="L63" t="s">
        <v>574</v>
      </c>
      <c r="M63" t="s">
        <v>575</v>
      </c>
      <c r="N63" t="s">
        <v>576</v>
      </c>
      <c r="O63" t="s">
        <v>1967</v>
      </c>
      <c r="P63" t="s">
        <v>1981</v>
      </c>
      <c r="Q63" t="s">
        <v>1971</v>
      </c>
      <c r="R63" t="s">
        <v>1976</v>
      </c>
      <c r="S63" t="s">
        <v>2073</v>
      </c>
      <c r="T63" t="s">
        <v>2226</v>
      </c>
      <c r="U63" t="s">
        <v>2227</v>
      </c>
      <c r="V63" t="s">
        <v>2270</v>
      </c>
    </row>
    <row r="64">
      <c r="A64" t="s">
        <v>2272</v>
      </c>
      <c r="B64" t="s">
        <v>463</v>
      </c>
      <c r="C64" t="s">
        <v>577</v>
      </c>
      <c r="D64" t="s">
        <v>578</v>
      </c>
      <c r="E64" t="s">
        <v>579</v>
      </c>
      <c r="F64" t="s">
        <v>580</v>
      </c>
      <c r="G64" t="s">
        <v>154</v>
      </c>
      <c r="H64" t="s">
        <v>581</v>
      </c>
      <c r="I64" t="s">
        <v>582</v>
      </c>
      <c r="J64" t="s">
        <v>583</v>
      </c>
      <c r="K64" t="s">
        <v>584</v>
      </c>
      <c r="L64" t="s">
        <v>585</v>
      </c>
      <c r="M64" t="s">
        <v>586</v>
      </c>
      <c r="N64" t="s">
        <v>474</v>
      </c>
      <c r="O64" t="s">
        <v>1964</v>
      </c>
      <c r="P64" t="s">
        <v>1981</v>
      </c>
      <c r="Q64" t="s">
        <v>1971</v>
      </c>
      <c r="R64" t="s">
        <v>1976</v>
      </c>
      <c r="S64" t="s">
        <v>2073</v>
      </c>
      <c r="T64" t="s">
        <v>2226</v>
      </c>
      <c r="U64" t="s">
        <v>2227</v>
      </c>
      <c r="V64" t="s">
        <v>2273</v>
      </c>
    </row>
    <row r="65">
      <c r="A65" t="s">
        <v>2275</v>
      </c>
      <c r="F65" t="s">
        <v>587</v>
      </c>
      <c r="G65" t="s">
        <v>154</v>
      </c>
      <c r="H65" t="s">
        <v>588</v>
      </c>
      <c r="I65" t="s">
        <v>589</v>
      </c>
      <c r="J65" t="s">
        <v>590</v>
      </c>
      <c r="K65" t="s">
        <v>584</v>
      </c>
      <c r="L65" t="s">
        <v>591</v>
      </c>
      <c r="M65" t="s">
        <v>592</v>
      </c>
      <c r="N65" t="s">
        <v>474</v>
      </c>
      <c r="O65" t="s">
        <v>1964</v>
      </c>
      <c r="P65" t="s">
        <v>1981</v>
      </c>
      <c r="Q65" t="s">
        <v>1971</v>
      </c>
      <c r="R65" t="s">
        <v>1976</v>
      </c>
      <c r="S65" t="s">
        <v>2073</v>
      </c>
      <c r="T65" t="s">
        <v>2226</v>
      </c>
      <c r="U65" t="s">
        <v>2227</v>
      </c>
      <c r="V65" t="s">
        <v>2276</v>
      </c>
    </row>
    <row r="66">
      <c r="A66" t="s">
        <v>2278</v>
      </c>
      <c r="F66" t="s">
        <v>593</v>
      </c>
      <c r="G66" t="s">
        <v>120</v>
      </c>
      <c r="H66" t="s">
        <v>594</v>
      </c>
      <c r="I66" t="s">
        <v>595</v>
      </c>
      <c r="J66" t="s">
        <v>596</v>
      </c>
      <c r="K66" t="s">
        <v>597</v>
      </c>
      <c r="L66" t="s">
        <v>598</v>
      </c>
      <c r="M66" t="s">
        <v>599</v>
      </c>
      <c r="N66" t="s">
        <v>474</v>
      </c>
      <c r="O66" t="s">
        <v>1964</v>
      </c>
      <c r="P66" t="s">
        <v>1981</v>
      </c>
      <c r="Q66" t="s">
        <v>1971</v>
      </c>
      <c r="R66" t="s">
        <v>1976</v>
      </c>
      <c r="S66" t="s">
        <v>2073</v>
      </c>
      <c r="T66" t="s">
        <v>2226</v>
      </c>
      <c r="U66" t="s">
        <v>2227</v>
      </c>
      <c r="V66" t="s">
        <v>2279</v>
      </c>
    </row>
    <row r="67">
      <c r="A67" t="s">
        <v>2281</v>
      </c>
      <c r="B67" t="s">
        <v>463</v>
      </c>
      <c r="C67" t="s">
        <v>577</v>
      </c>
      <c r="D67" t="s">
        <v>600</v>
      </c>
      <c r="E67" t="s">
        <v>601</v>
      </c>
      <c r="F67" t="s">
        <v>602</v>
      </c>
      <c r="G67" t="s">
        <v>120</v>
      </c>
      <c r="H67" t="s">
        <v>603</v>
      </c>
      <c r="I67" t="s">
        <v>604</v>
      </c>
      <c r="J67" t="s">
        <v>605</v>
      </c>
      <c r="K67" t="s">
        <v>606</v>
      </c>
      <c r="L67" t="s">
        <v>607</v>
      </c>
      <c r="M67" t="s">
        <v>608</v>
      </c>
      <c r="N67" t="s">
        <v>609</v>
      </c>
      <c r="O67" t="s">
        <v>1967</v>
      </c>
      <c r="P67" t="s">
        <v>1981</v>
      </c>
      <c r="Q67" t="s">
        <v>1971</v>
      </c>
      <c r="R67" t="s">
        <v>1976</v>
      </c>
      <c r="S67" t="s">
        <v>2073</v>
      </c>
      <c r="T67" t="s">
        <v>2226</v>
      </c>
      <c r="U67" t="s">
        <v>2227</v>
      </c>
      <c r="V67" t="s">
        <v>2282</v>
      </c>
    </row>
    <row r="68">
      <c r="A68" t="s">
        <v>2284</v>
      </c>
      <c r="F68" t="s">
        <v>610</v>
      </c>
      <c r="G68" t="s">
        <v>120</v>
      </c>
      <c r="H68" t="s">
        <v>611</v>
      </c>
      <c r="I68" t="s">
        <v>612</v>
      </c>
      <c r="J68" t="s">
        <v>613</v>
      </c>
      <c r="K68" t="s">
        <v>614</v>
      </c>
      <c r="L68" t="s">
        <v>615</v>
      </c>
      <c r="M68" t="s">
        <v>616</v>
      </c>
      <c r="N68" t="s">
        <v>609</v>
      </c>
      <c r="O68" t="s">
        <v>1967</v>
      </c>
      <c r="P68" t="s">
        <v>1981</v>
      </c>
      <c r="Q68" t="s">
        <v>1971</v>
      </c>
      <c r="R68" t="s">
        <v>1975</v>
      </c>
      <c r="S68" t="s">
        <v>2073</v>
      </c>
      <c r="T68" t="s">
        <v>2226</v>
      </c>
      <c r="U68" t="s">
        <v>2227</v>
      </c>
      <c r="V68" t="s">
        <v>2285</v>
      </c>
    </row>
    <row r="69">
      <c r="A69" t="s">
        <v>2287</v>
      </c>
      <c r="F69" t="s">
        <v>617</v>
      </c>
      <c r="G69" t="s">
        <v>120</v>
      </c>
      <c r="H69" t="s">
        <v>618</v>
      </c>
      <c r="I69" t="s">
        <v>619</v>
      </c>
      <c r="J69" t="s">
        <v>620</v>
      </c>
      <c r="K69" t="s">
        <v>606</v>
      </c>
      <c r="L69" t="s">
        <v>621</v>
      </c>
      <c r="M69" t="s">
        <v>622</v>
      </c>
      <c r="N69" t="s">
        <v>623</v>
      </c>
      <c r="O69" t="s">
        <v>1967</v>
      </c>
      <c r="P69" t="s">
        <v>1981</v>
      </c>
      <c r="Q69" t="s">
        <v>1971</v>
      </c>
      <c r="R69" t="s">
        <v>1976</v>
      </c>
      <c r="S69" t="s">
        <v>2073</v>
      </c>
      <c r="T69" t="s">
        <v>2226</v>
      </c>
      <c r="U69" t="s">
        <v>2227</v>
      </c>
      <c r="V69" t="s">
        <v>2288</v>
      </c>
    </row>
    <row r="70">
      <c r="A70" t="s">
        <v>2290</v>
      </c>
      <c r="F70" t="s">
        <v>624</v>
      </c>
      <c r="G70" t="s">
        <v>120</v>
      </c>
      <c r="H70" t="s">
        <v>625</v>
      </c>
      <c r="I70" t="s">
        <v>626</v>
      </c>
      <c r="J70" t="s">
        <v>627</v>
      </c>
      <c r="K70" t="s">
        <v>628</v>
      </c>
      <c r="L70" t="s">
        <v>629</v>
      </c>
      <c r="M70" t="s">
        <v>630</v>
      </c>
      <c r="N70" t="s">
        <v>631</v>
      </c>
      <c r="O70" t="s">
        <v>1967</v>
      </c>
      <c r="P70" t="s">
        <v>1981</v>
      </c>
      <c r="Q70" t="s">
        <v>1971</v>
      </c>
      <c r="R70" t="s">
        <v>1976</v>
      </c>
      <c r="S70" t="s">
        <v>2073</v>
      </c>
      <c r="T70" t="s">
        <v>2226</v>
      </c>
      <c r="U70" t="s">
        <v>2227</v>
      </c>
      <c r="V70" t="s">
        <v>2291</v>
      </c>
    </row>
    <row r="71">
      <c r="A71" t="s">
        <v>2293</v>
      </c>
      <c r="B71" t="s">
        <v>463</v>
      </c>
      <c r="C71" t="s">
        <v>577</v>
      </c>
      <c r="D71" t="s">
        <v>632</v>
      </c>
      <c r="E71" t="s">
        <v>633</v>
      </c>
      <c r="F71" t="s">
        <v>634</v>
      </c>
      <c r="G71" t="s">
        <v>120</v>
      </c>
      <c r="H71" t="s">
        <v>635</v>
      </c>
      <c r="I71" t="s">
        <v>636</v>
      </c>
      <c r="J71" t="s">
        <v>637</v>
      </c>
      <c r="K71" t="s">
        <v>573</v>
      </c>
      <c r="L71" t="s">
        <v>638</v>
      </c>
      <c r="M71" t="s">
        <v>639</v>
      </c>
      <c r="N71" t="s">
        <v>640</v>
      </c>
      <c r="O71" t="s">
        <v>1967</v>
      </c>
      <c r="P71" t="s">
        <v>1981</v>
      </c>
      <c r="Q71" t="s">
        <v>1971</v>
      </c>
      <c r="R71" t="s">
        <v>1976</v>
      </c>
      <c r="S71" t="s">
        <v>2073</v>
      </c>
      <c r="T71" t="s">
        <v>2226</v>
      </c>
      <c r="U71" t="s">
        <v>2227</v>
      </c>
      <c r="V71" t="s">
        <v>2294</v>
      </c>
    </row>
    <row r="72">
      <c r="A72" t="s">
        <v>2296</v>
      </c>
      <c r="F72" t="s">
        <v>641</v>
      </c>
      <c r="G72" t="s">
        <v>120</v>
      </c>
      <c r="H72" t="s">
        <v>642</v>
      </c>
      <c r="I72" t="s">
        <v>643</v>
      </c>
      <c r="J72" t="s">
        <v>644</v>
      </c>
      <c r="K72" t="s">
        <v>573</v>
      </c>
      <c r="L72" t="s">
        <v>645</v>
      </c>
      <c r="M72" t="s">
        <v>646</v>
      </c>
      <c r="N72" t="s">
        <v>640</v>
      </c>
      <c r="O72" t="s">
        <v>1967</v>
      </c>
      <c r="P72" t="s">
        <v>1981</v>
      </c>
      <c r="Q72" t="s">
        <v>1971</v>
      </c>
      <c r="R72" t="s">
        <v>1976</v>
      </c>
      <c r="S72" t="s">
        <v>2073</v>
      </c>
      <c r="T72" t="s">
        <v>2226</v>
      </c>
      <c r="U72" t="s">
        <v>2227</v>
      </c>
      <c r="V72" t="s">
        <v>2297</v>
      </c>
    </row>
    <row r="73">
      <c r="A73" t="s">
        <v>2299</v>
      </c>
      <c r="F73" t="s">
        <v>647</v>
      </c>
      <c r="G73" t="s">
        <v>120</v>
      </c>
      <c r="H73" t="s">
        <v>648</v>
      </c>
      <c r="I73" t="s">
        <v>649</v>
      </c>
      <c r="J73" t="s">
        <v>650</v>
      </c>
      <c r="K73" t="s">
        <v>573</v>
      </c>
      <c r="L73" t="s">
        <v>651</v>
      </c>
      <c r="M73" t="s">
        <v>652</v>
      </c>
      <c r="N73" t="s">
        <v>653</v>
      </c>
      <c r="O73" t="s">
        <v>1967</v>
      </c>
      <c r="P73" t="s">
        <v>1981</v>
      </c>
      <c r="Q73" t="s">
        <v>1971</v>
      </c>
      <c r="R73" t="s">
        <v>1976</v>
      </c>
      <c r="S73" t="s">
        <v>2073</v>
      </c>
      <c r="T73" t="s">
        <v>2226</v>
      </c>
      <c r="U73" t="s">
        <v>2227</v>
      </c>
      <c r="V73" t="s">
        <v>2300</v>
      </c>
    </row>
    <row r="74">
      <c r="A74" t="s">
        <v>2302</v>
      </c>
      <c r="B74" t="s">
        <v>463</v>
      </c>
      <c r="C74" t="s">
        <v>577</v>
      </c>
      <c r="D74" t="s">
        <v>654</v>
      </c>
      <c r="E74" t="s">
        <v>655</v>
      </c>
      <c r="F74" t="s">
        <v>656</v>
      </c>
      <c r="G74" t="s">
        <v>120</v>
      </c>
      <c r="H74" t="s">
        <v>657</v>
      </c>
      <c r="I74" t="s">
        <v>658</v>
      </c>
      <c r="J74" t="s">
        <v>659</v>
      </c>
      <c r="K74" t="s">
        <v>660</v>
      </c>
      <c r="L74" t="s">
        <v>661</v>
      </c>
      <c r="M74" t="s">
        <v>662</v>
      </c>
      <c r="N74" t="s">
        <v>663</v>
      </c>
      <c r="O74" t="s">
        <v>1967</v>
      </c>
      <c r="P74" t="s">
        <v>1981</v>
      </c>
      <c r="Q74" t="s">
        <v>1971</v>
      </c>
      <c r="R74" t="s">
        <v>1976</v>
      </c>
      <c r="S74" t="s">
        <v>2073</v>
      </c>
      <c r="T74" t="s">
        <v>2226</v>
      </c>
      <c r="U74" t="s">
        <v>2227</v>
      </c>
      <c r="V74" t="s">
        <v>2304</v>
      </c>
    </row>
    <row r="75">
      <c r="A75" t="s">
        <v>2305</v>
      </c>
      <c r="F75" t="s">
        <v>664</v>
      </c>
      <c r="G75" t="s">
        <v>120</v>
      </c>
      <c r="H75" t="s">
        <v>665</v>
      </c>
      <c r="I75" t="s">
        <v>666</v>
      </c>
      <c r="J75" t="s">
        <v>667</v>
      </c>
      <c r="K75" t="s">
        <v>660</v>
      </c>
      <c r="L75" t="s">
        <v>668</v>
      </c>
      <c r="M75" t="s">
        <v>669</v>
      </c>
      <c r="N75" t="s">
        <v>670</v>
      </c>
      <c r="O75" t="s">
        <v>1967</v>
      </c>
      <c r="P75" t="s">
        <v>1981</v>
      </c>
      <c r="Q75" t="s">
        <v>1971</v>
      </c>
      <c r="R75" t="s">
        <v>1976</v>
      </c>
      <c r="S75" t="s">
        <v>2073</v>
      </c>
      <c r="T75" t="s">
        <v>2226</v>
      </c>
      <c r="U75" t="s">
        <v>2227</v>
      </c>
      <c r="V75" t="s">
        <v>2307</v>
      </c>
    </row>
    <row r="76">
      <c r="A76" t="s">
        <v>2308</v>
      </c>
      <c r="F76" t="s">
        <v>671</v>
      </c>
      <c r="G76" t="s">
        <v>120</v>
      </c>
      <c r="H76" t="s">
        <v>672</v>
      </c>
      <c r="I76" t="s">
        <v>673</v>
      </c>
      <c r="J76" t="s">
        <v>674</v>
      </c>
      <c r="K76" t="s">
        <v>675</v>
      </c>
      <c r="L76" t="s">
        <v>676</v>
      </c>
      <c r="M76" t="s">
        <v>677</v>
      </c>
      <c r="N76" t="s">
        <v>678</v>
      </c>
      <c r="O76" t="s">
        <v>1967</v>
      </c>
      <c r="P76" t="s">
        <v>1981</v>
      </c>
      <c r="Q76" t="s">
        <v>1971</v>
      </c>
      <c r="R76" t="s">
        <v>1976</v>
      </c>
      <c r="S76" t="s">
        <v>2073</v>
      </c>
      <c r="T76" t="s">
        <v>2226</v>
      </c>
      <c r="U76" t="s">
        <v>2227</v>
      </c>
      <c r="V76" t="s">
        <v>2309</v>
      </c>
    </row>
    <row r="77">
      <c r="A77" t="s">
        <v>2311</v>
      </c>
      <c r="B77" t="s">
        <v>679</v>
      </c>
      <c r="C77" t="s">
        <v>680</v>
      </c>
      <c r="D77" t="s">
        <v>681</v>
      </c>
      <c r="E77" t="s">
        <v>682</v>
      </c>
      <c r="F77" t="s">
        <v>683</v>
      </c>
      <c r="G77" t="s">
        <v>120</v>
      </c>
      <c r="H77" t="s">
        <v>684</v>
      </c>
      <c r="I77" t="s">
        <v>685</v>
      </c>
      <c r="J77" t="s">
        <v>686</v>
      </c>
      <c r="K77" t="s">
        <v>687</v>
      </c>
      <c r="L77" t="s">
        <v>688</v>
      </c>
      <c r="M77" t="s">
        <v>689</v>
      </c>
      <c r="N77" t="s">
        <v>690</v>
      </c>
      <c r="O77" t="s">
        <v>1966</v>
      </c>
      <c r="P77" t="s">
        <v>1982</v>
      </c>
      <c r="Q77" t="s">
        <v>1971</v>
      </c>
      <c r="R77" t="s">
        <v>1976</v>
      </c>
      <c r="S77" t="s">
        <v>2073</v>
      </c>
      <c r="T77" t="s">
        <v>2220</v>
      </c>
      <c r="U77" t="s">
        <v>2221</v>
      </c>
      <c r="V77" t="s">
        <v>2312</v>
      </c>
    </row>
    <row r="78">
      <c r="A78" t="s">
        <v>2314</v>
      </c>
      <c r="F78" t="s">
        <v>691</v>
      </c>
      <c r="G78" t="s">
        <v>120</v>
      </c>
      <c r="H78" t="s">
        <v>683</v>
      </c>
      <c r="I78" t="s">
        <v>692</v>
      </c>
      <c r="J78" t="s">
        <v>693</v>
      </c>
      <c r="K78" t="s">
        <v>694</v>
      </c>
      <c r="L78" t="s">
        <v>695</v>
      </c>
      <c r="M78" t="s">
        <v>696</v>
      </c>
      <c r="N78" t="s">
        <v>690</v>
      </c>
      <c r="O78" t="s">
        <v>1966</v>
      </c>
      <c r="P78" t="s">
        <v>1982</v>
      </c>
      <c r="Q78" t="s">
        <v>1971</v>
      </c>
      <c r="R78" t="s">
        <v>1976</v>
      </c>
      <c r="S78" t="s">
        <v>2073</v>
      </c>
      <c r="T78" t="s">
        <v>2220</v>
      </c>
      <c r="U78" t="s">
        <v>2221</v>
      </c>
      <c r="V78" t="s">
        <v>2315</v>
      </c>
    </row>
    <row r="79">
      <c r="A79" t="s">
        <v>2317</v>
      </c>
      <c r="F79" t="s">
        <v>697</v>
      </c>
      <c r="G79" t="s">
        <v>120</v>
      </c>
      <c r="H79" t="s">
        <v>683</v>
      </c>
      <c r="I79" t="s">
        <v>698</v>
      </c>
      <c r="J79" t="s">
        <v>699</v>
      </c>
      <c r="K79" t="s">
        <v>694</v>
      </c>
      <c r="L79" t="s">
        <v>700</v>
      </c>
      <c r="M79" t="s">
        <v>701</v>
      </c>
      <c r="N79" t="s">
        <v>690</v>
      </c>
      <c r="O79" t="s">
        <v>1966</v>
      </c>
      <c r="P79" t="s">
        <v>1982</v>
      </c>
      <c r="Q79" t="s">
        <v>1971</v>
      </c>
      <c r="R79" t="s">
        <v>1976</v>
      </c>
      <c r="S79" t="s">
        <v>2073</v>
      </c>
      <c r="T79" t="s">
        <v>2220</v>
      </c>
      <c r="U79" t="s">
        <v>2221</v>
      </c>
      <c r="V79" t="s">
        <v>2318</v>
      </c>
    </row>
    <row r="80">
      <c r="A80" t="s">
        <v>2320</v>
      </c>
      <c r="F80" t="s">
        <v>702</v>
      </c>
      <c r="G80" t="s">
        <v>120</v>
      </c>
      <c r="H80" t="s">
        <v>683</v>
      </c>
      <c r="I80" t="s">
        <v>703</v>
      </c>
      <c r="J80" t="s">
        <v>704</v>
      </c>
      <c r="K80" t="s">
        <v>694</v>
      </c>
      <c r="L80" t="s">
        <v>705</v>
      </c>
      <c r="M80" t="s">
        <v>706</v>
      </c>
      <c r="N80" t="s">
        <v>690</v>
      </c>
      <c r="O80" t="s">
        <v>1966</v>
      </c>
      <c r="P80" t="s">
        <v>1982</v>
      </c>
      <c r="Q80" t="s">
        <v>1971</v>
      </c>
      <c r="R80" t="s">
        <v>1976</v>
      </c>
      <c r="S80" t="s">
        <v>2073</v>
      </c>
      <c r="T80" t="s">
        <v>2220</v>
      </c>
      <c r="U80" t="s">
        <v>2221</v>
      </c>
      <c r="V80" t="s">
        <v>2321</v>
      </c>
    </row>
    <row r="81">
      <c r="A81" t="s">
        <v>2323</v>
      </c>
      <c r="F81" t="s">
        <v>707</v>
      </c>
      <c r="G81" t="s">
        <v>120</v>
      </c>
      <c r="H81" t="s">
        <v>702</v>
      </c>
      <c r="I81" t="s">
        <v>708</v>
      </c>
      <c r="J81" t="s">
        <v>709</v>
      </c>
      <c r="K81" t="s">
        <v>710</v>
      </c>
      <c r="L81" t="s">
        <v>711</v>
      </c>
      <c r="M81" t="s">
        <v>712</v>
      </c>
      <c r="N81" t="s">
        <v>690</v>
      </c>
      <c r="O81" t="s">
        <v>1966</v>
      </c>
      <c r="P81" t="s">
        <v>1982</v>
      </c>
      <c r="Q81" t="s">
        <v>1971</v>
      </c>
      <c r="R81" t="s">
        <v>1976</v>
      </c>
      <c r="S81" t="s">
        <v>2073</v>
      </c>
      <c r="T81" t="s">
        <v>2220</v>
      </c>
      <c r="U81" t="s">
        <v>2221</v>
      </c>
      <c r="V81" t="s">
        <v>2324</v>
      </c>
    </row>
    <row r="82">
      <c r="A82" t="s">
        <v>2326</v>
      </c>
      <c r="F82" t="s">
        <v>713</v>
      </c>
      <c r="G82" t="s">
        <v>120</v>
      </c>
      <c r="H82" t="s">
        <v>714</v>
      </c>
      <c r="I82" t="s">
        <v>715</v>
      </c>
      <c r="J82" t="s">
        <v>716</v>
      </c>
      <c r="K82" t="s">
        <v>717</v>
      </c>
      <c r="L82" t="s">
        <v>718</v>
      </c>
      <c r="M82" t="s">
        <v>719</v>
      </c>
      <c r="N82" t="s">
        <v>720</v>
      </c>
      <c r="O82" t="s">
        <v>1966</v>
      </c>
      <c r="P82" t="s">
        <v>1982</v>
      </c>
      <c r="Q82" t="s">
        <v>1971</v>
      </c>
      <c r="R82" t="s">
        <v>1976</v>
      </c>
      <c r="S82" t="s">
        <v>2073</v>
      </c>
      <c r="T82" t="s">
        <v>2220</v>
      </c>
      <c r="U82" t="s">
        <v>2221</v>
      </c>
      <c r="V82" t="s">
        <v>2327</v>
      </c>
    </row>
    <row r="83">
      <c r="A83" t="s">
        <v>2329</v>
      </c>
      <c r="F83" t="s">
        <v>721</v>
      </c>
      <c r="G83" t="s">
        <v>120</v>
      </c>
      <c r="H83" t="s">
        <v>722</v>
      </c>
      <c r="I83" t="s">
        <v>723</v>
      </c>
      <c r="J83" t="s">
        <v>724</v>
      </c>
      <c r="K83" t="s">
        <v>725</v>
      </c>
      <c r="L83" t="s">
        <v>726</v>
      </c>
      <c r="M83" t="s">
        <v>727</v>
      </c>
      <c r="N83" t="s">
        <v>690</v>
      </c>
      <c r="O83" t="s">
        <v>1966</v>
      </c>
      <c r="P83" t="s">
        <v>1982</v>
      </c>
      <c r="Q83" t="s">
        <v>1971</v>
      </c>
      <c r="R83" t="s">
        <v>1976</v>
      </c>
      <c r="S83" t="s">
        <v>2073</v>
      </c>
      <c r="T83" t="s">
        <v>2220</v>
      </c>
      <c r="U83" t="s">
        <v>2221</v>
      </c>
      <c r="V83" t="s">
        <v>2330</v>
      </c>
    </row>
    <row r="84">
      <c r="A84" t="s">
        <v>2332</v>
      </c>
      <c r="F84" t="s">
        <v>728</v>
      </c>
      <c r="G84" t="s">
        <v>120</v>
      </c>
      <c r="H84" t="s">
        <v>729</v>
      </c>
      <c r="I84" t="s">
        <v>730</v>
      </c>
      <c r="J84" t="s">
        <v>731</v>
      </c>
      <c r="K84" t="s">
        <v>717</v>
      </c>
      <c r="L84" t="s">
        <v>732</v>
      </c>
      <c r="M84" t="s">
        <v>733</v>
      </c>
      <c r="N84" t="s">
        <v>690</v>
      </c>
      <c r="O84" t="s">
        <v>1966</v>
      </c>
      <c r="P84" t="s">
        <v>1982</v>
      </c>
      <c r="Q84" t="s">
        <v>1971</v>
      </c>
      <c r="R84" t="s">
        <v>1976</v>
      </c>
      <c r="S84" t="s">
        <v>2073</v>
      </c>
      <c r="T84" t="s">
        <v>2220</v>
      </c>
      <c r="U84" t="s">
        <v>2221</v>
      </c>
      <c r="V84" t="s">
        <v>2334</v>
      </c>
    </row>
    <row r="85">
      <c r="A85" t="s">
        <v>2335</v>
      </c>
      <c r="B85" t="s">
        <v>679</v>
      </c>
      <c r="C85" t="s">
        <v>680</v>
      </c>
      <c r="D85" t="s">
        <v>734</v>
      </c>
      <c r="E85" t="s">
        <v>735</v>
      </c>
      <c r="F85" t="s">
        <v>736</v>
      </c>
      <c r="G85" t="s">
        <v>120</v>
      </c>
      <c r="H85" t="s">
        <v>737</v>
      </c>
      <c r="I85" t="s">
        <v>738</v>
      </c>
      <c r="J85" t="s">
        <v>739</v>
      </c>
      <c r="K85" t="s">
        <v>740</v>
      </c>
      <c r="L85" t="s">
        <v>741</v>
      </c>
      <c r="M85" t="s">
        <v>742</v>
      </c>
      <c r="N85" t="s">
        <v>690</v>
      </c>
      <c r="O85" t="s">
        <v>1966</v>
      </c>
      <c r="P85" t="s">
        <v>1982</v>
      </c>
      <c r="Q85" t="s">
        <v>1971</v>
      </c>
      <c r="R85" t="s">
        <v>1976</v>
      </c>
      <c r="S85" t="s">
        <v>2073</v>
      </c>
      <c r="T85" t="s">
        <v>2220</v>
      </c>
      <c r="U85" t="s">
        <v>2221</v>
      </c>
      <c r="V85" t="s">
        <v>2337</v>
      </c>
    </row>
    <row r="86">
      <c r="A86" t="s">
        <v>2338</v>
      </c>
      <c r="F86" t="s">
        <v>743</v>
      </c>
      <c r="G86" t="s">
        <v>120</v>
      </c>
      <c r="H86" t="s">
        <v>744</v>
      </c>
      <c r="I86" t="s">
        <v>745</v>
      </c>
      <c r="J86" t="s">
        <v>746</v>
      </c>
      <c r="K86" t="s">
        <v>740</v>
      </c>
      <c r="L86" t="s">
        <v>747</v>
      </c>
      <c r="M86" t="s">
        <v>748</v>
      </c>
      <c r="N86" t="s">
        <v>690</v>
      </c>
      <c r="O86" t="s">
        <v>1966</v>
      </c>
      <c r="P86" t="s">
        <v>1982</v>
      </c>
      <c r="Q86" t="s">
        <v>1971</v>
      </c>
      <c r="R86" t="s">
        <v>1976</v>
      </c>
      <c r="S86" t="s">
        <v>2073</v>
      </c>
      <c r="T86" t="s">
        <v>2220</v>
      </c>
      <c r="U86" t="s">
        <v>2221</v>
      </c>
      <c r="V86" t="s">
        <v>2337</v>
      </c>
    </row>
    <row r="87">
      <c r="A87" t="s">
        <v>2340</v>
      </c>
      <c r="F87" t="s">
        <v>749</v>
      </c>
      <c r="G87" t="s">
        <v>120</v>
      </c>
      <c r="H87" t="s">
        <v>750</v>
      </c>
      <c r="I87" t="s">
        <v>751</v>
      </c>
      <c r="J87" t="s">
        <v>752</v>
      </c>
      <c r="K87" t="s">
        <v>740</v>
      </c>
      <c r="L87" t="s">
        <v>753</v>
      </c>
      <c r="M87" t="s">
        <v>754</v>
      </c>
      <c r="N87" t="s">
        <v>755</v>
      </c>
      <c r="O87" t="s">
        <v>1966</v>
      </c>
      <c r="P87" t="s">
        <v>1982</v>
      </c>
      <c r="Q87" t="s">
        <v>1971</v>
      </c>
      <c r="R87" t="s">
        <v>1976</v>
      </c>
      <c r="S87" t="s">
        <v>2073</v>
      </c>
      <c r="T87" t="s">
        <v>2220</v>
      </c>
      <c r="U87" t="s">
        <v>2221</v>
      </c>
      <c r="V87" t="s">
        <v>2341</v>
      </c>
    </row>
    <row r="88">
      <c r="A88" t="s">
        <v>2343</v>
      </c>
      <c r="B88" t="s">
        <v>679</v>
      </c>
      <c r="C88" t="s">
        <v>680</v>
      </c>
      <c r="D88" t="s">
        <v>756</v>
      </c>
      <c r="E88" t="s">
        <v>757</v>
      </c>
      <c r="F88" t="s">
        <v>758</v>
      </c>
      <c r="G88" t="s">
        <v>120</v>
      </c>
      <c r="H88" t="s">
        <v>683</v>
      </c>
      <c r="I88" t="s">
        <v>759</v>
      </c>
      <c r="J88" t="s">
        <v>760</v>
      </c>
      <c r="K88" t="s">
        <v>761</v>
      </c>
      <c r="L88" t="s">
        <v>762</v>
      </c>
      <c r="M88" t="s">
        <v>763</v>
      </c>
      <c r="N88" t="s">
        <v>690</v>
      </c>
      <c r="O88" t="s">
        <v>1966</v>
      </c>
      <c r="P88" t="s">
        <v>1982</v>
      </c>
      <c r="Q88" t="s">
        <v>1971</v>
      </c>
      <c r="R88" t="s">
        <v>1976</v>
      </c>
      <c r="S88" t="s">
        <v>2073</v>
      </c>
      <c r="T88" t="s">
        <v>2220</v>
      </c>
      <c r="U88" t="s">
        <v>2221</v>
      </c>
      <c r="V88" t="s">
        <v>2344</v>
      </c>
    </row>
    <row r="89">
      <c r="A89" t="s">
        <v>2346</v>
      </c>
      <c r="F89" t="s">
        <v>764</v>
      </c>
      <c r="G89" t="s">
        <v>120</v>
      </c>
      <c r="H89" t="s">
        <v>758</v>
      </c>
      <c r="I89" t="s">
        <v>765</v>
      </c>
      <c r="J89" t="s">
        <v>766</v>
      </c>
      <c r="K89" t="s">
        <v>761</v>
      </c>
      <c r="L89" t="s">
        <v>767</v>
      </c>
      <c r="M89" t="s">
        <v>768</v>
      </c>
      <c r="N89" t="s">
        <v>690</v>
      </c>
      <c r="O89" t="s">
        <v>1966</v>
      </c>
      <c r="P89" t="s">
        <v>1982</v>
      </c>
      <c r="Q89" t="s">
        <v>1971</v>
      </c>
      <c r="R89" t="s">
        <v>1976</v>
      </c>
      <c r="S89" t="s">
        <v>2073</v>
      </c>
      <c r="T89" t="s">
        <v>2220</v>
      </c>
      <c r="U89" t="s">
        <v>2221</v>
      </c>
      <c r="V89" t="s">
        <v>2347</v>
      </c>
    </row>
    <row r="90">
      <c r="A90" t="s">
        <v>2349</v>
      </c>
      <c r="F90" t="s">
        <v>769</v>
      </c>
      <c r="G90" t="s">
        <v>120</v>
      </c>
      <c r="H90" t="s">
        <v>569</v>
      </c>
      <c r="I90" t="s">
        <v>770</v>
      </c>
      <c r="J90" t="s">
        <v>771</v>
      </c>
      <c r="K90" t="s">
        <v>725</v>
      </c>
      <c r="L90" t="s">
        <v>772</v>
      </c>
      <c r="M90" t="s">
        <v>773</v>
      </c>
      <c r="N90" t="s">
        <v>774</v>
      </c>
      <c r="O90" t="s">
        <v>1966</v>
      </c>
      <c r="P90" t="s">
        <v>1982</v>
      </c>
      <c r="Q90" t="s">
        <v>1971</v>
      </c>
      <c r="R90" t="s">
        <v>1976</v>
      </c>
      <c r="S90" t="s">
        <v>2073</v>
      </c>
      <c r="T90" t="s">
        <v>2220</v>
      </c>
      <c r="U90" t="s">
        <v>2221</v>
      </c>
      <c r="V90" t="s">
        <v>2350</v>
      </c>
    </row>
    <row r="91">
      <c r="A91" t="s">
        <v>2351</v>
      </c>
      <c r="F91" t="s">
        <v>775</v>
      </c>
      <c r="G91" t="s">
        <v>120</v>
      </c>
      <c r="H91" t="s">
        <v>776</v>
      </c>
      <c r="I91" t="s">
        <v>777</v>
      </c>
      <c r="J91" t="s">
        <v>778</v>
      </c>
      <c r="K91" t="s">
        <v>725</v>
      </c>
      <c r="L91" t="s">
        <v>779</v>
      </c>
      <c r="M91" t="s">
        <v>780</v>
      </c>
      <c r="N91" t="s">
        <v>690</v>
      </c>
      <c r="O91" t="s">
        <v>1966</v>
      </c>
      <c r="P91" t="s">
        <v>1982</v>
      </c>
      <c r="Q91" t="s">
        <v>1971</v>
      </c>
      <c r="R91" t="s">
        <v>1976</v>
      </c>
      <c r="S91" t="s">
        <v>2073</v>
      </c>
      <c r="T91" t="s">
        <v>2220</v>
      </c>
      <c r="U91" t="s">
        <v>2221</v>
      </c>
      <c r="V91" t="s">
        <v>2352</v>
      </c>
    </row>
    <row r="92">
      <c r="A92" t="s">
        <v>2354</v>
      </c>
      <c r="B92" t="s">
        <v>679</v>
      </c>
      <c r="C92" t="s">
        <v>680</v>
      </c>
      <c r="D92" t="s">
        <v>781</v>
      </c>
      <c r="E92" t="s">
        <v>782</v>
      </c>
      <c r="F92" t="s">
        <v>783</v>
      </c>
      <c r="G92" t="s">
        <v>120</v>
      </c>
      <c r="H92" t="s">
        <v>683</v>
      </c>
      <c r="I92" t="s">
        <v>784</v>
      </c>
      <c r="J92" t="s">
        <v>785</v>
      </c>
      <c r="K92" t="s">
        <v>786</v>
      </c>
      <c r="L92" t="s">
        <v>787</v>
      </c>
      <c r="M92" t="s">
        <v>788</v>
      </c>
      <c r="N92" t="s">
        <v>789</v>
      </c>
      <c r="O92" t="s">
        <v>1966</v>
      </c>
      <c r="P92" t="s">
        <v>1982</v>
      </c>
      <c r="Q92" t="s">
        <v>1971</v>
      </c>
      <c r="R92" t="s">
        <v>1976</v>
      </c>
      <c r="S92" t="s">
        <v>2073</v>
      </c>
      <c r="T92" t="s">
        <v>2220</v>
      </c>
      <c r="U92" t="s">
        <v>2221</v>
      </c>
      <c r="V92" t="s">
        <v>2355</v>
      </c>
    </row>
    <row r="93">
      <c r="A93" t="s">
        <v>2357</v>
      </c>
      <c r="F93" t="s">
        <v>790</v>
      </c>
      <c r="G93" t="s">
        <v>120</v>
      </c>
      <c r="H93" t="s">
        <v>783</v>
      </c>
      <c r="I93" t="s">
        <v>791</v>
      </c>
      <c r="J93" t="s">
        <v>792</v>
      </c>
      <c r="K93" t="s">
        <v>786</v>
      </c>
      <c r="L93" t="s">
        <v>793</v>
      </c>
      <c r="M93" t="s">
        <v>794</v>
      </c>
      <c r="N93" t="s">
        <v>789</v>
      </c>
      <c r="O93" t="s">
        <v>1966</v>
      </c>
      <c r="P93" t="s">
        <v>1982</v>
      </c>
      <c r="Q93" t="s">
        <v>1971</v>
      </c>
      <c r="R93" t="s">
        <v>1976</v>
      </c>
      <c r="S93" t="s">
        <v>2073</v>
      </c>
      <c r="T93" t="s">
        <v>2220</v>
      </c>
      <c r="U93" t="s">
        <v>2221</v>
      </c>
      <c r="V93" t="s">
        <v>2358</v>
      </c>
    </row>
    <row r="94">
      <c r="A94" t="s">
        <v>2360</v>
      </c>
      <c r="F94" t="s">
        <v>795</v>
      </c>
      <c r="G94" t="s">
        <v>120</v>
      </c>
      <c r="H94" t="s">
        <v>783</v>
      </c>
      <c r="I94" t="s">
        <v>796</v>
      </c>
      <c r="J94" t="s">
        <v>797</v>
      </c>
      <c r="K94" t="s">
        <v>786</v>
      </c>
      <c r="L94" t="s">
        <v>798</v>
      </c>
      <c r="M94" t="s">
        <v>799</v>
      </c>
      <c r="N94" t="s">
        <v>789</v>
      </c>
      <c r="O94" t="s">
        <v>1966</v>
      </c>
      <c r="P94" t="s">
        <v>1982</v>
      </c>
      <c r="Q94" t="s">
        <v>1971</v>
      </c>
      <c r="R94" t="s">
        <v>1976</v>
      </c>
      <c r="S94" t="s">
        <v>2073</v>
      </c>
      <c r="T94" t="s">
        <v>2220</v>
      </c>
      <c r="U94" t="s">
        <v>2221</v>
      </c>
      <c r="V94" t="s">
        <v>2361</v>
      </c>
    </row>
    <row r="95">
      <c r="A95" t="s">
        <v>2363</v>
      </c>
      <c r="F95" t="s">
        <v>800</v>
      </c>
      <c r="G95" t="s">
        <v>120</v>
      </c>
      <c r="H95" t="s">
        <v>758</v>
      </c>
      <c r="I95" t="s">
        <v>801</v>
      </c>
      <c r="J95" t="s">
        <v>802</v>
      </c>
      <c r="K95" t="s">
        <v>803</v>
      </c>
      <c r="L95" t="s">
        <v>804</v>
      </c>
      <c r="M95" t="s">
        <v>805</v>
      </c>
      <c r="N95" t="s">
        <v>789</v>
      </c>
      <c r="O95" t="s">
        <v>1966</v>
      </c>
      <c r="P95" t="s">
        <v>1982</v>
      </c>
      <c r="Q95" t="s">
        <v>1971</v>
      </c>
      <c r="R95" t="s">
        <v>1976</v>
      </c>
      <c r="S95" t="s">
        <v>2073</v>
      </c>
      <c r="T95" t="s">
        <v>2220</v>
      </c>
      <c r="U95" t="s">
        <v>2221</v>
      </c>
      <c r="V95" t="s">
        <v>2364</v>
      </c>
    </row>
    <row r="96">
      <c r="A96" t="s">
        <v>2366</v>
      </c>
      <c r="B96" t="s">
        <v>679</v>
      </c>
      <c r="C96" t="s">
        <v>680</v>
      </c>
      <c r="D96" t="s">
        <v>806</v>
      </c>
      <c r="E96" t="s">
        <v>807</v>
      </c>
      <c r="F96" t="s">
        <v>808</v>
      </c>
      <c r="G96" t="s">
        <v>120</v>
      </c>
      <c r="H96" t="s">
        <v>683</v>
      </c>
      <c r="I96" t="s">
        <v>809</v>
      </c>
      <c r="J96" t="s">
        <v>810</v>
      </c>
      <c r="K96" t="s">
        <v>811</v>
      </c>
      <c r="L96" t="s">
        <v>812</v>
      </c>
      <c r="M96" t="s">
        <v>813</v>
      </c>
      <c r="N96" t="s">
        <v>814</v>
      </c>
      <c r="O96" t="s">
        <v>1966</v>
      </c>
      <c r="P96" t="s">
        <v>1982</v>
      </c>
      <c r="Q96" t="s">
        <v>1971</v>
      </c>
      <c r="R96" t="s">
        <v>1976</v>
      </c>
      <c r="S96" t="s">
        <v>2073</v>
      </c>
      <c r="T96" t="s">
        <v>2220</v>
      </c>
      <c r="U96" t="s">
        <v>2221</v>
      </c>
      <c r="V96" t="s">
        <v>2367</v>
      </c>
    </row>
    <row r="97">
      <c r="A97" t="s">
        <v>2369</v>
      </c>
      <c r="F97" t="s">
        <v>815</v>
      </c>
      <c r="G97" t="s">
        <v>120</v>
      </c>
      <c r="H97" t="s">
        <v>808</v>
      </c>
      <c r="I97" t="s">
        <v>816</v>
      </c>
      <c r="J97" t="s">
        <v>817</v>
      </c>
      <c r="K97" t="s">
        <v>811</v>
      </c>
      <c r="L97" t="s">
        <v>818</v>
      </c>
      <c r="M97" t="s">
        <v>819</v>
      </c>
      <c r="N97" t="s">
        <v>814</v>
      </c>
      <c r="O97" t="s">
        <v>1966</v>
      </c>
      <c r="P97" t="s">
        <v>1982</v>
      </c>
      <c r="Q97" t="s">
        <v>1971</v>
      </c>
      <c r="R97" t="s">
        <v>1976</v>
      </c>
      <c r="S97" t="s">
        <v>2073</v>
      </c>
      <c r="T97" t="s">
        <v>2220</v>
      </c>
      <c r="U97" t="s">
        <v>2221</v>
      </c>
      <c r="V97" t="s">
        <v>2370</v>
      </c>
    </row>
    <row r="98">
      <c r="A98" t="s">
        <v>2372</v>
      </c>
      <c r="F98" t="s">
        <v>820</v>
      </c>
      <c r="G98" t="s">
        <v>120</v>
      </c>
      <c r="H98" t="s">
        <v>808</v>
      </c>
      <c r="I98" t="s">
        <v>821</v>
      </c>
      <c r="J98" t="s">
        <v>822</v>
      </c>
      <c r="K98" t="s">
        <v>811</v>
      </c>
      <c r="L98" t="s">
        <v>823</v>
      </c>
      <c r="M98" t="s">
        <v>824</v>
      </c>
      <c r="N98" t="s">
        <v>825</v>
      </c>
      <c r="O98" t="s">
        <v>1966</v>
      </c>
      <c r="P98" t="s">
        <v>1982</v>
      </c>
      <c r="Q98" t="s">
        <v>1971</v>
      </c>
      <c r="R98" t="s">
        <v>1976</v>
      </c>
      <c r="S98" t="s">
        <v>2073</v>
      </c>
      <c r="T98" t="s">
        <v>2220</v>
      </c>
      <c r="U98" t="s">
        <v>2221</v>
      </c>
      <c r="V98" t="s">
        <v>2373</v>
      </c>
    </row>
    <row r="99">
      <c r="A99" t="s">
        <v>2375</v>
      </c>
      <c r="F99" t="s">
        <v>826</v>
      </c>
      <c r="G99" t="s">
        <v>120</v>
      </c>
      <c r="H99" t="s">
        <v>827</v>
      </c>
      <c r="I99" t="s">
        <v>828</v>
      </c>
      <c r="J99" t="s">
        <v>829</v>
      </c>
      <c r="K99" t="s">
        <v>830</v>
      </c>
      <c r="L99" t="s">
        <v>831</v>
      </c>
      <c r="M99" t="s">
        <v>832</v>
      </c>
      <c r="N99" t="s">
        <v>833</v>
      </c>
      <c r="O99" t="s">
        <v>1966</v>
      </c>
      <c r="P99" t="s">
        <v>1982</v>
      </c>
      <c r="Q99" t="s">
        <v>1971</v>
      </c>
      <c r="R99" t="s">
        <v>1976</v>
      </c>
      <c r="S99" t="s">
        <v>2073</v>
      </c>
      <c r="T99" t="s">
        <v>2220</v>
      </c>
      <c r="U99" t="s">
        <v>2221</v>
      </c>
      <c r="V99" t="s">
        <v>2377</v>
      </c>
    </row>
    <row r="100">
      <c r="A100" t="s">
        <v>2378</v>
      </c>
      <c r="B100" t="s">
        <v>679</v>
      </c>
      <c r="C100" t="s">
        <v>680</v>
      </c>
      <c r="D100" t="s">
        <v>834</v>
      </c>
      <c r="E100" t="s">
        <v>835</v>
      </c>
      <c r="F100" t="s">
        <v>836</v>
      </c>
      <c r="G100" t="s">
        <v>120</v>
      </c>
      <c r="H100" t="s">
        <v>837</v>
      </c>
      <c r="I100" t="s">
        <v>838</v>
      </c>
      <c r="J100" t="s">
        <v>839</v>
      </c>
      <c r="K100" t="s">
        <v>840</v>
      </c>
      <c r="L100" t="s">
        <v>841</v>
      </c>
      <c r="M100" t="s">
        <v>842</v>
      </c>
      <c r="N100" t="s">
        <v>690</v>
      </c>
      <c r="O100" t="s">
        <v>1966</v>
      </c>
      <c r="P100" t="s">
        <v>1982</v>
      </c>
      <c r="Q100" t="s">
        <v>1971</v>
      </c>
      <c r="R100" t="s">
        <v>1976</v>
      </c>
      <c r="S100" t="s">
        <v>2073</v>
      </c>
      <c r="T100" t="s">
        <v>2220</v>
      </c>
      <c r="U100" t="s">
        <v>2221</v>
      </c>
      <c r="V100" t="s">
        <v>2380</v>
      </c>
    </row>
    <row r="101">
      <c r="A101" t="s">
        <v>2381</v>
      </c>
      <c r="F101" t="s">
        <v>843</v>
      </c>
      <c r="G101" t="s">
        <v>120</v>
      </c>
      <c r="H101" t="s">
        <v>844</v>
      </c>
      <c r="I101" t="s">
        <v>845</v>
      </c>
      <c r="J101" t="s">
        <v>846</v>
      </c>
      <c r="K101" t="s">
        <v>840</v>
      </c>
      <c r="L101" t="s">
        <v>847</v>
      </c>
      <c r="M101" t="s">
        <v>848</v>
      </c>
      <c r="N101" t="s">
        <v>849</v>
      </c>
      <c r="O101" t="s">
        <v>1966</v>
      </c>
      <c r="P101" t="s">
        <v>1982</v>
      </c>
      <c r="Q101" t="s">
        <v>1971</v>
      </c>
      <c r="R101" t="s">
        <v>1976</v>
      </c>
      <c r="S101" t="s">
        <v>2073</v>
      </c>
      <c r="T101" t="s">
        <v>2220</v>
      </c>
      <c r="U101" t="s">
        <v>2221</v>
      </c>
      <c r="V101" t="s">
        <v>2383</v>
      </c>
    </row>
    <row r="102">
      <c r="A102" t="s">
        <v>2384</v>
      </c>
      <c r="F102" t="s">
        <v>850</v>
      </c>
      <c r="G102" t="s">
        <v>120</v>
      </c>
      <c r="H102" t="s">
        <v>851</v>
      </c>
      <c r="I102" t="s">
        <v>852</v>
      </c>
      <c r="J102" t="s">
        <v>853</v>
      </c>
      <c r="K102" t="s">
        <v>854</v>
      </c>
      <c r="L102" t="s">
        <v>855</v>
      </c>
      <c r="M102" t="s">
        <v>856</v>
      </c>
      <c r="N102" t="s">
        <v>690</v>
      </c>
      <c r="O102" t="s">
        <v>1966</v>
      </c>
      <c r="P102" t="s">
        <v>1982</v>
      </c>
      <c r="Q102" t="s">
        <v>1971</v>
      </c>
      <c r="R102" t="s">
        <v>1976</v>
      </c>
      <c r="S102" t="s">
        <v>2073</v>
      </c>
      <c r="T102" t="s">
        <v>2220</v>
      </c>
      <c r="U102" t="s">
        <v>2221</v>
      </c>
      <c r="V102" t="s">
        <v>2385</v>
      </c>
    </row>
    <row r="103">
      <c r="A103" t="s">
        <v>2387</v>
      </c>
      <c r="F103" t="s">
        <v>857</v>
      </c>
      <c r="G103" t="s">
        <v>120</v>
      </c>
      <c r="H103" t="s">
        <v>836</v>
      </c>
      <c r="I103" t="s">
        <v>858</v>
      </c>
      <c r="J103" t="s">
        <v>859</v>
      </c>
      <c r="K103" t="s">
        <v>840</v>
      </c>
      <c r="L103" t="s">
        <v>860</v>
      </c>
      <c r="M103" t="s">
        <v>861</v>
      </c>
      <c r="N103" t="s">
        <v>690</v>
      </c>
      <c r="O103" t="s">
        <v>1966</v>
      </c>
      <c r="P103" t="s">
        <v>1982</v>
      </c>
      <c r="Q103" t="s">
        <v>1971</v>
      </c>
      <c r="R103" t="s">
        <v>1976</v>
      </c>
      <c r="S103" t="s">
        <v>2073</v>
      </c>
      <c r="T103" t="s">
        <v>2220</v>
      </c>
      <c r="U103" t="s">
        <v>2221</v>
      </c>
      <c r="V103" t="s">
        <v>2388</v>
      </c>
    </row>
    <row r="104">
      <c r="A104" t="s">
        <v>2390</v>
      </c>
      <c r="B104" t="s">
        <v>679</v>
      </c>
      <c r="C104" t="s">
        <v>680</v>
      </c>
      <c r="D104" t="s">
        <v>862</v>
      </c>
      <c r="E104" t="s">
        <v>863</v>
      </c>
      <c r="F104" t="s">
        <v>864</v>
      </c>
      <c r="G104" t="s">
        <v>120</v>
      </c>
      <c r="H104" t="s">
        <v>865</v>
      </c>
      <c r="I104" t="s">
        <v>866</v>
      </c>
      <c r="J104" t="s">
        <v>867</v>
      </c>
      <c r="K104" t="s">
        <v>786</v>
      </c>
      <c r="L104" t="s">
        <v>868</v>
      </c>
      <c r="M104" t="s">
        <v>869</v>
      </c>
      <c r="N104" t="s">
        <v>789</v>
      </c>
      <c r="O104" t="s">
        <v>1966</v>
      </c>
      <c r="P104" t="s">
        <v>1982</v>
      </c>
      <c r="Q104" t="s">
        <v>1971</v>
      </c>
      <c r="R104" t="s">
        <v>1976</v>
      </c>
      <c r="S104" t="s">
        <v>2073</v>
      </c>
      <c r="T104" t="s">
        <v>2220</v>
      </c>
      <c r="U104" t="s">
        <v>2221</v>
      </c>
      <c r="V104" t="s">
        <v>2391</v>
      </c>
    </row>
    <row r="105">
      <c r="A105" t="s">
        <v>2393</v>
      </c>
      <c r="F105" t="s">
        <v>870</v>
      </c>
      <c r="G105" t="s">
        <v>120</v>
      </c>
      <c r="H105" t="s">
        <v>871</v>
      </c>
      <c r="I105" t="s">
        <v>872</v>
      </c>
      <c r="J105" t="s">
        <v>873</v>
      </c>
      <c r="K105" t="s">
        <v>786</v>
      </c>
      <c r="L105" t="s">
        <v>874</v>
      </c>
      <c r="M105" t="s">
        <v>875</v>
      </c>
      <c r="N105" t="s">
        <v>876</v>
      </c>
      <c r="O105" t="s">
        <v>1966</v>
      </c>
      <c r="P105" t="s">
        <v>1982</v>
      </c>
      <c r="Q105" t="s">
        <v>1971</v>
      </c>
      <c r="R105" t="s">
        <v>1976</v>
      </c>
      <c r="S105" t="s">
        <v>2073</v>
      </c>
      <c r="T105" t="s">
        <v>2220</v>
      </c>
      <c r="U105" t="s">
        <v>2221</v>
      </c>
      <c r="V105" t="s">
        <v>2394</v>
      </c>
    </row>
    <row r="106">
      <c r="A106" t="s">
        <v>2396</v>
      </c>
      <c r="F106" t="s">
        <v>877</v>
      </c>
      <c r="G106" t="s">
        <v>120</v>
      </c>
      <c r="H106" t="s">
        <v>783</v>
      </c>
      <c r="I106" t="s">
        <v>878</v>
      </c>
      <c r="J106" t="s">
        <v>879</v>
      </c>
      <c r="K106" t="s">
        <v>786</v>
      </c>
      <c r="L106" t="s">
        <v>880</v>
      </c>
      <c r="M106" t="s">
        <v>881</v>
      </c>
      <c r="N106" t="s">
        <v>789</v>
      </c>
      <c r="O106" t="s">
        <v>1966</v>
      </c>
      <c r="P106" t="s">
        <v>1982</v>
      </c>
      <c r="Q106" t="s">
        <v>1971</v>
      </c>
      <c r="R106" t="s">
        <v>1976</v>
      </c>
      <c r="S106" t="s">
        <v>2073</v>
      </c>
      <c r="T106" t="s">
        <v>2220</v>
      </c>
      <c r="U106" t="s">
        <v>2221</v>
      </c>
      <c r="V106" t="s">
        <v>2397</v>
      </c>
    </row>
    <row r="107">
      <c r="A107" t="s">
        <v>2399</v>
      </c>
      <c r="F107" t="s">
        <v>882</v>
      </c>
      <c r="G107" t="s">
        <v>120</v>
      </c>
      <c r="H107" t="s">
        <v>883</v>
      </c>
      <c r="I107" t="s">
        <v>884</v>
      </c>
      <c r="J107" t="s">
        <v>885</v>
      </c>
      <c r="K107" t="s">
        <v>786</v>
      </c>
      <c r="L107" t="s">
        <v>886</v>
      </c>
      <c r="M107" t="s">
        <v>887</v>
      </c>
      <c r="N107" t="s">
        <v>888</v>
      </c>
      <c r="O107" t="s">
        <v>1966</v>
      </c>
      <c r="P107" t="s">
        <v>1982</v>
      </c>
      <c r="Q107" t="s">
        <v>1971</v>
      </c>
      <c r="R107" t="s">
        <v>1976</v>
      </c>
      <c r="S107" t="s">
        <v>2073</v>
      </c>
      <c r="T107" t="s">
        <v>2220</v>
      </c>
      <c r="U107" t="s">
        <v>2221</v>
      </c>
      <c r="V107" t="s">
        <v>2400</v>
      </c>
    </row>
    <row r="108">
      <c r="A108" t="s">
        <v>2402</v>
      </c>
      <c r="F108" t="s">
        <v>889</v>
      </c>
      <c r="G108" t="s">
        <v>120</v>
      </c>
      <c r="H108" t="s">
        <v>890</v>
      </c>
      <c r="I108" t="s">
        <v>891</v>
      </c>
      <c r="J108" t="s">
        <v>892</v>
      </c>
      <c r="K108" t="s">
        <v>893</v>
      </c>
      <c r="L108" t="s">
        <v>894</v>
      </c>
      <c r="M108" t="s">
        <v>895</v>
      </c>
      <c r="N108" t="s">
        <v>896</v>
      </c>
      <c r="O108" t="s">
        <v>1966</v>
      </c>
      <c r="P108" t="s">
        <v>1982</v>
      </c>
      <c r="Q108" t="s">
        <v>1971</v>
      </c>
      <c r="R108" t="s">
        <v>1976</v>
      </c>
      <c r="S108" t="s">
        <v>2073</v>
      </c>
      <c r="T108" t="s">
        <v>2220</v>
      </c>
      <c r="U108" t="s">
        <v>2221</v>
      </c>
      <c r="V108" t="s">
        <v>2403</v>
      </c>
    </row>
    <row r="109">
      <c r="A109" t="s">
        <v>2405</v>
      </c>
      <c r="B109" t="s">
        <v>679</v>
      </c>
      <c r="C109" t="s">
        <v>680</v>
      </c>
      <c r="D109" t="s">
        <v>897</v>
      </c>
      <c r="E109" t="s">
        <v>898</v>
      </c>
      <c r="F109" t="s">
        <v>899</v>
      </c>
      <c r="G109" t="s">
        <v>120</v>
      </c>
      <c r="H109" t="s">
        <v>618</v>
      </c>
      <c r="I109" t="s">
        <v>900</v>
      </c>
      <c r="J109" t="s">
        <v>901</v>
      </c>
      <c r="K109" t="s">
        <v>902</v>
      </c>
      <c r="L109" t="s">
        <v>903</v>
      </c>
      <c r="M109" t="s">
        <v>904</v>
      </c>
      <c r="N109" t="s">
        <v>905</v>
      </c>
      <c r="O109" t="s">
        <v>1966</v>
      </c>
      <c r="P109" t="s">
        <v>1982</v>
      </c>
      <c r="Q109" t="s">
        <v>1971</v>
      </c>
      <c r="R109" t="s">
        <v>1976</v>
      </c>
      <c r="S109" t="s">
        <v>2073</v>
      </c>
      <c r="T109" t="s">
        <v>2220</v>
      </c>
      <c r="U109" t="s">
        <v>2221</v>
      </c>
      <c r="V109" t="s">
        <v>2406</v>
      </c>
    </row>
    <row r="110">
      <c r="A110" t="s">
        <v>2408</v>
      </c>
      <c r="F110" t="s">
        <v>906</v>
      </c>
      <c r="G110" t="s">
        <v>120</v>
      </c>
      <c r="H110" t="s">
        <v>907</v>
      </c>
      <c r="I110" t="s">
        <v>908</v>
      </c>
      <c r="J110" t="s">
        <v>909</v>
      </c>
      <c r="K110" t="s">
        <v>902</v>
      </c>
      <c r="L110" t="s">
        <v>910</v>
      </c>
      <c r="M110" t="s">
        <v>911</v>
      </c>
      <c r="N110" t="s">
        <v>905</v>
      </c>
      <c r="O110" t="s">
        <v>1966</v>
      </c>
      <c r="P110" t="s">
        <v>1982</v>
      </c>
      <c r="Q110" t="s">
        <v>1971</v>
      </c>
      <c r="R110" t="s">
        <v>1976</v>
      </c>
      <c r="S110" t="s">
        <v>2073</v>
      </c>
      <c r="T110" t="s">
        <v>2220</v>
      </c>
      <c r="U110" t="s">
        <v>2221</v>
      </c>
      <c r="V110" t="s">
        <v>2409</v>
      </c>
    </row>
    <row r="111">
      <c r="A111" t="s">
        <v>2411</v>
      </c>
      <c r="F111" t="s">
        <v>912</v>
      </c>
      <c r="G111" t="s">
        <v>120</v>
      </c>
      <c r="H111" t="s">
        <v>913</v>
      </c>
      <c r="I111" t="s">
        <v>914</v>
      </c>
      <c r="J111" t="s">
        <v>915</v>
      </c>
      <c r="K111" t="s">
        <v>902</v>
      </c>
      <c r="L111" t="s">
        <v>916</v>
      </c>
      <c r="M111" t="s">
        <v>917</v>
      </c>
      <c r="N111" t="s">
        <v>918</v>
      </c>
      <c r="O111" t="s">
        <v>1966</v>
      </c>
      <c r="P111" t="s">
        <v>1982</v>
      </c>
      <c r="Q111" t="s">
        <v>1971</v>
      </c>
      <c r="R111" t="s">
        <v>1976</v>
      </c>
      <c r="S111" t="s">
        <v>2073</v>
      </c>
      <c r="T111" t="s">
        <v>2220</v>
      </c>
      <c r="U111" t="s">
        <v>2221</v>
      </c>
      <c r="V111" t="s">
        <v>2413</v>
      </c>
    </row>
    <row r="112">
      <c r="A112" t="s">
        <v>2414</v>
      </c>
      <c r="F112" t="s">
        <v>919</v>
      </c>
      <c r="G112" t="s">
        <v>120</v>
      </c>
      <c r="H112" t="s">
        <v>119</v>
      </c>
      <c r="I112" t="s">
        <v>920</v>
      </c>
      <c r="J112" t="s">
        <v>921</v>
      </c>
      <c r="K112" t="s">
        <v>902</v>
      </c>
      <c r="L112" t="s">
        <v>922</v>
      </c>
      <c r="M112" t="s">
        <v>923</v>
      </c>
      <c r="N112" t="s">
        <v>924</v>
      </c>
      <c r="O112" t="s">
        <v>1966</v>
      </c>
      <c r="P112" t="s">
        <v>1982</v>
      </c>
      <c r="Q112" t="s">
        <v>1971</v>
      </c>
      <c r="R112" t="s">
        <v>1976</v>
      </c>
      <c r="S112" t="s">
        <v>2073</v>
      </c>
      <c r="T112" t="s">
        <v>2220</v>
      </c>
      <c r="U112" t="s">
        <v>2221</v>
      </c>
      <c r="V112" t="s">
        <v>2416</v>
      </c>
    </row>
    <row r="113">
      <c r="A113" t="s">
        <v>2417</v>
      </c>
      <c r="F113" t="s">
        <v>925</v>
      </c>
      <c r="G113" t="s">
        <v>120</v>
      </c>
      <c r="H113" t="s">
        <v>926</v>
      </c>
      <c r="I113" t="s">
        <v>927</v>
      </c>
      <c r="J113" t="s">
        <v>928</v>
      </c>
      <c r="K113" t="s">
        <v>929</v>
      </c>
      <c r="L113" t="s">
        <v>930</v>
      </c>
      <c r="M113" t="s">
        <v>931</v>
      </c>
      <c r="N113" t="s">
        <v>932</v>
      </c>
      <c r="O113" t="s">
        <v>1966</v>
      </c>
      <c r="P113" t="s">
        <v>1982</v>
      </c>
      <c r="Q113" t="s">
        <v>1971</v>
      </c>
      <c r="R113" t="s">
        <v>1976</v>
      </c>
      <c r="S113" t="s">
        <v>2073</v>
      </c>
      <c r="T113" t="s">
        <v>2220</v>
      </c>
      <c r="U113" t="s">
        <v>2221</v>
      </c>
      <c r="V113" t="s">
        <v>2418</v>
      </c>
    </row>
    <row r="114">
      <c r="A114" t="s">
        <v>2420</v>
      </c>
      <c r="B114" t="s">
        <v>679</v>
      </c>
      <c r="C114" t="s">
        <v>680</v>
      </c>
      <c r="D114" t="s">
        <v>933</v>
      </c>
      <c r="E114" t="s">
        <v>934</v>
      </c>
      <c r="F114" t="s">
        <v>935</v>
      </c>
      <c r="G114" t="s">
        <v>120</v>
      </c>
      <c r="H114" t="s">
        <v>808</v>
      </c>
      <c r="I114" t="s">
        <v>936</v>
      </c>
      <c r="J114" t="s">
        <v>937</v>
      </c>
      <c r="K114" t="s">
        <v>811</v>
      </c>
      <c r="L114" t="s">
        <v>938</v>
      </c>
      <c r="M114" t="s">
        <v>939</v>
      </c>
      <c r="N114" t="s">
        <v>814</v>
      </c>
      <c r="O114" t="s">
        <v>1966</v>
      </c>
      <c r="P114" t="s">
        <v>1982</v>
      </c>
      <c r="Q114" t="s">
        <v>1971</v>
      </c>
      <c r="R114" t="s">
        <v>1976</v>
      </c>
      <c r="S114" t="s">
        <v>2073</v>
      </c>
      <c r="T114" t="s">
        <v>2220</v>
      </c>
      <c r="U114" t="s">
        <v>2221</v>
      </c>
      <c r="V114" t="s">
        <v>2421</v>
      </c>
    </row>
    <row r="115">
      <c r="A115" t="s">
        <v>2423</v>
      </c>
      <c r="F115" t="s">
        <v>940</v>
      </c>
      <c r="G115" t="s">
        <v>120</v>
      </c>
      <c r="H115" t="s">
        <v>941</v>
      </c>
      <c r="I115" t="s">
        <v>942</v>
      </c>
      <c r="J115" t="s">
        <v>943</v>
      </c>
      <c r="K115" t="s">
        <v>811</v>
      </c>
      <c r="L115" t="s">
        <v>944</v>
      </c>
      <c r="M115" t="s">
        <v>945</v>
      </c>
      <c r="N115" t="s">
        <v>814</v>
      </c>
      <c r="O115" t="s">
        <v>1966</v>
      </c>
      <c r="P115" t="s">
        <v>1982</v>
      </c>
      <c r="Q115" t="s">
        <v>1971</v>
      </c>
      <c r="R115" t="s">
        <v>1976</v>
      </c>
      <c r="S115" t="s">
        <v>2073</v>
      </c>
      <c r="T115" t="s">
        <v>2220</v>
      </c>
      <c r="U115" t="s">
        <v>2221</v>
      </c>
      <c r="V115" t="s">
        <v>2424</v>
      </c>
    </row>
    <row r="116">
      <c r="A116" t="s">
        <v>2426</v>
      </c>
      <c r="F116" t="s">
        <v>946</v>
      </c>
      <c r="G116" t="s">
        <v>120</v>
      </c>
      <c r="H116" t="s">
        <v>947</v>
      </c>
      <c r="I116" t="s">
        <v>948</v>
      </c>
      <c r="J116" t="s">
        <v>949</v>
      </c>
      <c r="K116" t="s">
        <v>811</v>
      </c>
      <c r="L116" t="s">
        <v>950</v>
      </c>
      <c r="M116" t="s">
        <v>951</v>
      </c>
      <c r="N116" t="s">
        <v>952</v>
      </c>
      <c r="O116" t="s">
        <v>1966</v>
      </c>
      <c r="P116" t="s">
        <v>1982</v>
      </c>
      <c r="Q116" t="s">
        <v>1971</v>
      </c>
      <c r="R116" t="s">
        <v>1976</v>
      </c>
      <c r="S116" t="s">
        <v>2073</v>
      </c>
      <c r="T116" t="s">
        <v>2220</v>
      </c>
      <c r="U116" t="s">
        <v>2221</v>
      </c>
      <c r="V116" t="s">
        <v>2428</v>
      </c>
    </row>
    <row r="117">
      <c r="A117" t="s">
        <v>2429</v>
      </c>
      <c r="F117" t="s">
        <v>953</v>
      </c>
      <c r="G117" t="s">
        <v>120</v>
      </c>
      <c r="H117" t="s">
        <v>119</v>
      </c>
      <c r="I117" t="s">
        <v>954</v>
      </c>
      <c r="J117" t="s">
        <v>955</v>
      </c>
      <c r="K117" t="s">
        <v>811</v>
      </c>
      <c r="L117" t="s">
        <v>956</v>
      </c>
      <c r="M117" t="s">
        <v>923</v>
      </c>
      <c r="N117" t="s">
        <v>957</v>
      </c>
      <c r="O117" t="s">
        <v>1966</v>
      </c>
      <c r="P117" t="s">
        <v>1982</v>
      </c>
      <c r="Q117" t="s">
        <v>1971</v>
      </c>
      <c r="R117" t="s">
        <v>1976</v>
      </c>
      <c r="S117" t="s">
        <v>2073</v>
      </c>
      <c r="T117" t="s">
        <v>2220</v>
      </c>
      <c r="U117" t="s">
        <v>2221</v>
      </c>
      <c r="V117" t="s">
        <v>2416</v>
      </c>
    </row>
    <row r="118">
      <c r="A118" t="s">
        <v>2431</v>
      </c>
      <c r="B118" t="s">
        <v>958</v>
      </c>
      <c r="C118" t="s">
        <v>959</v>
      </c>
      <c r="D118" t="s">
        <v>960</v>
      </c>
      <c r="E118" t="s">
        <v>961</v>
      </c>
      <c r="F118" t="s">
        <v>962</v>
      </c>
      <c r="G118" t="s">
        <v>154</v>
      </c>
      <c r="H118" t="s">
        <v>963</v>
      </c>
      <c r="I118" t="s">
        <v>964</v>
      </c>
      <c r="J118" t="s">
        <v>2433</v>
      </c>
      <c r="K118" t="s">
        <v>966</v>
      </c>
      <c r="L118" t="s">
        <v>967</v>
      </c>
      <c r="M118" t="s">
        <v>968</v>
      </c>
      <c r="N118" t="s">
        <v>969</v>
      </c>
      <c r="O118" t="s">
        <v>1967</v>
      </c>
      <c r="P118" t="s">
        <v>1984</v>
      </c>
      <c r="Q118" t="s">
        <v>1972</v>
      </c>
      <c r="R118" t="s">
        <v>1976</v>
      </c>
      <c r="S118" t="s">
        <v>2073</v>
      </c>
      <c r="T118" t="s">
        <v>2435</v>
      </c>
      <c r="U118" t="s">
        <v>2436</v>
      </c>
      <c r="V118" t="s">
        <v>2437</v>
      </c>
    </row>
    <row r="119">
      <c r="A119" t="s">
        <v>2439</v>
      </c>
      <c r="B119" t="s">
        <v>958</v>
      </c>
      <c r="C119" t="s">
        <v>970</v>
      </c>
      <c r="D119" t="s">
        <v>971</v>
      </c>
      <c r="E119" t="s">
        <v>972</v>
      </c>
      <c r="F119" t="s">
        <v>973</v>
      </c>
      <c r="G119" t="s">
        <v>154</v>
      </c>
      <c r="H119" t="s">
        <v>974</v>
      </c>
      <c r="I119" t="s">
        <v>975</v>
      </c>
      <c r="J119" t="s">
        <v>976</v>
      </c>
      <c r="K119" t="s">
        <v>977</v>
      </c>
      <c r="L119" t="s">
        <v>978</v>
      </c>
      <c r="M119" t="s">
        <v>979</v>
      </c>
      <c r="N119" t="s">
        <v>980</v>
      </c>
      <c r="O119" t="s">
        <v>1967</v>
      </c>
      <c r="P119" t="s">
        <v>1984</v>
      </c>
      <c r="Q119" t="s">
        <v>1972</v>
      </c>
      <c r="R119" t="s">
        <v>1976</v>
      </c>
      <c r="S119" t="s">
        <v>2073</v>
      </c>
      <c r="T119" t="s">
        <v>2435</v>
      </c>
      <c r="U119" t="s">
        <v>2436</v>
      </c>
      <c r="V119" t="s">
        <v>2440</v>
      </c>
    </row>
    <row r="120">
      <c r="A120" t="s">
        <v>2446</v>
      </c>
      <c r="F120" t="s">
        <v>981</v>
      </c>
      <c r="G120" t="s">
        <v>154</v>
      </c>
      <c r="H120" t="s">
        <v>982</v>
      </c>
      <c r="I120" t="s">
        <v>983</v>
      </c>
      <c r="J120" t="s">
        <v>984</v>
      </c>
      <c r="K120" t="s">
        <v>977</v>
      </c>
      <c r="L120" t="s">
        <v>985</v>
      </c>
      <c r="M120" t="s">
        <v>986</v>
      </c>
      <c r="N120" t="s">
        <v>980</v>
      </c>
      <c r="O120" t="s">
        <v>1967</v>
      </c>
      <c r="P120" t="s">
        <v>1984</v>
      </c>
      <c r="Q120" t="s">
        <v>1972</v>
      </c>
      <c r="R120" t="s">
        <v>1976</v>
      </c>
      <c r="S120" t="s">
        <v>2073</v>
      </c>
      <c r="T120" t="s">
        <v>2435</v>
      </c>
      <c r="U120" t="s">
        <v>2436</v>
      </c>
      <c r="V120" t="s">
        <v>2447</v>
      </c>
    </row>
    <row r="121">
      <c r="A121" t="s">
        <v>2449</v>
      </c>
      <c r="F121" t="s">
        <v>987</v>
      </c>
      <c r="G121" t="s">
        <v>154</v>
      </c>
      <c r="H121" t="s">
        <v>988</v>
      </c>
      <c r="I121" t="s">
        <v>989</v>
      </c>
      <c r="J121" t="s">
        <v>990</v>
      </c>
      <c r="K121" t="s">
        <v>977</v>
      </c>
      <c r="L121" t="s">
        <v>991</v>
      </c>
      <c r="M121" t="s">
        <v>992</v>
      </c>
      <c r="N121" t="s">
        <v>980</v>
      </c>
      <c r="O121" t="s">
        <v>1967</v>
      </c>
      <c r="P121" t="s">
        <v>1984</v>
      </c>
      <c r="Q121" t="s">
        <v>1972</v>
      </c>
      <c r="R121" t="s">
        <v>1976</v>
      </c>
      <c r="S121" t="s">
        <v>2073</v>
      </c>
      <c r="T121" t="s">
        <v>2435</v>
      </c>
      <c r="U121" t="s">
        <v>2436</v>
      </c>
      <c r="V121" t="s">
        <v>2450</v>
      </c>
    </row>
    <row r="122">
      <c r="A122" t="s">
        <v>2452</v>
      </c>
      <c r="F122" t="s">
        <v>993</v>
      </c>
      <c r="G122" t="s">
        <v>120</v>
      </c>
      <c r="H122" t="s">
        <v>994</v>
      </c>
      <c r="I122" t="s">
        <v>995</v>
      </c>
      <c r="J122" t="s">
        <v>996</v>
      </c>
      <c r="K122" t="s">
        <v>997</v>
      </c>
      <c r="L122" t="s">
        <v>998</v>
      </c>
      <c r="M122" t="s">
        <v>999</v>
      </c>
      <c r="N122" t="s">
        <v>1000</v>
      </c>
      <c r="O122" t="s">
        <v>1967</v>
      </c>
      <c r="P122" t="s">
        <v>1984</v>
      </c>
      <c r="Q122" t="s">
        <v>1972</v>
      </c>
      <c r="R122" t="s">
        <v>1976</v>
      </c>
      <c r="S122" t="s">
        <v>2073</v>
      </c>
      <c r="T122" t="s">
        <v>2435</v>
      </c>
      <c r="U122" t="s">
        <v>2436</v>
      </c>
      <c r="V122" t="s">
        <v>2453</v>
      </c>
    </row>
    <row r="123">
      <c r="A123" t="s">
        <v>2455</v>
      </c>
      <c r="F123" t="s">
        <v>1001</v>
      </c>
      <c r="G123" t="s">
        <v>120</v>
      </c>
      <c r="H123" t="s">
        <v>1002</v>
      </c>
      <c r="I123" t="s">
        <v>1003</v>
      </c>
      <c r="J123" t="s">
        <v>1004</v>
      </c>
      <c r="K123" t="s">
        <v>977</v>
      </c>
      <c r="L123" t="s">
        <v>1005</v>
      </c>
      <c r="M123" t="s">
        <v>1006</v>
      </c>
      <c r="N123" t="s">
        <v>980</v>
      </c>
      <c r="O123" t="s">
        <v>1967</v>
      </c>
      <c r="P123" t="s">
        <v>1984</v>
      </c>
      <c r="Q123" t="s">
        <v>1972</v>
      </c>
      <c r="R123" t="s">
        <v>1976</v>
      </c>
      <c r="S123" t="s">
        <v>2073</v>
      </c>
      <c r="T123" t="s">
        <v>2435</v>
      </c>
      <c r="U123" t="s">
        <v>2436</v>
      </c>
      <c r="V123" t="s">
        <v>2456</v>
      </c>
    </row>
    <row r="124">
      <c r="A124" t="s">
        <v>2458</v>
      </c>
      <c r="F124" t="s">
        <v>1007</v>
      </c>
      <c r="G124" t="s">
        <v>120</v>
      </c>
      <c r="H124" t="s">
        <v>1008</v>
      </c>
      <c r="I124" t="s">
        <v>1009</v>
      </c>
      <c r="J124" t="s">
        <v>1010</v>
      </c>
      <c r="K124" t="s">
        <v>977</v>
      </c>
      <c r="L124" t="s">
        <v>1011</v>
      </c>
      <c r="M124" t="s">
        <v>1012</v>
      </c>
      <c r="N124" t="s">
        <v>980</v>
      </c>
      <c r="O124" t="s">
        <v>1967</v>
      </c>
      <c r="P124" t="s">
        <v>1984</v>
      </c>
      <c r="Q124" t="s">
        <v>1972</v>
      </c>
      <c r="R124" t="s">
        <v>1976</v>
      </c>
      <c r="S124" t="s">
        <v>2073</v>
      </c>
      <c r="T124" t="s">
        <v>2435</v>
      </c>
      <c r="U124" t="s">
        <v>2436</v>
      </c>
      <c r="V124" t="s">
        <v>2459</v>
      </c>
    </row>
    <row r="125">
      <c r="A125" t="s">
        <v>2461</v>
      </c>
      <c r="B125" t="s">
        <v>958</v>
      </c>
      <c r="C125" t="s">
        <v>970</v>
      </c>
      <c r="D125" t="s">
        <v>1013</v>
      </c>
      <c r="E125" t="s">
        <v>1014</v>
      </c>
      <c r="F125" t="s">
        <v>1015</v>
      </c>
      <c r="G125" t="s">
        <v>154</v>
      </c>
      <c r="H125" t="s">
        <v>1016</v>
      </c>
      <c r="I125" t="s">
        <v>1017</v>
      </c>
      <c r="J125" t="s">
        <v>1018</v>
      </c>
      <c r="K125" t="s">
        <v>977</v>
      </c>
      <c r="L125" t="s">
        <v>1019</v>
      </c>
      <c r="M125" t="s">
        <v>1020</v>
      </c>
      <c r="N125" t="s">
        <v>1021</v>
      </c>
      <c r="O125" t="s">
        <v>1967</v>
      </c>
      <c r="P125" t="s">
        <v>1984</v>
      </c>
      <c r="Q125" t="s">
        <v>1972</v>
      </c>
      <c r="R125" t="s">
        <v>1976</v>
      </c>
      <c r="S125" t="s">
        <v>2073</v>
      </c>
      <c r="T125" t="s">
        <v>2435</v>
      </c>
      <c r="U125" t="s">
        <v>2436</v>
      </c>
      <c r="V125" t="s">
        <v>2462</v>
      </c>
    </row>
    <row r="126">
      <c r="A126" t="s">
        <v>2464</v>
      </c>
      <c r="F126" t="s">
        <v>1022</v>
      </c>
      <c r="G126" t="s">
        <v>120</v>
      </c>
      <c r="H126" t="s">
        <v>1023</v>
      </c>
      <c r="I126" t="s">
        <v>1024</v>
      </c>
      <c r="J126" t="s">
        <v>1025</v>
      </c>
      <c r="K126" t="s">
        <v>997</v>
      </c>
      <c r="L126" t="s">
        <v>1026</v>
      </c>
      <c r="M126" t="s">
        <v>1027</v>
      </c>
      <c r="N126" t="s">
        <v>1028</v>
      </c>
      <c r="O126" t="s">
        <v>1967</v>
      </c>
      <c r="P126" t="s">
        <v>1984</v>
      </c>
      <c r="Q126" t="s">
        <v>1972</v>
      </c>
      <c r="R126" t="s">
        <v>1976</v>
      </c>
      <c r="S126" t="s">
        <v>2073</v>
      </c>
      <c r="T126" t="s">
        <v>2435</v>
      </c>
      <c r="U126" t="s">
        <v>2436</v>
      </c>
      <c r="V126" t="s">
        <v>2465</v>
      </c>
    </row>
    <row r="127">
      <c r="A127" t="s">
        <v>2467</v>
      </c>
      <c r="F127" t="s">
        <v>1029</v>
      </c>
      <c r="G127" t="s">
        <v>154</v>
      </c>
      <c r="H127" t="s">
        <v>2468</v>
      </c>
      <c r="I127" t="s">
        <v>1031</v>
      </c>
      <c r="J127" t="s">
        <v>1032</v>
      </c>
      <c r="K127" t="s">
        <v>977</v>
      </c>
      <c r="L127" t="s">
        <v>1033</v>
      </c>
      <c r="M127" t="s">
        <v>1034</v>
      </c>
      <c r="N127" t="s">
        <v>1021</v>
      </c>
      <c r="O127" t="s">
        <v>1967</v>
      </c>
      <c r="P127" t="s">
        <v>1984</v>
      </c>
      <c r="Q127" t="s">
        <v>1972</v>
      </c>
      <c r="R127" t="s">
        <v>1976</v>
      </c>
      <c r="S127" t="s">
        <v>2073</v>
      </c>
      <c r="T127" t="s">
        <v>2435</v>
      </c>
      <c r="U127" t="s">
        <v>2436</v>
      </c>
      <c r="V127" t="s">
        <v>2469</v>
      </c>
    </row>
    <row r="128">
      <c r="A128" t="s">
        <v>2471</v>
      </c>
      <c r="F128" t="s">
        <v>1035</v>
      </c>
      <c r="G128" t="s">
        <v>120</v>
      </c>
      <c r="H128" t="s">
        <v>1036</v>
      </c>
      <c r="I128" t="s">
        <v>1037</v>
      </c>
      <c r="J128" t="s">
        <v>1038</v>
      </c>
      <c r="K128" t="s">
        <v>997</v>
      </c>
      <c r="L128" t="s">
        <v>1039</v>
      </c>
      <c r="M128" t="s">
        <v>1040</v>
      </c>
      <c r="N128" t="s">
        <v>1028</v>
      </c>
      <c r="O128" t="s">
        <v>1967</v>
      </c>
      <c r="P128" t="s">
        <v>1984</v>
      </c>
      <c r="Q128" t="s">
        <v>1972</v>
      </c>
      <c r="R128" t="s">
        <v>1976</v>
      </c>
      <c r="S128" t="s">
        <v>2073</v>
      </c>
      <c r="T128" t="s">
        <v>2435</v>
      </c>
      <c r="U128" t="s">
        <v>2436</v>
      </c>
      <c r="V128" t="s">
        <v>2472</v>
      </c>
    </row>
    <row r="129">
      <c r="A129" t="s">
        <v>2474</v>
      </c>
      <c r="B129" t="s">
        <v>958</v>
      </c>
      <c r="C129" t="s">
        <v>970</v>
      </c>
      <c r="D129" t="s">
        <v>1041</v>
      </c>
      <c r="E129" t="s">
        <v>1042</v>
      </c>
      <c r="F129" t="s">
        <v>1043</v>
      </c>
      <c r="G129" t="s">
        <v>120</v>
      </c>
      <c r="H129" t="s">
        <v>1044</v>
      </c>
      <c r="I129" t="s">
        <v>1045</v>
      </c>
      <c r="J129" t="s">
        <v>1046</v>
      </c>
      <c r="K129" t="s">
        <v>977</v>
      </c>
      <c r="L129" t="s">
        <v>1047</v>
      </c>
      <c r="M129" t="s">
        <v>1048</v>
      </c>
      <c r="N129" t="s">
        <v>1049</v>
      </c>
      <c r="O129" t="s">
        <v>1967</v>
      </c>
      <c r="P129" t="s">
        <v>1984</v>
      </c>
      <c r="Q129" t="s">
        <v>1972</v>
      </c>
      <c r="R129" t="s">
        <v>1976</v>
      </c>
      <c r="S129" t="s">
        <v>2073</v>
      </c>
      <c r="T129" t="s">
        <v>2435</v>
      </c>
      <c r="U129" t="s">
        <v>2436</v>
      </c>
      <c r="V129" t="s">
        <v>2475</v>
      </c>
    </row>
    <row r="130">
      <c r="A130" t="s">
        <v>2477</v>
      </c>
      <c r="F130" t="s">
        <v>1050</v>
      </c>
      <c r="G130" t="s">
        <v>154</v>
      </c>
      <c r="H130" t="s">
        <v>1051</v>
      </c>
      <c r="I130" t="s">
        <v>1052</v>
      </c>
      <c r="J130" t="s">
        <v>1053</v>
      </c>
      <c r="K130" t="s">
        <v>1054</v>
      </c>
      <c r="L130" t="s">
        <v>1055</v>
      </c>
      <c r="M130" t="s">
        <v>1056</v>
      </c>
      <c r="N130" t="s">
        <v>1057</v>
      </c>
      <c r="O130" t="s">
        <v>1967</v>
      </c>
      <c r="P130" t="s">
        <v>1984</v>
      </c>
      <c r="Q130" t="s">
        <v>1972</v>
      </c>
      <c r="R130" t="s">
        <v>1976</v>
      </c>
      <c r="S130" t="s">
        <v>2073</v>
      </c>
      <c r="T130" t="s">
        <v>2435</v>
      </c>
      <c r="U130" t="s">
        <v>2436</v>
      </c>
      <c r="V130" t="s">
        <v>2478</v>
      </c>
    </row>
    <row r="131">
      <c r="A131" t="s">
        <v>2480</v>
      </c>
      <c r="F131" t="s">
        <v>1058</v>
      </c>
      <c r="G131" t="s">
        <v>120</v>
      </c>
      <c r="H131" t="s">
        <v>562</v>
      </c>
      <c r="I131" t="s">
        <v>1059</v>
      </c>
      <c r="J131" t="s">
        <v>1060</v>
      </c>
      <c r="K131" t="s">
        <v>997</v>
      </c>
      <c r="L131" t="s">
        <v>1061</v>
      </c>
      <c r="M131" t="s">
        <v>1062</v>
      </c>
      <c r="N131" t="s">
        <v>1063</v>
      </c>
      <c r="O131" t="s">
        <v>1967</v>
      </c>
      <c r="P131" t="s">
        <v>1984</v>
      </c>
      <c r="Q131" t="s">
        <v>1972</v>
      </c>
      <c r="R131" t="s">
        <v>1976</v>
      </c>
      <c r="S131" t="s">
        <v>2073</v>
      </c>
      <c r="T131" t="s">
        <v>2435</v>
      </c>
      <c r="U131" t="s">
        <v>2436</v>
      </c>
      <c r="V131" t="s">
        <v>2481</v>
      </c>
    </row>
    <row r="132">
      <c r="A132" t="s">
        <v>2483</v>
      </c>
      <c r="F132" t="s">
        <v>1064</v>
      </c>
      <c r="G132" t="s">
        <v>120</v>
      </c>
      <c r="H132" t="s">
        <v>1065</v>
      </c>
      <c r="I132" t="s">
        <v>1066</v>
      </c>
      <c r="J132" t="s">
        <v>1067</v>
      </c>
      <c r="K132" t="s">
        <v>1068</v>
      </c>
      <c r="L132" t="s">
        <v>1069</v>
      </c>
      <c r="M132" t="s">
        <v>1070</v>
      </c>
      <c r="N132" t="s">
        <v>1071</v>
      </c>
      <c r="O132" t="s">
        <v>1967</v>
      </c>
      <c r="P132" t="s">
        <v>1984</v>
      </c>
      <c r="Q132" t="s">
        <v>1972</v>
      </c>
      <c r="R132" t="s">
        <v>1976</v>
      </c>
      <c r="S132" t="s">
        <v>2073</v>
      </c>
      <c r="T132" t="s">
        <v>2435</v>
      </c>
      <c r="U132" t="s">
        <v>2436</v>
      </c>
      <c r="V132" t="s">
        <v>2484</v>
      </c>
    </row>
    <row r="133">
      <c r="A133" t="s">
        <v>2486</v>
      </c>
      <c r="B133" t="s">
        <v>958</v>
      </c>
      <c r="C133" t="s">
        <v>970</v>
      </c>
      <c r="D133" t="s">
        <v>1072</v>
      </c>
      <c r="E133" t="s">
        <v>1073</v>
      </c>
      <c r="F133" t="s">
        <v>1074</v>
      </c>
      <c r="G133" t="s">
        <v>120</v>
      </c>
      <c r="H133" t="s">
        <v>618</v>
      </c>
      <c r="I133" t="s">
        <v>1075</v>
      </c>
      <c r="J133" t="s">
        <v>1076</v>
      </c>
      <c r="K133" t="s">
        <v>1077</v>
      </c>
      <c r="L133" t="s">
        <v>1078</v>
      </c>
      <c r="M133" t="s">
        <v>1079</v>
      </c>
      <c r="N133" t="s">
        <v>1080</v>
      </c>
      <c r="O133" t="s">
        <v>1967</v>
      </c>
      <c r="P133" t="s">
        <v>1984</v>
      </c>
      <c r="Q133" t="s">
        <v>1972</v>
      </c>
      <c r="R133" t="s">
        <v>1976</v>
      </c>
      <c r="S133" t="s">
        <v>2073</v>
      </c>
      <c r="T133" t="s">
        <v>2435</v>
      </c>
      <c r="U133" t="s">
        <v>2436</v>
      </c>
      <c r="V133" t="s">
        <v>2487</v>
      </c>
    </row>
    <row r="134">
      <c r="A134" t="s">
        <v>2489</v>
      </c>
      <c r="F134" t="s">
        <v>1081</v>
      </c>
      <c r="G134" t="s">
        <v>120</v>
      </c>
      <c r="H134" t="s">
        <v>994</v>
      </c>
      <c r="I134" t="s">
        <v>1082</v>
      </c>
      <c r="J134" t="s">
        <v>1083</v>
      </c>
      <c r="K134" t="s">
        <v>997</v>
      </c>
      <c r="L134" t="s">
        <v>1084</v>
      </c>
      <c r="M134" t="s">
        <v>1085</v>
      </c>
      <c r="N134" t="s">
        <v>1086</v>
      </c>
      <c r="O134" t="s">
        <v>1967</v>
      </c>
      <c r="P134" t="s">
        <v>1984</v>
      </c>
      <c r="Q134" t="s">
        <v>1972</v>
      </c>
      <c r="R134" t="s">
        <v>1976</v>
      </c>
      <c r="S134" t="s">
        <v>2073</v>
      </c>
      <c r="T134" t="s">
        <v>2435</v>
      </c>
      <c r="U134" t="s">
        <v>2436</v>
      </c>
      <c r="V134" t="s">
        <v>2490</v>
      </c>
    </row>
    <row r="135">
      <c r="A135" t="s">
        <v>2492</v>
      </c>
      <c r="F135" t="s">
        <v>1087</v>
      </c>
      <c r="G135" t="s">
        <v>120</v>
      </c>
      <c r="H135" t="s">
        <v>1088</v>
      </c>
      <c r="I135" t="s">
        <v>1089</v>
      </c>
      <c r="J135" t="s">
        <v>1090</v>
      </c>
      <c r="K135" t="s">
        <v>977</v>
      </c>
      <c r="L135" t="s">
        <v>1091</v>
      </c>
      <c r="M135" t="s">
        <v>1092</v>
      </c>
      <c r="N135" t="s">
        <v>1093</v>
      </c>
      <c r="O135" t="s">
        <v>1967</v>
      </c>
      <c r="P135" t="s">
        <v>1984</v>
      </c>
      <c r="Q135" t="s">
        <v>1972</v>
      </c>
      <c r="R135" t="s">
        <v>1976</v>
      </c>
      <c r="S135" t="s">
        <v>2073</v>
      </c>
      <c r="T135" t="s">
        <v>2435</v>
      </c>
      <c r="U135" t="s">
        <v>2436</v>
      </c>
      <c r="V135" t="s">
        <v>2493</v>
      </c>
    </row>
    <row r="136">
      <c r="A136" t="s">
        <v>2495</v>
      </c>
      <c r="F136" t="s">
        <v>1094</v>
      </c>
      <c r="G136" t="s">
        <v>120</v>
      </c>
      <c r="H136" t="s">
        <v>1088</v>
      </c>
      <c r="I136" t="s">
        <v>1095</v>
      </c>
      <c r="J136" t="s">
        <v>1096</v>
      </c>
      <c r="K136" t="s">
        <v>977</v>
      </c>
      <c r="L136" t="s">
        <v>1097</v>
      </c>
      <c r="M136" t="s">
        <v>1098</v>
      </c>
      <c r="N136" t="s">
        <v>1093</v>
      </c>
      <c r="O136" t="s">
        <v>1967</v>
      </c>
      <c r="P136" t="s">
        <v>1984</v>
      </c>
      <c r="Q136" t="s">
        <v>1972</v>
      </c>
      <c r="R136" t="s">
        <v>1976</v>
      </c>
      <c r="S136" t="s">
        <v>2073</v>
      </c>
      <c r="T136" t="s">
        <v>2435</v>
      </c>
      <c r="U136" t="s">
        <v>2436</v>
      </c>
      <c r="V136" t="s">
        <v>2496</v>
      </c>
    </row>
    <row r="137">
      <c r="A137" t="s">
        <v>2498</v>
      </c>
      <c r="B137" t="s">
        <v>958</v>
      </c>
      <c r="C137" t="s">
        <v>970</v>
      </c>
      <c r="D137" t="s">
        <v>1099</v>
      </c>
      <c r="E137" t="s">
        <v>1100</v>
      </c>
      <c r="F137" t="s">
        <v>1101</v>
      </c>
      <c r="G137" t="s">
        <v>120</v>
      </c>
      <c r="H137" t="s">
        <v>1102</v>
      </c>
      <c r="I137" t="s">
        <v>1103</v>
      </c>
      <c r="J137" t="s">
        <v>1104</v>
      </c>
      <c r="K137" t="s">
        <v>1105</v>
      </c>
      <c r="L137" t="s">
        <v>1106</v>
      </c>
      <c r="M137" t="s">
        <v>1107</v>
      </c>
      <c r="N137" t="s">
        <v>1108</v>
      </c>
      <c r="O137" t="s">
        <v>1967</v>
      </c>
      <c r="P137" t="s">
        <v>1984</v>
      </c>
      <c r="Q137" t="s">
        <v>1972</v>
      </c>
      <c r="R137" t="s">
        <v>1976</v>
      </c>
      <c r="S137" t="s">
        <v>2073</v>
      </c>
      <c r="T137" t="s">
        <v>2435</v>
      </c>
      <c r="U137" t="s">
        <v>2436</v>
      </c>
      <c r="V137" t="s">
        <v>2499</v>
      </c>
    </row>
    <row r="138">
      <c r="A138" t="s">
        <v>2501</v>
      </c>
      <c r="F138" t="s">
        <v>1109</v>
      </c>
      <c r="G138" t="s">
        <v>120</v>
      </c>
      <c r="H138" t="s">
        <v>1023</v>
      </c>
      <c r="I138" t="s">
        <v>1110</v>
      </c>
      <c r="J138" t="s">
        <v>1111</v>
      </c>
      <c r="K138" t="s">
        <v>1105</v>
      </c>
      <c r="L138" t="s">
        <v>1112</v>
      </c>
      <c r="M138" t="s">
        <v>1113</v>
      </c>
      <c r="N138" t="s">
        <v>1108</v>
      </c>
      <c r="O138" t="s">
        <v>1967</v>
      </c>
      <c r="P138" t="s">
        <v>1984</v>
      </c>
      <c r="Q138" t="s">
        <v>1972</v>
      </c>
      <c r="R138" t="s">
        <v>1976</v>
      </c>
      <c r="S138" t="s">
        <v>2073</v>
      </c>
      <c r="T138" t="s">
        <v>2435</v>
      </c>
      <c r="U138" t="s">
        <v>2436</v>
      </c>
      <c r="V138" t="s">
        <v>2502</v>
      </c>
    </row>
    <row r="139">
      <c r="A139" t="s">
        <v>2504</v>
      </c>
      <c r="F139" t="s">
        <v>1114</v>
      </c>
      <c r="G139" t="s">
        <v>120</v>
      </c>
      <c r="H139" t="s">
        <v>634</v>
      </c>
      <c r="I139" t="s">
        <v>1115</v>
      </c>
      <c r="J139" t="s">
        <v>1116</v>
      </c>
      <c r="K139" t="s">
        <v>1117</v>
      </c>
      <c r="L139" t="s">
        <v>1118</v>
      </c>
      <c r="M139" t="s">
        <v>1119</v>
      </c>
      <c r="N139" t="s">
        <v>1120</v>
      </c>
      <c r="O139" t="s">
        <v>1967</v>
      </c>
      <c r="P139" t="s">
        <v>1984</v>
      </c>
      <c r="Q139" t="s">
        <v>1972</v>
      </c>
      <c r="R139" t="s">
        <v>1976</v>
      </c>
      <c r="S139" t="s">
        <v>2073</v>
      </c>
      <c r="T139" t="s">
        <v>2435</v>
      </c>
      <c r="U139" t="s">
        <v>2436</v>
      </c>
      <c r="V139" t="s">
        <v>2294</v>
      </c>
    </row>
    <row r="140">
      <c r="A140" t="s">
        <v>2505</v>
      </c>
      <c r="F140" t="s">
        <v>1121</v>
      </c>
      <c r="G140" t="s">
        <v>120</v>
      </c>
      <c r="H140" t="s">
        <v>570</v>
      </c>
      <c r="I140" t="s">
        <v>1122</v>
      </c>
      <c r="J140" t="s">
        <v>1123</v>
      </c>
      <c r="K140" t="s">
        <v>1124</v>
      </c>
      <c r="L140" t="s">
        <v>1125</v>
      </c>
      <c r="M140" t="s">
        <v>1126</v>
      </c>
      <c r="N140" t="s">
        <v>1127</v>
      </c>
      <c r="O140" t="s">
        <v>1967</v>
      </c>
      <c r="P140" t="s">
        <v>1984</v>
      </c>
      <c r="Q140" t="s">
        <v>1972</v>
      </c>
      <c r="R140" t="s">
        <v>1976</v>
      </c>
      <c r="S140" t="s">
        <v>2073</v>
      </c>
      <c r="T140" t="s">
        <v>2435</v>
      </c>
      <c r="U140" t="s">
        <v>2436</v>
      </c>
      <c r="V140" t="s">
        <v>2506</v>
      </c>
    </row>
    <row r="141">
      <c r="A141" t="s">
        <v>2508</v>
      </c>
      <c r="B141" t="s">
        <v>958</v>
      </c>
      <c r="C141" t="s">
        <v>1128</v>
      </c>
      <c r="D141" t="s">
        <v>1129</v>
      </c>
      <c r="E141" t="s">
        <v>1130</v>
      </c>
      <c r="F141" t="s">
        <v>1131</v>
      </c>
      <c r="G141" t="s">
        <v>129</v>
      </c>
      <c r="H141" t="s">
        <v>2509</v>
      </c>
      <c r="I141" t="s">
        <v>1133</v>
      </c>
      <c r="J141" t="s">
        <v>1134</v>
      </c>
      <c r="K141" t="s">
        <v>1135</v>
      </c>
      <c r="L141" t="s">
        <v>1136</v>
      </c>
      <c r="M141" t="s">
        <v>1137</v>
      </c>
      <c r="N141" t="s">
        <v>1138</v>
      </c>
      <c r="O141" t="s">
        <v>1967</v>
      </c>
      <c r="P141" t="s">
        <v>1984</v>
      </c>
      <c r="Q141" t="s">
        <v>1972</v>
      </c>
      <c r="R141" t="s">
        <v>1976</v>
      </c>
      <c r="S141" t="s">
        <v>2073</v>
      </c>
      <c r="T141" t="s">
        <v>2435</v>
      </c>
      <c r="U141" t="s">
        <v>2436</v>
      </c>
      <c r="V141" t="s">
        <v>2447</v>
      </c>
    </row>
    <row r="142">
      <c r="A142" t="s">
        <v>2510</v>
      </c>
      <c r="F142" t="s">
        <v>1139</v>
      </c>
      <c r="G142" t="s">
        <v>129</v>
      </c>
      <c r="H142" t="s">
        <v>1140</v>
      </c>
      <c r="I142" t="s">
        <v>1141</v>
      </c>
      <c r="J142" t="s">
        <v>1142</v>
      </c>
      <c r="K142" t="s">
        <v>1135</v>
      </c>
      <c r="L142" t="s">
        <v>1143</v>
      </c>
      <c r="M142" t="s">
        <v>1144</v>
      </c>
      <c r="N142" t="s">
        <v>1138</v>
      </c>
      <c r="O142" t="s">
        <v>1967</v>
      </c>
      <c r="P142" t="s">
        <v>1984</v>
      </c>
      <c r="Q142" t="s">
        <v>1972</v>
      </c>
      <c r="R142" t="s">
        <v>1976</v>
      </c>
      <c r="S142" t="s">
        <v>2073</v>
      </c>
      <c r="T142" t="s">
        <v>2435</v>
      </c>
      <c r="U142" t="s">
        <v>2436</v>
      </c>
      <c r="V142" t="s">
        <v>2512</v>
      </c>
    </row>
    <row r="143">
      <c r="A143" t="s">
        <v>2514</v>
      </c>
      <c r="F143" t="s">
        <v>1145</v>
      </c>
      <c r="G143" t="s">
        <v>97</v>
      </c>
      <c r="H143" t="s">
        <v>1146</v>
      </c>
      <c r="I143" t="s">
        <v>1147</v>
      </c>
      <c r="J143" t="s">
        <v>1148</v>
      </c>
      <c r="K143" t="s">
        <v>1149</v>
      </c>
      <c r="L143" t="s">
        <v>1150</v>
      </c>
      <c r="M143" t="s">
        <v>1151</v>
      </c>
      <c r="N143" t="s">
        <v>1138</v>
      </c>
      <c r="O143" t="s">
        <v>1968</v>
      </c>
      <c r="P143" t="s">
        <v>1984</v>
      </c>
      <c r="Q143" t="s">
        <v>1971</v>
      </c>
      <c r="R143" t="s">
        <v>1975</v>
      </c>
      <c r="S143" t="s">
        <v>2073</v>
      </c>
      <c r="T143" t="s">
        <v>2435</v>
      </c>
      <c r="U143" t="s">
        <v>2516</v>
      </c>
      <c r="V143" t="s">
        <v>2517</v>
      </c>
    </row>
    <row r="144">
      <c r="A144" t="s">
        <v>2519</v>
      </c>
      <c r="F144" t="s">
        <v>1152</v>
      </c>
      <c r="G144" t="s">
        <v>97</v>
      </c>
      <c r="H144" t="s">
        <v>1153</v>
      </c>
      <c r="I144" t="s">
        <v>1154</v>
      </c>
      <c r="J144" t="s">
        <v>1155</v>
      </c>
      <c r="K144" t="s">
        <v>1156</v>
      </c>
      <c r="L144" t="s">
        <v>1157</v>
      </c>
      <c r="M144" t="s">
        <v>1158</v>
      </c>
      <c r="N144" t="s">
        <v>1159</v>
      </c>
      <c r="O144" t="s">
        <v>1968</v>
      </c>
      <c r="P144" t="s">
        <v>1984</v>
      </c>
      <c r="Q144" t="s">
        <v>1971</v>
      </c>
      <c r="R144" t="s">
        <v>1975</v>
      </c>
      <c r="S144" t="s">
        <v>2073</v>
      </c>
      <c r="T144" t="s">
        <v>2435</v>
      </c>
      <c r="U144" t="s">
        <v>2516</v>
      </c>
      <c r="V144" t="s">
        <v>2520</v>
      </c>
    </row>
    <row r="145">
      <c r="A145" t="s">
        <v>2522</v>
      </c>
      <c r="F145" t="s">
        <v>1160</v>
      </c>
      <c r="G145" t="s">
        <v>97</v>
      </c>
      <c r="H145" t="s">
        <v>1161</v>
      </c>
      <c r="I145" t="s">
        <v>1162</v>
      </c>
      <c r="J145" t="s">
        <v>1163</v>
      </c>
      <c r="K145" t="s">
        <v>1164</v>
      </c>
      <c r="L145" t="s">
        <v>1165</v>
      </c>
      <c r="M145" t="s">
        <v>1166</v>
      </c>
      <c r="N145" t="s">
        <v>1167</v>
      </c>
      <c r="O145" t="s">
        <v>1968</v>
      </c>
      <c r="P145" t="s">
        <v>1984</v>
      </c>
      <c r="Q145" t="s">
        <v>1971</v>
      </c>
      <c r="R145" t="s">
        <v>1975</v>
      </c>
      <c r="S145" t="s">
        <v>2073</v>
      </c>
      <c r="T145" t="s">
        <v>2435</v>
      </c>
      <c r="U145" t="s">
        <v>2516</v>
      </c>
      <c r="V145" t="s">
        <v>2523</v>
      </c>
    </row>
    <row r="146">
      <c r="A146" t="s">
        <v>2525</v>
      </c>
      <c r="F146" t="s">
        <v>1168</v>
      </c>
      <c r="G146" t="s">
        <v>154</v>
      </c>
      <c r="H146" t="s">
        <v>1169</v>
      </c>
      <c r="I146" t="s">
        <v>1170</v>
      </c>
      <c r="J146" t="s">
        <v>1171</v>
      </c>
      <c r="K146" t="s">
        <v>1135</v>
      </c>
      <c r="L146" t="s">
        <v>1172</v>
      </c>
      <c r="M146" t="s">
        <v>1173</v>
      </c>
      <c r="N146" t="s">
        <v>1138</v>
      </c>
      <c r="O146" t="s">
        <v>1967</v>
      </c>
      <c r="P146" t="s">
        <v>1984</v>
      </c>
      <c r="Q146" t="s">
        <v>1972</v>
      </c>
      <c r="R146" t="s">
        <v>1976</v>
      </c>
      <c r="S146" t="s">
        <v>2073</v>
      </c>
      <c r="T146" t="s">
        <v>2435</v>
      </c>
      <c r="U146" t="s">
        <v>2436</v>
      </c>
      <c r="V146" t="s">
        <v>2526</v>
      </c>
    </row>
    <row r="147">
      <c r="A147" t="s">
        <v>2528</v>
      </c>
      <c r="F147" t="s">
        <v>1174</v>
      </c>
      <c r="G147" t="s">
        <v>154</v>
      </c>
      <c r="H147" t="s">
        <v>1175</v>
      </c>
      <c r="I147" t="s">
        <v>1176</v>
      </c>
      <c r="J147" t="s">
        <v>1177</v>
      </c>
      <c r="K147" t="s">
        <v>1178</v>
      </c>
      <c r="L147" t="s">
        <v>1179</v>
      </c>
      <c r="M147" t="s">
        <v>1180</v>
      </c>
      <c r="N147" t="s">
        <v>1181</v>
      </c>
      <c r="O147" t="s">
        <v>1968</v>
      </c>
      <c r="P147" t="s">
        <v>1984</v>
      </c>
      <c r="Q147" t="s">
        <v>1971</v>
      </c>
      <c r="R147" t="s">
        <v>1975</v>
      </c>
      <c r="S147" t="s">
        <v>2073</v>
      </c>
      <c r="T147" t="s">
        <v>2435</v>
      </c>
      <c r="U147" t="s">
        <v>2516</v>
      </c>
      <c r="V147" t="s">
        <v>2530</v>
      </c>
    </row>
    <row r="148">
      <c r="A148" t="s">
        <v>2531</v>
      </c>
      <c r="F148" t="s">
        <v>1182</v>
      </c>
      <c r="G148" t="s">
        <v>154</v>
      </c>
      <c r="H148" t="s">
        <v>1183</v>
      </c>
      <c r="I148" t="s">
        <v>1184</v>
      </c>
      <c r="J148" t="s">
        <v>1185</v>
      </c>
      <c r="K148" t="s">
        <v>1186</v>
      </c>
      <c r="L148" t="s">
        <v>1187</v>
      </c>
      <c r="M148" t="s">
        <v>1188</v>
      </c>
      <c r="N148" t="s">
        <v>1189</v>
      </c>
      <c r="O148" t="s">
        <v>1968</v>
      </c>
      <c r="P148" t="s">
        <v>1984</v>
      </c>
      <c r="Q148" t="s">
        <v>1971</v>
      </c>
      <c r="R148" t="s">
        <v>1975</v>
      </c>
      <c r="S148" t="s">
        <v>2073</v>
      </c>
      <c r="T148" t="s">
        <v>2435</v>
      </c>
      <c r="U148" t="s">
        <v>2516</v>
      </c>
      <c r="V148" t="s">
        <v>2532</v>
      </c>
    </row>
    <row r="149">
      <c r="A149" t="s">
        <v>2534</v>
      </c>
      <c r="F149" t="s">
        <v>1190</v>
      </c>
      <c r="G149" t="s">
        <v>120</v>
      </c>
      <c r="H149" t="s">
        <v>1191</v>
      </c>
      <c r="I149" t="s">
        <v>1192</v>
      </c>
      <c r="J149" t="s">
        <v>1193</v>
      </c>
      <c r="K149" t="s">
        <v>1194</v>
      </c>
      <c r="L149" t="s">
        <v>1195</v>
      </c>
      <c r="M149" t="s">
        <v>1196</v>
      </c>
      <c r="N149" t="s">
        <v>1197</v>
      </c>
      <c r="O149" t="s">
        <v>1967</v>
      </c>
      <c r="P149" t="s">
        <v>1984</v>
      </c>
      <c r="Q149" t="s">
        <v>1972</v>
      </c>
      <c r="R149" t="s">
        <v>1976</v>
      </c>
      <c r="S149" t="s">
        <v>2073</v>
      </c>
      <c r="T149" t="s">
        <v>2435</v>
      </c>
      <c r="U149" t="s">
        <v>2436</v>
      </c>
      <c r="V149" t="s">
        <v>2536</v>
      </c>
    </row>
    <row r="150">
      <c r="A150" t="s">
        <v>2537</v>
      </c>
      <c r="B150" t="s">
        <v>958</v>
      </c>
      <c r="C150" t="s">
        <v>1198</v>
      </c>
      <c r="D150" t="s">
        <v>1199</v>
      </c>
      <c r="E150" t="s">
        <v>1200</v>
      </c>
      <c r="F150" t="s">
        <v>1201</v>
      </c>
      <c r="G150" t="s">
        <v>129</v>
      </c>
      <c r="H150" t="s">
        <v>1202</v>
      </c>
      <c r="I150" t="s">
        <v>1203</v>
      </c>
      <c r="J150" t="s">
        <v>1204</v>
      </c>
      <c r="K150" t="s">
        <v>1205</v>
      </c>
      <c r="L150" t="s">
        <v>1206</v>
      </c>
      <c r="M150" t="s">
        <v>1207</v>
      </c>
      <c r="N150" t="s">
        <v>1208</v>
      </c>
      <c r="O150" t="s">
        <v>1967</v>
      </c>
      <c r="P150" t="s">
        <v>1984</v>
      </c>
      <c r="Q150" t="s">
        <v>1972</v>
      </c>
      <c r="R150" t="s">
        <v>1976</v>
      </c>
      <c r="S150" t="s">
        <v>2073</v>
      </c>
      <c r="T150" t="s">
        <v>2435</v>
      </c>
      <c r="U150" t="s">
        <v>2436</v>
      </c>
      <c r="V150" t="s">
        <v>2539</v>
      </c>
    </row>
    <row r="151">
      <c r="A151" t="s">
        <v>2541</v>
      </c>
      <c r="F151" t="s">
        <v>1209</v>
      </c>
      <c r="G151" t="s">
        <v>154</v>
      </c>
      <c r="H151" t="s">
        <v>1210</v>
      </c>
      <c r="I151" t="s">
        <v>1211</v>
      </c>
      <c r="J151" t="s">
        <v>1212</v>
      </c>
      <c r="K151" t="s">
        <v>1205</v>
      </c>
      <c r="L151" t="s">
        <v>1213</v>
      </c>
      <c r="M151" t="s">
        <v>1214</v>
      </c>
      <c r="N151" t="s">
        <v>1208</v>
      </c>
      <c r="O151" t="s">
        <v>1967</v>
      </c>
      <c r="P151" t="s">
        <v>1984</v>
      </c>
      <c r="Q151" t="s">
        <v>1972</v>
      </c>
      <c r="R151" t="s">
        <v>1976</v>
      </c>
      <c r="S151" t="s">
        <v>2073</v>
      </c>
      <c r="T151" t="s">
        <v>2435</v>
      </c>
      <c r="U151" t="s">
        <v>2436</v>
      </c>
      <c r="V151" t="s">
        <v>2542</v>
      </c>
    </row>
    <row r="152">
      <c r="A152" t="s">
        <v>2544</v>
      </c>
      <c r="F152" t="s">
        <v>1215</v>
      </c>
      <c r="G152" t="s">
        <v>120</v>
      </c>
      <c r="H152" t="s">
        <v>1216</v>
      </c>
      <c r="I152" t="s">
        <v>1217</v>
      </c>
      <c r="J152" t="s">
        <v>1218</v>
      </c>
      <c r="K152" t="s">
        <v>1205</v>
      </c>
      <c r="L152" t="s">
        <v>1219</v>
      </c>
      <c r="M152" t="s">
        <v>1220</v>
      </c>
      <c r="N152" t="s">
        <v>1208</v>
      </c>
      <c r="O152" t="s">
        <v>1967</v>
      </c>
      <c r="P152" t="s">
        <v>1984</v>
      </c>
      <c r="Q152" t="s">
        <v>1972</v>
      </c>
      <c r="R152" t="s">
        <v>1976</v>
      </c>
      <c r="S152" t="s">
        <v>2073</v>
      </c>
      <c r="T152" t="s">
        <v>2435</v>
      </c>
      <c r="U152" t="s">
        <v>2436</v>
      </c>
      <c r="V152" t="s">
        <v>2545</v>
      </c>
    </row>
    <row r="153">
      <c r="A153" t="s">
        <v>2547</v>
      </c>
      <c r="B153" t="s">
        <v>958</v>
      </c>
      <c r="C153" t="s">
        <v>1198</v>
      </c>
      <c r="D153" t="s">
        <v>1221</v>
      </c>
      <c r="E153" t="s">
        <v>1222</v>
      </c>
      <c r="F153" t="s">
        <v>1223</v>
      </c>
      <c r="G153" t="s">
        <v>154</v>
      </c>
      <c r="H153" t="s">
        <v>1224</v>
      </c>
      <c r="I153" t="s">
        <v>1225</v>
      </c>
      <c r="J153" t="s">
        <v>1226</v>
      </c>
      <c r="K153" t="s">
        <v>1205</v>
      </c>
      <c r="L153" t="s">
        <v>1227</v>
      </c>
      <c r="M153" t="s">
        <v>1228</v>
      </c>
      <c r="N153" t="s">
        <v>1208</v>
      </c>
      <c r="O153" t="s">
        <v>1967</v>
      </c>
      <c r="P153" t="s">
        <v>1984</v>
      </c>
      <c r="Q153" t="s">
        <v>1972</v>
      </c>
      <c r="R153" t="s">
        <v>1976</v>
      </c>
      <c r="S153" t="s">
        <v>2073</v>
      </c>
      <c r="T153" t="s">
        <v>2435</v>
      </c>
      <c r="U153" t="s">
        <v>2436</v>
      </c>
      <c r="V153" t="s">
        <v>2548</v>
      </c>
    </row>
    <row r="154">
      <c r="A154" t="s">
        <v>2550</v>
      </c>
      <c r="F154" t="s">
        <v>1229</v>
      </c>
      <c r="G154" t="s">
        <v>154</v>
      </c>
      <c r="H154" t="s">
        <v>1230</v>
      </c>
      <c r="I154" t="s">
        <v>1231</v>
      </c>
      <c r="J154" t="s">
        <v>1232</v>
      </c>
      <c r="K154" t="s">
        <v>1205</v>
      </c>
      <c r="L154" t="s">
        <v>1233</v>
      </c>
      <c r="M154" t="s">
        <v>1234</v>
      </c>
      <c r="N154" t="s">
        <v>1208</v>
      </c>
      <c r="O154" t="s">
        <v>1967</v>
      </c>
      <c r="P154" t="s">
        <v>1984</v>
      </c>
      <c r="Q154" t="s">
        <v>1972</v>
      </c>
      <c r="R154" t="s">
        <v>1976</v>
      </c>
      <c r="S154" t="s">
        <v>2073</v>
      </c>
      <c r="T154" t="s">
        <v>2435</v>
      </c>
      <c r="U154" t="s">
        <v>2436</v>
      </c>
      <c r="V154" t="s">
        <v>2551</v>
      </c>
    </row>
    <row r="155">
      <c r="A155" t="s">
        <v>2553</v>
      </c>
      <c r="F155" t="s">
        <v>1235</v>
      </c>
      <c r="G155" t="s">
        <v>120</v>
      </c>
      <c r="H155" t="s">
        <v>570</v>
      </c>
      <c r="I155" t="s">
        <v>1236</v>
      </c>
      <c r="J155" t="s">
        <v>1237</v>
      </c>
      <c r="K155" t="s">
        <v>1238</v>
      </c>
      <c r="L155" t="s">
        <v>1239</v>
      </c>
      <c r="M155" t="s">
        <v>1240</v>
      </c>
      <c r="N155" t="s">
        <v>1241</v>
      </c>
      <c r="O155" t="s">
        <v>1967</v>
      </c>
      <c r="P155" t="s">
        <v>1984</v>
      </c>
      <c r="Q155" t="s">
        <v>1972</v>
      </c>
      <c r="R155" t="s">
        <v>1976</v>
      </c>
      <c r="S155" t="s">
        <v>2073</v>
      </c>
      <c r="T155" t="s">
        <v>2435</v>
      </c>
      <c r="U155" t="s">
        <v>2436</v>
      </c>
      <c r="V155" t="s">
        <v>2502</v>
      </c>
    </row>
    <row r="156">
      <c r="A156" t="s">
        <v>2555</v>
      </c>
      <c r="F156" t="s">
        <v>1242</v>
      </c>
      <c r="G156" t="s">
        <v>120</v>
      </c>
      <c r="H156" t="s">
        <v>1229</v>
      </c>
      <c r="I156" t="s">
        <v>1243</v>
      </c>
      <c r="J156" t="s">
        <v>1244</v>
      </c>
      <c r="K156" t="s">
        <v>1205</v>
      </c>
      <c r="L156" t="s">
        <v>1245</v>
      </c>
      <c r="M156" t="s">
        <v>1246</v>
      </c>
      <c r="N156" t="s">
        <v>1247</v>
      </c>
      <c r="O156" t="s">
        <v>1967</v>
      </c>
      <c r="P156" t="s">
        <v>1984</v>
      </c>
      <c r="Q156" t="s">
        <v>1972</v>
      </c>
      <c r="R156" t="s">
        <v>1976</v>
      </c>
      <c r="S156" t="s">
        <v>2073</v>
      </c>
      <c r="T156" t="s">
        <v>2435</v>
      </c>
      <c r="U156" t="s">
        <v>2436</v>
      </c>
      <c r="V156" t="s">
        <v>2556</v>
      </c>
    </row>
    <row r="157">
      <c r="A157" t="s">
        <v>2558</v>
      </c>
      <c r="B157" t="s">
        <v>958</v>
      </c>
      <c r="C157" t="s">
        <v>1198</v>
      </c>
      <c r="D157" t="s">
        <v>1248</v>
      </c>
      <c r="E157" t="s">
        <v>1249</v>
      </c>
      <c r="F157" t="s">
        <v>1250</v>
      </c>
      <c r="G157" t="s">
        <v>154</v>
      </c>
      <c r="H157" t="s">
        <v>618</v>
      </c>
      <c r="I157" t="s">
        <v>1251</v>
      </c>
      <c r="J157" t="s">
        <v>1252</v>
      </c>
      <c r="K157" t="s">
        <v>1253</v>
      </c>
      <c r="L157" t="s">
        <v>1254</v>
      </c>
      <c r="M157" t="s">
        <v>1255</v>
      </c>
      <c r="N157" t="s">
        <v>1256</v>
      </c>
      <c r="O157" t="s">
        <v>1967</v>
      </c>
      <c r="P157" t="s">
        <v>1984</v>
      </c>
      <c r="Q157" t="s">
        <v>1972</v>
      </c>
      <c r="R157" t="s">
        <v>1976</v>
      </c>
      <c r="S157" t="s">
        <v>2073</v>
      </c>
      <c r="T157" t="s">
        <v>2435</v>
      </c>
      <c r="U157" t="s">
        <v>2436</v>
      </c>
      <c r="V157" t="s">
        <v>2559</v>
      </c>
    </row>
    <row r="158">
      <c r="A158" t="s">
        <v>2561</v>
      </c>
      <c r="F158" t="s">
        <v>1257</v>
      </c>
      <c r="G158" t="s">
        <v>154</v>
      </c>
      <c r="H158" t="s">
        <v>1258</v>
      </c>
      <c r="I158" t="s">
        <v>1259</v>
      </c>
      <c r="J158" t="s">
        <v>1260</v>
      </c>
      <c r="K158" t="s">
        <v>1253</v>
      </c>
      <c r="L158" t="s">
        <v>1261</v>
      </c>
      <c r="M158" t="s">
        <v>1262</v>
      </c>
      <c r="N158" t="s">
        <v>1256</v>
      </c>
      <c r="O158" t="s">
        <v>1967</v>
      </c>
      <c r="P158" t="s">
        <v>1984</v>
      </c>
      <c r="Q158" t="s">
        <v>1972</v>
      </c>
      <c r="R158" t="s">
        <v>1976</v>
      </c>
      <c r="S158" t="s">
        <v>2073</v>
      </c>
      <c r="T158" t="s">
        <v>2435</v>
      </c>
      <c r="U158" t="s">
        <v>2436</v>
      </c>
      <c r="V158" t="s">
        <v>2562</v>
      </c>
    </row>
    <row r="159">
      <c r="A159" t="s">
        <v>2564</v>
      </c>
      <c r="F159" t="s">
        <v>1263</v>
      </c>
      <c r="G159" t="s">
        <v>154</v>
      </c>
      <c r="H159" t="s">
        <v>1264</v>
      </c>
      <c r="I159" t="s">
        <v>1265</v>
      </c>
      <c r="J159" t="s">
        <v>1266</v>
      </c>
      <c r="K159" t="s">
        <v>1267</v>
      </c>
      <c r="L159" t="s">
        <v>1268</v>
      </c>
      <c r="M159" t="s">
        <v>1269</v>
      </c>
      <c r="N159" t="s">
        <v>1270</v>
      </c>
      <c r="O159" t="s">
        <v>1967</v>
      </c>
      <c r="P159" t="s">
        <v>1984</v>
      </c>
      <c r="Q159" t="s">
        <v>1972</v>
      </c>
      <c r="R159" t="s">
        <v>1976</v>
      </c>
      <c r="S159" t="s">
        <v>2073</v>
      </c>
      <c r="T159" t="s">
        <v>2435</v>
      </c>
      <c r="U159" t="s">
        <v>2436</v>
      </c>
      <c r="V159" t="s">
        <v>2566</v>
      </c>
    </row>
    <row r="160">
      <c r="A160" t="s">
        <v>2567</v>
      </c>
      <c r="F160" t="s">
        <v>1271</v>
      </c>
      <c r="G160" t="s">
        <v>120</v>
      </c>
      <c r="H160" t="s">
        <v>1272</v>
      </c>
      <c r="I160" t="s">
        <v>1273</v>
      </c>
      <c r="J160" t="s">
        <v>1274</v>
      </c>
      <c r="K160" t="s">
        <v>1253</v>
      </c>
      <c r="L160" t="s">
        <v>1275</v>
      </c>
      <c r="M160" t="s">
        <v>1276</v>
      </c>
      <c r="N160" t="s">
        <v>1256</v>
      </c>
      <c r="O160" t="s">
        <v>1967</v>
      </c>
      <c r="P160" t="s">
        <v>1984</v>
      </c>
      <c r="Q160" t="s">
        <v>1972</v>
      </c>
      <c r="R160" t="s">
        <v>1976</v>
      </c>
      <c r="S160" t="s">
        <v>2073</v>
      </c>
      <c r="T160" t="s">
        <v>2435</v>
      </c>
      <c r="U160" t="s">
        <v>2436</v>
      </c>
      <c r="V160" t="s">
        <v>2568</v>
      </c>
    </row>
    <row r="161">
      <c r="A161" t="s">
        <v>2570</v>
      </c>
      <c r="B161" t="s">
        <v>958</v>
      </c>
      <c r="C161" t="s">
        <v>1198</v>
      </c>
      <c r="D161" t="s">
        <v>1277</v>
      </c>
      <c r="E161" t="s">
        <v>1278</v>
      </c>
      <c r="F161" t="s">
        <v>1279</v>
      </c>
      <c r="G161" t="s">
        <v>129</v>
      </c>
      <c r="H161" t="s">
        <v>1280</v>
      </c>
      <c r="I161" t="s">
        <v>1281</v>
      </c>
      <c r="J161" t="s">
        <v>1282</v>
      </c>
      <c r="K161" t="s">
        <v>1283</v>
      </c>
      <c r="L161" t="s">
        <v>1284</v>
      </c>
      <c r="M161" t="s">
        <v>1285</v>
      </c>
      <c r="N161" t="s">
        <v>1286</v>
      </c>
      <c r="O161" t="s">
        <v>1967</v>
      </c>
      <c r="P161" t="s">
        <v>1984</v>
      </c>
      <c r="Q161" t="s">
        <v>1972</v>
      </c>
      <c r="R161" t="s">
        <v>1976</v>
      </c>
      <c r="S161" t="s">
        <v>2073</v>
      </c>
      <c r="T161" t="s">
        <v>2435</v>
      </c>
      <c r="U161" t="s">
        <v>2436</v>
      </c>
      <c r="V161" t="s">
        <v>2571</v>
      </c>
    </row>
    <row r="162">
      <c r="A162" t="s">
        <v>2573</v>
      </c>
      <c r="F162" t="s">
        <v>1287</v>
      </c>
      <c r="G162" t="s">
        <v>97</v>
      </c>
      <c r="H162" t="s">
        <v>1288</v>
      </c>
      <c r="I162" t="s">
        <v>1289</v>
      </c>
      <c r="J162" t="s">
        <v>1290</v>
      </c>
      <c r="K162" t="s">
        <v>1291</v>
      </c>
      <c r="L162" t="s">
        <v>1292</v>
      </c>
      <c r="M162" t="s">
        <v>1293</v>
      </c>
      <c r="N162" t="s">
        <v>1286</v>
      </c>
      <c r="O162" t="s">
        <v>1967</v>
      </c>
      <c r="P162" t="s">
        <v>1984</v>
      </c>
      <c r="Q162" t="s">
        <v>1972</v>
      </c>
      <c r="R162" t="s">
        <v>1976</v>
      </c>
      <c r="S162" t="s">
        <v>2073</v>
      </c>
      <c r="T162" t="s">
        <v>2435</v>
      </c>
      <c r="U162" t="s">
        <v>2436</v>
      </c>
      <c r="V162" t="s">
        <v>2574</v>
      </c>
    </row>
    <row r="163">
      <c r="A163" t="s">
        <v>2576</v>
      </c>
      <c r="F163" t="s">
        <v>1294</v>
      </c>
      <c r="G163" t="s">
        <v>120</v>
      </c>
      <c r="H163" t="s">
        <v>1295</v>
      </c>
      <c r="I163" t="s">
        <v>1296</v>
      </c>
      <c r="J163" t="s">
        <v>1297</v>
      </c>
      <c r="K163" t="s">
        <v>1298</v>
      </c>
      <c r="L163" t="s">
        <v>1299</v>
      </c>
      <c r="M163" t="s">
        <v>1300</v>
      </c>
      <c r="N163" t="s">
        <v>1301</v>
      </c>
      <c r="O163" t="s">
        <v>1967</v>
      </c>
      <c r="P163" t="s">
        <v>1984</v>
      </c>
      <c r="Q163" t="s">
        <v>1972</v>
      </c>
      <c r="R163" t="s">
        <v>1976</v>
      </c>
      <c r="S163" t="s">
        <v>2073</v>
      </c>
      <c r="T163" t="s">
        <v>2435</v>
      </c>
      <c r="U163" t="s">
        <v>2436</v>
      </c>
      <c r="V163" t="s">
        <v>2577</v>
      </c>
    </row>
    <row r="164">
      <c r="A164" t="s">
        <v>2579</v>
      </c>
      <c r="F164" t="s">
        <v>1302</v>
      </c>
      <c r="G164" t="s">
        <v>120</v>
      </c>
      <c r="H164" t="s">
        <v>1303</v>
      </c>
      <c r="I164" t="s">
        <v>1304</v>
      </c>
      <c r="J164" t="s">
        <v>1305</v>
      </c>
      <c r="K164" t="s">
        <v>1306</v>
      </c>
      <c r="L164" t="s">
        <v>1307</v>
      </c>
      <c r="M164" t="s">
        <v>1308</v>
      </c>
      <c r="N164" t="s">
        <v>1309</v>
      </c>
      <c r="O164" t="s">
        <v>1967</v>
      </c>
      <c r="P164" t="s">
        <v>1984</v>
      </c>
      <c r="Q164" t="s">
        <v>1972</v>
      </c>
      <c r="R164" t="s">
        <v>1976</v>
      </c>
      <c r="S164" t="s">
        <v>2073</v>
      </c>
      <c r="T164" t="s">
        <v>2435</v>
      </c>
      <c r="U164" t="s">
        <v>2436</v>
      </c>
      <c r="V164" t="s">
        <v>2580</v>
      </c>
    </row>
    <row r="165">
      <c r="A165" t="s">
        <v>2582</v>
      </c>
      <c r="B165" t="s">
        <v>958</v>
      </c>
      <c r="C165" t="s">
        <v>1198</v>
      </c>
      <c r="D165" t="s">
        <v>1310</v>
      </c>
      <c r="E165" t="s">
        <v>1311</v>
      </c>
      <c r="F165" t="s">
        <v>1312</v>
      </c>
      <c r="G165" t="s">
        <v>97</v>
      </c>
      <c r="H165" t="s">
        <v>1313</v>
      </c>
      <c r="I165" t="s">
        <v>1314</v>
      </c>
      <c r="J165" t="s">
        <v>1315</v>
      </c>
      <c r="K165" t="s">
        <v>1316</v>
      </c>
      <c r="L165" t="s">
        <v>1317</v>
      </c>
      <c r="M165" t="s">
        <v>1318</v>
      </c>
      <c r="N165" t="s">
        <v>1319</v>
      </c>
      <c r="O165" t="s">
        <v>1967</v>
      </c>
      <c r="P165" t="s">
        <v>1984</v>
      </c>
      <c r="Q165" t="s">
        <v>1972</v>
      </c>
      <c r="R165" t="s">
        <v>1976</v>
      </c>
      <c r="S165" t="s">
        <v>2073</v>
      </c>
      <c r="T165" t="s">
        <v>2435</v>
      </c>
      <c r="U165" t="s">
        <v>2436</v>
      </c>
      <c r="V165" t="s">
        <v>2583</v>
      </c>
    </row>
    <row r="166">
      <c r="A166" t="s">
        <v>2585</v>
      </c>
      <c r="F166" t="s">
        <v>1320</v>
      </c>
      <c r="G166" t="s">
        <v>120</v>
      </c>
      <c r="H166" t="s">
        <v>1321</v>
      </c>
      <c r="I166" t="s">
        <v>1322</v>
      </c>
      <c r="J166" t="s">
        <v>1323</v>
      </c>
      <c r="K166" t="s">
        <v>1324</v>
      </c>
      <c r="L166" t="s">
        <v>1325</v>
      </c>
      <c r="M166" t="s">
        <v>1326</v>
      </c>
      <c r="N166" t="s">
        <v>1327</v>
      </c>
      <c r="O166" t="s">
        <v>1967</v>
      </c>
      <c r="P166" t="s">
        <v>1984</v>
      </c>
      <c r="Q166" t="s">
        <v>1972</v>
      </c>
      <c r="R166" t="s">
        <v>1976</v>
      </c>
      <c r="S166" t="s">
        <v>2073</v>
      </c>
      <c r="T166" t="s">
        <v>2435</v>
      </c>
      <c r="U166" t="s">
        <v>2436</v>
      </c>
      <c r="V166" t="s">
        <v>2586</v>
      </c>
    </row>
    <row r="167">
      <c r="A167" t="s">
        <v>2588</v>
      </c>
      <c r="F167" t="s">
        <v>1328</v>
      </c>
      <c r="G167" t="s">
        <v>120</v>
      </c>
      <c r="H167" t="s">
        <v>1329</v>
      </c>
      <c r="I167" t="s">
        <v>1330</v>
      </c>
      <c r="J167" t="s">
        <v>1331</v>
      </c>
      <c r="K167" t="s">
        <v>1324</v>
      </c>
      <c r="L167" t="s">
        <v>1332</v>
      </c>
      <c r="M167" t="s">
        <v>1333</v>
      </c>
      <c r="N167" t="s">
        <v>1327</v>
      </c>
      <c r="O167" t="s">
        <v>1967</v>
      </c>
      <c r="P167" t="s">
        <v>1984</v>
      </c>
      <c r="Q167" t="s">
        <v>1972</v>
      </c>
      <c r="R167" t="s">
        <v>1976</v>
      </c>
      <c r="S167" t="s">
        <v>2073</v>
      </c>
      <c r="T167" t="s">
        <v>2435</v>
      </c>
      <c r="U167" t="s">
        <v>2436</v>
      </c>
      <c r="V167" t="s">
        <v>2589</v>
      </c>
    </row>
    <row r="168">
      <c r="A168" t="s">
        <v>2590</v>
      </c>
      <c r="F168" t="s">
        <v>1334</v>
      </c>
      <c r="G168" t="s">
        <v>120</v>
      </c>
      <c r="H168" t="s">
        <v>1335</v>
      </c>
      <c r="I168" t="s">
        <v>1336</v>
      </c>
      <c r="J168" t="s">
        <v>1337</v>
      </c>
      <c r="K168" t="s">
        <v>1338</v>
      </c>
      <c r="L168" t="s">
        <v>1339</v>
      </c>
      <c r="M168" t="s">
        <v>1340</v>
      </c>
      <c r="N168" t="s">
        <v>1341</v>
      </c>
      <c r="O168" t="s">
        <v>1967</v>
      </c>
      <c r="P168" t="s">
        <v>1984</v>
      </c>
      <c r="Q168" t="s">
        <v>1972</v>
      </c>
      <c r="R168" t="s">
        <v>1976</v>
      </c>
      <c r="S168" t="s">
        <v>2073</v>
      </c>
      <c r="T168" t="s">
        <v>2435</v>
      </c>
      <c r="U168" t="s">
        <v>2436</v>
      </c>
      <c r="V168" t="s">
        <v>2591</v>
      </c>
    </row>
    <row r="169">
      <c r="A169" t="s">
        <v>2593</v>
      </c>
      <c r="B169" t="s">
        <v>958</v>
      </c>
      <c r="C169" t="s">
        <v>1198</v>
      </c>
      <c r="D169" t="s">
        <v>1342</v>
      </c>
      <c r="E169" t="s">
        <v>1343</v>
      </c>
      <c r="F169" t="s">
        <v>1344</v>
      </c>
      <c r="G169" t="s">
        <v>97</v>
      </c>
      <c r="H169" t="s">
        <v>1345</v>
      </c>
      <c r="I169" t="s">
        <v>1346</v>
      </c>
      <c r="J169" t="s">
        <v>1347</v>
      </c>
      <c r="K169" t="s">
        <v>1348</v>
      </c>
      <c r="L169" t="s">
        <v>1349</v>
      </c>
      <c r="M169" t="s">
        <v>1350</v>
      </c>
      <c r="N169" t="s">
        <v>1351</v>
      </c>
      <c r="O169" t="s">
        <v>1968</v>
      </c>
      <c r="P169" t="s">
        <v>1984</v>
      </c>
      <c r="Q169" t="s">
        <v>1971</v>
      </c>
      <c r="R169" t="s">
        <v>1975</v>
      </c>
      <c r="S169" t="s">
        <v>2073</v>
      </c>
      <c r="T169" t="s">
        <v>2435</v>
      </c>
      <c r="U169" t="s">
        <v>2516</v>
      </c>
      <c r="V169" t="s">
        <v>2594</v>
      </c>
    </row>
    <row r="170">
      <c r="A170" t="s">
        <v>2596</v>
      </c>
      <c r="F170" t="s">
        <v>1352</v>
      </c>
      <c r="G170" t="s">
        <v>97</v>
      </c>
      <c r="H170" t="s">
        <v>1353</v>
      </c>
      <c r="I170" t="s">
        <v>1354</v>
      </c>
      <c r="J170" t="s">
        <v>1355</v>
      </c>
      <c r="K170" t="s">
        <v>1348</v>
      </c>
      <c r="L170" t="s">
        <v>1356</v>
      </c>
      <c r="M170" t="s">
        <v>1357</v>
      </c>
      <c r="N170" t="s">
        <v>1358</v>
      </c>
      <c r="O170" t="s">
        <v>1968</v>
      </c>
      <c r="P170" t="s">
        <v>1984</v>
      </c>
      <c r="Q170" t="s">
        <v>1971</v>
      </c>
      <c r="R170" t="s">
        <v>1975</v>
      </c>
      <c r="S170" t="s">
        <v>2073</v>
      </c>
      <c r="T170" t="s">
        <v>2435</v>
      </c>
      <c r="U170" t="s">
        <v>2516</v>
      </c>
      <c r="V170" t="s">
        <v>2597</v>
      </c>
    </row>
    <row r="171">
      <c r="A171" t="s">
        <v>2599</v>
      </c>
      <c r="F171" t="s">
        <v>1359</v>
      </c>
      <c r="G171" t="s">
        <v>154</v>
      </c>
      <c r="H171" t="s">
        <v>1360</v>
      </c>
      <c r="I171" t="s">
        <v>1361</v>
      </c>
      <c r="J171" t="s">
        <v>1362</v>
      </c>
      <c r="K171" t="s">
        <v>1348</v>
      </c>
      <c r="L171" t="s">
        <v>1363</v>
      </c>
      <c r="M171" t="s">
        <v>1364</v>
      </c>
      <c r="N171" t="s">
        <v>1365</v>
      </c>
      <c r="O171" t="s">
        <v>1968</v>
      </c>
      <c r="P171" t="s">
        <v>1984</v>
      </c>
      <c r="Q171" t="s">
        <v>1971</v>
      </c>
      <c r="R171" t="s">
        <v>1975</v>
      </c>
      <c r="S171" t="s">
        <v>2073</v>
      </c>
      <c r="T171" t="s">
        <v>2435</v>
      </c>
      <c r="U171" t="s">
        <v>2516</v>
      </c>
      <c r="V171" t="s">
        <v>2600</v>
      </c>
    </row>
    <row r="172">
      <c r="A172" t="s">
        <v>2602</v>
      </c>
      <c r="F172" t="s">
        <v>1366</v>
      </c>
      <c r="G172" t="s">
        <v>154</v>
      </c>
      <c r="H172" t="s">
        <v>1367</v>
      </c>
      <c r="I172" t="s">
        <v>1368</v>
      </c>
      <c r="J172" t="s">
        <v>1369</v>
      </c>
      <c r="K172" t="s">
        <v>1348</v>
      </c>
      <c r="L172" t="s">
        <v>1370</v>
      </c>
      <c r="M172" t="s">
        <v>1371</v>
      </c>
      <c r="N172" t="s">
        <v>1365</v>
      </c>
      <c r="O172" t="s">
        <v>1968</v>
      </c>
      <c r="P172" t="s">
        <v>1984</v>
      </c>
      <c r="Q172" t="s">
        <v>1971</v>
      </c>
      <c r="R172" t="s">
        <v>1975</v>
      </c>
      <c r="S172" t="s">
        <v>2073</v>
      </c>
      <c r="T172" t="s">
        <v>2435</v>
      </c>
      <c r="U172" t="s">
        <v>2516</v>
      </c>
      <c r="V172" t="s">
        <v>2603</v>
      </c>
    </row>
    <row r="173">
      <c r="A173" t="s">
        <v>2605</v>
      </c>
      <c r="F173" t="s">
        <v>1372</v>
      </c>
      <c r="G173" t="s">
        <v>120</v>
      </c>
      <c r="H173" t="s">
        <v>1373</v>
      </c>
      <c r="I173" t="s">
        <v>1374</v>
      </c>
      <c r="J173" t="s">
        <v>1375</v>
      </c>
      <c r="K173" t="s">
        <v>1376</v>
      </c>
      <c r="L173" t="s">
        <v>1377</v>
      </c>
      <c r="M173" t="s">
        <v>1378</v>
      </c>
      <c r="N173" t="s">
        <v>1379</v>
      </c>
      <c r="O173" t="s">
        <v>1967</v>
      </c>
      <c r="P173" t="s">
        <v>1984</v>
      </c>
      <c r="Q173" t="s">
        <v>1972</v>
      </c>
      <c r="R173" t="s">
        <v>1976</v>
      </c>
      <c r="S173" t="s">
        <v>2073</v>
      </c>
      <c r="T173" t="s">
        <v>2435</v>
      </c>
      <c r="U173" t="s">
        <v>2436</v>
      </c>
      <c r="V173" t="s">
        <v>2606</v>
      </c>
    </row>
    <row r="174">
      <c r="A174" t="s">
        <v>2608</v>
      </c>
      <c r="B174" t="s">
        <v>958</v>
      </c>
      <c r="C174" t="s">
        <v>1380</v>
      </c>
      <c r="D174" t="s">
        <v>1381</v>
      </c>
      <c r="E174" t="s">
        <v>1382</v>
      </c>
      <c r="F174" t="s">
        <v>1383</v>
      </c>
      <c r="G174" t="s">
        <v>97</v>
      </c>
      <c r="H174" t="s">
        <v>497</v>
      </c>
      <c r="I174" t="s">
        <v>1384</v>
      </c>
      <c r="J174" t="s">
        <v>1385</v>
      </c>
      <c r="K174" t="s">
        <v>1386</v>
      </c>
      <c r="L174" t="s">
        <v>1387</v>
      </c>
      <c r="M174" t="s">
        <v>1388</v>
      </c>
      <c r="N174" t="s">
        <v>1389</v>
      </c>
      <c r="O174" t="s">
        <v>1967</v>
      </c>
      <c r="P174" t="s">
        <v>1984</v>
      </c>
      <c r="Q174" t="s">
        <v>1972</v>
      </c>
      <c r="R174" t="s">
        <v>1976</v>
      </c>
      <c r="S174" t="s">
        <v>2073</v>
      </c>
      <c r="T174" t="s">
        <v>2435</v>
      </c>
      <c r="U174" t="s">
        <v>2436</v>
      </c>
      <c r="V174" t="s">
        <v>2609</v>
      </c>
    </row>
    <row r="175">
      <c r="A175" t="s">
        <v>2611</v>
      </c>
      <c r="F175" t="s">
        <v>1390</v>
      </c>
      <c r="G175" t="s">
        <v>97</v>
      </c>
      <c r="H175" t="s">
        <v>1391</v>
      </c>
      <c r="I175" t="s">
        <v>1392</v>
      </c>
      <c r="J175" t="s">
        <v>1393</v>
      </c>
      <c r="K175" t="s">
        <v>1386</v>
      </c>
      <c r="L175" t="s">
        <v>1394</v>
      </c>
      <c r="M175" t="s">
        <v>1395</v>
      </c>
      <c r="N175" t="s">
        <v>1389</v>
      </c>
      <c r="O175" t="s">
        <v>1967</v>
      </c>
      <c r="P175" t="s">
        <v>1984</v>
      </c>
      <c r="Q175" t="s">
        <v>1972</v>
      </c>
      <c r="R175" t="s">
        <v>1976</v>
      </c>
      <c r="S175" t="s">
        <v>2073</v>
      </c>
      <c r="T175" t="s">
        <v>2435</v>
      </c>
      <c r="U175" t="s">
        <v>2436</v>
      </c>
      <c r="V175" t="s">
        <v>2612</v>
      </c>
    </row>
    <row r="176">
      <c r="A176" t="s">
        <v>2614</v>
      </c>
      <c r="F176" t="s">
        <v>1396</v>
      </c>
      <c r="G176" t="s">
        <v>154</v>
      </c>
      <c r="H176" t="s">
        <v>1397</v>
      </c>
      <c r="I176" t="s">
        <v>1398</v>
      </c>
      <c r="J176" t="s">
        <v>1399</v>
      </c>
      <c r="K176" t="s">
        <v>1386</v>
      </c>
      <c r="L176" t="s">
        <v>1400</v>
      </c>
      <c r="M176" t="s">
        <v>1401</v>
      </c>
      <c r="N176" t="s">
        <v>1389</v>
      </c>
      <c r="O176" t="s">
        <v>1967</v>
      </c>
      <c r="P176" t="s">
        <v>1984</v>
      </c>
      <c r="Q176" t="s">
        <v>1972</v>
      </c>
      <c r="R176" t="s">
        <v>1976</v>
      </c>
      <c r="S176" t="s">
        <v>2073</v>
      </c>
      <c r="T176" t="s">
        <v>2435</v>
      </c>
      <c r="U176" t="s">
        <v>2436</v>
      </c>
      <c r="V176" t="s">
        <v>2615</v>
      </c>
    </row>
    <row r="177">
      <c r="A177" t="s">
        <v>2617</v>
      </c>
      <c r="F177" t="s">
        <v>1402</v>
      </c>
      <c r="G177" t="s">
        <v>120</v>
      </c>
      <c r="H177" t="s">
        <v>1403</v>
      </c>
      <c r="I177" t="s">
        <v>1404</v>
      </c>
      <c r="J177" t="s">
        <v>1405</v>
      </c>
      <c r="K177" t="s">
        <v>1406</v>
      </c>
      <c r="L177" t="s">
        <v>1407</v>
      </c>
      <c r="M177" t="s">
        <v>1408</v>
      </c>
      <c r="N177" t="s">
        <v>1409</v>
      </c>
      <c r="O177" t="s">
        <v>1967</v>
      </c>
      <c r="P177" t="s">
        <v>1984</v>
      </c>
      <c r="Q177" t="s">
        <v>1972</v>
      </c>
      <c r="R177" t="s">
        <v>1976</v>
      </c>
      <c r="S177" t="s">
        <v>2073</v>
      </c>
      <c r="T177" t="s">
        <v>2435</v>
      </c>
      <c r="U177" t="s">
        <v>2436</v>
      </c>
      <c r="V177" t="s">
        <v>2618</v>
      </c>
    </row>
    <row r="178">
      <c r="A178" t="s">
        <v>2620</v>
      </c>
      <c r="F178" t="s">
        <v>1410</v>
      </c>
      <c r="G178" t="s">
        <v>120</v>
      </c>
      <c r="H178" t="s">
        <v>1411</v>
      </c>
      <c r="I178" t="s">
        <v>1412</v>
      </c>
      <c r="J178" t="s">
        <v>1413</v>
      </c>
      <c r="K178" t="s">
        <v>1414</v>
      </c>
      <c r="L178" t="s">
        <v>1415</v>
      </c>
      <c r="M178" t="s">
        <v>1416</v>
      </c>
      <c r="N178" t="s">
        <v>1417</v>
      </c>
      <c r="O178" t="s">
        <v>1967</v>
      </c>
      <c r="P178" t="s">
        <v>1984</v>
      </c>
      <c r="Q178" t="s">
        <v>1972</v>
      </c>
      <c r="R178" t="s">
        <v>1976</v>
      </c>
      <c r="S178" t="s">
        <v>2073</v>
      </c>
      <c r="T178" t="s">
        <v>2435</v>
      </c>
      <c r="U178" t="s">
        <v>2436</v>
      </c>
      <c r="V178" t="s">
        <v>2621</v>
      </c>
    </row>
    <row r="179">
      <c r="A179" t="s">
        <v>2623</v>
      </c>
      <c r="B179" t="s">
        <v>958</v>
      </c>
      <c r="C179" t="s">
        <v>1380</v>
      </c>
      <c r="D179" t="s">
        <v>1418</v>
      </c>
      <c r="E179" t="s">
        <v>1419</v>
      </c>
      <c r="F179" t="s">
        <v>1420</v>
      </c>
      <c r="G179" t="s">
        <v>154</v>
      </c>
      <c r="H179" t="s">
        <v>1421</v>
      </c>
      <c r="I179" t="s">
        <v>1422</v>
      </c>
      <c r="J179" t="s">
        <v>1423</v>
      </c>
      <c r="K179" t="s">
        <v>1424</v>
      </c>
      <c r="L179" t="s">
        <v>1425</v>
      </c>
      <c r="M179" t="s">
        <v>1426</v>
      </c>
      <c r="N179" t="s">
        <v>1427</v>
      </c>
      <c r="O179" t="s">
        <v>1967</v>
      </c>
      <c r="P179" t="s">
        <v>1984</v>
      </c>
      <c r="Q179" t="s">
        <v>1972</v>
      </c>
      <c r="R179" t="s">
        <v>1976</v>
      </c>
      <c r="S179" t="s">
        <v>2073</v>
      </c>
      <c r="T179" t="s">
        <v>2435</v>
      </c>
      <c r="U179" t="s">
        <v>2436</v>
      </c>
      <c r="V179" t="s">
        <v>2624</v>
      </c>
    </row>
    <row r="180">
      <c r="A180" t="s">
        <v>2626</v>
      </c>
      <c r="F180" t="s">
        <v>1428</v>
      </c>
      <c r="G180" t="s">
        <v>154</v>
      </c>
      <c r="H180" t="s">
        <v>1429</v>
      </c>
      <c r="I180" t="s">
        <v>1430</v>
      </c>
      <c r="J180" t="s">
        <v>1431</v>
      </c>
      <c r="K180" t="s">
        <v>1432</v>
      </c>
      <c r="L180" t="s">
        <v>1433</v>
      </c>
      <c r="M180" t="s">
        <v>1434</v>
      </c>
      <c r="N180" t="s">
        <v>375</v>
      </c>
      <c r="O180" t="s">
        <v>1968</v>
      </c>
      <c r="P180" t="s">
        <v>1985</v>
      </c>
      <c r="Q180" t="s">
        <v>1971</v>
      </c>
      <c r="R180" t="s">
        <v>1975</v>
      </c>
      <c r="S180" t="s">
        <v>2073</v>
      </c>
      <c r="T180" t="s">
        <v>2435</v>
      </c>
      <c r="U180" t="s">
        <v>2516</v>
      </c>
      <c r="V180" t="s">
        <v>2627</v>
      </c>
    </row>
    <row r="181">
      <c r="A181" t="s">
        <v>2628</v>
      </c>
      <c r="F181" t="s">
        <v>1435</v>
      </c>
      <c r="G181" t="s">
        <v>120</v>
      </c>
      <c r="H181" t="s">
        <v>1420</v>
      </c>
      <c r="I181" t="s">
        <v>1436</v>
      </c>
      <c r="J181" t="s">
        <v>1437</v>
      </c>
      <c r="K181" t="s">
        <v>1424</v>
      </c>
      <c r="L181" t="s">
        <v>1438</v>
      </c>
      <c r="M181" t="s">
        <v>1439</v>
      </c>
      <c r="N181" t="s">
        <v>1427</v>
      </c>
      <c r="O181" t="s">
        <v>1967</v>
      </c>
      <c r="P181" t="s">
        <v>1984</v>
      </c>
      <c r="Q181" t="s">
        <v>1972</v>
      </c>
      <c r="R181" t="s">
        <v>1976</v>
      </c>
      <c r="S181" t="s">
        <v>2073</v>
      </c>
      <c r="T181" t="s">
        <v>2435</v>
      </c>
      <c r="U181" t="s">
        <v>2436</v>
      </c>
      <c r="V181" t="s">
        <v>2629</v>
      </c>
    </row>
    <row r="182">
      <c r="A182" t="s">
        <v>2631</v>
      </c>
      <c r="F182" t="s">
        <v>1440</v>
      </c>
      <c r="G182" t="s">
        <v>120</v>
      </c>
      <c r="H182" t="s">
        <v>1383</v>
      </c>
      <c r="I182" t="s">
        <v>1441</v>
      </c>
      <c r="J182" t="s">
        <v>1442</v>
      </c>
      <c r="K182" t="s">
        <v>1424</v>
      </c>
      <c r="L182" t="s">
        <v>1443</v>
      </c>
      <c r="M182" t="s">
        <v>1444</v>
      </c>
      <c r="N182" t="s">
        <v>1427</v>
      </c>
      <c r="O182" t="s">
        <v>1967</v>
      </c>
      <c r="P182" t="s">
        <v>1984</v>
      </c>
      <c r="Q182" t="s">
        <v>1972</v>
      </c>
      <c r="R182" t="s">
        <v>1976</v>
      </c>
      <c r="S182" t="s">
        <v>2073</v>
      </c>
      <c r="T182" t="s">
        <v>2435</v>
      </c>
      <c r="U182" t="s">
        <v>2436</v>
      </c>
      <c r="V182" t="s">
        <v>2632</v>
      </c>
    </row>
    <row r="183">
      <c r="A183" t="s">
        <v>2634</v>
      </c>
      <c r="F183" t="s">
        <v>1445</v>
      </c>
      <c r="G183" t="s">
        <v>120</v>
      </c>
      <c r="H183" t="s">
        <v>1446</v>
      </c>
      <c r="I183" t="s">
        <v>1447</v>
      </c>
      <c r="J183" t="s">
        <v>1448</v>
      </c>
      <c r="K183" t="s">
        <v>1449</v>
      </c>
      <c r="L183" t="s">
        <v>1450</v>
      </c>
      <c r="M183" t="s">
        <v>1451</v>
      </c>
      <c r="N183" t="s">
        <v>1452</v>
      </c>
      <c r="O183" t="s">
        <v>1967</v>
      </c>
      <c r="P183" t="s">
        <v>1984</v>
      </c>
      <c r="Q183" t="s">
        <v>1972</v>
      </c>
      <c r="R183" t="s">
        <v>1976</v>
      </c>
      <c r="S183" t="s">
        <v>2073</v>
      </c>
      <c r="T183" t="s">
        <v>2435</v>
      </c>
      <c r="U183" t="s">
        <v>2436</v>
      </c>
      <c r="V183" t="s">
        <v>2635</v>
      </c>
    </row>
    <row r="184">
      <c r="A184" t="s">
        <v>2637</v>
      </c>
      <c r="B184" t="s">
        <v>958</v>
      </c>
      <c r="C184" t="s">
        <v>1380</v>
      </c>
      <c r="D184" t="s">
        <v>1453</v>
      </c>
      <c r="E184" t="s">
        <v>1454</v>
      </c>
      <c r="F184" t="s">
        <v>1455</v>
      </c>
      <c r="G184" t="s">
        <v>154</v>
      </c>
      <c r="H184" t="s">
        <v>1456</v>
      </c>
      <c r="I184" t="s">
        <v>1457</v>
      </c>
      <c r="J184" t="s">
        <v>1458</v>
      </c>
      <c r="K184" t="s">
        <v>1459</v>
      </c>
      <c r="L184" t="s">
        <v>1460</v>
      </c>
      <c r="M184" t="s">
        <v>1461</v>
      </c>
      <c r="N184" t="s">
        <v>1462</v>
      </c>
      <c r="O184" t="s">
        <v>1967</v>
      </c>
      <c r="P184" t="s">
        <v>1984</v>
      </c>
      <c r="Q184" t="s">
        <v>1972</v>
      </c>
      <c r="R184" t="s">
        <v>1976</v>
      </c>
      <c r="S184" t="s">
        <v>2073</v>
      </c>
      <c r="T184" t="s">
        <v>2435</v>
      </c>
      <c r="U184" t="s">
        <v>2436</v>
      </c>
      <c r="V184" t="s">
        <v>2638</v>
      </c>
    </row>
    <row r="185">
      <c r="A185" t="s">
        <v>2640</v>
      </c>
      <c r="F185" t="s">
        <v>1463</v>
      </c>
      <c r="G185" t="s">
        <v>120</v>
      </c>
      <c r="H185" t="s">
        <v>113</v>
      </c>
      <c r="I185" t="s">
        <v>1464</v>
      </c>
      <c r="J185" t="s">
        <v>1465</v>
      </c>
      <c r="K185" t="s">
        <v>1459</v>
      </c>
      <c r="L185" t="s">
        <v>1466</v>
      </c>
      <c r="M185" t="s">
        <v>1467</v>
      </c>
      <c r="N185" t="s">
        <v>1462</v>
      </c>
      <c r="O185" t="s">
        <v>1967</v>
      </c>
      <c r="P185" t="s">
        <v>1984</v>
      </c>
      <c r="Q185" t="s">
        <v>1972</v>
      </c>
      <c r="R185" t="s">
        <v>1976</v>
      </c>
      <c r="S185" t="s">
        <v>2073</v>
      </c>
      <c r="T185" t="s">
        <v>2435</v>
      </c>
      <c r="U185" t="s">
        <v>2436</v>
      </c>
      <c r="V185" t="s">
        <v>2641</v>
      </c>
    </row>
    <row r="186">
      <c r="A186" t="s">
        <v>2643</v>
      </c>
      <c r="F186" t="s">
        <v>1468</v>
      </c>
      <c r="G186" t="s">
        <v>120</v>
      </c>
      <c r="H186" t="s">
        <v>1463</v>
      </c>
      <c r="I186" t="s">
        <v>1469</v>
      </c>
      <c r="J186" t="s">
        <v>1470</v>
      </c>
      <c r="K186" t="s">
        <v>1459</v>
      </c>
      <c r="L186" t="s">
        <v>1471</v>
      </c>
      <c r="M186" t="s">
        <v>1472</v>
      </c>
      <c r="N186" t="s">
        <v>1462</v>
      </c>
      <c r="O186" t="s">
        <v>1967</v>
      </c>
      <c r="P186" t="s">
        <v>1984</v>
      </c>
      <c r="Q186" t="s">
        <v>1972</v>
      </c>
      <c r="R186" t="s">
        <v>1976</v>
      </c>
      <c r="S186" t="s">
        <v>2073</v>
      </c>
      <c r="T186" t="s">
        <v>2435</v>
      </c>
      <c r="U186" t="s">
        <v>2436</v>
      </c>
      <c r="V186" t="s">
        <v>2644</v>
      </c>
    </row>
    <row r="187">
      <c r="A187" t="s">
        <v>2646</v>
      </c>
      <c r="F187" t="s">
        <v>1473</v>
      </c>
      <c r="G187" t="s">
        <v>120</v>
      </c>
      <c r="H187" t="s">
        <v>1474</v>
      </c>
      <c r="I187" t="s">
        <v>1475</v>
      </c>
      <c r="J187" t="s">
        <v>1476</v>
      </c>
      <c r="K187" t="s">
        <v>1477</v>
      </c>
      <c r="L187" t="s">
        <v>1478</v>
      </c>
      <c r="M187" t="s">
        <v>1479</v>
      </c>
      <c r="N187" t="s">
        <v>1480</v>
      </c>
      <c r="O187" t="s">
        <v>1967</v>
      </c>
      <c r="P187" t="s">
        <v>1984</v>
      </c>
      <c r="Q187" t="s">
        <v>1972</v>
      </c>
      <c r="R187" t="s">
        <v>1976</v>
      </c>
      <c r="S187" t="s">
        <v>2073</v>
      </c>
      <c r="T187" t="s">
        <v>2435</v>
      </c>
      <c r="U187" t="s">
        <v>2436</v>
      </c>
      <c r="V187" t="s">
        <v>2647</v>
      </c>
    </row>
    <row r="188">
      <c r="A188" t="s">
        <v>2649</v>
      </c>
      <c r="F188" t="s">
        <v>1481</v>
      </c>
      <c r="G188" t="s">
        <v>120</v>
      </c>
      <c r="H188" t="s">
        <v>1455</v>
      </c>
      <c r="I188" t="s">
        <v>1482</v>
      </c>
      <c r="J188" t="s">
        <v>1483</v>
      </c>
      <c r="K188" t="s">
        <v>1459</v>
      </c>
      <c r="L188" t="s">
        <v>1484</v>
      </c>
      <c r="M188" t="s">
        <v>1485</v>
      </c>
      <c r="N188" t="s">
        <v>1462</v>
      </c>
      <c r="O188" t="s">
        <v>1967</v>
      </c>
      <c r="P188" t="s">
        <v>1984</v>
      </c>
      <c r="Q188" t="s">
        <v>1972</v>
      </c>
      <c r="R188" t="s">
        <v>1976</v>
      </c>
      <c r="S188" t="s">
        <v>2073</v>
      </c>
      <c r="T188" t="s">
        <v>2435</v>
      </c>
      <c r="U188" t="s">
        <v>2436</v>
      </c>
      <c r="V188" t="s">
        <v>2650</v>
      </c>
    </row>
    <row r="189">
      <c r="A189" t="s">
        <v>2652</v>
      </c>
      <c r="B189" t="s">
        <v>958</v>
      </c>
      <c r="C189" t="s">
        <v>1486</v>
      </c>
      <c r="D189" t="s">
        <v>1487</v>
      </c>
      <c r="E189" t="s">
        <v>1488</v>
      </c>
      <c r="F189" t="s">
        <v>1489</v>
      </c>
      <c r="G189" t="s">
        <v>120</v>
      </c>
      <c r="H189" t="s">
        <v>1490</v>
      </c>
      <c r="I189" t="s">
        <v>1491</v>
      </c>
      <c r="J189" t="s">
        <v>1492</v>
      </c>
      <c r="K189" t="s">
        <v>1493</v>
      </c>
      <c r="L189" t="s">
        <v>1494</v>
      </c>
      <c r="M189" t="s">
        <v>1495</v>
      </c>
      <c r="N189" t="s">
        <v>1496</v>
      </c>
      <c r="O189" t="s">
        <v>1967</v>
      </c>
      <c r="P189" t="s">
        <v>1984</v>
      </c>
      <c r="Q189" t="s">
        <v>1972</v>
      </c>
      <c r="R189" t="s">
        <v>1976</v>
      </c>
      <c r="S189" t="s">
        <v>2073</v>
      </c>
      <c r="T189" t="s">
        <v>2435</v>
      </c>
      <c r="U189" t="s">
        <v>2436</v>
      </c>
      <c r="V189" t="s">
        <v>2653</v>
      </c>
    </row>
    <row r="190">
      <c r="A190" t="s">
        <v>2655</v>
      </c>
      <c r="F190" t="s">
        <v>1497</v>
      </c>
      <c r="G190" t="s">
        <v>120</v>
      </c>
      <c r="H190" t="s">
        <v>1489</v>
      </c>
      <c r="I190" t="s">
        <v>1498</v>
      </c>
      <c r="J190" t="s">
        <v>1499</v>
      </c>
      <c r="K190" t="s">
        <v>1493</v>
      </c>
      <c r="L190" t="s">
        <v>1500</v>
      </c>
      <c r="M190" t="s">
        <v>1501</v>
      </c>
      <c r="N190" t="s">
        <v>1379</v>
      </c>
      <c r="O190" t="s">
        <v>1967</v>
      </c>
      <c r="P190" t="s">
        <v>1984</v>
      </c>
      <c r="Q190" t="s">
        <v>1972</v>
      </c>
      <c r="R190" t="s">
        <v>1976</v>
      </c>
      <c r="S190" t="s">
        <v>2073</v>
      </c>
      <c r="T190" t="s">
        <v>2435</v>
      </c>
      <c r="U190" t="s">
        <v>2436</v>
      </c>
      <c r="V190" t="s">
        <v>2656</v>
      </c>
    </row>
    <row r="191">
      <c r="A191" t="s">
        <v>2658</v>
      </c>
      <c r="F191" t="s">
        <v>1502</v>
      </c>
      <c r="G191" t="s">
        <v>120</v>
      </c>
      <c r="H191" t="s">
        <v>1503</v>
      </c>
      <c r="I191" t="s">
        <v>1504</v>
      </c>
      <c r="J191" t="s">
        <v>1505</v>
      </c>
      <c r="K191" t="s">
        <v>1506</v>
      </c>
      <c r="L191" t="s">
        <v>1507</v>
      </c>
      <c r="M191" t="s">
        <v>1508</v>
      </c>
      <c r="N191" t="s">
        <v>1379</v>
      </c>
      <c r="O191" t="s">
        <v>1967</v>
      </c>
      <c r="P191" t="s">
        <v>1984</v>
      </c>
      <c r="Q191" t="s">
        <v>1972</v>
      </c>
      <c r="R191" t="s">
        <v>1976</v>
      </c>
      <c r="S191" t="s">
        <v>2073</v>
      </c>
      <c r="T191" t="s">
        <v>2435</v>
      </c>
      <c r="U191" t="s">
        <v>2436</v>
      </c>
      <c r="V191" t="s">
        <v>2659</v>
      </c>
    </row>
    <row r="192">
      <c r="A192" t="s">
        <v>2661</v>
      </c>
      <c r="F192" t="s">
        <v>1509</v>
      </c>
      <c r="G192" t="s">
        <v>120</v>
      </c>
      <c r="H192" t="s">
        <v>1510</v>
      </c>
      <c r="I192" t="s">
        <v>1511</v>
      </c>
      <c r="J192" t="s">
        <v>1512</v>
      </c>
      <c r="K192" t="s">
        <v>1493</v>
      </c>
      <c r="L192" t="s">
        <v>1513</v>
      </c>
      <c r="M192" t="s">
        <v>1514</v>
      </c>
      <c r="N192" t="s">
        <v>1496</v>
      </c>
      <c r="O192" t="s">
        <v>1967</v>
      </c>
      <c r="P192" t="s">
        <v>1984</v>
      </c>
      <c r="Q192" t="s">
        <v>1972</v>
      </c>
      <c r="R192" t="s">
        <v>1976</v>
      </c>
      <c r="S192" t="s">
        <v>2073</v>
      </c>
      <c r="T192" t="s">
        <v>2435</v>
      </c>
      <c r="U192" t="s">
        <v>2436</v>
      </c>
      <c r="V192" t="s">
        <v>2662</v>
      </c>
    </row>
    <row r="193">
      <c r="A193" t="s">
        <v>2664</v>
      </c>
      <c r="F193" t="s">
        <v>1515</v>
      </c>
      <c r="G193" t="s">
        <v>120</v>
      </c>
      <c r="H193" t="s">
        <v>1516</v>
      </c>
      <c r="I193" t="s">
        <v>1517</v>
      </c>
      <c r="J193" t="s">
        <v>1518</v>
      </c>
      <c r="K193" t="s">
        <v>1493</v>
      </c>
      <c r="L193" t="s">
        <v>1519</v>
      </c>
      <c r="M193" t="s">
        <v>1520</v>
      </c>
      <c r="N193" t="s">
        <v>1379</v>
      </c>
      <c r="O193" t="s">
        <v>1967</v>
      </c>
      <c r="P193" t="s">
        <v>1984</v>
      </c>
      <c r="Q193" t="s">
        <v>1972</v>
      </c>
      <c r="R193" t="s">
        <v>1976</v>
      </c>
      <c r="S193" t="s">
        <v>2073</v>
      </c>
      <c r="T193" t="s">
        <v>2435</v>
      </c>
      <c r="U193" t="s">
        <v>2436</v>
      </c>
      <c r="V193" t="s">
        <v>2665</v>
      </c>
    </row>
    <row r="194">
      <c r="A194" t="s">
        <v>2667</v>
      </c>
      <c r="B194" t="s">
        <v>958</v>
      </c>
      <c r="C194" t="s">
        <v>1521</v>
      </c>
      <c r="D194" t="s">
        <v>1522</v>
      </c>
      <c r="E194" t="s">
        <v>1523</v>
      </c>
      <c r="F194" t="s">
        <v>1524</v>
      </c>
      <c r="G194" t="s">
        <v>120</v>
      </c>
      <c r="H194" t="s">
        <v>1525</v>
      </c>
      <c r="I194" t="s">
        <v>1526</v>
      </c>
      <c r="J194" t="s">
        <v>1527</v>
      </c>
      <c r="K194" t="s">
        <v>1528</v>
      </c>
      <c r="L194" t="s">
        <v>1529</v>
      </c>
      <c r="M194" t="s">
        <v>1530</v>
      </c>
      <c r="N194" t="s">
        <v>1531</v>
      </c>
      <c r="O194" t="s">
        <v>1967</v>
      </c>
      <c r="P194" t="s">
        <v>1984</v>
      </c>
      <c r="Q194" t="s">
        <v>1972</v>
      </c>
      <c r="R194" t="s">
        <v>1976</v>
      </c>
      <c r="S194" t="s">
        <v>2073</v>
      </c>
      <c r="T194" t="s">
        <v>2435</v>
      </c>
      <c r="U194" t="s">
        <v>2436</v>
      </c>
      <c r="V194" t="s">
        <v>2668</v>
      </c>
    </row>
    <row r="195">
      <c r="A195" t="s">
        <v>2671</v>
      </c>
      <c r="F195" t="s">
        <v>1532</v>
      </c>
      <c r="G195" t="s">
        <v>120</v>
      </c>
      <c r="H195" t="s">
        <v>1524</v>
      </c>
      <c r="I195" t="s">
        <v>1533</v>
      </c>
      <c r="J195" t="s">
        <v>1534</v>
      </c>
      <c r="K195" t="s">
        <v>1535</v>
      </c>
      <c r="L195" t="s">
        <v>1536</v>
      </c>
      <c r="M195" t="s">
        <v>1537</v>
      </c>
      <c r="N195" t="s">
        <v>1538</v>
      </c>
      <c r="O195" t="s">
        <v>1967</v>
      </c>
      <c r="P195" t="s">
        <v>1984</v>
      </c>
      <c r="Q195" t="s">
        <v>1972</v>
      </c>
      <c r="R195" t="s">
        <v>1976</v>
      </c>
      <c r="S195" t="s">
        <v>2073</v>
      </c>
      <c r="T195" t="s">
        <v>2435</v>
      </c>
      <c r="U195" t="s">
        <v>2436</v>
      </c>
      <c r="V195" t="s">
        <v>2672</v>
      </c>
    </row>
    <row r="196">
      <c r="A196" t="s">
        <v>2674</v>
      </c>
      <c r="F196" t="s">
        <v>1539</v>
      </c>
      <c r="G196" t="s">
        <v>120</v>
      </c>
      <c r="H196" t="s">
        <v>1540</v>
      </c>
      <c r="I196" t="s">
        <v>1541</v>
      </c>
      <c r="J196" t="s">
        <v>1542</v>
      </c>
      <c r="K196" t="s">
        <v>1543</v>
      </c>
      <c r="L196" t="s">
        <v>1544</v>
      </c>
      <c r="M196" t="s">
        <v>1545</v>
      </c>
      <c r="N196" t="s">
        <v>1546</v>
      </c>
      <c r="O196" t="s">
        <v>1967</v>
      </c>
      <c r="P196" t="s">
        <v>1984</v>
      </c>
      <c r="Q196" t="s">
        <v>1972</v>
      </c>
      <c r="R196" t="s">
        <v>1976</v>
      </c>
      <c r="S196" t="s">
        <v>2073</v>
      </c>
      <c r="T196" t="s">
        <v>2435</v>
      </c>
      <c r="U196" t="s">
        <v>2436</v>
      </c>
      <c r="V196" t="s">
        <v>2675</v>
      </c>
    </row>
    <row r="197">
      <c r="A197" t="s">
        <v>2677</v>
      </c>
      <c r="F197" t="s">
        <v>1547</v>
      </c>
      <c r="G197" t="s">
        <v>120</v>
      </c>
      <c r="H197" t="s">
        <v>1548</v>
      </c>
      <c r="I197" t="s">
        <v>1549</v>
      </c>
      <c r="J197" t="s">
        <v>1550</v>
      </c>
      <c r="K197" t="s">
        <v>1551</v>
      </c>
      <c r="L197" t="s">
        <v>1552</v>
      </c>
      <c r="M197" t="s">
        <v>1553</v>
      </c>
      <c r="N197" t="s">
        <v>1554</v>
      </c>
      <c r="O197" t="s">
        <v>1967</v>
      </c>
      <c r="P197" t="s">
        <v>1984</v>
      </c>
      <c r="Q197" t="s">
        <v>1972</v>
      </c>
      <c r="R197" t="s">
        <v>1976</v>
      </c>
      <c r="S197" t="s">
        <v>2073</v>
      </c>
      <c r="T197" t="s">
        <v>2435</v>
      </c>
      <c r="U197" t="s">
        <v>2436</v>
      </c>
      <c r="V197" t="s">
        <v>2678</v>
      </c>
    </row>
    <row r="198">
      <c r="A198" t="s">
        <v>2680</v>
      </c>
      <c r="F198" t="s">
        <v>1555</v>
      </c>
      <c r="G198" t="s">
        <v>120</v>
      </c>
      <c r="H198" t="s">
        <v>1556</v>
      </c>
      <c r="I198" t="s">
        <v>1557</v>
      </c>
      <c r="J198" t="s">
        <v>1558</v>
      </c>
      <c r="K198" t="s">
        <v>1559</v>
      </c>
      <c r="L198" t="s">
        <v>1560</v>
      </c>
      <c r="M198" t="s">
        <v>1561</v>
      </c>
      <c r="N198" t="s">
        <v>1562</v>
      </c>
      <c r="O198" t="s">
        <v>1967</v>
      </c>
      <c r="P198" t="s">
        <v>1984</v>
      </c>
      <c r="Q198" t="s">
        <v>1972</v>
      </c>
      <c r="R198" t="s">
        <v>1976</v>
      </c>
      <c r="S198" t="s">
        <v>2073</v>
      </c>
      <c r="T198" t="s">
        <v>2435</v>
      </c>
      <c r="U198" t="s">
        <v>2436</v>
      </c>
      <c r="V198" t="s">
        <v>2681</v>
      </c>
    </row>
    <row r="199">
      <c r="A199" t="s">
        <v>2683</v>
      </c>
      <c r="B199" t="s">
        <v>958</v>
      </c>
      <c r="C199" t="s">
        <v>1563</v>
      </c>
      <c r="D199" t="s">
        <v>1564</v>
      </c>
      <c r="E199" t="s">
        <v>1565</v>
      </c>
      <c r="F199" t="s">
        <v>1566</v>
      </c>
      <c r="G199" t="s">
        <v>120</v>
      </c>
      <c r="H199" t="s">
        <v>1567</v>
      </c>
      <c r="I199" t="s">
        <v>1568</v>
      </c>
      <c r="J199" t="s">
        <v>1569</v>
      </c>
      <c r="K199" t="s">
        <v>1570</v>
      </c>
      <c r="L199" t="s">
        <v>1571</v>
      </c>
      <c r="M199" t="s">
        <v>1572</v>
      </c>
      <c r="N199" t="s">
        <v>1573</v>
      </c>
      <c r="O199" t="s">
        <v>1967</v>
      </c>
      <c r="P199" t="s">
        <v>1984</v>
      </c>
      <c r="Q199" t="s">
        <v>1972</v>
      </c>
      <c r="R199" t="s">
        <v>1976</v>
      </c>
      <c r="S199" t="s">
        <v>2073</v>
      </c>
      <c r="T199" t="s">
        <v>2435</v>
      </c>
      <c r="U199" t="s">
        <v>2436</v>
      </c>
      <c r="V199" t="s">
        <v>2684</v>
      </c>
    </row>
    <row r="200">
      <c r="A200" t="s">
        <v>2686</v>
      </c>
      <c r="F200" t="s">
        <v>1532</v>
      </c>
      <c r="G200" t="s">
        <v>120</v>
      </c>
      <c r="H200" t="s">
        <v>1567</v>
      </c>
      <c r="I200" t="s">
        <v>1574</v>
      </c>
      <c r="J200" t="s">
        <v>1575</v>
      </c>
      <c r="K200" t="s">
        <v>1570</v>
      </c>
      <c r="L200" t="s">
        <v>1576</v>
      </c>
      <c r="M200" t="s">
        <v>1577</v>
      </c>
      <c r="N200" t="s">
        <v>1573</v>
      </c>
      <c r="O200" t="s">
        <v>1967</v>
      </c>
      <c r="P200" t="s">
        <v>1984</v>
      </c>
      <c r="Q200" t="s">
        <v>1972</v>
      </c>
      <c r="R200" t="s">
        <v>1976</v>
      </c>
      <c r="S200" t="s">
        <v>2073</v>
      </c>
      <c r="T200" t="s">
        <v>2435</v>
      </c>
      <c r="U200" t="s">
        <v>2436</v>
      </c>
      <c r="V200" t="s">
        <v>2687</v>
      </c>
    </row>
    <row r="201">
      <c r="A201" t="s">
        <v>2689</v>
      </c>
      <c r="F201" t="s">
        <v>1578</v>
      </c>
      <c r="G201" t="s">
        <v>120</v>
      </c>
      <c r="H201" t="s">
        <v>1579</v>
      </c>
      <c r="I201" t="s">
        <v>1580</v>
      </c>
      <c r="J201" t="s">
        <v>1581</v>
      </c>
      <c r="K201" t="s">
        <v>1582</v>
      </c>
      <c r="L201" t="s">
        <v>1583</v>
      </c>
      <c r="M201" t="s">
        <v>1584</v>
      </c>
      <c r="N201" t="s">
        <v>1585</v>
      </c>
      <c r="O201" t="s">
        <v>1967</v>
      </c>
      <c r="P201" t="s">
        <v>1984</v>
      </c>
      <c r="Q201" t="s">
        <v>1972</v>
      </c>
      <c r="R201" t="s">
        <v>1976</v>
      </c>
      <c r="S201" t="s">
        <v>2073</v>
      </c>
      <c r="T201" t="s">
        <v>2435</v>
      </c>
      <c r="U201" t="s">
        <v>2436</v>
      </c>
      <c r="V201" t="s">
        <v>2690</v>
      </c>
    </row>
    <row r="202">
      <c r="A202" t="s">
        <v>2692</v>
      </c>
      <c r="F202" t="s">
        <v>1586</v>
      </c>
      <c r="G202" t="s">
        <v>120</v>
      </c>
      <c r="H202" t="s">
        <v>1383</v>
      </c>
      <c r="I202" t="s">
        <v>1587</v>
      </c>
      <c r="J202" t="s">
        <v>1588</v>
      </c>
      <c r="K202" t="s">
        <v>1589</v>
      </c>
      <c r="L202" t="s">
        <v>1590</v>
      </c>
      <c r="M202" t="s">
        <v>1591</v>
      </c>
      <c r="N202" t="s">
        <v>1592</v>
      </c>
      <c r="O202" t="s">
        <v>1967</v>
      </c>
      <c r="P202" t="s">
        <v>1984</v>
      </c>
      <c r="Q202" t="s">
        <v>1972</v>
      </c>
      <c r="R202" t="s">
        <v>1976</v>
      </c>
      <c r="S202" t="s">
        <v>2073</v>
      </c>
      <c r="T202" t="s">
        <v>2435</v>
      </c>
      <c r="U202" t="s">
        <v>2436</v>
      </c>
      <c r="V202" t="s">
        <v>2693</v>
      </c>
    </row>
    <row r="203">
      <c r="A203" t="s">
        <v>2695</v>
      </c>
      <c r="B203" t="s">
        <v>958</v>
      </c>
      <c r="C203" t="s">
        <v>1593</v>
      </c>
      <c r="D203" t="s">
        <v>1594</v>
      </c>
      <c r="E203" t="s">
        <v>1595</v>
      </c>
      <c r="F203" t="s">
        <v>1596</v>
      </c>
      <c r="G203" t="s">
        <v>120</v>
      </c>
      <c r="H203" t="s">
        <v>1597</v>
      </c>
      <c r="I203" t="s">
        <v>1598</v>
      </c>
      <c r="J203" t="s">
        <v>1599</v>
      </c>
      <c r="K203" t="s">
        <v>1600</v>
      </c>
      <c r="L203" t="s">
        <v>1601</v>
      </c>
      <c r="M203" t="s">
        <v>1602</v>
      </c>
      <c r="N203" t="s">
        <v>1603</v>
      </c>
      <c r="O203" t="s">
        <v>1967</v>
      </c>
      <c r="P203" t="s">
        <v>1984</v>
      </c>
      <c r="Q203" t="s">
        <v>1972</v>
      </c>
      <c r="R203" t="s">
        <v>1976</v>
      </c>
      <c r="S203" t="s">
        <v>2073</v>
      </c>
      <c r="T203" t="s">
        <v>2435</v>
      </c>
      <c r="U203" t="s">
        <v>2436</v>
      </c>
      <c r="V203" t="s">
        <v>2696</v>
      </c>
    </row>
    <row r="204">
      <c r="A204" t="s">
        <v>2698</v>
      </c>
      <c r="F204" t="s">
        <v>1604</v>
      </c>
      <c r="G204" t="s">
        <v>120</v>
      </c>
      <c r="H204" t="s">
        <v>1605</v>
      </c>
      <c r="I204" t="s">
        <v>1606</v>
      </c>
      <c r="J204" t="s">
        <v>1607</v>
      </c>
      <c r="K204" t="s">
        <v>1608</v>
      </c>
      <c r="L204" t="s">
        <v>1609</v>
      </c>
      <c r="M204" t="s">
        <v>1610</v>
      </c>
      <c r="N204" t="s">
        <v>1611</v>
      </c>
      <c r="O204" t="s">
        <v>1967</v>
      </c>
      <c r="P204" t="s">
        <v>1984</v>
      </c>
      <c r="Q204" t="s">
        <v>1972</v>
      </c>
      <c r="R204" t="s">
        <v>1976</v>
      </c>
      <c r="S204" t="s">
        <v>2073</v>
      </c>
      <c r="T204" t="s">
        <v>2435</v>
      </c>
      <c r="U204" t="s">
        <v>2436</v>
      </c>
      <c r="V204" t="s">
        <v>2699</v>
      </c>
    </row>
    <row r="205">
      <c r="A205" t="s">
        <v>2701</v>
      </c>
      <c r="F205" t="s">
        <v>1612</v>
      </c>
      <c r="G205" t="s">
        <v>120</v>
      </c>
      <c r="H205" t="s">
        <v>1613</v>
      </c>
      <c r="I205" t="s">
        <v>1614</v>
      </c>
      <c r="J205" t="s">
        <v>1615</v>
      </c>
      <c r="K205" t="s">
        <v>1616</v>
      </c>
      <c r="L205" t="s">
        <v>1617</v>
      </c>
      <c r="M205" t="s">
        <v>1618</v>
      </c>
      <c r="N205" t="s">
        <v>1619</v>
      </c>
      <c r="O205" t="s">
        <v>1967</v>
      </c>
      <c r="P205" t="s">
        <v>1984</v>
      </c>
      <c r="Q205" t="s">
        <v>1972</v>
      </c>
      <c r="R205" t="s">
        <v>1976</v>
      </c>
      <c r="S205" t="s">
        <v>2073</v>
      </c>
      <c r="T205" t="s">
        <v>2435</v>
      </c>
      <c r="U205" t="s">
        <v>2436</v>
      </c>
      <c r="V205" t="s">
        <v>2702</v>
      </c>
    </row>
    <row r="206">
      <c r="A206" t="s">
        <v>2704</v>
      </c>
      <c r="F206" t="s">
        <v>1620</v>
      </c>
      <c r="G206" t="s">
        <v>120</v>
      </c>
      <c r="H206" t="s">
        <v>1621</v>
      </c>
      <c r="I206" t="s">
        <v>1622</v>
      </c>
      <c r="J206" t="s">
        <v>1623</v>
      </c>
      <c r="K206" t="s">
        <v>1624</v>
      </c>
      <c r="L206" t="s">
        <v>1625</v>
      </c>
      <c r="M206" t="s">
        <v>1626</v>
      </c>
      <c r="N206" t="s">
        <v>1627</v>
      </c>
      <c r="O206" t="s">
        <v>1967</v>
      </c>
      <c r="P206" t="s">
        <v>1984</v>
      </c>
      <c r="Q206" t="s">
        <v>1972</v>
      </c>
      <c r="R206" t="s">
        <v>1976</v>
      </c>
      <c r="S206" t="s">
        <v>2073</v>
      </c>
      <c r="T206" t="s">
        <v>2435</v>
      </c>
      <c r="U206" t="s">
        <v>2436</v>
      </c>
      <c r="V206" t="s">
        <v>2705</v>
      </c>
    </row>
    <row r="207">
      <c r="A207" t="s">
        <v>2707</v>
      </c>
      <c r="B207" t="s">
        <v>1628</v>
      </c>
      <c r="C207" t="s">
        <v>1629</v>
      </c>
      <c r="D207" t="s">
        <v>1630</v>
      </c>
      <c r="E207" t="s">
        <v>1631</v>
      </c>
      <c r="F207" t="s">
        <v>1632</v>
      </c>
      <c r="G207" t="s">
        <v>129</v>
      </c>
      <c r="H207" t="s">
        <v>1633</v>
      </c>
      <c r="I207" t="s">
        <v>1634</v>
      </c>
      <c r="J207" t="s">
        <v>1635</v>
      </c>
      <c r="K207" t="s">
        <v>1636</v>
      </c>
      <c r="L207" t="s">
        <v>1637</v>
      </c>
      <c r="M207" t="s">
        <v>1638</v>
      </c>
      <c r="N207" t="s">
        <v>1639</v>
      </c>
      <c r="O207" t="s">
        <v>1967</v>
      </c>
      <c r="P207" t="s">
        <v>1984</v>
      </c>
      <c r="Q207" t="s">
        <v>1972</v>
      </c>
      <c r="R207" t="s">
        <v>1975</v>
      </c>
      <c r="S207" t="s">
        <v>2073</v>
      </c>
      <c r="T207" t="s">
        <v>2435</v>
      </c>
      <c r="U207" t="s">
        <v>2436</v>
      </c>
      <c r="V207" t="s">
        <v>2708</v>
      </c>
    </row>
    <row r="208">
      <c r="A208" t="s">
        <v>2712</v>
      </c>
      <c r="F208" t="s">
        <v>1640</v>
      </c>
      <c r="G208" t="s">
        <v>97</v>
      </c>
      <c r="H208" t="s">
        <v>280</v>
      </c>
      <c r="I208" t="s">
        <v>1641</v>
      </c>
      <c r="J208" t="s">
        <v>1642</v>
      </c>
      <c r="K208" t="s">
        <v>1636</v>
      </c>
      <c r="L208" t="s">
        <v>1643</v>
      </c>
      <c r="M208" t="s">
        <v>1644</v>
      </c>
      <c r="N208" t="s">
        <v>1639</v>
      </c>
      <c r="O208" t="s">
        <v>1967</v>
      </c>
      <c r="P208" t="s">
        <v>1984</v>
      </c>
      <c r="Q208" t="s">
        <v>1972</v>
      </c>
      <c r="R208" t="s">
        <v>1975</v>
      </c>
      <c r="S208" t="s">
        <v>2073</v>
      </c>
      <c r="T208" t="s">
        <v>2435</v>
      </c>
      <c r="U208" t="s">
        <v>2436</v>
      </c>
      <c r="V208" t="s">
        <v>2713</v>
      </c>
    </row>
    <row r="209">
      <c r="A209" t="s">
        <v>2715</v>
      </c>
      <c r="F209" t="s">
        <v>1645</v>
      </c>
      <c r="G209" t="s">
        <v>97</v>
      </c>
      <c r="H209" t="s">
        <v>1646</v>
      </c>
      <c r="I209" t="s">
        <v>1647</v>
      </c>
      <c r="J209" t="s">
        <v>1648</v>
      </c>
      <c r="K209" t="s">
        <v>1636</v>
      </c>
      <c r="L209" t="s">
        <v>1649</v>
      </c>
      <c r="M209" t="s">
        <v>1650</v>
      </c>
      <c r="N209" t="s">
        <v>1639</v>
      </c>
      <c r="O209" t="s">
        <v>1967</v>
      </c>
      <c r="P209" t="s">
        <v>1984</v>
      </c>
      <c r="Q209" t="s">
        <v>1972</v>
      </c>
      <c r="R209" t="s">
        <v>1975</v>
      </c>
      <c r="S209" t="s">
        <v>2073</v>
      </c>
      <c r="T209" t="s">
        <v>2435</v>
      </c>
      <c r="U209" t="s">
        <v>2436</v>
      </c>
      <c r="V209" t="s">
        <v>2716</v>
      </c>
    </row>
    <row r="210">
      <c r="A210" t="s">
        <v>2718</v>
      </c>
      <c r="F210" t="s">
        <v>1651</v>
      </c>
      <c r="G210" t="s">
        <v>129</v>
      </c>
      <c r="H210" t="s">
        <v>1652</v>
      </c>
      <c r="I210" t="s">
        <v>1653</v>
      </c>
      <c r="J210" t="s">
        <v>1654</v>
      </c>
      <c r="K210" t="s">
        <v>1636</v>
      </c>
      <c r="L210" t="s">
        <v>1655</v>
      </c>
      <c r="M210" t="s">
        <v>1656</v>
      </c>
      <c r="N210" t="s">
        <v>1639</v>
      </c>
      <c r="O210" t="s">
        <v>1967</v>
      </c>
      <c r="P210" t="s">
        <v>1984</v>
      </c>
      <c r="Q210" t="s">
        <v>1972</v>
      </c>
      <c r="R210" t="s">
        <v>1975</v>
      </c>
      <c r="S210" t="s">
        <v>2073</v>
      </c>
      <c r="T210" t="s">
        <v>2435</v>
      </c>
      <c r="U210" t="s">
        <v>2436</v>
      </c>
      <c r="V210" t="s">
        <v>2719</v>
      </c>
    </row>
    <row r="211">
      <c r="A211" t="s">
        <v>2721</v>
      </c>
      <c r="F211" t="s">
        <v>1657</v>
      </c>
      <c r="G211" t="s">
        <v>154</v>
      </c>
      <c r="H211" t="s">
        <v>1658</v>
      </c>
      <c r="I211" t="s">
        <v>1659</v>
      </c>
      <c r="J211" t="s">
        <v>1660</v>
      </c>
      <c r="K211" t="s">
        <v>1636</v>
      </c>
      <c r="L211" t="s">
        <v>1661</v>
      </c>
      <c r="M211" t="s">
        <v>1662</v>
      </c>
      <c r="N211" t="s">
        <v>1639</v>
      </c>
      <c r="O211" t="s">
        <v>1967</v>
      </c>
      <c r="P211" t="s">
        <v>1984</v>
      </c>
      <c r="Q211" t="s">
        <v>1972</v>
      </c>
      <c r="R211" t="s">
        <v>1975</v>
      </c>
      <c r="S211" t="s">
        <v>2073</v>
      </c>
      <c r="T211" t="s">
        <v>2435</v>
      </c>
      <c r="U211" t="s">
        <v>2436</v>
      </c>
      <c r="V211" t="s">
        <v>2722</v>
      </c>
    </row>
    <row r="212">
      <c r="A212" t="s">
        <v>2724</v>
      </c>
      <c r="F212" t="s">
        <v>1663</v>
      </c>
      <c r="G212" t="s">
        <v>154</v>
      </c>
      <c r="H212" t="s">
        <v>280</v>
      </c>
      <c r="I212" t="s">
        <v>1664</v>
      </c>
      <c r="J212" t="s">
        <v>1665</v>
      </c>
      <c r="K212" t="s">
        <v>1636</v>
      </c>
      <c r="L212" t="s">
        <v>1666</v>
      </c>
      <c r="M212" t="s">
        <v>1667</v>
      </c>
      <c r="N212" t="s">
        <v>1639</v>
      </c>
      <c r="O212" t="s">
        <v>1967</v>
      </c>
      <c r="P212" t="s">
        <v>1984</v>
      </c>
      <c r="Q212" t="s">
        <v>1972</v>
      </c>
      <c r="R212" t="s">
        <v>1975</v>
      </c>
      <c r="S212" t="s">
        <v>2073</v>
      </c>
      <c r="T212" t="s">
        <v>2435</v>
      </c>
      <c r="U212" t="s">
        <v>2436</v>
      </c>
      <c r="V212" t="s">
        <v>2725</v>
      </c>
    </row>
    <row r="213">
      <c r="A213" t="s">
        <v>2727</v>
      </c>
      <c r="B213" t="s">
        <v>1628</v>
      </c>
      <c r="C213" t="s">
        <v>1668</v>
      </c>
      <c r="D213" t="s">
        <v>1669</v>
      </c>
      <c r="E213" t="s">
        <v>1670</v>
      </c>
      <c r="F213" t="s">
        <v>1671</v>
      </c>
      <c r="G213" t="s">
        <v>129</v>
      </c>
      <c r="H213" t="s">
        <v>138</v>
      </c>
      <c r="I213" t="s">
        <v>1672</v>
      </c>
      <c r="J213" t="s">
        <v>1673</v>
      </c>
      <c r="K213" t="s">
        <v>1674</v>
      </c>
      <c r="L213" t="s">
        <v>1675</v>
      </c>
      <c r="M213" t="s">
        <v>1676</v>
      </c>
      <c r="N213" t="s">
        <v>1677</v>
      </c>
      <c r="O213" t="s">
        <v>1967</v>
      </c>
      <c r="P213" t="s">
        <v>1984</v>
      </c>
      <c r="Q213" t="s">
        <v>1972</v>
      </c>
      <c r="R213" t="s">
        <v>1975</v>
      </c>
      <c r="S213" t="s">
        <v>2073</v>
      </c>
      <c r="T213" t="s">
        <v>2435</v>
      </c>
      <c r="U213" t="s">
        <v>2436</v>
      </c>
      <c r="V213" t="s">
        <v>2728</v>
      </c>
    </row>
    <row r="214">
      <c r="A214" t="s">
        <v>2730</v>
      </c>
      <c r="F214" t="s">
        <v>1678</v>
      </c>
      <c r="G214" t="s">
        <v>97</v>
      </c>
      <c r="H214" t="s">
        <v>1679</v>
      </c>
      <c r="I214" t="s">
        <v>1680</v>
      </c>
      <c r="J214" t="s">
        <v>1681</v>
      </c>
      <c r="K214" t="s">
        <v>1674</v>
      </c>
      <c r="L214" t="s">
        <v>1682</v>
      </c>
      <c r="M214" t="s">
        <v>1683</v>
      </c>
      <c r="N214" t="s">
        <v>1677</v>
      </c>
      <c r="O214" t="s">
        <v>1967</v>
      </c>
      <c r="P214" t="s">
        <v>1984</v>
      </c>
      <c r="Q214" t="s">
        <v>1972</v>
      </c>
      <c r="R214" t="s">
        <v>1975</v>
      </c>
      <c r="S214" t="s">
        <v>2073</v>
      </c>
      <c r="T214" t="s">
        <v>2435</v>
      </c>
      <c r="U214" t="s">
        <v>2436</v>
      </c>
      <c r="V214" t="s">
        <v>2731</v>
      </c>
    </row>
    <row r="215">
      <c r="A215" t="s">
        <v>2733</v>
      </c>
      <c r="F215" t="s">
        <v>1684</v>
      </c>
      <c r="G215" t="s">
        <v>154</v>
      </c>
      <c r="H215" t="s">
        <v>1685</v>
      </c>
      <c r="I215" t="s">
        <v>1686</v>
      </c>
      <c r="J215" t="s">
        <v>1687</v>
      </c>
      <c r="K215" t="s">
        <v>1674</v>
      </c>
      <c r="L215" t="s">
        <v>1688</v>
      </c>
      <c r="M215" t="s">
        <v>1689</v>
      </c>
      <c r="N215" t="s">
        <v>1677</v>
      </c>
      <c r="O215" t="s">
        <v>1967</v>
      </c>
      <c r="P215" t="s">
        <v>1984</v>
      </c>
      <c r="Q215" t="s">
        <v>1972</v>
      </c>
      <c r="R215" t="s">
        <v>1975</v>
      </c>
      <c r="S215" t="s">
        <v>2073</v>
      </c>
      <c r="T215" t="s">
        <v>2435</v>
      </c>
      <c r="U215" t="s">
        <v>2436</v>
      </c>
      <c r="V215" t="s">
        <v>2734</v>
      </c>
    </row>
    <row r="216">
      <c r="A216" t="s">
        <v>2736</v>
      </c>
      <c r="F216" t="s">
        <v>1690</v>
      </c>
      <c r="G216" t="s">
        <v>154</v>
      </c>
      <c r="H216" t="s">
        <v>1691</v>
      </c>
      <c r="I216" t="s">
        <v>1692</v>
      </c>
      <c r="J216" t="s">
        <v>1693</v>
      </c>
      <c r="K216" t="s">
        <v>1674</v>
      </c>
      <c r="L216" t="s">
        <v>1694</v>
      </c>
      <c r="M216" t="s">
        <v>1695</v>
      </c>
      <c r="N216" t="s">
        <v>1677</v>
      </c>
      <c r="O216" t="s">
        <v>1967</v>
      </c>
      <c r="P216" t="s">
        <v>1984</v>
      </c>
      <c r="Q216" t="s">
        <v>1972</v>
      </c>
      <c r="R216" t="s">
        <v>1975</v>
      </c>
      <c r="S216" t="s">
        <v>2073</v>
      </c>
      <c r="T216" t="s">
        <v>2435</v>
      </c>
      <c r="U216" t="s">
        <v>2436</v>
      </c>
      <c r="V216" t="s">
        <v>2737</v>
      </c>
    </row>
    <row r="217">
      <c r="A217" t="s">
        <v>2739</v>
      </c>
      <c r="F217" t="s">
        <v>1696</v>
      </c>
      <c r="G217" t="s">
        <v>154</v>
      </c>
      <c r="H217" t="s">
        <v>1697</v>
      </c>
      <c r="I217" t="s">
        <v>1698</v>
      </c>
      <c r="J217" t="s">
        <v>1699</v>
      </c>
      <c r="K217" t="s">
        <v>1674</v>
      </c>
      <c r="L217" t="s">
        <v>1700</v>
      </c>
      <c r="M217" t="s">
        <v>1701</v>
      </c>
      <c r="N217" t="s">
        <v>1702</v>
      </c>
      <c r="O217" t="s">
        <v>1967</v>
      </c>
      <c r="P217" t="s">
        <v>1984</v>
      </c>
      <c r="Q217" t="s">
        <v>1972</v>
      </c>
      <c r="R217" t="s">
        <v>1975</v>
      </c>
      <c r="S217" t="s">
        <v>2073</v>
      </c>
      <c r="T217" t="s">
        <v>2435</v>
      </c>
      <c r="U217" t="s">
        <v>2436</v>
      </c>
      <c r="V217" t="s">
        <v>2740</v>
      </c>
    </row>
    <row r="218">
      <c r="A218" t="s">
        <v>2742</v>
      </c>
      <c r="B218" t="s">
        <v>1628</v>
      </c>
      <c r="C218" t="s">
        <v>1703</v>
      </c>
      <c r="D218" t="s">
        <v>1704</v>
      </c>
      <c r="E218" t="s">
        <v>1705</v>
      </c>
      <c r="F218" t="s">
        <v>1706</v>
      </c>
      <c r="G218" t="s">
        <v>154</v>
      </c>
      <c r="H218" t="s">
        <v>1633</v>
      </c>
      <c r="I218" t="s">
        <v>1707</v>
      </c>
      <c r="J218" t="s">
        <v>1708</v>
      </c>
      <c r="K218" t="s">
        <v>1709</v>
      </c>
      <c r="L218" t="s">
        <v>1710</v>
      </c>
      <c r="M218" t="s">
        <v>1711</v>
      </c>
      <c r="N218" t="s">
        <v>1712</v>
      </c>
      <c r="O218" t="s">
        <v>1967</v>
      </c>
      <c r="P218" t="s">
        <v>1984</v>
      </c>
      <c r="Q218" t="s">
        <v>1972</v>
      </c>
      <c r="R218" t="s">
        <v>1975</v>
      </c>
      <c r="S218" t="s">
        <v>2073</v>
      </c>
      <c r="T218" t="s">
        <v>2435</v>
      </c>
      <c r="U218" t="s">
        <v>2436</v>
      </c>
      <c r="V218" t="s">
        <v>2743</v>
      </c>
    </row>
    <row r="219">
      <c r="A219" t="s">
        <v>2745</v>
      </c>
      <c r="F219" t="s">
        <v>1713</v>
      </c>
      <c r="G219" t="s">
        <v>154</v>
      </c>
      <c r="H219" t="s">
        <v>1714</v>
      </c>
      <c r="I219" t="s">
        <v>1715</v>
      </c>
      <c r="J219" t="s">
        <v>1716</v>
      </c>
      <c r="K219" t="s">
        <v>1717</v>
      </c>
      <c r="L219" t="s">
        <v>1718</v>
      </c>
      <c r="M219" t="s">
        <v>1719</v>
      </c>
      <c r="N219" t="s">
        <v>1712</v>
      </c>
      <c r="O219" t="s">
        <v>1967</v>
      </c>
      <c r="P219" t="s">
        <v>1984</v>
      </c>
      <c r="Q219" t="s">
        <v>1972</v>
      </c>
      <c r="R219" t="s">
        <v>1975</v>
      </c>
      <c r="S219" t="s">
        <v>2073</v>
      </c>
      <c r="T219" t="s">
        <v>2435</v>
      </c>
      <c r="U219" t="s">
        <v>2436</v>
      </c>
      <c r="V219" t="s">
        <v>2746</v>
      </c>
    </row>
    <row r="220">
      <c r="A220" t="s">
        <v>2748</v>
      </c>
      <c r="F220" t="s">
        <v>1720</v>
      </c>
      <c r="G220" t="s">
        <v>120</v>
      </c>
      <c r="H220" t="s">
        <v>1721</v>
      </c>
      <c r="I220" t="s">
        <v>1722</v>
      </c>
      <c r="J220" t="s">
        <v>1723</v>
      </c>
      <c r="K220" t="s">
        <v>1717</v>
      </c>
      <c r="L220" t="s">
        <v>1724</v>
      </c>
      <c r="M220" t="s">
        <v>1725</v>
      </c>
      <c r="N220" t="s">
        <v>1712</v>
      </c>
      <c r="O220" t="s">
        <v>1967</v>
      </c>
      <c r="P220" t="s">
        <v>1984</v>
      </c>
      <c r="Q220" t="s">
        <v>1972</v>
      </c>
      <c r="R220" t="s">
        <v>1975</v>
      </c>
      <c r="S220" t="s">
        <v>2073</v>
      </c>
      <c r="T220" t="s">
        <v>2435</v>
      </c>
      <c r="U220" t="s">
        <v>2436</v>
      </c>
      <c r="V220" t="s">
        <v>2749</v>
      </c>
    </row>
    <row r="221">
      <c r="A221" t="s">
        <v>2751</v>
      </c>
      <c r="F221" t="s">
        <v>1726</v>
      </c>
      <c r="G221" t="s">
        <v>120</v>
      </c>
      <c r="H221" t="s">
        <v>1727</v>
      </c>
      <c r="I221" t="s">
        <v>1728</v>
      </c>
      <c r="J221" t="s">
        <v>1729</v>
      </c>
      <c r="K221" t="s">
        <v>1717</v>
      </c>
      <c r="L221" t="s">
        <v>1730</v>
      </c>
      <c r="M221" t="s">
        <v>1731</v>
      </c>
      <c r="N221" t="s">
        <v>1712</v>
      </c>
      <c r="O221" t="s">
        <v>1967</v>
      </c>
      <c r="P221" t="s">
        <v>1984</v>
      </c>
      <c r="Q221" t="s">
        <v>1972</v>
      </c>
      <c r="R221" t="s">
        <v>1975</v>
      </c>
      <c r="S221" t="s">
        <v>2073</v>
      </c>
      <c r="T221" t="s">
        <v>2435</v>
      </c>
      <c r="U221" t="s">
        <v>2436</v>
      </c>
      <c r="V221" t="s">
        <v>2752</v>
      </c>
    </row>
    <row r="222">
      <c r="A222" t="s">
        <v>2754</v>
      </c>
      <c r="B222" t="s">
        <v>1628</v>
      </c>
      <c r="C222" t="s">
        <v>1732</v>
      </c>
      <c r="D222" t="s">
        <v>1733</v>
      </c>
      <c r="E222" t="s">
        <v>1734</v>
      </c>
      <c r="F222" t="s">
        <v>1735</v>
      </c>
      <c r="G222" t="s">
        <v>129</v>
      </c>
      <c r="H222" t="s">
        <v>1736</v>
      </c>
      <c r="I222" t="s">
        <v>1737</v>
      </c>
      <c r="J222" t="s">
        <v>1738</v>
      </c>
      <c r="K222" t="s">
        <v>1739</v>
      </c>
      <c r="L222" t="s">
        <v>1740</v>
      </c>
      <c r="M222" t="s">
        <v>1741</v>
      </c>
      <c r="N222" t="s">
        <v>1742</v>
      </c>
      <c r="O222" t="s">
        <v>1967</v>
      </c>
      <c r="P222" t="s">
        <v>1984</v>
      </c>
      <c r="Q222" t="s">
        <v>1972</v>
      </c>
      <c r="R222" t="s">
        <v>1975</v>
      </c>
      <c r="S222" t="s">
        <v>2073</v>
      </c>
      <c r="T222" t="s">
        <v>2435</v>
      </c>
      <c r="U222" t="s">
        <v>2436</v>
      </c>
      <c r="V222" t="s">
        <v>2755</v>
      </c>
    </row>
    <row r="223">
      <c r="A223" t="s">
        <v>2757</v>
      </c>
      <c r="F223" t="s">
        <v>1743</v>
      </c>
      <c r="G223" t="s">
        <v>97</v>
      </c>
      <c r="H223" t="s">
        <v>1744</v>
      </c>
      <c r="I223" t="s">
        <v>1745</v>
      </c>
      <c r="J223" t="s">
        <v>1746</v>
      </c>
      <c r="K223" t="s">
        <v>1739</v>
      </c>
      <c r="L223" t="s">
        <v>1747</v>
      </c>
      <c r="M223" t="s">
        <v>1748</v>
      </c>
      <c r="N223" t="s">
        <v>1749</v>
      </c>
      <c r="O223" t="s">
        <v>1967</v>
      </c>
      <c r="P223" t="s">
        <v>1984</v>
      </c>
      <c r="Q223" t="s">
        <v>1972</v>
      </c>
      <c r="R223" t="s">
        <v>1975</v>
      </c>
      <c r="S223" t="s">
        <v>2073</v>
      </c>
      <c r="T223" t="s">
        <v>2435</v>
      </c>
      <c r="U223" t="s">
        <v>2436</v>
      </c>
      <c r="V223" t="s">
        <v>2758</v>
      </c>
    </row>
    <row r="224">
      <c r="A224" t="s">
        <v>2760</v>
      </c>
      <c r="F224" t="s">
        <v>1750</v>
      </c>
      <c r="G224" t="s">
        <v>154</v>
      </c>
      <c r="H224" t="s">
        <v>1751</v>
      </c>
      <c r="I224" t="s">
        <v>1752</v>
      </c>
      <c r="J224" t="s">
        <v>1753</v>
      </c>
      <c r="K224" t="s">
        <v>1739</v>
      </c>
      <c r="L224" t="s">
        <v>1754</v>
      </c>
      <c r="M224" t="s">
        <v>1755</v>
      </c>
      <c r="N224" t="s">
        <v>1749</v>
      </c>
      <c r="O224" t="s">
        <v>1967</v>
      </c>
      <c r="P224" t="s">
        <v>1984</v>
      </c>
      <c r="Q224" t="s">
        <v>1972</v>
      </c>
      <c r="R224" t="s">
        <v>1975</v>
      </c>
      <c r="S224" t="s">
        <v>2073</v>
      </c>
      <c r="T224" t="s">
        <v>2435</v>
      </c>
      <c r="U224" t="s">
        <v>2436</v>
      </c>
      <c r="V224" t="s">
        <v>2761</v>
      </c>
    </row>
    <row r="225">
      <c r="A225" t="s">
        <v>2763</v>
      </c>
      <c r="F225" t="s">
        <v>1756</v>
      </c>
      <c r="G225" t="s">
        <v>97</v>
      </c>
      <c r="H225" t="s">
        <v>1757</v>
      </c>
      <c r="I225" t="s">
        <v>1758</v>
      </c>
      <c r="J225" t="s">
        <v>1759</v>
      </c>
      <c r="K225" t="s">
        <v>1739</v>
      </c>
      <c r="L225" t="s">
        <v>1760</v>
      </c>
      <c r="M225" t="s">
        <v>1761</v>
      </c>
      <c r="N225" t="s">
        <v>1749</v>
      </c>
      <c r="O225" t="s">
        <v>1967</v>
      </c>
      <c r="P225" t="s">
        <v>1984</v>
      </c>
      <c r="Q225" t="s">
        <v>1972</v>
      </c>
      <c r="R225" t="s">
        <v>1975</v>
      </c>
      <c r="S225" t="s">
        <v>2073</v>
      </c>
      <c r="T225" t="s">
        <v>2435</v>
      </c>
      <c r="U225" t="s">
        <v>2436</v>
      </c>
      <c r="V225" t="s">
        <v>2764</v>
      </c>
    </row>
    <row r="226">
      <c r="A226" t="s">
        <v>2766</v>
      </c>
      <c r="F226" t="s">
        <v>1762</v>
      </c>
      <c r="G226" t="s">
        <v>154</v>
      </c>
      <c r="H226" t="s">
        <v>1763</v>
      </c>
      <c r="I226" t="s">
        <v>1764</v>
      </c>
      <c r="J226" t="s">
        <v>1765</v>
      </c>
      <c r="K226" t="s">
        <v>1739</v>
      </c>
      <c r="L226" t="s">
        <v>1766</v>
      </c>
      <c r="M226" t="s">
        <v>1767</v>
      </c>
      <c r="N226" t="s">
        <v>1749</v>
      </c>
      <c r="O226" t="s">
        <v>1967</v>
      </c>
      <c r="P226" t="s">
        <v>1984</v>
      </c>
      <c r="Q226" t="s">
        <v>1972</v>
      </c>
      <c r="R226" t="s">
        <v>1975</v>
      </c>
      <c r="S226" t="s">
        <v>2073</v>
      </c>
      <c r="T226" t="s">
        <v>2435</v>
      </c>
      <c r="U226" t="s">
        <v>2436</v>
      </c>
      <c r="V226" t="s">
        <v>2767</v>
      </c>
    </row>
    <row r="227">
      <c r="A227" t="s">
        <v>2769</v>
      </c>
      <c r="F227" t="s">
        <v>1768</v>
      </c>
      <c r="G227" t="s">
        <v>97</v>
      </c>
      <c r="H227" t="s">
        <v>1769</v>
      </c>
      <c r="I227" t="s">
        <v>1770</v>
      </c>
      <c r="J227" t="s">
        <v>1771</v>
      </c>
      <c r="K227" t="s">
        <v>1739</v>
      </c>
      <c r="L227" t="s">
        <v>1772</v>
      </c>
      <c r="M227" t="s">
        <v>1773</v>
      </c>
      <c r="N227" t="s">
        <v>1749</v>
      </c>
      <c r="O227" t="s">
        <v>1967</v>
      </c>
      <c r="P227" t="s">
        <v>1984</v>
      </c>
      <c r="Q227" t="s">
        <v>1972</v>
      </c>
      <c r="R227" t="s">
        <v>1975</v>
      </c>
      <c r="S227" t="s">
        <v>2073</v>
      </c>
      <c r="T227" t="s">
        <v>2435</v>
      </c>
      <c r="U227" t="s">
        <v>2436</v>
      </c>
      <c r="V227" t="s">
        <v>2770</v>
      </c>
    </row>
    <row r="228">
      <c r="A228" t="s">
        <v>2772</v>
      </c>
      <c r="B228" t="s">
        <v>1628</v>
      </c>
      <c r="C228" t="s">
        <v>1774</v>
      </c>
      <c r="D228" t="s">
        <v>1775</v>
      </c>
      <c r="E228" t="s">
        <v>1776</v>
      </c>
      <c r="F228" t="s">
        <v>1777</v>
      </c>
      <c r="G228" t="s">
        <v>129</v>
      </c>
      <c r="H228" t="s">
        <v>1778</v>
      </c>
      <c r="I228" t="s">
        <v>1779</v>
      </c>
      <c r="J228" t="s">
        <v>1780</v>
      </c>
      <c r="K228" t="s">
        <v>1781</v>
      </c>
      <c r="L228" t="s">
        <v>1782</v>
      </c>
      <c r="M228" t="s">
        <v>1783</v>
      </c>
      <c r="N228" t="s">
        <v>1784</v>
      </c>
      <c r="O228" t="s">
        <v>1967</v>
      </c>
      <c r="P228" t="s">
        <v>1982</v>
      </c>
      <c r="Q228" t="s">
        <v>1972</v>
      </c>
      <c r="R228" t="s">
        <v>1975</v>
      </c>
      <c r="S228" t="s">
        <v>2073</v>
      </c>
      <c r="T228" t="s">
        <v>2220</v>
      </c>
      <c r="U228" t="s">
        <v>2436</v>
      </c>
      <c r="V228" t="s">
        <v>2774</v>
      </c>
    </row>
    <row r="229">
      <c r="A229" t="s">
        <v>2776</v>
      </c>
      <c r="F229" t="s">
        <v>1785</v>
      </c>
      <c r="G229" t="s">
        <v>154</v>
      </c>
      <c r="H229" t="s">
        <v>1786</v>
      </c>
      <c r="I229" t="s">
        <v>1787</v>
      </c>
      <c r="J229" t="s">
        <v>1788</v>
      </c>
      <c r="K229" t="s">
        <v>1781</v>
      </c>
      <c r="L229" t="s">
        <v>1789</v>
      </c>
      <c r="M229" t="s">
        <v>1790</v>
      </c>
      <c r="N229" t="s">
        <v>1791</v>
      </c>
      <c r="O229" t="s">
        <v>1967</v>
      </c>
      <c r="P229" t="s">
        <v>1982</v>
      </c>
      <c r="Q229" t="s">
        <v>1972</v>
      </c>
      <c r="R229" t="s">
        <v>1975</v>
      </c>
      <c r="S229" t="s">
        <v>2073</v>
      </c>
      <c r="T229" t="s">
        <v>2220</v>
      </c>
      <c r="U229" t="s">
        <v>2436</v>
      </c>
      <c r="V229" t="s">
        <v>2778</v>
      </c>
    </row>
    <row r="230">
      <c r="A230" t="s">
        <v>2779</v>
      </c>
      <c r="F230" t="s">
        <v>1792</v>
      </c>
      <c r="G230" t="s">
        <v>154</v>
      </c>
      <c r="H230" t="s">
        <v>1793</v>
      </c>
      <c r="I230" t="s">
        <v>1794</v>
      </c>
      <c r="J230" t="s">
        <v>1795</v>
      </c>
      <c r="K230" t="s">
        <v>1781</v>
      </c>
      <c r="L230" t="s">
        <v>1796</v>
      </c>
      <c r="M230" t="s">
        <v>1797</v>
      </c>
      <c r="N230" t="s">
        <v>1784</v>
      </c>
      <c r="O230" t="s">
        <v>1967</v>
      </c>
      <c r="P230" t="s">
        <v>1982</v>
      </c>
      <c r="Q230" t="s">
        <v>1972</v>
      </c>
      <c r="R230" t="s">
        <v>1975</v>
      </c>
      <c r="S230" t="s">
        <v>2073</v>
      </c>
      <c r="T230" t="s">
        <v>2220</v>
      </c>
      <c r="U230" t="s">
        <v>2436</v>
      </c>
      <c r="V230" t="s">
        <v>2780</v>
      </c>
    </row>
    <row r="231">
      <c r="A231" t="s">
        <v>2782</v>
      </c>
      <c r="B231" t="s">
        <v>1798</v>
      </c>
      <c r="C231" t="s">
        <v>1799</v>
      </c>
      <c r="D231" t="s">
        <v>1800</v>
      </c>
      <c r="E231" t="s">
        <v>1801</v>
      </c>
      <c r="F231" t="s">
        <v>1802</v>
      </c>
      <c r="G231" t="s">
        <v>154</v>
      </c>
      <c r="H231" t="s">
        <v>1803</v>
      </c>
      <c r="I231" t="s">
        <v>1804</v>
      </c>
      <c r="J231" t="s">
        <v>1805</v>
      </c>
      <c r="K231" t="s">
        <v>1806</v>
      </c>
      <c r="L231" t="s">
        <v>1807</v>
      </c>
      <c r="M231" t="s">
        <v>1808</v>
      </c>
      <c r="N231" t="s">
        <v>1809</v>
      </c>
      <c r="O231" t="s">
        <v>1967</v>
      </c>
      <c r="P231" t="s">
        <v>1984</v>
      </c>
      <c r="Q231" t="s">
        <v>1972</v>
      </c>
      <c r="R231" t="s">
        <v>1975</v>
      </c>
      <c r="S231" t="s">
        <v>2073</v>
      </c>
      <c r="T231" t="s">
        <v>2435</v>
      </c>
      <c r="U231" t="s">
        <v>2436</v>
      </c>
      <c r="V231" t="s">
        <v>2783</v>
      </c>
    </row>
    <row r="232">
      <c r="A232" t="s">
        <v>2785</v>
      </c>
      <c r="F232" t="s">
        <v>1810</v>
      </c>
      <c r="G232" t="s">
        <v>120</v>
      </c>
      <c r="H232" t="s">
        <v>1811</v>
      </c>
      <c r="I232" t="s">
        <v>1812</v>
      </c>
      <c r="J232" t="s">
        <v>1813</v>
      </c>
      <c r="K232" t="s">
        <v>1806</v>
      </c>
      <c r="L232" t="s">
        <v>1814</v>
      </c>
      <c r="M232" t="s">
        <v>1815</v>
      </c>
      <c r="N232" t="s">
        <v>1809</v>
      </c>
      <c r="O232" t="s">
        <v>1967</v>
      </c>
      <c r="P232" t="s">
        <v>1984</v>
      </c>
      <c r="Q232" t="s">
        <v>1972</v>
      </c>
      <c r="R232" t="s">
        <v>1975</v>
      </c>
      <c r="S232" t="s">
        <v>2073</v>
      </c>
      <c r="T232" t="s">
        <v>2435</v>
      </c>
      <c r="U232" t="s">
        <v>2436</v>
      </c>
      <c r="V232" t="s">
        <v>2786</v>
      </c>
    </row>
    <row r="233">
      <c r="A233" t="s">
        <v>2788</v>
      </c>
      <c r="F233" t="s">
        <v>1816</v>
      </c>
      <c r="G233" t="s">
        <v>120</v>
      </c>
      <c r="H233" t="s">
        <v>1810</v>
      </c>
      <c r="I233" t="s">
        <v>1817</v>
      </c>
      <c r="J233" t="s">
        <v>1818</v>
      </c>
      <c r="K233" t="s">
        <v>1819</v>
      </c>
      <c r="L233" t="s">
        <v>1820</v>
      </c>
      <c r="M233" t="s">
        <v>1821</v>
      </c>
      <c r="N233" t="s">
        <v>1809</v>
      </c>
      <c r="O233" t="s">
        <v>1967</v>
      </c>
      <c r="P233" t="s">
        <v>1984</v>
      </c>
      <c r="Q233" t="s">
        <v>1972</v>
      </c>
      <c r="R233" t="s">
        <v>1975</v>
      </c>
      <c r="S233" t="s">
        <v>2073</v>
      </c>
      <c r="T233" t="s">
        <v>2435</v>
      </c>
      <c r="U233" t="s">
        <v>2436</v>
      </c>
      <c r="V233" t="s">
        <v>2789</v>
      </c>
    </row>
    <row r="234">
      <c r="A234" t="s">
        <v>2790</v>
      </c>
      <c r="F234" t="s">
        <v>1822</v>
      </c>
      <c r="G234" t="s">
        <v>120</v>
      </c>
      <c r="H234" t="s">
        <v>2791</v>
      </c>
      <c r="I234" t="s">
        <v>1824</v>
      </c>
      <c r="J234" t="s">
        <v>1825</v>
      </c>
      <c r="K234" t="s">
        <v>1826</v>
      </c>
      <c r="L234" t="s">
        <v>1827</v>
      </c>
      <c r="M234" t="s">
        <v>1828</v>
      </c>
      <c r="N234" t="s">
        <v>1809</v>
      </c>
      <c r="O234" t="s">
        <v>1967</v>
      </c>
      <c r="P234" t="s">
        <v>1984</v>
      </c>
      <c r="Q234" t="s">
        <v>1972</v>
      </c>
      <c r="R234" t="s">
        <v>1975</v>
      </c>
      <c r="S234" t="s">
        <v>2073</v>
      </c>
      <c r="T234" t="s">
        <v>2435</v>
      </c>
      <c r="U234" t="s">
        <v>2436</v>
      </c>
      <c r="V234" t="s">
        <v>2792</v>
      </c>
    </row>
    <row r="235">
      <c r="A235" t="s">
        <v>2793</v>
      </c>
      <c r="F235" t="s">
        <v>1829</v>
      </c>
      <c r="G235" t="s">
        <v>120</v>
      </c>
      <c r="H235" t="s">
        <v>1023</v>
      </c>
      <c r="I235" t="s">
        <v>1830</v>
      </c>
      <c r="J235" t="s">
        <v>1831</v>
      </c>
      <c r="K235" t="s">
        <v>1832</v>
      </c>
      <c r="L235" t="s">
        <v>1833</v>
      </c>
      <c r="M235" t="s">
        <v>1834</v>
      </c>
      <c r="N235" t="s">
        <v>1835</v>
      </c>
      <c r="O235" t="s">
        <v>1965</v>
      </c>
      <c r="P235" t="s">
        <v>1984</v>
      </c>
      <c r="Q235" t="s">
        <v>1972</v>
      </c>
      <c r="R235" t="s">
        <v>1975</v>
      </c>
      <c r="S235" t="s">
        <v>2073</v>
      </c>
      <c r="T235" t="s">
        <v>2435</v>
      </c>
      <c r="U235" t="s">
        <v>2436</v>
      </c>
      <c r="V235" t="s">
        <v>2794</v>
      </c>
    </row>
    <row r="236">
      <c r="A236" t="s">
        <v>2796</v>
      </c>
      <c r="F236" t="s">
        <v>1836</v>
      </c>
      <c r="G236" t="s">
        <v>120</v>
      </c>
      <c r="H236" t="s">
        <v>1837</v>
      </c>
      <c r="I236" t="s">
        <v>1838</v>
      </c>
      <c r="J236" t="s">
        <v>1839</v>
      </c>
      <c r="K236" t="s">
        <v>1840</v>
      </c>
      <c r="L236" t="s">
        <v>1841</v>
      </c>
      <c r="M236" t="s">
        <v>1842</v>
      </c>
      <c r="N236" t="s">
        <v>1843</v>
      </c>
      <c r="O236" t="s">
        <v>1967</v>
      </c>
      <c r="P236" t="s">
        <v>1984</v>
      </c>
      <c r="Q236" t="s">
        <v>1972</v>
      </c>
      <c r="R236" t="s">
        <v>1975</v>
      </c>
      <c r="S236" t="s">
        <v>2073</v>
      </c>
      <c r="T236" t="s">
        <v>2435</v>
      </c>
      <c r="U236" t="s">
        <v>2436</v>
      </c>
      <c r="V236" t="s">
        <v>2797</v>
      </c>
    </row>
    <row r="237">
      <c r="A237" t="s">
        <v>2799</v>
      </c>
      <c r="B237" t="s">
        <v>1798</v>
      </c>
      <c r="C237" t="s">
        <v>1844</v>
      </c>
      <c r="D237" t="s">
        <v>1845</v>
      </c>
      <c r="E237" t="s">
        <v>1846</v>
      </c>
      <c r="F237" t="s">
        <v>1847</v>
      </c>
      <c r="G237" t="s">
        <v>120</v>
      </c>
      <c r="H237" t="s">
        <v>1848</v>
      </c>
      <c r="I237" t="s">
        <v>1849</v>
      </c>
      <c r="J237" t="s">
        <v>1850</v>
      </c>
      <c r="K237" t="s">
        <v>1851</v>
      </c>
      <c r="L237" t="s">
        <v>1852</v>
      </c>
      <c r="M237" t="s">
        <v>1853</v>
      </c>
      <c r="N237" t="s">
        <v>1854</v>
      </c>
      <c r="O237" t="s">
        <v>1967</v>
      </c>
      <c r="P237" t="s">
        <v>1984</v>
      </c>
      <c r="Q237" t="s">
        <v>1972</v>
      </c>
      <c r="R237" t="s">
        <v>1975</v>
      </c>
      <c r="S237" t="s">
        <v>2073</v>
      </c>
      <c r="T237" t="s">
        <v>2435</v>
      </c>
      <c r="U237" t="s">
        <v>2436</v>
      </c>
      <c r="V237" t="s">
        <v>2800</v>
      </c>
    </row>
    <row r="238">
      <c r="A238" t="s">
        <v>2802</v>
      </c>
      <c r="F238" t="s">
        <v>1855</v>
      </c>
      <c r="G238" t="s">
        <v>120</v>
      </c>
      <c r="H238" t="s">
        <v>1847</v>
      </c>
      <c r="I238" t="s">
        <v>1856</v>
      </c>
      <c r="J238" t="s">
        <v>1857</v>
      </c>
      <c r="K238" t="s">
        <v>1858</v>
      </c>
      <c r="L238" t="s">
        <v>1859</v>
      </c>
      <c r="M238" t="s">
        <v>1860</v>
      </c>
      <c r="N238" t="s">
        <v>1854</v>
      </c>
      <c r="O238" t="s">
        <v>1967</v>
      </c>
      <c r="P238" t="s">
        <v>1984</v>
      </c>
      <c r="Q238" t="s">
        <v>1972</v>
      </c>
      <c r="R238" t="s">
        <v>1975</v>
      </c>
      <c r="S238" t="s">
        <v>2073</v>
      </c>
      <c r="T238" t="s">
        <v>2435</v>
      </c>
      <c r="U238" t="s">
        <v>2436</v>
      </c>
      <c r="V238" t="s">
        <v>2803</v>
      </c>
    </row>
    <row r="239">
      <c r="A239" t="s">
        <v>2804</v>
      </c>
      <c r="F239" t="s">
        <v>1861</v>
      </c>
      <c r="G239" t="s">
        <v>120</v>
      </c>
      <c r="H239" t="s">
        <v>1862</v>
      </c>
      <c r="I239" t="s">
        <v>1863</v>
      </c>
      <c r="J239" t="s">
        <v>1864</v>
      </c>
      <c r="K239" t="s">
        <v>1865</v>
      </c>
      <c r="L239" t="s">
        <v>1866</v>
      </c>
      <c r="M239" t="s">
        <v>1867</v>
      </c>
      <c r="N239" t="s">
        <v>1854</v>
      </c>
      <c r="O239" t="s">
        <v>1967</v>
      </c>
      <c r="P239" t="s">
        <v>1984</v>
      </c>
      <c r="Q239" t="s">
        <v>1972</v>
      </c>
      <c r="R239" t="s">
        <v>1975</v>
      </c>
      <c r="S239" t="s">
        <v>2073</v>
      </c>
      <c r="T239" t="s">
        <v>2435</v>
      </c>
      <c r="U239" t="s">
        <v>2436</v>
      </c>
      <c r="V239" t="s">
        <v>2805</v>
      </c>
    </row>
    <row r="240">
      <c r="A240" t="s">
        <v>2806</v>
      </c>
      <c r="F240" t="s">
        <v>1868</v>
      </c>
      <c r="G240" t="s">
        <v>120</v>
      </c>
      <c r="H240" t="s">
        <v>1847</v>
      </c>
      <c r="I240" t="s">
        <v>1869</v>
      </c>
      <c r="J240" t="s">
        <v>1870</v>
      </c>
      <c r="K240" t="s">
        <v>1871</v>
      </c>
      <c r="L240" t="s">
        <v>1872</v>
      </c>
      <c r="M240" t="s">
        <v>1873</v>
      </c>
      <c r="N240" t="s">
        <v>1854</v>
      </c>
      <c r="O240" t="s">
        <v>1967</v>
      </c>
      <c r="P240" t="s">
        <v>1984</v>
      </c>
      <c r="Q240" t="s">
        <v>1972</v>
      </c>
      <c r="R240" t="s">
        <v>1975</v>
      </c>
      <c r="S240" t="s">
        <v>2073</v>
      </c>
      <c r="T240" t="s">
        <v>2435</v>
      </c>
      <c r="U240" t="s">
        <v>2436</v>
      </c>
      <c r="V240" t="s">
        <v>2807</v>
      </c>
    </row>
    <row r="241">
      <c r="A241" t="s">
        <v>2809</v>
      </c>
      <c r="B241" t="s">
        <v>1798</v>
      </c>
      <c r="C241" t="s">
        <v>1874</v>
      </c>
      <c r="D241" t="s">
        <v>1875</v>
      </c>
      <c r="E241" t="s">
        <v>1876</v>
      </c>
      <c r="F241" t="s">
        <v>1877</v>
      </c>
      <c r="G241" t="s">
        <v>120</v>
      </c>
      <c r="H241" t="s">
        <v>1878</v>
      </c>
      <c r="I241" t="s">
        <v>1879</v>
      </c>
      <c r="J241" t="s">
        <v>1880</v>
      </c>
      <c r="K241" t="s">
        <v>1881</v>
      </c>
      <c r="L241" t="s">
        <v>1882</v>
      </c>
      <c r="M241" t="s">
        <v>1883</v>
      </c>
      <c r="N241" t="s">
        <v>1884</v>
      </c>
      <c r="O241" t="s">
        <v>1967</v>
      </c>
      <c r="P241" t="s">
        <v>1984</v>
      </c>
      <c r="Q241" t="s">
        <v>1972</v>
      </c>
      <c r="R241" t="s">
        <v>1975</v>
      </c>
      <c r="S241" t="s">
        <v>2073</v>
      </c>
      <c r="T241" t="s">
        <v>2435</v>
      </c>
      <c r="U241" t="s">
        <v>2436</v>
      </c>
      <c r="V241" t="s">
        <v>2810</v>
      </c>
    </row>
    <row r="242">
      <c r="A242" t="s">
        <v>2812</v>
      </c>
      <c r="F242" t="s">
        <v>1885</v>
      </c>
      <c r="G242" t="s">
        <v>120</v>
      </c>
      <c r="H242" t="s">
        <v>1877</v>
      </c>
      <c r="I242" t="s">
        <v>1886</v>
      </c>
      <c r="J242" t="s">
        <v>1887</v>
      </c>
      <c r="K242" t="s">
        <v>1881</v>
      </c>
      <c r="L242" t="s">
        <v>1888</v>
      </c>
      <c r="M242" t="s">
        <v>1889</v>
      </c>
      <c r="N242" t="s">
        <v>1884</v>
      </c>
      <c r="O242" t="s">
        <v>1967</v>
      </c>
      <c r="P242" t="s">
        <v>1984</v>
      </c>
      <c r="Q242" t="s">
        <v>1972</v>
      </c>
      <c r="R242" t="s">
        <v>1975</v>
      </c>
      <c r="S242" t="s">
        <v>2073</v>
      </c>
      <c r="T242" t="s">
        <v>2435</v>
      </c>
      <c r="U242" t="s">
        <v>2436</v>
      </c>
      <c r="V242" t="s">
        <v>2813</v>
      </c>
    </row>
    <row r="243">
      <c r="A243" t="s">
        <v>2814</v>
      </c>
      <c r="F243" t="s">
        <v>1890</v>
      </c>
      <c r="G243" t="s">
        <v>120</v>
      </c>
      <c r="H243" t="s">
        <v>1891</v>
      </c>
      <c r="I243" t="s">
        <v>1892</v>
      </c>
      <c r="J243" t="s">
        <v>1893</v>
      </c>
      <c r="K243" t="s">
        <v>1894</v>
      </c>
      <c r="L243" t="s">
        <v>1895</v>
      </c>
      <c r="M243" t="s">
        <v>1896</v>
      </c>
      <c r="N243" t="s">
        <v>1884</v>
      </c>
      <c r="O243" t="s">
        <v>1967</v>
      </c>
      <c r="P243" t="s">
        <v>1984</v>
      </c>
      <c r="Q243" t="s">
        <v>1972</v>
      </c>
      <c r="R243" t="s">
        <v>1975</v>
      </c>
      <c r="S243" t="s">
        <v>2073</v>
      </c>
      <c r="T243" t="s">
        <v>2435</v>
      </c>
      <c r="U243" t="s">
        <v>2436</v>
      </c>
      <c r="V243" t="s">
        <v>2815</v>
      </c>
    </row>
    <row r="244">
      <c r="A244" t="s">
        <v>2816</v>
      </c>
      <c r="F244" t="s">
        <v>1897</v>
      </c>
      <c r="G244" t="s">
        <v>120</v>
      </c>
      <c r="H244" t="s">
        <v>1898</v>
      </c>
      <c r="I244" t="s">
        <v>1899</v>
      </c>
      <c r="J244" t="s">
        <v>1900</v>
      </c>
      <c r="K244" t="s">
        <v>1901</v>
      </c>
      <c r="L244" t="s">
        <v>1902</v>
      </c>
      <c r="M244" t="s">
        <v>1903</v>
      </c>
      <c r="N244" t="s">
        <v>1904</v>
      </c>
      <c r="O244" t="s">
        <v>1968</v>
      </c>
      <c r="P244" t="s">
        <v>1985</v>
      </c>
      <c r="Q244" t="s">
        <v>1971</v>
      </c>
      <c r="R244" t="s">
        <v>1975</v>
      </c>
      <c r="S244" t="s">
        <v>2073</v>
      </c>
      <c r="T244" t="s">
        <v>2435</v>
      </c>
      <c r="U244" t="s">
        <v>2516</v>
      </c>
      <c r="V244" t="s">
        <v>2818</v>
      </c>
    </row>
    <row r="245">
      <c r="A245" t="s">
        <v>2819</v>
      </c>
      <c r="F245" t="s">
        <v>1905</v>
      </c>
      <c r="G245" t="s">
        <v>120</v>
      </c>
      <c r="H245" t="s">
        <v>1906</v>
      </c>
      <c r="I245" t="s">
        <v>1907</v>
      </c>
      <c r="J245" t="s">
        <v>1908</v>
      </c>
      <c r="K245" t="s">
        <v>1909</v>
      </c>
      <c r="L245" t="s">
        <v>1910</v>
      </c>
      <c r="M245" t="s">
        <v>1911</v>
      </c>
      <c r="N245" t="s">
        <v>1912</v>
      </c>
      <c r="O245" t="s">
        <v>1968</v>
      </c>
      <c r="P245" t="s">
        <v>1985</v>
      </c>
      <c r="Q245" t="s">
        <v>1971</v>
      </c>
      <c r="R245" t="s">
        <v>1975</v>
      </c>
      <c r="S245" t="s">
        <v>2073</v>
      </c>
      <c r="T245" t="s">
        <v>2435</v>
      </c>
      <c r="U245" t="s">
        <v>2516</v>
      </c>
      <c r="V245" t="s">
        <v>2818</v>
      </c>
    </row>
    <row r="246">
      <c r="A246" t="s">
        <v>2821</v>
      </c>
      <c r="B246" t="s">
        <v>1798</v>
      </c>
      <c r="C246" t="s">
        <v>1913</v>
      </c>
      <c r="D246" t="s">
        <v>1914</v>
      </c>
      <c r="E246" t="s">
        <v>1915</v>
      </c>
      <c r="F246" t="s">
        <v>1916</v>
      </c>
      <c r="G246" t="s">
        <v>154</v>
      </c>
      <c r="H246" t="s">
        <v>1917</v>
      </c>
      <c r="I246" t="s">
        <v>1918</v>
      </c>
      <c r="J246" t="s">
        <v>1919</v>
      </c>
      <c r="K246" t="s">
        <v>1920</v>
      </c>
      <c r="L246" t="s">
        <v>1921</v>
      </c>
      <c r="M246" t="s">
        <v>1922</v>
      </c>
      <c r="N246" t="s">
        <v>1923</v>
      </c>
      <c r="O246" t="s">
        <v>1968</v>
      </c>
      <c r="P246" t="s">
        <v>1980</v>
      </c>
      <c r="Q246" t="s">
        <v>1971</v>
      </c>
      <c r="R246" t="s">
        <v>1975</v>
      </c>
      <c r="S246" t="s">
        <v>2073</v>
      </c>
      <c r="T246" t="s">
        <v>2074</v>
      </c>
      <c r="U246" t="s">
        <v>2075</v>
      </c>
      <c r="V246" t="s">
        <v>2818</v>
      </c>
    </row>
    <row r="247">
      <c r="A247" t="s">
        <v>2823</v>
      </c>
      <c r="F247" t="s">
        <v>1924</v>
      </c>
      <c r="G247" t="s">
        <v>120</v>
      </c>
      <c r="H247" t="s">
        <v>1925</v>
      </c>
      <c r="I247" t="s">
        <v>1926</v>
      </c>
      <c r="J247" t="s">
        <v>1927</v>
      </c>
      <c r="K247" t="s">
        <v>1928</v>
      </c>
      <c r="L247" t="s">
        <v>1929</v>
      </c>
      <c r="M247" t="s">
        <v>1930</v>
      </c>
      <c r="N247" t="s">
        <v>1931</v>
      </c>
      <c r="O247" t="s">
        <v>1967</v>
      </c>
      <c r="P247" t="s">
        <v>1984</v>
      </c>
      <c r="Q247" t="s">
        <v>1972</v>
      </c>
      <c r="R247" t="s">
        <v>1975</v>
      </c>
      <c r="S247" t="s">
        <v>2073</v>
      </c>
      <c r="T247" t="s">
        <v>2435</v>
      </c>
      <c r="U247" t="s">
        <v>2436</v>
      </c>
      <c r="V247" t="s">
        <v>2824</v>
      </c>
    </row>
    <row r="248">
      <c r="A248" t="s">
        <v>2826</v>
      </c>
      <c r="F248" t="s">
        <v>1932</v>
      </c>
      <c r="G248" t="s">
        <v>120</v>
      </c>
      <c r="H248" t="s">
        <v>2827</v>
      </c>
      <c r="I248" t="s">
        <v>1934</v>
      </c>
      <c r="J248" t="s">
        <v>1935</v>
      </c>
      <c r="K248" t="s">
        <v>1936</v>
      </c>
      <c r="L248" t="s">
        <v>1937</v>
      </c>
      <c r="M248" t="s">
        <v>1938</v>
      </c>
      <c r="N248" t="s">
        <v>1923</v>
      </c>
      <c r="O248" t="s">
        <v>1968</v>
      </c>
      <c r="P248" t="s">
        <v>1980</v>
      </c>
      <c r="Q248" t="s">
        <v>1971</v>
      </c>
      <c r="R248" t="s">
        <v>1975</v>
      </c>
      <c r="S248" t="s">
        <v>2073</v>
      </c>
      <c r="T248" t="s">
        <v>2074</v>
      </c>
      <c r="U248" t="s">
        <v>2075</v>
      </c>
      <c r="V248" t="s">
        <v>2828</v>
      </c>
    </row>
    <row r="249">
      <c r="A249" t="s">
        <v>2830</v>
      </c>
      <c r="B249" t="s">
        <v>1798</v>
      </c>
      <c r="C249" t="s">
        <v>1939</v>
      </c>
      <c r="D249" t="s">
        <v>1940</v>
      </c>
      <c r="E249" t="s">
        <v>1941</v>
      </c>
      <c r="F249" t="s">
        <v>1942</v>
      </c>
      <c r="G249" t="s">
        <v>154</v>
      </c>
      <c r="H249" t="s">
        <v>1878</v>
      </c>
      <c r="I249" t="s">
        <v>1943</v>
      </c>
      <c r="J249" t="s">
        <v>1944</v>
      </c>
      <c r="K249" t="s">
        <v>1945</v>
      </c>
      <c r="L249" t="s">
        <v>1946</v>
      </c>
      <c r="M249" t="s">
        <v>1947</v>
      </c>
      <c r="N249" t="s">
        <v>1948</v>
      </c>
      <c r="O249" t="s">
        <v>1967</v>
      </c>
      <c r="P249" t="s">
        <v>1983</v>
      </c>
      <c r="Q249" t="s">
        <v>1972</v>
      </c>
      <c r="R249" t="s">
        <v>1975</v>
      </c>
      <c r="S249" t="s">
        <v>2073</v>
      </c>
      <c r="T249" t="s">
        <v>2832</v>
      </c>
      <c r="U249" t="s">
        <v>2436</v>
      </c>
      <c r="V249" t="s">
        <v>2833</v>
      </c>
    </row>
    <row r="250">
      <c r="A250" t="s">
        <v>2835</v>
      </c>
      <c r="F250" t="s">
        <v>1949</v>
      </c>
      <c r="G250" t="s">
        <v>154</v>
      </c>
      <c r="H250" t="s">
        <v>1950</v>
      </c>
      <c r="I250" t="s">
        <v>1951</v>
      </c>
      <c r="J250" t="s">
        <v>1952</v>
      </c>
      <c r="K250" t="s">
        <v>1945</v>
      </c>
      <c r="L250" t="s">
        <v>1953</v>
      </c>
      <c r="M250" t="s">
        <v>1954</v>
      </c>
      <c r="N250" t="s">
        <v>1948</v>
      </c>
      <c r="O250" t="s">
        <v>1967</v>
      </c>
      <c r="P250" t="s">
        <v>1983</v>
      </c>
      <c r="Q250" t="s">
        <v>1972</v>
      </c>
      <c r="R250" t="s">
        <v>1975</v>
      </c>
      <c r="S250" t="s">
        <v>2073</v>
      </c>
      <c r="T250" t="s">
        <v>2832</v>
      </c>
      <c r="U250" t="s">
        <v>2436</v>
      </c>
      <c r="V250" t="s">
        <v>2836</v>
      </c>
    </row>
    <row r="251">
      <c r="A251" t="s">
        <v>2837</v>
      </c>
      <c r="F251" t="s">
        <v>1955</v>
      </c>
      <c r="G251" t="s">
        <v>120</v>
      </c>
      <c r="H251" t="s">
        <v>1956</v>
      </c>
      <c r="I251" t="s">
        <v>1957</v>
      </c>
      <c r="J251" t="s">
        <v>1958</v>
      </c>
      <c r="K251" t="s">
        <v>1945</v>
      </c>
      <c r="L251" t="s">
        <v>1959</v>
      </c>
      <c r="M251" t="s">
        <v>1960</v>
      </c>
      <c r="N251" t="s">
        <v>1948</v>
      </c>
      <c r="O251" t="s">
        <v>1967</v>
      </c>
      <c r="P251" t="s">
        <v>1983</v>
      </c>
      <c r="Q251" t="s">
        <v>1972</v>
      </c>
      <c r="R251" t="s">
        <v>1975</v>
      </c>
      <c r="S251" t="s">
        <v>2073</v>
      </c>
      <c r="T251" t="s">
        <v>2832</v>
      </c>
      <c r="U251" t="s">
        <v>2436</v>
      </c>
      <c r="V251" t="s">
        <v>2838</v>
      </c>
    </row>
    <row r="252">
      <c r="A252" t="s">
        <v>2839</v>
      </c>
      <c r="B252" t="s">
        <v>958</v>
      </c>
      <c r="C252" t="s">
        <v>2840</v>
      </c>
      <c r="D252" t="s">
        <v>2841</v>
      </c>
      <c r="E252" t="s">
        <v>2842</v>
      </c>
      <c r="F252" t="s">
        <v>2843</v>
      </c>
      <c r="G252" t="s">
        <v>129</v>
      </c>
      <c r="H252" t="s">
        <v>2844</v>
      </c>
      <c r="I252" t="s">
        <v>2845</v>
      </c>
      <c r="J252" t="s">
        <v>2846</v>
      </c>
      <c r="K252" t="s">
        <v>2031</v>
      </c>
      <c r="L252" t="s">
        <v>2016</v>
      </c>
      <c r="M252" t="s">
        <v>2847</v>
      </c>
      <c r="N252" t="s">
        <v>2848</v>
      </c>
      <c r="O252" t="s">
        <v>2849</v>
      </c>
      <c r="P252" t="s">
        <v>2850</v>
      </c>
      <c r="Q252" t="s">
        <v>1971</v>
      </c>
      <c r="R252" t="s">
        <v>1976</v>
      </c>
      <c r="S252" t="s">
        <v>2073</v>
      </c>
      <c r="T252" t="s">
        <v>2851</v>
      </c>
      <c r="U252" t="s">
        <v>2852</v>
      </c>
      <c r="V252" t="s">
        <v>2853</v>
      </c>
      <c r="X252" t="s">
        <v>2854</v>
      </c>
    </row>
    <row r="253">
      <c r="A253" t="s">
        <v>2857</v>
      </c>
      <c r="B253" t="s">
        <v>2858</v>
      </c>
      <c r="C253" t="s">
        <v>2859</v>
      </c>
      <c r="D253" t="s">
        <v>1986</v>
      </c>
      <c r="E253" t="s">
        <v>2860</v>
      </c>
      <c r="F253" t="s">
        <v>2861</v>
      </c>
      <c r="G253" t="s">
        <v>129</v>
      </c>
      <c r="I253" t="s">
        <v>2862</v>
      </c>
      <c r="J253" t="s">
        <v>2863</v>
      </c>
      <c r="K253" t="s">
        <v>1986</v>
      </c>
      <c r="L253" t="s">
        <v>2864</v>
      </c>
      <c r="M253" t="s">
        <v>2865</v>
      </c>
      <c r="N253" t="s">
        <v>3002</v>
      </c>
      <c r="O253" t="s">
        <v>2867</v>
      </c>
      <c r="P253" t="s">
        <v>2868</v>
      </c>
      <c r="Q253" t="s">
        <v>1998</v>
      </c>
      <c r="R253" t="s">
        <v>1976</v>
      </c>
      <c r="S253" t="s">
        <v>2073</v>
      </c>
      <c r="T253" t="s">
        <v>2869</v>
      </c>
      <c r="U253" t="s">
        <v>2870</v>
      </c>
      <c r="V253" t="s">
        <v>2865</v>
      </c>
    </row>
    <row r="254">
      <c r="A254" t="s">
        <v>2871</v>
      </c>
      <c r="B254" t="s">
        <v>2858</v>
      </c>
      <c r="C254" t="s">
        <v>2859</v>
      </c>
      <c r="D254" t="s">
        <v>1986</v>
      </c>
      <c r="E254" t="s">
        <v>2860</v>
      </c>
      <c r="F254" t="s">
        <v>2872</v>
      </c>
      <c r="G254" t="s">
        <v>129</v>
      </c>
      <c r="I254" t="s">
        <v>2873</v>
      </c>
      <c r="J254" t="s">
        <v>2863</v>
      </c>
      <c r="K254" t="s">
        <v>1986</v>
      </c>
      <c r="L254" t="s">
        <v>2864</v>
      </c>
      <c r="M254" t="s">
        <v>2874</v>
      </c>
      <c r="N254" t="s">
        <v>3002</v>
      </c>
      <c r="O254" t="s">
        <v>2867</v>
      </c>
      <c r="P254" t="s">
        <v>2868</v>
      </c>
      <c r="Q254" t="s">
        <v>1998</v>
      </c>
      <c r="R254" t="s">
        <v>1976</v>
      </c>
      <c r="S254" t="s">
        <v>2073</v>
      </c>
      <c r="T254" t="s">
        <v>2876</v>
      </c>
      <c r="U254" t="s">
        <v>2870</v>
      </c>
      <c r="V254" t="s">
        <v>2874</v>
      </c>
    </row>
    <row r="255">
      <c r="A255" t="s">
        <v>2877</v>
      </c>
      <c r="B255" t="s">
        <v>2858</v>
      </c>
      <c r="C255" t="s">
        <v>2859</v>
      </c>
      <c r="D255" t="s">
        <v>1986</v>
      </c>
      <c r="E255" t="s">
        <v>2860</v>
      </c>
      <c r="F255" t="s">
        <v>2878</v>
      </c>
      <c r="G255" t="s">
        <v>129</v>
      </c>
      <c r="I255" t="s">
        <v>2879</v>
      </c>
      <c r="J255" t="s">
        <v>2863</v>
      </c>
      <c r="K255" t="s">
        <v>1986</v>
      </c>
      <c r="L255" t="s">
        <v>2864</v>
      </c>
      <c r="M255" t="s">
        <v>2880</v>
      </c>
      <c r="N255" t="s">
        <v>3002</v>
      </c>
      <c r="O255" t="s">
        <v>2867</v>
      </c>
      <c r="P255" t="s">
        <v>2868</v>
      </c>
      <c r="Q255" t="s">
        <v>1998</v>
      </c>
      <c r="R255" t="s">
        <v>1976</v>
      </c>
      <c r="S255" t="s">
        <v>2073</v>
      </c>
      <c r="T255" t="s">
        <v>2882</v>
      </c>
      <c r="U255" t="s">
        <v>2870</v>
      </c>
      <c r="V255" t="s">
        <v>2880</v>
      </c>
    </row>
    <row r="256">
      <c r="A256" t="s">
        <v>2883</v>
      </c>
      <c r="B256" t="s">
        <v>2858</v>
      </c>
      <c r="C256" t="s">
        <v>2859</v>
      </c>
      <c r="D256" t="s">
        <v>1986</v>
      </c>
      <c r="E256" t="s">
        <v>2860</v>
      </c>
      <c r="F256" t="s">
        <v>2884</v>
      </c>
      <c r="G256" t="s">
        <v>129</v>
      </c>
      <c r="I256" t="s">
        <v>2885</v>
      </c>
      <c r="J256" t="s">
        <v>2863</v>
      </c>
      <c r="K256" t="s">
        <v>1986</v>
      </c>
      <c r="L256" t="s">
        <v>2864</v>
      </c>
      <c r="M256" t="s">
        <v>2886</v>
      </c>
      <c r="N256" t="s">
        <v>3002</v>
      </c>
      <c r="O256" t="s">
        <v>2867</v>
      </c>
      <c r="P256" t="s">
        <v>2868</v>
      </c>
      <c r="Q256" t="s">
        <v>1998</v>
      </c>
      <c r="R256" t="s">
        <v>1976</v>
      </c>
      <c r="S256" t="s">
        <v>2073</v>
      </c>
      <c r="T256" t="s">
        <v>2888</v>
      </c>
      <c r="U256" t="s">
        <v>2870</v>
      </c>
      <c r="V256" t="s">
        <v>2886</v>
      </c>
    </row>
    <row r="257">
      <c r="A257" t="s">
        <v>2889</v>
      </c>
      <c r="B257" t="s">
        <v>2858</v>
      </c>
      <c r="C257" t="s">
        <v>2859</v>
      </c>
      <c r="D257" t="s">
        <v>1986</v>
      </c>
      <c r="E257" t="s">
        <v>2860</v>
      </c>
      <c r="F257" t="s">
        <v>2890</v>
      </c>
      <c r="G257" t="s">
        <v>129</v>
      </c>
      <c r="I257" t="s">
        <v>2891</v>
      </c>
      <c r="J257" t="s">
        <v>2863</v>
      </c>
      <c r="K257" t="s">
        <v>1986</v>
      </c>
      <c r="L257" t="s">
        <v>2864</v>
      </c>
      <c r="M257" t="s">
        <v>2892</v>
      </c>
      <c r="N257" t="s">
        <v>3002</v>
      </c>
      <c r="O257" t="s">
        <v>2867</v>
      </c>
      <c r="P257" t="s">
        <v>2868</v>
      </c>
      <c r="Q257" t="s">
        <v>1998</v>
      </c>
      <c r="R257" t="s">
        <v>1976</v>
      </c>
      <c r="S257" t="s">
        <v>2073</v>
      </c>
      <c r="T257" t="s">
        <v>2073</v>
      </c>
      <c r="U257" t="s">
        <v>2870</v>
      </c>
      <c r="V257" t="s">
        <v>2892</v>
      </c>
    </row>
    <row r="258">
      <c r="A258" t="s">
        <v>2894</v>
      </c>
      <c r="B258" t="s">
        <v>2858</v>
      </c>
      <c r="C258" t="s">
        <v>2859</v>
      </c>
      <c r="D258" t="s">
        <v>1986</v>
      </c>
      <c r="E258" t="s">
        <v>2860</v>
      </c>
      <c r="F258" t="s">
        <v>2895</v>
      </c>
      <c r="G258" t="s">
        <v>129</v>
      </c>
      <c r="I258" t="s">
        <v>2896</v>
      </c>
      <c r="J258" t="s">
        <v>2863</v>
      </c>
      <c r="K258" t="s">
        <v>1986</v>
      </c>
      <c r="L258" t="s">
        <v>2864</v>
      </c>
      <c r="M258" t="s">
        <v>2897</v>
      </c>
      <c r="N258" t="s">
        <v>3002</v>
      </c>
      <c r="O258" t="s">
        <v>2867</v>
      </c>
      <c r="P258" t="s">
        <v>2868</v>
      </c>
      <c r="Q258" t="s">
        <v>1998</v>
      </c>
      <c r="R258" t="s">
        <v>1976</v>
      </c>
      <c r="S258" t="s">
        <v>2073</v>
      </c>
      <c r="T258" t="s">
        <v>2899</v>
      </c>
      <c r="U258" t="s">
        <v>2870</v>
      </c>
      <c r="V258" t="s">
        <v>2897</v>
      </c>
    </row>
    <row r="259">
      <c r="A259" t="s">
        <v>2900</v>
      </c>
      <c r="B259" t="s">
        <v>2858</v>
      </c>
      <c r="C259" t="s">
        <v>2859</v>
      </c>
      <c r="D259" t="s">
        <v>1986</v>
      </c>
      <c r="E259" t="s">
        <v>2860</v>
      </c>
      <c r="F259" t="s">
        <v>2901</v>
      </c>
      <c r="G259" t="s">
        <v>129</v>
      </c>
      <c r="I259" t="s">
        <v>2902</v>
      </c>
      <c r="J259" t="s">
        <v>2863</v>
      </c>
      <c r="K259" t="s">
        <v>1986</v>
      </c>
      <c r="L259" t="s">
        <v>2864</v>
      </c>
      <c r="M259" t="s">
        <v>2903</v>
      </c>
      <c r="N259" t="s">
        <v>3002</v>
      </c>
      <c r="O259" t="s">
        <v>2867</v>
      </c>
      <c r="P259" t="s">
        <v>2868</v>
      </c>
      <c r="Q259" t="s">
        <v>1998</v>
      </c>
      <c r="R259" t="s">
        <v>1976</v>
      </c>
      <c r="S259" t="s">
        <v>2073</v>
      </c>
      <c r="T259" t="s">
        <v>2905</v>
      </c>
      <c r="U259" t="s">
        <v>2870</v>
      </c>
      <c r="V259" t="s">
        <v>2903</v>
      </c>
    </row>
    <row r="260">
      <c r="A260" t="s">
        <v>2906</v>
      </c>
      <c r="B260" t="s">
        <v>2858</v>
      </c>
      <c r="C260" t="s">
        <v>2859</v>
      </c>
      <c r="D260" t="s">
        <v>1986</v>
      </c>
      <c r="E260" t="s">
        <v>2860</v>
      </c>
      <c r="F260" t="s">
        <v>2907</v>
      </c>
      <c r="G260" t="s">
        <v>129</v>
      </c>
      <c r="I260" t="s">
        <v>2908</v>
      </c>
      <c r="J260" t="s">
        <v>2863</v>
      </c>
      <c r="K260" t="s">
        <v>1986</v>
      </c>
      <c r="L260" t="s">
        <v>2864</v>
      </c>
      <c r="M260" t="s">
        <v>2909</v>
      </c>
      <c r="N260" t="s">
        <v>3002</v>
      </c>
      <c r="O260" t="s">
        <v>2867</v>
      </c>
      <c r="P260" t="s">
        <v>2868</v>
      </c>
      <c r="Q260" t="s">
        <v>1998</v>
      </c>
      <c r="R260" t="s">
        <v>1976</v>
      </c>
      <c r="S260" t="s">
        <v>2073</v>
      </c>
      <c r="T260" t="s">
        <v>2911</v>
      </c>
      <c r="U260" t="s">
        <v>2870</v>
      </c>
      <c r="V260" t="s">
        <v>2909</v>
      </c>
    </row>
    <row r="261">
      <c r="A261" t="s">
        <v>2912</v>
      </c>
      <c r="B261" t="s">
        <v>2858</v>
      </c>
      <c r="C261" t="s">
        <v>2859</v>
      </c>
      <c r="D261" t="s">
        <v>1986</v>
      </c>
      <c r="E261" t="s">
        <v>2860</v>
      </c>
      <c r="F261" t="s">
        <v>2913</v>
      </c>
      <c r="G261" t="s">
        <v>129</v>
      </c>
      <c r="I261" t="s">
        <v>2914</v>
      </c>
      <c r="J261" t="s">
        <v>2863</v>
      </c>
      <c r="K261" t="s">
        <v>1986</v>
      </c>
      <c r="L261" t="s">
        <v>2864</v>
      </c>
      <c r="M261" t="s">
        <v>2915</v>
      </c>
      <c r="N261" t="s">
        <v>3002</v>
      </c>
      <c r="O261" t="s">
        <v>2867</v>
      </c>
      <c r="P261" t="s">
        <v>2868</v>
      </c>
      <c r="Q261" t="s">
        <v>1998</v>
      </c>
      <c r="R261" t="s">
        <v>1976</v>
      </c>
      <c r="S261" t="s">
        <v>2073</v>
      </c>
      <c r="T261" t="s">
        <v>2917</v>
      </c>
      <c r="U261" t="s">
        <v>2870</v>
      </c>
      <c r="V261" t="s">
        <v>2915</v>
      </c>
    </row>
    <row r="262">
      <c r="A262" t="s">
        <v>2918</v>
      </c>
      <c r="B262" t="s">
        <v>2858</v>
      </c>
      <c r="C262" t="s">
        <v>2859</v>
      </c>
      <c r="D262" t="s">
        <v>1987</v>
      </c>
      <c r="E262" t="s">
        <v>2860</v>
      </c>
      <c r="F262" t="s">
        <v>2919</v>
      </c>
      <c r="G262" t="s">
        <v>129</v>
      </c>
      <c r="I262" t="s">
        <v>2920</v>
      </c>
      <c r="J262" t="s">
        <v>2863</v>
      </c>
      <c r="K262" t="s">
        <v>1987</v>
      </c>
      <c r="L262" t="s">
        <v>2864</v>
      </c>
      <c r="M262" t="s">
        <v>2921</v>
      </c>
      <c r="N262" t="s">
        <v>3002</v>
      </c>
      <c r="O262" t="s">
        <v>2923</v>
      </c>
      <c r="P262" t="s">
        <v>2868</v>
      </c>
      <c r="Q262" t="s">
        <v>1998</v>
      </c>
      <c r="R262" t="s">
        <v>1975</v>
      </c>
      <c r="S262" t="s">
        <v>2073</v>
      </c>
      <c r="T262" t="s">
        <v>2924</v>
      </c>
      <c r="U262" t="s">
        <v>2870</v>
      </c>
      <c r="V262" t="s">
        <v>2921</v>
      </c>
      <c r="W262" t="s">
        <v>2077</v>
      </c>
      <c r="X262">
        <v>0</v>
      </c>
    </row>
    <row r="263">
      <c r="A263" t="s">
        <v>2925</v>
      </c>
      <c r="B263" t="s">
        <v>160</v>
      </c>
      <c r="C263" t="s">
        <v>2926</v>
      </c>
      <c r="D263" t="s">
        <v>2927</v>
      </c>
      <c r="E263" t="s">
        <v>2928</v>
      </c>
      <c r="F263" t="s">
        <v>2929</v>
      </c>
      <c r="G263" t="s">
        <v>129</v>
      </c>
      <c r="H263" t="s">
        <v>2930</v>
      </c>
      <c r="I263" t="s">
        <v>2931</v>
      </c>
      <c r="J263" t="s">
        <v>2932</v>
      </c>
      <c r="K263" t="s">
        <v>2933</v>
      </c>
      <c r="L263" t="s">
        <v>2934</v>
      </c>
      <c r="M263" t="s">
        <v>2935</v>
      </c>
      <c r="N263" t="s">
        <v>2072</v>
      </c>
      <c r="O263" t="s">
        <v>2936</v>
      </c>
      <c r="P263" t="s">
        <v>2937</v>
      </c>
      <c r="Q263" t="s">
        <v>1971</v>
      </c>
      <c r="R263" t="s">
        <v>1976</v>
      </c>
      <c r="S263" t="s">
        <v>2073</v>
      </c>
      <c r="T263" t="s">
        <v>2938</v>
      </c>
      <c r="U263" t="s">
        <v>2075</v>
      </c>
      <c r="V263" t="s">
        <v>2935</v>
      </c>
      <c r="W263" t="s">
        <v>2077</v>
      </c>
      <c r="X263">
        <v>0</v>
      </c>
    </row>
    <row r="264">
      <c r="A264" t="s">
        <v>2940</v>
      </c>
      <c r="B264" t="s">
        <v>2858</v>
      </c>
      <c r="C264" t="s">
        <v>2859</v>
      </c>
      <c r="D264" t="s">
        <v>1987</v>
      </c>
      <c r="E264" t="s">
        <v>2860</v>
      </c>
      <c r="F264" t="s">
        <v>2941</v>
      </c>
      <c r="G264" t="s">
        <v>129</v>
      </c>
      <c r="I264" t="s">
        <v>2942</v>
      </c>
      <c r="J264" t="s">
        <v>2863</v>
      </c>
      <c r="K264" t="s">
        <v>1987</v>
      </c>
      <c r="L264" t="s">
        <v>2864</v>
      </c>
      <c r="M264" t="s">
        <v>2943</v>
      </c>
      <c r="N264" t="s">
        <v>3002</v>
      </c>
      <c r="O264" t="s">
        <v>2923</v>
      </c>
      <c r="P264" t="s">
        <v>2868</v>
      </c>
      <c r="Q264" t="s">
        <v>1998</v>
      </c>
      <c r="R264" t="s">
        <v>1976</v>
      </c>
      <c r="S264" t="s">
        <v>2073</v>
      </c>
      <c r="T264" t="s">
        <v>2074</v>
      </c>
      <c r="U264" t="s">
        <v>2870</v>
      </c>
      <c r="V264" t="s">
        <v>2943</v>
      </c>
    </row>
    <row r="265">
      <c r="A265" t="s">
        <v>2945</v>
      </c>
      <c r="B265" t="s">
        <v>2858</v>
      </c>
      <c r="C265" t="s">
        <v>2859</v>
      </c>
      <c r="D265" t="s">
        <v>1987</v>
      </c>
      <c r="E265" t="s">
        <v>2860</v>
      </c>
      <c r="F265" t="s">
        <v>2946</v>
      </c>
      <c r="G265" t="s">
        <v>129</v>
      </c>
      <c r="I265" t="s">
        <v>2947</v>
      </c>
      <c r="J265" t="s">
        <v>2863</v>
      </c>
      <c r="K265" t="s">
        <v>1987</v>
      </c>
      <c r="L265" t="s">
        <v>2864</v>
      </c>
      <c r="M265" t="s">
        <v>2138</v>
      </c>
      <c r="N265" t="s">
        <v>3002</v>
      </c>
      <c r="O265" t="s">
        <v>2923</v>
      </c>
      <c r="P265" t="s">
        <v>2868</v>
      </c>
      <c r="Q265" t="s">
        <v>1998</v>
      </c>
      <c r="R265" t="s">
        <v>1976</v>
      </c>
      <c r="S265" t="s">
        <v>2073</v>
      </c>
      <c r="T265" t="s">
        <v>2074</v>
      </c>
      <c r="U265" t="s">
        <v>2870</v>
      </c>
      <c r="V265" t="s">
        <v>2138</v>
      </c>
    </row>
    <row r="266">
      <c r="A266" t="s">
        <v>2948</v>
      </c>
      <c r="B266" t="s">
        <v>2858</v>
      </c>
      <c r="C266" t="s">
        <v>2859</v>
      </c>
      <c r="D266" t="s">
        <v>1987</v>
      </c>
      <c r="E266" t="s">
        <v>2860</v>
      </c>
      <c r="F266" t="s">
        <v>2949</v>
      </c>
      <c r="G266" t="s">
        <v>129</v>
      </c>
      <c r="I266" t="s">
        <v>2950</v>
      </c>
      <c r="J266" t="s">
        <v>2863</v>
      </c>
      <c r="K266" t="s">
        <v>1987</v>
      </c>
      <c r="L266" t="s">
        <v>2864</v>
      </c>
      <c r="M266" t="s">
        <v>2951</v>
      </c>
      <c r="N266" t="s">
        <v>3002</v>
      </c>
      <c r="O266" t="s">
        <v>2923</v>
      </c>
      <c r="P266" t="s">
        <v>2868</v>
      </c>
      <c r="Q266" t="s">
        <v>1998</v>
      </c>
      <c r="R266" t="s">
        <v>1976</v>
      </c>
      <c r="S266" t="s">
        <v>2073</v>
      </c>
      <c r="T266" t="s">
        <v>2953</v>
      </c>
      <c r="U266" t="s">
        <v>2870</v>
      </c>
      <c r="V266" t="s">
        <v>2951</v>
      </c>
    </row>
    <row r="267">
      <c r="A267" t="s">
        <v>2954</v>
      </c>
      <c r="B267" t="s">
        <v>2858</v>
      </c>
      <c r="C267" t="s">
        <v>2859</v>
      </c>
      <c r="D267" t="s">
        <v>1987</v>
      </c>
      <c r="E267" t="s">
        <v>2860</v>
      </c>
      <c r="F267" t="s">
        <v>2955</v>
      </c>
      <c r="G267" t="s">
        <v>129</v>
      </c>
      <c r="I267" t="s">
        <v>2956</v>
      </c>
      <c r="J267" t="s">
        <v>2863</v>
      </c>
      <c r="K267" t="s">
        <v>1987</v>
      </c>
      <c r="L267" t="s">
        <v>2864</v>
      </c>
      <c r="M267" t="s">
        <v>2957</v>
      </c>
      <c r="N267" t="s">
        <v>3002</v>
      </c>
      <c r="O267" t="s">
        <v>2923</v>
      </c>
      <c r="P267" t="s">
        <v>2868</v>
      </c>
      <c r="Q267" t="s">
        <v>1998</v>
      </c>
      <c r="R267" t="s">
        <v>1976</v>
      </c>
      <c r="S267" t="s">
        <v>2073</v>
      </c>
      <c r="T267" t="s">
        <v>2959</v>
      </c>
      <c r="U267" t="s">
        <v>2870</v>
      </c>
      <c r="V267" t="s">
        <v>2957</v>
      </c>
    </row>
    <row r="268">
      <c r="A268" t="s">
        <v>2960</v>
      </c>
      <c r="B268" t="s">
        <v>2858</v>
      </c>
      <c r="C268" t="s">
        <v>2859</v>
      </c>
      <c r="D268" t="s">
        <v>1987</v>
      </c>
      <c r="E268" t="s">
        <v>2860</v>
      </c>
      <c r="F268" t="s">
        <v>2961</v>
      </c>
      <c r="G268" t="s">
        <v>129</v>
      </c>
      <c r="I268" t="s">
        <v>2962</v>
      </c>
      <c r="J268" t="s">
        <v>2863</v>
      </c>
      <c r="K268" t="s">
        <v>1987</v>
      </c>
      <c r="L268" t="s">
        <v>2864</v>
      </c>
      <c r="M268" t="s">
        <v>2963</v>
      </c>
      <c r="N268" t="s">
        <v>3002</v>
      </c>
      <c r="O268" t="s">
        <v>2923</v>
      </c>
      <c r="P268" t="s">
        <v>2868</v>
      </c>
      <c r="Q268" t="s">
        <v>1998</v>
      </c>
      <c r="R268" t="s">
        <v>1976</v>
      </c>
      <c r="S268" t="s">
        <v>2073</v>
      </c>
      <c r="T268" t="s">
        <v>2965</v>
      </c>
      <c r="U268" t="s">
        <v>2870</v>
      </c>
      <c r="V268" t="s">
        <v>2963</v>
      </c>
    </row>
    <row r="269">
      <c r="A269" t="s">
        <v>2966</v>
      </c>
      <c r="B269" t="s">
        <v>2858</v>
      </c>
      <c r="C269" t="s">
        <v>2859</v>
      </c>
      <c r="D269" t="s">
        <v>1987</v>
      </c>
      <c r="E269" t="s">
        <v>2860</v>
      </c>
      <c r="F269" t="s">
        <v>2967</v>
      </c>
      <c r="G269" t="s">
        <v>129</v>
      </c>
      <c r="I269" t="s">
        <v>2968</v>
      </c>
      <c r="J269" t="s">
        <v>2863</v>
      </c>
      <c r="K269" t="s">
        <v>1987</v>
      </c>
      <c r="L269" t="s">
        <v>2864</v>
      </c>
      <c r="M269" t="s">
        <v>2969</v>
      </c>
      <c r="N269" t="s">
        <v>3002</v>
      </c>
      <c r="O269" t="s">
        <v>2923</v>
      </c>
      <c r="P269" t="s">
        <v>2868</v>
      </c>
      <c r="Q269" t="s">
        <v>1998</v>
      </c>
      <c r="R269" t="s">
        <v>1976</v>
      </c>
      <c r="S269" t="s">
        <v>2073</v>
      </c>
      <c r="T269" t="s">
        <v>2965</v>
      </c>
      <c r="U269" t="s">
        <v>2870</v>
      </c>
      <c r="V269" t="s">
        <v>2969</v>
      </c>
    </row>
    <row r="270">
      <c r="A270" t="s">
        <v>2970</v>
      </c>
      <c r="B270" t="s">
        <v>2858</v>
      </c>
      <c r="C270" t="s">
        <v>2859</v>
      </c>
      <c r="D270" t="s">
        <v>1987</v>
      </c>
      <c r="E270" t="s">
        <v>2860</v>
      </c>
      <c r="F270" t="s">
        <v>2971</v>
      </c>
      <c r="G270" t="s">
        <v>129</v>
      </c>
      <c r="I270" t="s">
        <v>2972</v>
      </c>
      <c r="J270" t="s">
        <v>2863</v>
      </c>
      <c r="K270" t="s">
        <v>1987</v>
      </c>
      <c r="L270" t="s">
        <v>2864</v>
      </c>
      <c r="M270" t="s">
        <v>2973</v>
      </c>
      <c r="N270" t="s">
        <v>3002</v>
      </c>
      <c r="O270" t="s">
        <v>2923</v>
      </c>
      <c r="P270" t="s">
        <v>2868</v>
      </c>
      <c r="Q270" t="s">
        <v>1998</v>
      </c>
      <c r="R270" t="s">
        <v>1976</v>
      </c>
      <c r="S270" t="s">
        <v>2073</v>
      </c>
      <c r="T270" t="s">
        <v>2975</v>
      </c>
      <c r="U270" t="s">
        <v>2870</v>
      </c>
      <c r="V270" t="s">
        <v>2973</v>
      </c>
    </row>
    <row r="271">
      <c r="A271" t="s">
        <v>2976</v>
      </c>
      <c r="B271" t="s">
        <v>2858</v>
      </c>
      <c r="C271" t="s">
        <v>2859</v>
      </c>
      <c r="D271" t="s">
        <v>1987</v>
      </c>
      <c r="E271" t="s">
        <v>2860</v>
      </c>
      <c r="F271" t="s">
        <v>2977</v>
      </c>
      <c r="G271" t="s">
        <v>129</v>
      </c>
      <c r="I271" t="s">
        <v>2978</v>
      </c>
      <c r="J271" t="s">
        <v>2863</v>
      </c>
      <c r="K271" t="s">
        <v>1987</v>
      </c>
      <c r="L271" t="s">
        <v>2864</v>
      </c>
      <c r="M271" t="s">
        <v>2979</v>
      </c>
      <c r="N271" t="s">
        <v>3002</v>
      </c>
      <c r="O271" t="s">
        <v>2923</v>
      </c>
      <c r="P271" t="s">
        <v>2868</v>
      </c>
      <c r="Q271" t="s">
        <v>1998</v>
      </c>
      <c r="R271" t="s">
        <v>1976</v>
      </c>
      <c r="S271" t="s">
        <v>2073</v>
      </c>
      <c r="T271" t="s">
        <v>2981</v>
      </c>
      <c r="U271" t="s">
        <v>2870</v>
      </c>
      <c r="V271" t="s">
        <v>2979</v>
      </c>
    </row>
    <row r="272">
      <c r="A272" t="s">
        <v>2982</v>
      </c>
      <c r="B272" t="s">
        <v>2858</v>
      </c>
      <c r="C272" t="s">
        <v>2859</v>
      </c>
      <c r="D272" t="s">
        <v>1987</v>
      </c>
      <c r="E272" t="s">
        <v>2860</v>
      </c>
      <c r="F272" t="s">
        <v>2983</v>
      </c>
      <c r="G272" t="s">
        <v>129</v>
      </c>
      <c r="I272" t="s">
        <v>2984</v>
      </c>
      <c r="J272" t="s">
        <v>2863</v>
      </c>
      <c r="K272" t="s">
        <v>1987</v>
      </c>
      <c r="L272" t="s">
        <v>2864</v>
      </c>
      <c r="M272" t="s">
        <v>2985</v>
      </c>
      <c r="N272" t="s">
        <v>3002</v>
      </c>
      <c r="O272" t="s">
        <v>2923</v>
      </c>
      <c r="P272" t="s">
        <v>2868</v>
      </c>
      <c r="Q272" t="s">
        <v>1998</v>
      </c>
      <c r="R272" t="s">
        <v>1976</v>
      </c>
      <c r="S272" t="s">
        <v>2073</v>
      </c>
      <c r="T272" t="s">
        <v>2987</v>
      </c>
      <c r="U272" t="s">
        <v>2870</v>
      </c>
      <c r="V272" t="s">
        <v>2985</v>
      </c>
    </row>
    <row r="273">
      <c r="A273" t="s">
        <v>2988</v>
      </c>
      <c r="B273" t="s">
        <v>2858</v>
      </c>
      <c r="C273" t="s">
        <v>2859</v>
      </c>
      <c r="D273" t="s">
        <v>1987</v>
      </c>
      <c r="E273" t="s">
        <v>2860</v>
      </c>
      <c r="F273" t="s">
        <v>2989</v>
      </c>
      <c r="G273" t="s">
        <v>129</v>
      </c>
      <c r="I273" t="s">
        <v>2990</v>
      </c>
      <c r="J273" t="s">
        <v>2863</v>
      </c>
      <c r="K273" t="s">
        <v>1987</v>
      </c>
      <c r="L273" t="s">
        <v>2864</v>
      </c>
      <c r="M273" t="s">
        <v>2991</v>
      </c>
      <c r="N273" t="s">
        <v>3002</v>
      </c>
      <c r="O273" t="s">
        <v>2923</v>
      </c>
      <c r="P273" t="s">
        <v>2868</v>
      </c>
      <c r="Q273" t="s">
        <v>1998</v>
      </c>
      <c r="R273" t="s">
        <v>1976</v>
      </c>
      <c r="S273" t="s">
        <v>2073</v>
      </c>
      <c r="T273" t="s">
        <v>2993</v>
      </c>
      <c r="U273" t="s">
        <v>2870</v>
      </c>
      <c r="V273" t="s">
        <v>2991</v>
      </c>
    </row>
    <row r="274">
      <c r="A274" t="s">
        <v>2994</v>
      </c>
      <c r="B274" t="s">
        <v>2858</v>
      </c>
      <c r="C274" t="s">
        <v>2859</v>
      </c>
      <c r="D274" t="s">
        <v>1987</v>
      </c>
      <c r="E274" t="s">
        <v>2860</v>
      </c>
      <c r="F274" t="s">
        <v>2995</v>
      </c>
      <c r="G274" t="s">
        <v>129</v>
      </c>
      <c r="I274" t="s">
        <v>2996</v>
      </c>
      <c r="J274" t="s">
        <v>2863</v>
      </c>
      <c r="K274" t="s">
        <v>1987</v>
      </c>
      <c r="L274" t="s">
        <v>2864</v>
      </c>
      <c r="M274" t="s">
        <v>2997</v>
      </c>
      <c r="N274" t="s">
        <v>3002</v>
      </c>
      <c r="O274" t="s">
        <v>2923</v>
      </c>
      <c r="P274" t="s">
        <v>2868</v>
      </c>
      <c r="Q274" t="s">
        <v>1998</v>
      </c>
      <c r="R274" t="s">
        <v>1976</v>
      </c>
      <c r="S274" t="s">
        <v>2073</v>
      </c>
      <c r="T274" t="s">
        <v>2917</v>
      </c>
      <c r="U274" t="s">
        <v>2870</v>
      </c>
      <c r="V274" t="s">
        <v>2997</v>
      </c>
    </row>
    <row r="275">
      <c r="A275" t="s">
        <v>2998</v>
      </c>
      <c r="B275" t="s">
        <v>2858</v>
      </c>
      <c r="C275" t="s">
        <v>2859</v>
      </c>
      <c r="D275" t="s">
        <v>1987</v>
      </c>
      <c r="E275" t="s">
        <v>2860</v>
      </c>
      <c r="F275" t="s">
        <v>2999</v>
      </c>
      <c r="G275" t="s">
        <v>129</v>
      </c>
      <c r="I275" t="s">
        <v>3000</v>
      </c>
      <c r="J275" t="s">
        <v>2863</v>
      </c>
      <c r="K275" t="s">
        <v>1987</v>
      </c>
      <c r="L275" t="s">
        <v>2864</v>
      </c>
      <c r="M275" t="s">
        <v>3001</v>
      </c>
      <c r="N275" t="s">
        <v>3002</v>
      </c>
      <c r="O275" t="s">
        <v>2923</v>
      </c>
      <c r="P275" t="s">
        <v>2868</v>
      </c>
      <c r="Q275" t="s">
        <v>1998</v>
      </c>
      <c r="R275" t="s">
        <v>1976</v>
      </c>
      <c r="S275" t="s">
        <v>2073</v>
      </c>
      <c r="T275" t="s">
        <v>3003</v>
      </c>
      <c r="U275" t="s">
        <v>2870</v>
      </c>
      <c r="V275" t="s">
        <v>3001</v>
      </c>
    </row>
    <row r="276">
      <c r="A276" t="s">
        <v>3004</v>
      </c>
      <c r="B276" t="s">
        <v>2858</v>
      </c>
      <c r="C276" t="s">
        <v>2859</v>
      </c>
      <c r="D276" t="s">
        <v>1987</v>
      </c>
      <c r="E276" t="s">
        <v>2860</v>
      </c>
      <c r="F276" t="s">
        <v>3005</v>
      </c>
      <c r="G276" t="s">
        <v>129</v>
      </c>
      <c r="I276" t="s">
        <v>3006</v>
      </c>
      <c r="J276" t="s">
        <v>2863</v>
      </c>
      <c r="K276" t="s">
        <v>1987</v>
      </c>
      <c r="L276" t="s">
        <v>2864</v>
      </c>
      <c r="M276" t="s">
        <v>3007</v>
      </c>
      <c r="N276" t="s">
        <v>3002</v>
      </c>
      <c r="O276" t="s">
        <v>2923</v>
      </c>
      <c r="P276" t="s">
        <v>2868</v>
      </c>
      <c r="Q276" t="s">
        <v>1998</v>
      </c>
      <c r="R276" t="s">
        <v>1976</v>
      </c>
      <c r="S276" t="s">
        <v>2073</v>
      </c>
      <c r="T276" t="s">
        <v>3009</v>
      </c>
      <c r="U276" t="s">
        <v>2870</v>
      </c>
      <c r="V276" t="s">
        <v>3007</v>
      </c>
    </row>
    <row r="277">
      <c r="A277" t="s">
        <v>3010</v>
      </c>
      <c r="B277" t="s">
        <v>2858</v>
      </c>
      <c r="C277" t="s">
        <v>2859</v>
      </c>
      <c r="D277" t="s">
        <v>1987</v>
      </c>
      <c r="E277" t="s">
        <v>2860</v>
      </c>
      <c r="F277" t="s">
        <v>3011</v>
      </c>
      <c r="G277" t="s">
        <v>129</v>
      </c>
      <c r="I277" t="s">
        <v>3012</v>
      </c>
      <c r="J277" t="s">
        <v>2863</v>
      </c>
      <c r="K277" t="s">
        <v>1987</v>
      </c>
      <c r="L277" t="s">
        <v>2864</v>
      </c>
      <c r="M277" t="s">
        <v>3013</v>
      </c>
      <c r="N277" t="s">
        <v>3002</v>
      </c>
      <c r="O277" t="s">
        <v>2923</v>
      </c>
      <c r="P277" t="s">
        <v>2868</v>
      </c>
      <c r="Q277" t="s">
        <v>1998</v>
      </c>
      <c r="R277" t="s">
        <v>1976</v>
      </c>
      <c r="S277" t="s">
        <v>2073</v>
      </c>
      <c r="T277" t="s">
        <v>2226</v>
      </c>
      <c r="U277" t="s">
        <v>2870</v>
      </c>
      <c r="V277" t="s">
        <v>3013</v>
      </c>
    </row>
    <row r="278">
      <c r="A278" t="s">
        <v>3015</v>
      </c>
      <c r="B278" t="s">
        <v>2858</v>
      </c>
      <c r="C278" t="s">
        <v>2859</v>
      </c>
      <c r="D278" t="s">
        <v>1987</v>
      </c>
      <c r="E278" t="s">
        <v>2860</v>
      </c>
      <c r="F278" t="s">
        <v>3016</v>
      </c>
      <c r="G278" t="s">
        <v>129</v>
      </c>
      <c r="I278" t="s">
        <v>3017</v>
      </c>
      <c r="J278" t="s">
        <v>2863</v>
      </c>
      <c r="K278" t="s">
        <v>1987</v>
      </c>
      <c r="L278" t="s">
        <v>2864</v>
      </c>
      <c r="M278" t="s">
        <v>3018</v>
      </c>
      <c r="N278" t="s">
        <v>3002</v>
      </c>
      <c r="O278" t="s">
        <v>2923</v>
      </c>
      <c r="P278" t="s">
        <v>2868</v>
      </c>
      <c r="Q278" t="s">
        <v>1998</v>
      </c>
      <c r="R278" t="s">
        <v>1976</v>
      </c>
      <c r="S278" t="s">
        <v>2073</v>
      </c>
      <c r="T278" t="s">
        <v>2975</v>
      </c>
      <c r="U278" t="s">
        <v>2870</v>
      </c>
      <c r="V278" t="s">
        <v>3018</v>
      </c>
    </row>
    <row r="279">
      <c r="A279" t="s">
        <v>3019</v>
      </c>
      <c r="B279" t="s">
        <v>2858</v>
      </c>
      <c r="C279" t="s">
        <v>2859</v>
      </c>
      <c r="D279" t="s">
        <v>1987</v>
      </c>
      <c r="E279" t="s">
        <v>2860</v>
      </c>
      <c r="F279" t="s">
        <v>3020</v>
      </c>
      <c r="G279" t="s">
        <v>129</v>
      </c>
      <c r="I279" t="s">
        <v>3021</v>
      </c>
      <c r="J279" t="s">
        <v>2863</v>
      </c>
      <c r="K279" t="s">
        <v>1987</v>
      </c>
      <c r="L279" t="s">
        <v>2864</v>
      </c>
      <c r="M279" t="s">
        <v>3022</v>
      </c>
      <c r="N279" t="s">
        <v>3002</v>
      </c>
      <c r="O279" t="s">
        <v>2923</v>
      </c>
      <c r="P279" t="s">
        <v>2868</v>
      </c>
      <c r="Q279" t="s">
        <v>1998</v>
      </c>
      <c r="R279" t="s">
        <v>1976</v>
      </c>
      <c r="S279" t="s">
        <v>2073</v>
      </c>
      <c r="T279" t="s">
        <v>3024</v>
      </c>
      <c r="U279" t="s">
        <v>2870</v>
      </c>
      <c r="V279" t="s">
        <v>3022</v>
      </c>
    </row>
    <row r="280" ht="98">
      <c r="A280" s="10" t="s">
        <v>3112</v>
      </c>
      <c r="B280" s="10" t="s">
        <v>160</v>
      </c>
      <c r="C280" s="10" t="s">
        <v>161</v>
      </c>
      <c r="D280" s="10" t="s">
        <v>3113</v>
      </c>
      <c r="E280" s="10" t="s">
        <v>3114</v>
      </c>
      <c r="F280" s="10" t="s">
        <v>3115</v>
      </c>
      <c r="G280" s="10" t="s">
        <v>129</v>
      </c>
      <c r="H280" s="10" t="s">
        <v>3116</v>
      </c>
      <c r="I280" s="10" t="s">
        <v>3117</v>
      </c>
      <c r="J280" s="10" t="s">
        <v>3118</v>
      </c>
      <c r="K280" s="10" t="s">
        <v>181</v>
      </c>
      <c r="L280" s="10" t="s">
        <v>3119</v>
      </c>
      <c r="M280" s="10" t="s">
        <v>3120</v>
      </c>
      <c r="N280" s="10" t="s">
        <v>171</v>
      </c>
      <c r="O280" s="10" t="s">
        <v>3121</v>
      </c>
      <c r="P280" s="10" t="s">
        <v>1980</v>
      </c>
      <c r="Q280" s="10" t="s">
        <v>1971</v>
      </c>
      <c r="R280" s="10" t="s">
        <v>1975</v>
      </c>
      <c r="S280" s="10" t="s">
        <v>2073</v>
      </c>
      <c r="T280" s="10" t="s">
        <v>2074</v>
      </c>
      <c r="U280" s="10" t="s">
        <v>2075</v>
      </c>
      <c r="V280" s="10" t="s">
        <v>3122</v>
      </c>
      <c r="W280" s="10" t="s">
        <v>2077</v>
      </c>
      <c r="X280" s="10" t="s">
        <v>161</v>
      </c>
    </row>
    <row r="281">
      <c r="A281" t="s">
        <v>3124</v>
      </c>
      <c r="B281" t="s">
        <v>160</v>
      </c>
      <c r="C281" t="s">
        <v>161</v>
      </c>
      <c r="D281" t="s">
        <v>3125</v>
      </c>
      <c r="E281" t="s">
        <v>3126</v>
      </c>
      <c r="F281" t="s">
        <v>3125</v>
      </c>
      <c r="G281" t="s">
        <v>129</v>
      </c>
      <c r="H281" t="s">
        <v>3127</v>
      </c>
      <c r="I281" t="s">
        <v>3128</v>
      </c>
      <c r="J281" t="s">
        <v>3129</v>
      </c>
      <c r="K281" t="s">
        <v>181</v>
      </c>
      <c r="L281" t="s">
        <v>3130</v>
      </c>
      <c r="M281" t="s">
        <v>3131</v>
      </c>
      <c r="N281" t="s">
        <v>2072</v>
      </c>
      <c r="O281" t="s">
        <v>3132</v>
      </c>
      <c r="P281" t="s">
        <v>1980</v>
      </c>
      <c r="Q281" t="s">
        <v>1971</v>
      </c>
      <c r="R281" t="s">
        <v>1975</v>
      </c>
      <c r="S281" t="s">
        <v>2073</v>
      </c>
      <c r="T281" t="s">
        <v>2074</v>
      </c>
      <c r="U281" t="s">
        <v>2075</v>
      </c>
      <c r="V281" t="s">
        <v>3133</v>
      </c>
      <c r="W281" t="s">
        <v>2077</v>
      </c>
      <c r="X281" t="s">
        <v>161</v>
      </c>
    </row>
    <row r="282">
      <c r="A282" t="s">
        <v>3135</v>
      </c>
      <c r="B282" t="s">
        <v>160</v>
      </c>
      <c r="C282" t="s">
        <v>161</v>
      </c>
      <c r="D282" t="s">
        <v>3136</v>
      </c>
      <c r="E282" t="s">
        <v>3137</v>
      </c>
      <c r="F282" t="s">
        <v>3138</v>
      </c>
      <c r="G282" t="s">
        <v>97</v>
      </c>
      <c r="H282" t="s">
        <v>3139</v>
      </c>
      <c r="I282" t="s">
        <v>3140</v>
      </c>
      <c r="J282" t="s">
        <v>3141</v>
      </c>
      <c r="K282" t="s">
        <v>181</v>
      </c>
      <c r="L282" t="s">
        <v>3142</v>
      </c>
      <c r="M282" t="s">
        <v>3143</v>
      </c>
      <c r="N282" t="s">
        <v>2072</v>
      </c>
      <c r="O282" t="s">
        <v>3144</v>
      </c>
      <c r="P282" t="s">
        <v>1980</v>
      </c>
      <c r="Q282" t="s">
        <v>1971</v>
      </c>
      <c r="R282" t="s">
        <v>1976</v>
      </c>
      <c r="S282" t="s">
        <v>2073</v>
      </c>
      <c r="T282" t="s">
        <v>2074</v>
      </c>
      <c r="U282" t="s">
        <v>2075</v>
      </c>
      <c r="V282" t="s">
        <v>3145</v>
      </c>
      <c r="W282" t="s">
        <v>2078</v>
      </c>
      <c r="X282" t="s">
        <v>161</v>
      </c>
    </row>
    <row r="283">
      <c r="A283" t="s">
        <v>3147</v>
      </c>
      <c r="B283" t="s">
        <v>160</v>
      </c>
      <c r="C283" t="s">
        <v>161</v>
      </c>
      <c r="D283" t="s">
        <v>3148</v>
      </c>
      <c r="E283" t="s">
        <v>3149</v>
      </c>
      <c r="F283" t="s">
        <v>3148</v>
      </c>
      <c r="G283" t="s">
        <v>97</v>
      </c>
      <c r="H283" t="s">
        <v>3150</v>
      </c>
      <c r="I283" t="s">
        <v>3151</v>
      </c>
      <c r="J283" t="s">
        <v>3152</v>
      </c>
      <c r="K283" t="s">
        <v>181</v>
      </c>
      <c r="L283" t="s">
        <v>3153</v>
      </c>
      <c r="M283" t="s">
        <v>3154</v>
      </c>
      <c r="N283" t="s">
        <v>3155</v>
      </c>
      <c r="O283" t="s">
        <v>3156</v>
      </c>
      <c r="P283" t="s">
        <v>1980</v>
      </c>
      <c r="Q283" t="s">
        <v>3157</v>
      </c>
      <c r="R283" t="s">
        <v>1975</v>
      </c>
      <c r="S283" t="s">
        <v>2073</v>
      </c>
      <c r="T283" t="s">
        <v>3158</v>
      </c>
      <c r="U283" t="s">
        <v>2075</v>
      </c>
      <c r="V283" t="s">
        <v>3159</v>
      </c>
      <c r="W283" t="s">
        <v>2078</v>
      </c>
      <c r="X283" t="s">
        <v>161</v>
      </c>
    </row>
    <row r="284">
      <c r="A284" t="s">
        <v>3162</v>
      </c>
      <c r="B284" t="s">
        <v>958</v>
      </c>
      <c r="C284" t="s">
        <v>970</v>
      </c>
      <c r="D284" t="s">
        <v>1013</v>
      </c>
      <c r="E284" t="s">
        <v>3163</v>
      </c>
      <c r="F284" t="s">
        <v>3164</v>
      </c>
      <c r="G284" t="s">
        <v>154</v>
      </c>
      <c r="H284" t="s">
        <v>3165</v>
      </c>
      <c r="I284" t="s">
        <v>3166</v>
      </c>
      <c r="J284" t="s">
        <v>3167</v>
      </c>
      <c r="K284" t="s">
        <v>3168</v>
      </c>
      <c r="L284" t="s">
        <v>3169</v>
      </c>
      <c r="M284" t="s">
        <v>3170</v>
      </c>
      <c r="N284" t="s">
        <v>3171</v>
      </c>
      <c r="O284" t="s">
        <v>3172</v>
      </c>
      <c r="P284" t="s">
        <v>3173</v>
      </c>
      <c r="Q284" t="s">
        <v>3157</v>
      </c>
      <c r="R284" t="s">
        <v>1975</v>
      </c>
      <c r="S284" t="s">
        <v>2073</v>
      </c>
      <c r="T284" t="s">
        <v>2975</v>
      </c>
      <c r="U284" t="s">
        <v>3174</v>
      </c>
      <c r="V284" t="s">
        <v>3175</v>
      </c>
      <c r="W284" t="s">
        <v>2078</v>
      </c>
      <c r="X284" t="s">
        <v>3176</v>
      </c>
    </row>
    <row r="285">
      <c r="A285" t="s">
        <v>3179</v>
      </c>
      <c r="B285" t="s">
        <v>958</v>
      </c>
      <c r="C285" t="s">
        <v>3180</v>
      </c>
      <c r="D285" t="s">
        <v>3181</v>
      </c>
      <c r="E285" t="s">
        <v>3182</v>
      </c>
      <c r="F285" t="s">
        <v>3183</v>
      </c>
      <c r="G285" t="s">
        <v>154</v>
      </c>
      <c r="H285" t="s">
        <v>3184</v>
      </c>
      <c r="I285" t="s">
        <v>3185</v>
      </c>
      <c r="J285" t="s">
        <v>3186</v>
      </c>
      <c r="K285" t="s">
        <v>3187</v>
      </c>
      <c r="L285" t="s">
        <v>3188</v>
      </c>
      <c r="M285" t="s">
        <v>3189</v>
      </c>
      <c r="N285" t="s">
        <v>3190</v>
      </c>
      <c r="O285" t="s">
        <v>3191</v>
      </c>
      <c r="P285" t="s">
        <v>3192</v>
      </c>
      <c r="Q285" t="s">
        <v>3157</v>
      </c>
      <c r="R285" t="s">
        <v>1976</v>
      </c>
      <c r="S285" t="s">
        <v>2073</v>
      </c>
      <c r="T285" t="s">
        <v>3193</v>
      </c>
      <c r="U285" t="s">
        <v>3194</v>
      </c>
      <c r="V285" t="s">
        <v>3195</v>
      </c>
      <c r="W285" t="s">
        <v>2078</v>
      </c>
      <c r="X285" t="s">
        <v>3196</v>
      </c>
    </row>
    <row r="286">
      <c r="A286" t="s">
        <v>3200</v>
      </c>
      <c r="B286" t="s">
        <v>958</v>
      </c>
      <c r="C286" t="s">
        <v>970</v>
      </c>
      <c r="D286" t="s">
        <v>971</v>
      </c>
      <c r="E286" t="s">
        <v>3201</v>
      </c>
      <c r="F286" t="s">
        <v>3202</v>
      </c>
      <c r="G286" t="s">
        <v>154</v>
      </c>
      <c r="H286" t="s">
        <v>3203</v>
      </c>
      <c r="I286" t="s">
        <v>3204</v>
      </c>
      <c r="J286" t="s">
        <v>3205</v>
      </c>
      <c r="K286" t="s">
        <v>3206</v>
      </c>
      <c r="L286" t="s">
        <v>3207</v>
      </c>
      <c r="M286" t="s">
        <v>3208</v>
      </c>
      <c r="N286" t="s">
        <v>3209</v>
      </c>
      <c r="O286" t="s">
        <v>3210</v>
      </c>
      <c r="P286" t="s">
        <v>3211</v>
      </c>
      <c r="Q286" t="s">
        <v>3157</v>
      </c>
      <c r="R286" t="s">
        <v>1975</v>
      </c>
      <c r="S286" t="s">
        <v>2073</v>
      </c>
      <c r="T286" t="s">
        <v>3212</v>
      </c>
      <c r="U286" t="s">
        <v>3174</v>
      </c>
      <c r="V286" t="s">
        <v>3213</v>
      </c>
      <c r="W286" t="s">
        <v>2078</v>
      </c>
      <c r="X286" t="s">
        <v>3176</v>
      </c>
    </row>
    <row r="287">
      <c r="A287" t="s">
        <v>3216</v>
      </c>
      <c r="B287" t="s">
        <v>160</v>
      </c>
      <c r="C287" t="s">
        <v>161</v>
      </c>
      <c r="D287" t="s">
        <v>3217</v>
      </c>
      <c r="E287" t="s">
        <v>3218</v>
      </c>
      <c r="F287" t="s">
        <v>3219</v>
      </c>
      <c r="G287" t="s">
        <v>97</v>
      </c>
      <c r="H287" t="s">
        <v>3220</v>
      </c>
      <c r="I287" t="s">
        <v>3221</v>
      </c>
      <c r="J287" t="s">
        <v>3222</v>
      </c>
      <c r="K287" t="s">
        <v>181</v>
      </c>
      <c r="L287" t="s">
        <v>3223</v>
      </c>
      <c r="M287" t="s">
        <v>3224</v>
      </c>
      <c r="N287" t="s">
        <v>3225</v>
      </c>
      <c r="O287" t="s">
        <v>3226</v>
      </c>
      <c r="P287" t="s">
        <v>1980</v>
      </c>
      <c r="Q287" t="s">
        <v>1971</v>
      </c>
      <c r="R287" t="s">
        <v>1991</v>
      </c>
      <c r="S287" t="s">
        <v>2073</v>
      </c>
      <c r="T287" t="s">
        <v>3227</v>
      </c>
      <c r="U287" t="s">
        <v>3228</v>
      </c>
      <c r="V287" t="s">
        <v>3229</v>
      </c>
      <c r="W287" t="s">
        <v>2078</v>
      </c>
      <c r="X287" t="s">
        <v>3230</v>
      </c>
    </row>
    <row r="288">
      <c r="A288" t="s">
        <v>3234</v>
      </c>
      <c r="B288" t="s">
        <v>160</v>
      </c>
      <c r="C288" t="s">
        <v>161</v>
      </c>
      <c r="D288" t="s">
        <v>3217</v>
      </c>
      <c r="E288" t="s">
        <v>3235</v>
      </c>
      <c r="F288" t="s">
        <v>3236</v>
      </c>
      <c r="G288" t="s">
        <v>154</v>
      </c>
      <c r="H288" t="s">
        <v>3237</v>
      </c>
      <c r="I288" t="s">
        <v>3238</v>
      </c>
      <c r="J288" t="s">
        <v>3239</v>
      </c>
      <c r="K288" t="s">
        <v>181</v>
      </c>
      <c r="L288" t="s">
        <v>3240</v>
      </c>
      <c r="M288" t="s">
        <v>3241</v>
      </c>
      <c r="N288" t="s">
        <v>3225</v>
      </c>
      <c r="O288" t="s">
        <v>3242</v>
      </c>
      <c r="P288" t="s">
        <v>1980</v>
      </c>
      <c r="Q288" t="s">
        <v>1971</v>
      </c>
      <c r="R288" t="s">
        <v>1991</v>
      </c>
      <c r="S288" t="s">
        <v>2073</v>
      </c>
      <c r="T288" t="s">
        <v>3227</v>
      </c>
      <c r="U288" t="s">
        <v>3228</v>
      </c>
      <c r="V288" t="s">
        <v>3243</v>
      </c>
      <c r="W288" t="s">
        <v>2078</v>
      </c>
      <c r="X288" t="s">
        <v>3244</v>
      </c>
    </row>
    <row r="289">
      <c r="A289" t="s">
        <v>3248</v>
      </c>
      <c r="B289" t="s">
        <v>160</v>
      </c>
      <c r="C289" t="s">
        <v>161</v>
      </c>
      <c r="D289" t="s">
        <v>3217</v>
      </c>
      <c r="E289" t="s">
        <v>3249</v>
      </c>
      <c r="F289" t="s">
        <v>3250</v>
      </c>
      <c r="G289" t="s">
        <v>154</v>
      </c>
      <c r="H289" t="s">
        <v>3251</v>
      </c>
      <c r="I289" t="s">
        <v>3252</v>
      </c>
      <c r="J289" t="s">
        <v>3253</v>
      </c>
      <c r="K289" t="s">
        <v>181</v>
      </c>
      <c r="L289" t="s">
        <v>3254</v>
      </c>
      <c r="M289" t="s">
        <v>3255</v>
      </c>
      <c r="N289" t="s">
        <v>3256</v>
      </c>
      <c r="O289" t="s">
        <v>3257</v>
      </c>
      <c r="P289" t="s">
        <v>1980</v>
      </c>
      <c r="Q289" t="s">
        <v>1971</v>
      </c>
      <c r="R289" t="s">
        <v>1991</v>
      </c>
      <c r="S289" t="s">
        <v>2073</v>
      </c>
      <c r="T289" t="s">
        <v>3258</v>
      </c>
      <c r="U289" t="s">
        <v>3259</v>
      </c>
      <c r="V289" t="s">
        <v>3260</v>
      </c>
      <c r="W289" t="s">
        <v>2078</v>
      </c>
      <c r="X289" t="s">
        <v>3244</v>
      </c>
    </row>
    <row r="290">
      <c r="A290" t="s">
        <v>3264</v>
      </c>
      <c r="B290" t="s">
        <v>160</v>
      </c>
      <c r="C290" t="s">
        <v>161</v>
      </c>
      <c r="D290" t="s">
        <v>3217</v>
      </c>
      <c r="E290" t="s">
        <v>3265</v>
      </c>
      <c r="F290" t="s">
        <v>3266</v>
      </c>
      <c r="G290" t="s">
        <v>154</v>
      </c>
      <c r="H290" t="s">
        <v>3267</v>
      </c>
      <c r="I290" t="s">
        <v>3268</v>
      </c>
      <c r="J290" t="s">
        <v>3269</v>
      </c>
      <c r="K290" t="s">
        <v>181</v>
      </c>
      <c r="L290" t="s">
        <v>3270</v>
      </c>
      <c r="M290" t="s">
        <v>3271</v>
      </c>
      <c r="N290" t="s">
        <v>3272</v>
      </c>
      <c r="O290" t="s">
        <v>3273</v>
      </c>
      <c r="P290" t="s">
        <v>1980</v>
      </c>
      <c r="Q290" t="s">
        <v>1971</v>
      </c>
      <c r="R290" t="s">
        <v>1991</v>
      </c>
      <c r="S290" t="s">
        <v>2073</v>
      </c>
      <c r="T290" t="s">
        <v>3227</v>
      </c>
      <c r="U290" t="s">
        <v>3274</v>
      </c>
      <c r="V290" t="s">
        <v>3275</v>
      </c>
      <c r="W290" t="s">
        <v>2078</v>
      </c>
      <c r="X290" t="s">
        <v>3276</v>
      </c>
    </row>
    <row r="291">
      <c r="A291" t="s">
        <v>3280</v>
      </c>
      <c r="B291" t="s">
        <v>160</v>
      </c>
      <c r="C291" t="s">
        <v>161</v>
      </c>
      <c r="D291" t="s">
        <v>3217</v>
      </c>
      <c r="E291" t="s">
        <v>3281</v>
      </c>
      <c r="F291" t="s">
        <v>3282</v>
      </c>
      <c r="G291" t="s">
        <v>97</v>
      </c>
      <c r="H291" t="s">
        <v>3283</v>
      </c>
      <c r="I291" t="s">
        <v>3284</v>
      </c>
      <c r="J291" t="s">
        <v>3285</v>
      </c>
      <c r="K291" t="s">
        <v>181</v>
      </c>
      <c r="L291" t="s">
        <v>3286</v>
      </c>
      <c r="M291" t="s">
        <v>3287</v>
      </c>
      <c r="N291" t="s">
        <v>3288</v>
      </c>
      <c r="O291" t="s">
        <v>3289</v>
      </c>
      <c r="P291" t="s">
        <v>1980</v>
      </c>
      <c r="Q291" t="s">
        <v>1971</v>
      </c>
      <c r="R291" t="s">
        <v>1991</v>
      </c>
      <c r="S291" t="s">
        <v>2073</v>
      </c>
      <c r="T291" t="s">
        <v>3290</v>
      </c>
      <c r="U291" t="s">
        <v>3228</v>
      </c>
      <c r="V291" t="s">
        <v>3291</v>
      </c>
      <c r="W291" t="s">
        <v>2078</v>
      </c>
      <c r="X291" t="s">
        <v>3230</v>
      </c>
    </row>
    <row r="292" ht="84">
      <c r="A292" s="28" t="s">
        <v>3295</v>
      </c>
      <c r="B292" s="25" t="s">
        <v>958</v>
      </c>
      <c r="C292" s="25" t="s">
        <v>2840</v>
      </c>
      <c r="D292" s="25" t="s">
        <v>3296</v>
      </c>
      <c r="E292" s="25" t="s">
        <v>3297</v>
      </c>
      <c r="F292" s="25" t="s">
        <v>3298</v>
      </c>
      <c r="G292" s="25" t="s">
        <v>97</v>
      </c>
      <c r="H292" s="25" t="s">
        <v>3299</v>
      </c>
      <c r="I292" s="25" t="s">
        <v>3300</v>
      </c>
      <c r="J292" s="25" t="s">
        <v>3301</v>
      </c>
      <c r="K292" s="25" t="s">
        <v>2036</v>
      </c>
      <c r="L292" s="25" t="s">
        <v>3302</v>
      </c>
      <c r="M292" s="25" t="s">
        <v>3303</v>
      </c>
      <c r="N292" s="25" t="s">
        <v>2848</v>
      </c>
      <c r="O292" s="25" t="s">
        <v>3302</v>
      </c>
      <c r="P292" s="25" t="s">
        <v>2850</v>
      </c>
      <c r="Q292" s="25" t="s">
        <v>3157</v>
      </c>
      <c r="R292" s="25" t="s">
        <v>1992</v>
      </c>
      <c r="S292" s="25" t="s">
        <v>2073</v>
      </c>
      <c r="T292" s="25" t="s">
        <v>3304</v>
      </c>
      <c r="U292" s="25" t="s">
        <v>2852</v>
      </c>
      <c r="V292" s="25" t="s">
        <v>3305</v>
      </c>
      <c r="W292" s="25" t="s">
        <v>2078</v>
      </c>
      <c r="X292" s="25" t="s">
        <v>2854</v>
      </c>
    </row>
    <row r="293" ht="84">
      <c r="A293" s="28" t="s">
        <v>3308</v>
      </c>
      <c r="B293" s="25" t="s">
        <v>958</v>
      </c>
      <c r="C293" s="25" t="s">
        <v>2840</v>
      </c>
      <c r="D293" s="25" t="s">
        <v>3296</v>
      </c>
      <c r="E293" s="25" t="s">
        <v>3309</v>
      </c>
      <c r="F293" s="25" t="s">
        <v>3310</v>
      </c>
      <c r="G293" s="25" t="s">
        <v>97</v>
      </c>
      <c r="H293" s="25" t="s">
        <v>3311</v>
      </c>
      <c r="I293" s="25" t="s">
        <v>3312</v>
      </c>
      <c r="J293" s="25" t="s">
        <v>3313</v>
      </c>
      <c r="K293" s="25" t="s">
        <v>2031</v>
      </c>
      <c r="L293" s="25" t="s">
        <v>3314</v>
      </c>
      <c r="M293" s="25" t="s">
        <v>3315</v>
      </c>
      <c r="N293" s="25" t="s">
        <v>2848</v>
      </c>
      <c r="O293" s="25" t="s">
        <v>2849</v>
      </c>
      <c r="P293" s="25" t="s">
        <v>2850</v>
      </c>
      <c r="Q293" s="25" t="s">
        <v>3157</v>
      </c>
      <c r="R293" s="25" t="s">
        <v>1991</v>
      </c>
      <c r="S293" s="25" t="s">
        <v>2073</v>
      </c>
      <c r="T293" s="25" t="s">
        <v>3304</v>
      </c>
      <c r="U293" s="25" t="s">
        <v>2852</v>
      </c>
      <c r="V293" s="25" t="s">
        <v>3316</v>
      </c>
      <c r="W293" s="25" t="s">
        <v>2078</v>
      </c>
      <c r="X293" s="25" t="s">
        <v>2854</v>
      </c>
    </row>
    <row r="294" ht="84">
      <c r="A294" s="28" t="s">
        <v>3319</v>
      </c>
      <c r="B294" s="25" t="s">
        <v>958</v>
      </c>
      <c r="C294" s="25" t="s">
        <v>2840</v>
      </c>
      <c r="D294" s="25" t="s">
        <v>3296</v>
      </c>
      <c r="E294" s="25" t="s">
        <v>3297</v>
      </c>
      <c r="F294" s="25" t="s">
        <v>3320</v>
      </c>
      <c r="G294" s="25" t="s">
        <v>97</v>
      </c>
      <c r="H294" s="25" t="s">
        <v>3321</v>
      </c>
      <c r="I294" s="25" t="s">
        <v>3322</v>
      </c>
      <c r="J294" s="25" t="s">
        <v>3323</v>
      </c>
      <c r="K294" s="25" t="s">
        <v>2031</v>
      </c>
      <c r="L294" s="25" t="s">
        <v>3324</v>
      </c>
      <c r="M294" s="25" t="s">
        <v>3325</v>
      </c>
      <c r="N294" s="25" t="s">
        <v>2848</v>
      </c>
      <c r="O294" s="25" t="s">
        <v>2849</v>
      </c>
      <c r="P294" s="25" t="s">
        <v>2850</v>
      </c>
      <c r="Q294" s="25" t="s">
        <v>3157</v>
      </c>
      <c r="R294" s="25" t="s">
        <v>1991</v>
      </c>
      <c r="S294" s="25" t="s">
        <v>2073</v>
      </c>
      <c r="T294" s="25" t="s">
        <v>3304</v>
      </c>
      <c r="U294" s="25" t="s">
        <v>2852</v>
      </c>
      <c r="V294" s="25" t="s">
        <v>3326</v>
      </c>
      <c r="W294" s="25" t="s">
        <v>2078</v>
      </c>
      <c r="X294" s="25" t="s">
        <v>2854</v>
      </c>
    </row>
    <row r="295" ht="70">
      <c r="A295" s="28" t="s">
        <v>3329</v>
      </c>
      <c r="B295" s="25" t="s">
        <v>958</v>
      </c>
      <c r="C295" s="25" t="s">
        <v>2840</v>
      </c>
      <c r="D295" s="25" t="s">
        <v>3330</v>
      </c>
      <c r="E295" s="25" t="s">
        <v>3331</v>
      </c>
      <c r="F295" s="25" t="s">
        <v>3332</v>
      </c>
      <c r="G295" s="25" t="s">
        <v>120</v>
      </c>
      <c r="H295" s="25" t="s">
        <v>3333</v>
      </c>
      <c r="I295" s="25" t="s">
        <v>3334</v>
      </c>
      <c r="J295" s="25" t="s">
        <v>3335</v>
      </c>
      <c r="K295" s="25" t="s">
        <v>2034</v>
      </c>
      <c r="L295" s="25" t="s">
        <v>3336</v>
      </c>
      <c r="M295" s="25" t="s">
        <v>3337</v>
      </c>
      <c r="N295" s="25" t="s">
        <v>2848</v>
      </c>
      <c r="O295" s="25" t="s">
        <v>3338</v>
      </c>
      <c r="P295" s="25" t="s">
        <v>2850</v>
      </c>
      <c r="Q295" s="25" t="s">
        <v>3157</v>
      </c>
      <c r="R295" s="25" t="s">
        <v>1992</v>
      </c>
      <c r="S295" s="25" t="s">
        <v>2073</v>
      </c>
      <c r="T295" s="25" t="s">
        <v>3304</v>
      </c>
      <c r="U295" s="25" t="s">
        <v>2852</v>
      </c>
      <c r="V295" s="25" t="s">
        <v>3339</v>
      </c>
      <c r="W295" s="25" t="s">
        <v>2078</v>
      </c>
      <c r="X295" s="25" t="s">
        <v>3040</v>
      </c>
    </row>
    <row r="296" ht="56">
      <c r="A296" s="28" t="s">
        <v>3344</v>
      </c>
      <c r="B296" s="25" t="s">
        <v>958</v>
      </c>
      <c r="C296" s="25" t="s">
        <v>2840</v>
      </c>
      <c r="D296" s="25" t="s">
        <v>3330</v>
      </c>
      <c r="E296" s="25" t="s">
        <v>3331</v>
      </c>
      <c r="F296" s="25" t="s">
        <v>3345</v>
      </c>
      <c r="G296" s="25" t="s">
        <v>120</v>
      </c>
      <c r="H296" s="25" t="s">
        <v>3346</v>
      </c>
      <c r="I296" s="25" t="s">
        <v>3347</v>
      </c>
      <c r="J296" s="25" t="s">
        <v>3348</v>
      </c>
      <c r="K296" s="25" t="s">
        <v>2034</v>
      </c>
      <c r="L296" s="25" t="s">
        <v>3349</v>
      </c>
      <c r="M296" s="25" t="s">
        <v>3350</v>
      </c>
      <c r="N296" s="25" t="s">
        <v>2848</v>
      </c>
      <c r="O296" s="25" t="s">
        <v>3338</v>
      </c>
      <c r="P296" s="25" t="s">
        <v>2850</v>
      </c>
      <c r="Q296" s="25" t="s">
        <v>3157</v>
      </c>
      <c r="R296" s="25" t="s">
        <v>1992</v>
      </c>
      <c r="S296" s="25" t="s">
        <v>2073</v>
      </c>
      <c r="T296" s="25" t="s">
        <v>3304</v>
      </c>
      <c r="U296" s="25" t="s">
        <v>2852</v>
      </c>
      <c r="V296" s="25" t="s">
        <v>3351</v>
      </c>
      <c r="W296" s="25" t="s">
        <v>2078</v>
      </c>
      <c r="X296" s="25" t="s">
        <v>3040</v>
      </c>
    </row>
    <row r="297" ht="70">
      <c r="A297" s="28" t="s">
        <v>3356</v>
      </c>
      <c r="B297" s="25" t="s">
        <v>958</v>
      </c>
      <c r="C297" s="25" t="s">
        <v>2840</v>
      </c>
      <c r="D297" s="25" t="s">
        <v>3330</v>
      </c>
      <c r="E297" s="25" t="s">
        <v>3331</v>
      </c>
      <c r="F297" s="25" t="s">
        <v>3357</v>
      </c>
      <c r="G297" s="25" t="s">
        <v>120</v>
      </c>
      <c r="H297" s="25" t="s">
        <v>3358</v>
      </c>
      <c r="I297" s="25" t="s">
        <v>3359</v>
      </c>
      <c r="J297" s="25" t="s">
        <v>3360</v>
      </c>
      <c r="K297" s="25" t="s">
        <v>2034</v>
      </c>
      <c r="L297" s="25" t="s">
        <v>3361</v>
      </c>
      <c r="M297" s="25" t="s">
        <v>3362</v>
      </c>
      <c r="N297" s="25" t="s">
        <v>2848</v>
      </c>
      <c r="O297" s="25" t="s">
        <v>3338</v>
      </c>
      <c r="P297" s="25" t="s">
        <v>2850</v>
      </c>
      <c r="Q297" s="25" t="s">
        <v>3157</v>
      </c>
      <c r="R297" s="25" t="s">
        <v>1992</v>
      </c>
      <c r="S297" s="25" t="s">
        <v>2073</v>
      </c>
      <c r="T297" s="25" t="s">
        <v>3304</v>
      </c>
      <c r="U297" s="25" t="s">
        <v>2852</v>
      </c>
      <c r="V297" s="25" t="s">
        <v>3363</v>
      </c>
      <c r="W297" s="25" t="s">
        <v>2078</v>
      </c>
      <c r="X297" s="25" t="s">
        <v>3040</v>
      </c>
    </row>
    <row r="298" ht="84">
      <c r="A298" s="28" t="s">
        <v>3366</v>
      </c>
      <c r="B298" s="25" t="s">
        <v>958</v>
      </c>
      <c r="C298" s="25" t="s">
        <v>2840</v>
      </c>
      <c r="D298" s="25" t="s">
        <v>3330</v>
      </c>
      <c r="E298" s="25" t="s">
        <v>3331</v>
      </c>
      <c r="F298" s="25" t="s">
        <v>3367</v>
      </c>
      <c r="G298" s="25" t="s">
        <v>97</v>
      </c>
      <c r="H298" s="25" t="s">
        <v>3368</v>
      </c>
      <c r="I298" s="25" t="s">
        <v>3369</v>
      </c>
      <c r="J298" s="25" t="s">
        <v>3370</v>
      </c>
      <c r="K298" s="25" t="s">
        <v>2032</v>
      </c>
      <c r="L298" s="25" t="s">
        <v>3371</v>
      </c>
      <c r="M298" s="25" t="s">
        <v>3372</v>
      </c>
      <c r="N298" s="25" t="s">
        <v>2848</v>
      </c>
      <c r="O298" s="25" t="s">
        <v>3373</v>
      </c>
      <c r="P298" s="25" t="s">
        <v>2850</v>
      </c>
      <c r="Q298" s="25" t="s">
        <v>3157</v>
      </c>
      <c r="R298" s="25" t="s">
        <v>1991</v>
      </c>
      <c r="S298" s="25" t="s">
        <v>2073</v>
      </c>
      <c r="T298" s="25" t="s">
        <v>3304</v>
      </c>
      <c r="U298" s="25" t="s">
        <v>2852</v>
      </c>
      <c r="V298" s="25" t="s">
        <v>3374</v>
      </c>
      <c r="W298" s="25" t="s">
        <v>2078</v>
      </c>
      <c r="X298" s="25" t="s">
        <v>2854</v>
      </c>
    </row>
    <row r="299" ht="84">
      <c r="A299" s="28" t="s">
        <v>3379</v>
      </c>
      <c r="B299" s="25" t="s">
        <v>958</v>
      </c>
      <c r="C299" s="25" t="s">
        <v>2840</v>
      </c>
      <c r="D299" s="25" t="s">
        <v>3380</v>
      </c>
      <c r="E299" s="25" t="s">
        <v>3381</v>
      </c>
      <c r="F299" s="25" t="s">
        <v>3382</v>
      </c>
      <c r="G299" s="25" t="s">
        <v>120</v>
      </c>
      <c r="H299" s="25" t="s">
        <v>3383</v>
      </c>
      <c r="I299" s="25" t="s">
        <v>3384</v>
      </c>
      <c r="J299" s="25" t="s">
        <v>3385</v>
      </c>
      <c r="K299" s="25" t="s">
        <v>2032</v>
      </c>
      <c r="L299" s="25" t="s">
        <v>3386</v>
      </c>
      <c r="M299" s="25" t="s">
        <v>3387</v>
      </c>
      <c r="N299" s="25" t="s">
        <v>2848</v>
      </c>
      <c r="O299" s="25" t="s">
        <v>3373</v>
      </c>
      <c r="P299" s="25" t="s">
        <v>2850</v>
      </c>
      <c r="Q299" s="25" t="s">
        <v>3157</v>
      </c>
      <c r="R299" s="25" t="s">
        <v>1991</v>
      </c>
      <c r="S299" s="25" t="s">
        <v>2073</v>
      </c>
      <c r="T299" s="25" t="s">
        <v>3304</v>
      </c>
      <c r="U299" s="25" t="s">
        <v>2852</v>
      </c>
      <c r="V299" s="25" t="s">
        <v>3388</v>
      </c>
      <c r="W299" s="25" t="s">
        <v>2078</v>
      </c>
      <c r="X299" s="25" t="s">
        <v>3040</v>
      </c>
    </row>
    <row r="300" ht="84">
      <c r="A300" s="28" t="s">
        <v>3391</v>
      </c>
      <c r="B300" s="25" t="s">
        <v>958</v>
      </c>
      <c r="C300" s="25" t="s">
        <v>2840</v>
      </c>
      <c r="D300" s="25" t="s">
        <v>3380</v>
      </c>
      <c r="E300" s="25" t="s">
        <v>3381</v>
      </c>
      <c r="F300" s="25" t="s">
        <v>3392</v>
      </c>
      <c r="G300" s="25" t="s">
        <v>97</v>
      </c>
      <c r="H300" s="25" t="s">
        <v>3393</v>
      </c>
      <c r="I300" s="25" t="s">
        <v>3394</v>
      </c>
      <c r="J300" s="25" t="s">
        <v>3395</v>
      </c>
      <c r="K300" s="25" t="s">
        <v>2032</v>
      </c>
      <c r="L300" s="25" t="s">
        <v>3396</v>
      </c>
      <c r="M300" s="25" t="s">
        <v>3397</v>
      </c>
      <c r="N300" s="25" t="s">
        <v>2848</v>
      </c>
      <c r="O300" s="25" t="s">
        <v>3373</v>
      </c>
      <c r="P300" s="25" t="s">
        <v>2850</v>
      </c>
      <c r="Q300" s="25" t="s">
        <v>3157</v>
      </c>
      <c r="R300" s="25" t="s">
        <v>1991</v>
      </c>
      <c r="S300" s="25" t="s">
        <v>2073</v>
      </c>
      <c r="T300" s="25" t="s">
        <v>3304</v>
      </c>
      <c r="U300" s="25" t="s">
        <v>2852</v>
      </c>
      <c r="V300" s="25" t="s">
        <v>3398</v>
      </c>
      <c r="W300" s="25" t="s">
        <v>2078</v>
      </c>
      <c r="X300" s="25" t="s">
        <v>2854</v>
      </c>
    </row>
    <row r="301" ht="70">
      <c r="A301" s="28" t="s">
        <v>3403</v>
      </c>
      <c r="B301" s="25" t="s">
        <v>958</v>
      </c>
      <c r="C301" s="25" t="s">
        <v>2840</v>
      </c>
      <c r="D301" s="25" t="s">
        <v>3404</v>
      </c>
      <c r="E301" s="25" t="s">
        <v>3405</v>
      </c>
      <c r="F301" s="25" t="s">
        <v>3406</v>
      </c>
      <c r="G301" s="25" t="s">
        <v>97</v>
      </c>
      <c r="H301" s="25" t="s">
        <v>3407</v>
      </c>
      <c r="I301" s="25" t="s">
        <v>3408</v>
      </c>
      <c r="J301" s="25" t="s">
        <v>3409</v>
      </c>
      <c r="K301" s="25" t="s">
        <v>2035</v>
      </c>
      <c r="L301" s="25" t="s">
        <v>3410</v>
      </c>
      <c r="M301" s="25" t="s">
        <v>3411</v>
      </c>
      <c r="N301" s="25" t="s">
        <v>2848</v>
      </c>
      <c r="O301" s="25" t="s">
        <v>3412</v>
      </c>
      <c r="P301" s="25" t="s">
        <v>2850</v>
      </c>
      <c r="Q301" s="25" t="s">
        <v>3157</v>
      </c>
      <c r="R301" s="25" t="s">
        <v>1991</v>
      </c>
      <c r="S301" s="25" t="s">
        <v>2073</v>
      </c>
      <c r="T301" s="25" t="s">
        <v>3304</v>
      </c>
      <c r="U301" s="25" t="s">
        <v>2852</v>
      </c>
      <c r="V301" s="25" t="s">
        <v>3413</v>
      </c>
      <c r="W301" s="25" t="s">
        <v>2078</v>
      </c>
      <c r="X301" s="25" t="s">
        <v>2854</v>
      </c>
    </row>
    <row r="302" ht="70">
      <c r="A302" s="28" t="s">
        <v>3417</v>
      </c>
      <c r="B302" s="25" t="s">
        <v>958</v>
      </c>
      <c r="C302" s="25" t="s">
        <v>2840</v>
      </c>
      <c r="D302" s="25" t="s">
        <v>3404</v>
      </c>
      <c r="E302" s="25" t="s">
        <v>3405</v>
      </c>
      <c r="F302" s="25" t="s">
        <v>3418</v>
      </c>
      <c r="G302" s="25" t="s">
        <v>97</v>
      </c>
      <c r="H302" s="25" t="s">
        <v>3419</v>
      </c>
      <c r="I302" s="25" t="s">
        <v>3420</v>
      </c>
      <c r="J302" s="25" t="s">
        <v>3421</v>
      </c>
      <c r="K302" s="25" t="s">
        <v>2035</v>
      </c>
      <c r="L302" s="25" t="s">
        <v>3422</v>
      </c>
      <c r="M302" s="25" t="s">
        <v>3423</v>
      </c>
      <c r="N302" s="25" t="s">
        <v>2848</v>
      </c>
      <c r="O302" s="25" t="s">
        <v>3412</v>
      </c>
      <c r="P302" s="25" t="s">
        <v>2850</v>
      </c>
      <c r="Q302" s="25" t="s">
        <v>3157</v>
      </c>
      <c r="R302" s="25" t="s">
        <v>1991</v>
      </c>
      <c r="S302" s="25" t="s">
        <v>2073</v>
      </c>
      <c r="T302" s="25" t="s">
        <v>3304</v>
      </c>
      <c r="U302" s="25" t="s">
        <v>2852</v>
      </c>
      <c r="V302" s="25" t="s">
        <v>3424</v>
      </c>
      <c r="W302" s="25" t="s">
        <v>2078</v>
      </c>
      <c r="X302" s="25" t="s">
        <v>2854</v>
      </c>
    </row>
    <row r="303" ht="70">
      <c r="A303" s="28" t="s">
        <v>3429</v>
      </c>
      <c r="B303" s="25" t="s">
        <v>958</v>
      </c>
      <c r="C303" s="25" t="s">
        <v>2840</v>
      </c>
      <c r="D303" s="25" t="s">
        <v>3404</v>
      </c>
      <c r="E303" s="25" t="s">
        <v>3405</v>
      </c>
      <c r="F303" s="25" t="s">
        <v>3430</v>
      </c>
      <c r="G303" s="25" t="s">
        <v>120</v>
      </c>
      <c r="H303" s="25" t="s">
        <v>3431</v>
      </c>
      <c r="I303" s="25" t="s">
        <v>3432</v>
      </c>
      <c r="J303" s="25" t="s">
        <v>3433</v>
      </c>
      <c r="K303" s="25" t="s">
        <v>2035</v>
      </c>
      <c r="L303" s="25" t="s">
        <v>3434</v>
      </c>
      <c r="M303" s="25" t="s">
        <v>3435</v>
      </c>
      <c r="N303" s="25" t="s">
        <v>2848</v>
      </c>
      <c r="O303" s="25" t="s">
        <v>3412</v>
      </c>
      <c r="P303" s="25" t="s">
        <v>2850</v>
      </c>
      <c r="Q303" s="25" t="s">
        <v>3157</v>
      </c>
      <c r="R303" s="25" t="s">
        <v>1992</v>
      </c>
      <c r="S303" s="25" t="s">
        <v>2073</v>
      </c>
      <c r="T303" s="25" t="s">
        <v>3304</v>
      </c>
      <c r="U303" s="25" t="s">
        <v>2852</v>
      </c>
      <c r="V303" s="25" t="s">
        <v>3436</v>
      </c>
      <c r="W303" s="25" t="s">
        <v>2078</v>
      </c>
      <c r="X303" s="25" t="s">
        <v>3040</v>
      </c>
    </row>
    <row r="304" ht="70">
      <c r="A304" s="28" t="s">
        <v>3440</v>
      </c>
      <c r="B304" s="25" t="s">
        <v>958</v>
      </c>
      <c r="C304" s="25" t="s">
        <v>2840</v>
      </c>
      <c r="D304" s="25" t="s">
        <v>3404</v>
      </c>
      <c r="E304" s="25" t="s">
        <v>3405</v>
      </c>
      <c r="F304" s="25" t="s">
        <v>3441</v>
      </c>
      <c r="G304" s="25" t="s">
        <v>120</v>
      </c>
      <c r="H304" s="25" t="s">
        <v>3442</v>
      </c>
      <c r="I304" s="25" t="s">
        <v>3443</v>
      </c>
      <c r="J304" s="25" t="s">
        <v>3444</v>
      </c>
      <c r="K304" s="25" t="s">
        <v>2035</v>
      </c>
      <c r="L304" s="25" t="s">
        <v>3445</v>
      </c>
      <c r="M304" s="25" t="s">
        <v>3446</v>
      </c>
      <c r="N304" s="25" t="s">
        <v>2848</v>
      </c>
      <c r="O304" s="25" t="s">
        <v>3412</v>
      </c>
      <c r="P304" s="25" t="s">
        <v>2850</v>
      </c>
      <c r="Q304" s="25" t="s">
        <v>3157</v>
      </c>
      <c r="R304" s="25" t="s">
        <v>1992</v>
      </c>
      <c r="S304" s="25" t="s">
        <v>2073</v>
      </c>
      <c r="T304" s="25" t="s">
        <v>3304</v>
      </c>
      <c r="U304" s="25" t="s">
        <v>2852</v>
      </c>
      <c r="V304" s="25" t="s">
        <v>3447</v>
      </c>
      <c r="W304" s="25" t="s">
        <v>2078</v>
      </c>
      <c r="X304" s="25" t="s">
        <v>3040</v>
      </c>
    </row>
    <row r="305" ht="70">
      <c r="A305" s="28" t="s">
        <v>3451</v>
      </c>
      <c r="B305" s="25" t="s">
        <v>958</v>
      </c>
      <c r="C305" s="25" t="s">
        <v>2840</v>
      </c>
      <c r="D305" s="25" t="s">
        <v>3452</v>
      </c>
      <c r="E305" s="25" t="s">
        <v>3453</v>
      </c>
      <c r="F305" s="25" t="s">
        <v>3452</v>
      </c>
      <c r="G305" s="25" t="s">
        <v>97</v>
      </c>
      <c r="H305" s="25" t="s">
        <v>3454</v>
      </c>
      <c r="I305" s="25" t="s">
        <v>3455</v>
      </c>
      <c r="J305" s="25" t="s">
        <v>3456</v>
      </c>
      <c r="K305" s="25" t="s">
        <v>2033</v>
      </c>
      <c r="L305" s="25" t="s">
        <v>3457</v>
      </c>
      <c r="M305" s="25" t="s">
        <v>3458</v>
      </c>
      <c r="N305" s="25" t="s">
        <v>2848</v>
      </c>
      <c r="O305" s="25" t="s">
        <v>3459</v>
      </c>
      <c r="P305" s="25" t="s">
        <v>2850</v>
      </c>
      <c r="Q305" s="25" t="s">
        <v>3157</v>
      </c>
      <c r="R305" s="25" t="s">
        <v>1991</v>
      </c>
      <c r="S305" s="25" t="s">
        <v>2073</v>
      </c>
      <c r="T305" s="25" t="s">
        <v>3304</v>
      </c>
      <c r="U305" s="25" t="s">
        <v>2852</v>
      </c>
      <c r="V305" s="25" t="s">
        <v>3460</v>
      </c>
      <c r="W305" s="25" t="s">
        <v>2078</v>
      </c>
      <c r="X305" s="25" t="s">
        <v>2854</v>
      </c>
    </row>
    <row r="306" ht="70">
      <c r="A306" s="28" t="s">
        <v>3465</v>
      </c>
      <c r="B306" s="25" t="s">
        <v>958</v>
      </c>
      <c r="C306" s="25" t="s">
        <v>2840</v>
      </c>
      <c r="D306" s="25" t="s">
        <v>3452</v>
      </c>
      <c r="E306" s="25" t="s">
        <v>3453</v>
      </c>
      <c r="F306" s="25" t="s">
        <v>3466</v>
      </c>
      <c r="G306" s="25" t="s">
        <v>97</v>
      </c>
      <c r="H306" s="25" t="s">
        <v>3467</v>
      </c>
      <c r="I306" s="25" t="s">
        <v>3468</v>
      </c>
      <c r="J306" s="25" t="s">
        <v>3469</v>
      </c>
      <c r="K306" s="25" t="s">
        <v>2033</v>
      </c>
      <c r="L306" s="25" t="s">
        <v>3470</v>
      </c>
      <c r="M306" s="25" t="s">
        <v>3471</v>
      </c>
      <c r="N306" s="25" t="s">
        <v>2848</v>
      </c>
      <c r="O306" s="25" t="s">
        <v>3459</v>
      </c>
      <c r="P306" s="25" t="s">
        <v>2850</v>
      </c>
      <c r="Q306" s="25" t="s">
        <v>3157</v>
      </c>
      <c r="R306" s="25" t="s">
        <v>1991</v>
      </c>
      <c r="S306" s="25" t="s">
        <v>2073</v>
      </c>
      <c r="T306" s="25" t="s">
        <v>3304</v>
      </c>
      <c r="U306" s="25" t="s">
        <v>2852</v>
      </c>
      <c r="V306" s="25" t="s">
        <v>3472</v>
      </c>
      <c r="W306" s="25" t="s">
        <v>2078</v>
      </c>
      <c r="X306" s="25" t="s">
        <v>2854</v>
      </c>
    </row>
    <row r="307" ht="70">
      <c r="A307" s="28" t="s">
        <v>3477</v>
      </c>
      <c r="B307" s="25" t="s">
        <v>958</v>
      </c>
      <c r="C307" s="25" t="s">
        <v>2840</v>
      </c>
      <c r="D307" s="25" t="s">
        <v>3478</v>
      </c>
      <c r="E307" s="25" t="s">
        <v>3479</v>
      </c>
      <c r="F307" s="25" t="s">
        <v>3480</v>
      </c>
      <c r="G307" s="25" t="s">
        <v>97</v>
      </c>
      <c r="H307" s="25" t="s">
        <v>3481</v>
      </c>
      <c r="I307" s="25" t="s">
        <v>3482</v>
      </c>
      <c r="J307" s="25" t="s">
        <v>3483</v>
      </c>
      <c r="K307" s="25" t="s">
        <v>2037</v>
      </c>
      <c r="L307" s="25" t="s">
        <v>3484</v>
      </c>
      <c r="M307" s="25" t="s">
        <v>3485</v>
      </c>
      <c r="N307" s="25" t="s">
        <v>2848</v>
      </c>
      <c r="O307" s="25" t="s">
        <v>3486</v>
      </c>
      <c r="P307" s="25" t="s">
        <v>2850</v>
      </c>
      <c r="Q307" s="25" t="s">
        <v>3157</v>
      </c>
      <c r="R307" s="25" t="s">
        <v>1992</v>
      </c>
      <c r="S307" s="25" t="s">
        <v>2073</v>
      </c>
      <c r="T307" s="25" t="s">
        <v>3304</v>
      </c>
      <c r="U307" s="25" t="s">
        <v>2852</v>
      </c>
      <c r="V307" s="25" t="s">
        <v>3487</v>
      </c>
      <c r="W307" s="25" t="s">
        <v>2078</v>
      </c>
      <c r="X307" s="25" t="s">
        <v>2854</v>
      </c>
    </row>
    <row r="308" ht="98">
      <c r="A308" s="28" t="s">
        <v>3492</v>
      </c>
      <c r="B308" s="25" t="s">
        <v>958</v>
      </c>
      <c r="C308" s="25" t="s">
        <v>2840</v>
      </c>
      <c r="D308" s="25" t="s">
        <v>3478</v>
      </c>
      <c r="E308" s="25" t="s">
        <v>3479</v>
      </c>
      <c r="F308" s="25" t="s">
        <v>3493</v>
      </c>
      <c r="G308" s="25" t="s">
        <v>97</v>
      </c>
      <c r="H308" s="25" t="s">
        <v>3494</v>
      </c>
      <c r="I308" s="25" t="s">
        <v>3495</v>
      </c>
      <c r="J308" s="25" t="s">
        <v>3496</v>
      </c>
      <c r="K308" s="25" t="s">
        <v>2038</v>
      </c>
      <c r="L308" s="25" t="s">
        <v>3497</v>
      </c>
      <c r="M308" s="25" t="s">
        <v>3498</v>
      </c>
      <c r="N308" s="25" t="s">
        <v>2848</v>
      </c>
      <c r="O308" s="25" t="s">
        <v>3499</v>
      </c>
      <c r="P308" s="25" t="s">
        <v>2850</v>
      </c>
      <c r="Q308" s="25" t="s">
        <v>3157</v>
      </c>
      <c r="R308" s="25" t="s">
        <v>1991</v>
      </c>
      <c r="S308" s="25" t="s">
        <v>2073</v>
      </c>
      <c r="T308" s="25" t="s">
        <v>3304</v>
      </c>
      <c r="U308" s="25" t="s">
        <v>2852</v>
      </c>
      <c r="V308" s="25" t="s">
        <v>3500</v>
      </c>
      <c r="W308" s="25" t="s">
        <v>2078</v>
      </c>
      <c r="X308" s="25" t="s">
        <v>2854</v>
      </c>
    </row>
    <row r="309" ht="84">
      <c r="A309" s="28" t="s">
        <v>3505</v>
      </c>
      <c r="B309" s="25" t="s">
        <v>958</v>
      </c>
      <c r="C309" s="25" t="s">
        <v>2840</v>
      </c>
      <c r="D309" s="25" t="s">
        <v>3478</v>
      </c>
      <c r="E309" s="25" t="s">
        <v>3479</v>
      </c>
      <c r="F309" s="25" t="s">
        <v>3506</v>
      </c>
      <c r="G309" s="25" t="s">
        <v>97</v>
      </c>
      <c r="H309" s="25" t="s">
        <v>3507</v>
      </c>
      <c r="I309" s="25" t="s">
        <v>3508</v>
      </c>
      <c r="J309" s="25" t="s">
        <v>3509</v>
      </c>
      <c r="K309" s="25" t="s">
        <v>2039</v>
      </c>
      <c r="L309" s="25" t="s">
        <v>3510</v>
      </c>
      <c r="M309" s="25" t="s">
        <v>3511</v>
      </c>
      <c r="N309" s="25" t="s">
        <v>2848</v>
      </c>
      <c r="O309" s="25" t="s">
        <v>3512</v>
      </c>
      <c r="P309" s="25" t="s">
        <v>2850</v>
      </c>
      <c r="Q309" s="25" t="s">
        <v>3157</v>
      </c>
      <c r="R309" s="25" t="s">
        <v>1991</v>
      </c>
      <c r="S309" s="25" t="s">
        <v>2073</v>
      </c>
      <c r="T309" s="25" t="s">
        <v>3304</v>
      </c>
      <c r="U309" s="25" t="s">
        <v>2852</v>
      </c>
      <c r="V309" s="25" t="s">
        <v>3513</v>
      </c>
      <c r="W309" s="25" t="s">
        <v>2078</v>
      </c>
      <c r="X309" s="25" t="s">
        <v>2854</v>
      </c>
    </row>
    <row r="310" ht="56">
      <c r="A310" s="28" t="s">
        <v>3516</v>
      </c>
      <c r="B310" s="25" t="s">
        <v>958</v>
      </c>
      <c r="C310" s="25" t="s">
        <v>2840</v>
      </c>
      <c r="D310" s="25" t="s">
        <v>3026</v>
      </c>
      <c r="E310" s="25" t="s">
        <v>3517</v>
      </c>
      <c r="F310" s="25" t="s">
        <v>3518</v>
      </c>
      <c r="G310" s="25" t="s">
        <v>154</v>
      </c>
      <c r="H310" s="25" t="s">
        <v>3519</v>
      </c>
      <c r="I310" s="25" t="s">
        <v>3520</v>
      </c>
      <c r="J310" s="25" t="s">
        <v>3521</v>
      </c>
      <c r="K310" s="25" t="s">
        <v>2040</v>
      </c>
      <c r="L310" s="25" t="s">
        <v>3522</v>
      </c>
      <c r="M310" s="25" t="s">
        <v>3523</v>
      </c>
      <c r="N310" s="25" t="s">
        <v>2848</v>
      </c>
      <c r="O310" s="25" t="s">
        <v>3524</v>
      </c>
      <c r="P310" s="25" t="s">
        <v>2850</v>
      </c>
      <c r="Q310" s="25" t="s">
        <v>3157</v>
      </c>
      <c r="R310" s="25" t="s">
        <v>1991</v>
      </c>
      <c r="S310" s="25" t="s">
        <v>2073</v>
      </c>
      <c r="T310" s="25" t="s">
        <v>3304</v>
      </c>
      <c r="U310" s="25" t="s">
        <v>2852</v>
      </c>
      <c r="V310" s="25" t="s">
        <v>3525</v>
      </c>
      <c r="W310" s="25" t="s">
        <v>2078</v>
      </c>
      <c r="X310" s="25" t="s">
        <v>3040</v>
      </c>
    </row>
    <row r="311" ht="70">
      <c r="A311" s="28" t="s">
        <v>3530</v>
      </c>
      <c r="B311" s="25" t="s">
        <v>958</v>
      </c>
      <c r="C311" s="25" t="s">
        <v>2840</v>
      </c>
      <c r="D311" s="25" t="s">
        <v>3026</v>
      </c>
      <c r="E311" s="25" t="s">
        <v>3531</v>
      </c>
      <c r="F311" s="25" t="s">
        <v>3532</v>
      </c>
      <c r="G311" s="25" t="s">
        <v>120</v>
      </c>
      <c r="H311" s="25" t="s">
        <v>3533</v>
      </c>
      <c r="I311" s="25" t="s">
        <v>3534</v>
      </c>
      <c r="J311" s="25" t="s">
        <v>3535</v>
      </c>
      <c r="K311" s="25" t="s">
        <v>3536</v>
      </c>
      <c r="L311" s="25" t="s">
        <v>3537</v>
      </c>
      <c r="M311" s="25" t="s">
        <v>3538</v>
      </c>
      <c r="N311" s="25" t="s">
        <v>2848</v>
      </c>
      <c r="O311" s="25" t="s">
        <v>3539</v>
      </c>
      <c r="P311" s="25" t="s">
        <v>2850</v>
      </c>
      <c r="Q311" s="25" t="s">
        <v>3157</v>
      </c>
      <c r="R311" s="25" t="s">
        <v>1991</v>
      </c>
      <c r="S311" s="25" t="s">
        <v>2073</v>
      </c>
      <c r="T311" s="25" t="s">
        <v>3304</v>
      </c>
      <c r="U311" s="25" t="s">
        <v>2852</v>
      </c>
      <c r="V311" s="25" t="s">
        <v>3540</v>
      </c>
      <c r="W311" s="25" t="s">
        <v>2078</v>
      </c>
      <c r="X311" s="25" t="s">
        <v>3040</v>
      </c>
    </row>
    <row r="312" ht="84">
      <c r="A312" s="28" t="s">
        <v>3544</v>
      </c>
      <c r="B312" s="25" t="s">
        <v>958</v>
      </c>
      <c r="C312" s="25" t="s">
        <v>2840</v>
      </c>
      <c r="D312" s="25" t="s">
        <v>3545</v>
      </c>
      <c r="E312" s="25" t="s">
        <v>3546</v>
      </c>
      <c r="F312" s="25" t="s">
        <v>3547</v>
      </c>
      <c r="G312" s="25" t="s">
        <v>154</v>
      </c>
      <c r="H312" s="25" t="s">
        <v>3548</v>
      </c>
      <c r="I312" s="25" t="s">
        <v>3549</v>
      </c>
      <c r="J312" s="25" t="s">
        <v>3550</v>
      </c>
      <c r="K312" s="25" t="s">
        <v>2030</v>
      </c>
      <c r="L312" s="25" t="s">
        <v>3551</v>
      </c>
      <c r="M312" s="25" t="s">
        <v>3552</v>
      </c>
      <c r="N312" s="25" t="s">
        <v>2848</v>
      </c>
      <c r="O312" s="25" t="s">
        <v>3553</v>
      </c>
      <c r="P312" s="25" t="s">
        <v>2850</v>
      </c>
      <c r="Q312" s="25" t="s">
        <v>3157</v>
      </c>
      <c r="R312" s="25" t="s">
        <v>1991</v>
      </c>
      <c r="S312" s="25" t="s">
        <v>2073</v>
      </c>
      <c r="T312" s="25" t="s">
        <v>3304</v>
      </c>
      <c r="U312" s="25" t="s">
        <v>2852</v>
      </c>
      <c r="V312" s="25" t="s">
        <v>3554</v>
      </c>
      <c r="W312" s="25" t="s">
        <v>2078</v>
      </c>
      <c r="X312" s="25" t="s">
        <v>3555</v>
      </c>
    </row>
    <row r="313" ht="84">
      <c r="A313" s="28" t="s">
        <v>3560</v>
      </c>
      <c r="B313" s="25" t="s">
        <v>958</v>
      </c>
      <c r="C313" s="25" t="s">
        <v>2840</v>
      </c>
      <c r="D313" s="25" t="s">
        <v>3545</v>
      </c>
      <c r="E313" s="25" t="s">
        <v>3546</v>
      </c>
      <c r="F313" s="25" t="s">
        <v>3561</v>
      </c>
      <c r="G313" s="25" t="s">
        <v>120</v>
      </c>
      <c r="H313" s="25" t="s">
        <v>3562</v>
      </c>
      <c r="I313" s="25" t="s">
        <v>3563</v>
      </c>
      <c r="J313" s="25" t="s">
        <v>3564</v>
      </c>
      <c r="K313" s="25" t="s">
        <v>2029</v>
      </c>
      <c r="L313" s="25" t="s">
        <v>3565</v>
      </c>
      <c r="M313" s="25" t="s">
        <v>3566</v>
      </c>
      <c r="N313" s="25" t="s">
        <v>2848</v>
      </c>
      <c r="O313" s="25" t="s">
        <v>3567</v>
      </c>
      <c r="P313" s="25" t="s">
        <v>2850</v>
      </c>
      <c r="Q313" s="25" t="s">
        <v>3157</v>
      </c>
      <c r="R313" s="25" t="s">
        <v>1991</v>
      </c>
      <c r="S313" s="25" t="s">
        <v>2073</v>
      </c>
      <c r="T313" s="25" t="s">
        <v>3304</v>
      </c>
      <c r="U313" s="25" t="s">
        <v>2852</v>
      </c>
      <c r="V313" s="25" t="s">
        <v>3568</v>
      </c>
      <c r="W313" s="25" t="s">
        <v>2078</v>
      </c>
      <c r="X313" s="25" t="s">
        <v>3040</v>
      </c>
    </row>
    <row r="314" ht="70">
      <c r="A314" s="28" t="s">
        <v>3573</v>
      </c>
      <c r="B314" s="25" t="s">
        <v>958</v>
      </c>
      <c r="C314" s="25" t="s">
        <v>2840</v>
      </c>
      <c r="D314" s="25" t="s">
        <v>3574</v>
      </c>
      <c r="E314" s="25" t="s">
        <v>3575</v>
      </c>
      <c r="F314" s="25" t="s">
        <v>3576</v>
      </c>
      <c r="G314" s="25" t="s">
        <v>97</v>
      </c>
      <c r="H314" s="25" t="s">
        <v>3577</v>
      </c>
      <c r="I314" s="25" t="s">
        <v>3578</v>
      </c>
      <c r="J314" s="25" t="s">
        <v>3579</v>
      </c>
      <c r="K314" s="25" t="s">
        <v>2028</v>
      </c>
      <c r="L314" s="25" t="s">
        <v>3580</v>
      </c>
      <c r="M314" s="25" t="s">
        <v>3581</v>
      </c>
      <c r="N314" s="25" t="s">
        <v>2848</v>
      </c>
      <c r="O314" s="25" t="s">
        <v>3582</v>
      </c>
      <c r="P314" s="25" t="s">
        <v>2850</v>
      </c>
      <c r="Q314" s="25" t="s">
        <v>3157</v>
      </c>
      <c r="R314" s="25" t="s">
        <v>1992</v>
      </c>
      <c r="S314" s="25" t="s">
        <v>2073</v>
      </c>
      <c r="T314" s="25" t="s">
        <v>3304</v>
      </c>
      <c r="U314" s="25" t="s">
        <v>2852</v>
      </c>
      <c r="V314" s="25" t="s">
        <v>3583</v>
      </c>
      <c r="W314" s="25" t="s">
        <v>2078</v>
      </c>
      <c r="X314" s="25" t="s">
        <v>2854</v>
      </c>
    </row>
    <row r="315" ht="70">
      <c r="A315" s="28" t="s">
        <v>3587</v>
      </c>
      <c r="B315" s="25" t="s">
        <v>958</v>
      </c>
      <c r="C315" s="25" t="s">
        <v>2840</v>
      </c>
      <c r="D315" s="25" t="s">
        <v>3404</v>
      </c>
      <c r="E315" s="25" t="s">
        <v>3405</v>
      </c>
      <c r="F315" s="25" t="s">
        <v>3588</v>
      </c>
      <c r="G315" s="25" t="s">
        <v>120</v>
      </c>
      <c r="H315" s="25" t="s">
        <v>3589</v>
      </c>
      <c r="I315" s="25" t="s">
        <v>3590</v>
      </c>
      <c r="J315" s="25" t="s">
        <v>3591</v>
      </c>
      <c r="K315" s="25" t="s">
        <v>2035</v>
      </c>
      <c r="L315" s="25" t="s">
        <v>3592</v>
      </c>
      <c r="M315" s="25" t="s">
        <v>3593</v>
      </c>
      <c r="N315" s="25" t="s">
        <v>2848</v>
      </c>
      <c r="O315" s="25" t="s">
        <v>3412</v>
      </c>
      <c r="P315" s="25" t="s">
        <v>2850</v>
      </c>
      <c r="Q315" s="25" t="s">
        <v>3157</v>
      </c>
      <c r="R315" s="25" t="s">
        <v>1991</v>
      </c>
      <c r="S315" s="25" t="s">
        <v>2073</v>
      </c>
      <c r="T315" s="25" t="s">
        <v>3304</v>
      </c>
      <c r="U315" s="25" t="s">
        <v>2852</v>
      </c>
      <c r="V315" s="25" t="s">
        <v>3594</v>
      </c>
      <c r="W315" s="25" t="s">
        <v>2078</v>
      </c>
      <c r="X315" s="25" t="s">
        <v>3040</v>
      </c>
    </row>
    <row r="316">
      <c r="A316" s="28"/>
      <c r="B316" s="25"/>
      <c r="C316" s="25"/>
      <c r="D316" s="25"/>
      <c r="E316" s="25"/>
      <c r="F316" s="25"/>
      <c r="G316" s="25"/>
      <c r="H316" s="25"/>
      <c r="I316" s="25"/>
      <c r="J316" s="25"/>
      <c r="K316" s="25"/>
      <c r="L316" s="25"/>
      <c r="M316" s="25"/>
      <c r="N316" s="25"/>
      <c r="O316" s="25"/>
      <c r="P316" s="25"/>
      <c r="Q316" s="25"/>
      <c r="R316" s="25"/>
      <c r="S316" s="25"/>
      <c r="T316" s="25"/>
      <c r="U316" s="25"/>
      <c r="V316" s="25"/>
      <c r="W316" s="25"/>
      <c r="X316" s="25"/>
    </row>
    <row r="317">
      <c r="A317" s="28"/>
      <c r="B317" s="25"/>
      <c r="C317" s="25"/>
      <c r="D317" s="25"/>
      <c r="E317" s="25"/>
      <c r="F317" s="25"/>
      <c r="G317" s="25"/>
      <c r="H317" s="25"/>
      <c r="I317" s="25"/>
      <c r="J317" s="25"/>
      <c r="K317" s="25"/>
      <c r="L317" s="25"/>
      <c r="M317" s="25"/>
      <c r="N317" s="25"/>
      <c r="O317" s="25"/>
      <c r="P317" s="25"/>
      <c r="Q317" s="25"/>
      <c r="R317" s="25"/>
      <c r="S317" s="25"/>
      <c r="T317" s="25"/>
      <c r="U317" s="25"/>
      <c r="V317" s="25"/>
      <c r="W317" s="25"/>
      <c r="X317" s="25"/>
    </row>
    <row r="318">
      <c r="A318" s="28"/>
      <c r="B318" s="25"/>
      <c r="C318" s="25"/>
      <c r="D318" s="25"/>
      <c r="E318" s="25"/>
      <c r="F318" s="25"/>
      <c r="G318" s="25"/>
      <c r="H318" s="25"/>
      <c r="I318" s="25"/>
      <c r="J318" s="25"/>
      <c r="K318" s="25"/>
      <c r="L318" s="25"/>
      <c r="M318" s="25"/>
      <c r="N318" s="25"/>
      <c r="O318" s="25"/>
      <c r="P318" s="25"/>
      <c r="Q318" s="25"/>
      <c r="R318" s="25"/>
      <c r="S318" s="25"/>
      <c r="T318" s="25"/>
      <c r="U318" s="25"/>
      <c r="V318" s="25"/>
      <c r="W318" s="25"/>
      <c r="X318" s="25"/>
    </row>
    <row r="319">
      <c r="A319" s="28"/>
      <c r="B319" s="25"/>
      <c r="C319" s="25"/>
      <c r="D319" s="25"/>
      <c r="E319" s="25"/>
      <c r="F319" s="25"/>
      <c r="G319" s="25"/>
      <c r="H319" s="25"/>
      <c r="I319" s="25"/>
      <c r="J319" s="25"/>
      <c r="K319" s="25"/>
      <c r="L319" s="25"/>
      <c r="M319" s="25"/>
      <c r="N319" s="25"/>
      <c r="O319" s="25"/>
      <c r="P319" s="25"/>
      <c r="Q319" s="25"/>
      <c r="R319" s="25"/>
      <c r="S319" s="25"/>
      <c r="T319" s="25"/>
      <c r="U319" s="25"/>
      <c r="V319" s="25"/>
      <c r="W319" s="25"/>
      <c r="X319" s="25"/>
    </row>
    <row r="320">
      <c r="A320" s="28"/>
      <c r="B320" s="25"/>
      <c r="C320" s="25"/>
      <c r="D320" s="25"/>
      <c r="E320" s="25"/>
      <c r="F320" s="25"/>
      <c r="G320" s="25"/>
      <c r="H320" s="25"/>
      <c r="I320" s="25"/>
      <c r="J320" s="25"/>
      <c r="K320" s="25"/>
      <c r="L320" s="25"/>
      <c r="M320" s="25"/>
      <c r="N320" s="25"/>
      <c r="O320" s="25"/>
      <c r="P320" s="25"/>
      <c r="Q320" s="25"/>
      <c r="R320" s="25"/>
      <c r="S320" s="25"/>
      <c r="T320" s="25"/>
      <c r="U320" s="25"/>
      <c r="V320" s="25"/>
      <c r="W320" s="25"/>
      <c r="X320" s="25"/>
    </row>
    <row r="321">
      <c r="A321" s="28"/>
      <c r="B321" s="25"/>
      <c r="C321" s="25"/>
      <c r="D321" s="25"/>
      <c r="E321" s="25"/>
      <c r="F321" s="25"/>
      <c r="G321" s="25"/>
      <c r="H321" s="25"/>
      <c r="I321" s="25"/>
      <c r="J321" s="25"/>
      <c r="K321" s="25"/>
      <c r="L321" s="25"/>
      <c r="M321" s="25"/>
      <c r="N321" s="25"/>
      <c r="O321" s="25"/>
      <c r="P321" s="25"/>
      <c r="Q321" s="25"/>
      <c r="R321" s="25"/>
      <c r="S321" s="25"/>
      <c r="T321" s="25"/>
      <c r="U321" s="25"/>
      <c r="V321" s="25"/>
      <c r="W321" s="25"/>
      <c r="X321" s="25"/>
    </row>
    <row r="322">
      <c r="A322" t="s">
        <v>3598</v>
      </c>
      <c r="B322" t="s">
        <v>958</v>
      </c>
      <c r="C322" t="s">
        <v>3599</v>
      </c>
      <c r="D322" t="s">
        <v>3600</v>
      </c>
      <c r="E322" t="s">
        <v>3601</v>
      </c>
      <c r="F322" t="s">
        <v>3602</v>
      </c>
      <c r="G322" t="s">
        <v>97</v>
      </c>
      <c r="H322" t="s">
        <v>3603</v>
      </c>
      <c r="I322" t="s">
        <v>3604</v>
      </c>
      <c r="J322" t="s">
        <v>3605</v>
      </c>
      <c r="K322" t="s">
        <v>2042</v>
      </c>
      <c r="L322" t="s">
        <v>3606</v>
      </c>
      <c r="M322" t="s">
        <v>3607</v>
      </c>
      <c r="N322" t="s">
        <v>3608</v>
      </c>
      <c r="O322" t="s">
        <v>2051</v>
      </c>
      <c r="P322" t="s">
        <v>3609</v>
      </c>
      <c r="Q322" t="s">
        <v>3157</v>
      </c>
      <c r="R322" t="s">
        <v>1991</v>
      </c>
      <c r="S322" t="s">
        <v>2073</v>
      </c>
      <c r="T322" t="s">
        <v>3610</v>
      </c>
      <c r="U322" t="s">
        <v>3611</v>
      </c>
      <c r="V322" t="s">
        <v>3612</v>
      </c>
      <c r="W322" t="s">
        <v>2046</v>
      </c>
      <c r="X322" t="s">
        <v>2046</v>
      </c>
    </row>
    <row r="323">
      <c r="A323" t="s">
        <v>3619</v>
      </c>
      <c r="B323" t="s">
        <v>958</v>
      </c>
      <c r="C323" t="s">
        <v>3599</v>
      </c>
      <c r="D323" t="s">
        <v>3600</v>
      </c>
      <c r="E323" t="s">
        <v>3601</v>
      </c>
      <c r="F323" t="s">
        <v>3620</v>
      </c>
      <c r="G323" t="s">
        <v>97</v>
      </c>
      <c r="H323" t="s">
        <v>3621</v>
      </c>
      <c r="I323" t="s">
        <v>3622</v>
      </c>
      <c r="J323" t="s">
        <v>3623</v>
      </c>
      <c r="K323" t="s">
        <v>2042</v>
      </c>
      <c r="L323" t="s">
        <v>3606</v>
      </c>
      <c r="M323" t="s">
        <v>3624</v>
      </c>
      <c r="N323" t="s">
        <v>3608</v>
      </c>
      <c r="O323" t="s">
        <v>2051</v>
      </c>
      <c r="P323" t="s">
        <v>3609</v>
      </c>
      <c r="Q323" t="s">
        <v>3157</v>
      </c>
      <c r="R323" t="s">
        <v>1991</v>
      </c>
      <c r="S323" t="s">
        <v>2073</v>
      </c>
      <c r="T323" t="s">
        <v>3610</v>
      </c>
      <c r="U323" t="s">
        <v>3611</v>
      </c>
      <c r="V323" t="s">
        <v>3625</v>
      </c>
      <c r="W323" t="s">
        <v>2046</v>
      </c>
      <c r="X323" t="s">
        <v>2046</v>
      </c>
    </row>
    <row r="324">
      <c r="A324" t="s">
        <v>3626</v>
      </c>
      <c r="B324" t="s">
        <v>958</v>
      </c>
      <c r="C324" t="s">
        <v>3599</v>
      </c>
      <c r="D324" t="s">
        <v>3600</v>
      </c>
      <c r="E324" t="s">
        <v>3601</v>
      </c>
      <c r="F324" t="s">
        <v>3627</v>
      </c>
      <c r="G324" t="s">
        <v>97</v>
      </c>
      <c r="H324" t="s">
        <v>3628</v>
      </c>
      <c r="I324" t="s">
        <v>3629</v>
      </c>
      <c r="J324" t="s">
        <v>3630</v>
      </c>
      <c r="K324" t="s">
        <v>2042</v>
      </c>
      <c r="L324" t="s">
        <v>3606</v>
      </c>
      <c r="M324" t="s">
        <v>3631</v>
      </c>
      <c r="N324" t="s">
        <v>3608</v>
      </c>
      <c r="O324" t="s">
        <v>2051</v>
      </c>
      <c r="P324" t="s">
        <v>3609</v>
      </c>
      <c r="Q324" t="s">
        <v>3157</v>
      </c>
      <c r="R324" t="s">
        <v>1991</v>
      </c>
      <c r="S324" t="s">
        <v>2073</v>
      </c>
      <c r="T324" t="s">
        <v>3610</v>
      </c>
      <c r="U324" t="s">
        <v>3611</v>
      </c>
      <c r="V324" t="s">
        <v>3632</v>
      </c>
      <c r="W324" t="s">
        <v>2046</v>
      </c>
      <c r="X324" t="s">
        <v>2046</v>
      </c>
    </row>
    <row r="325">
      <c r="A325" t="s">
        <v>3633</v>
      </c>
      <c r="B325" t="s">
        <v>958</v>
      </c>
      <c r="C325" t="s">
        <v>3599</v>
      </c>
      <c r="D325" t="s">
        <v>3600</v>
      </c>
      <c r="E325" t="s">
        <v>3601</v>
      </c>
      <c r="F325" t="s">
        <v>3634</v>
      </c>
      <c r="G325" t="s">
        <v>97</v>
      </c>
      <c r="H325" t="s">
        <v>3635</v>
      </c>
      <c r="I325" t="s">
        <v>3636</v>
      </c>
      <c r="J325" t="s">
        <v>3637</v>
      </c>
      <c r="K325" t="s">
        <v>2042</v>
      </c>
      <c r="L325" t="s">
        <v>3606</v>
      </c>
      <c r="M325" t="s">
        <v>3638</v>
      </c>
      <c r="N325" t="s">
        <v>3608</v>
      </c>
      <c r="O325" t="s">
        <v>2051</v>
      </c>
      <c r="P325" t="s">
        <v>3609</v>
      </c>
      <c r="Q325" t="s">
        <v>3157</v>
      </c>
      <c r="R325" t="s">
        <v>1991</v>
      </c>
      <c r="S325" t="s">
        <v>2073</v>
      </c>
      <c r="T325" t="s">
        <v>3610</v>
      </c>
      <c r="U325" t="s">
        <v>3611</v>
      </c>
      <c r="V325" t="s">
        <v>3639</v>
      </c>
      <c r="W325" t="s">
        <v>2046</v>
      </c>
      <c r="X325" t="s">
        <v>2046</v>
      </c>
    </row>
    <row r="326">
      <c r="A326" t="s">
        <v>3640</v>
      </c>
      <c r="B326" t="s">
        <v>958</v>
      </c>
      <c r="C326" t="s">
        <v>3599</v>
      </c>
      <c r="D326" t="s">
        <v>3600</v>
      </c>
      <c r="E326" t="s">
        <v>3601</v>
      </c>
      <c r="F326" t="s">
        <v>3641</v>
      </c>
      <c r="G326" t="s">
        <v>97</v>
      </c>
      <c r="H326" t="s">
        <v>3642</v>
      </c>
      <c r="I326" t="s">
        <v>3643</v>
      </c>
      <c r="J326" t="s">
        <v>3644</v>
      </c>
      <c r="K326" t="s">
        <v>2042</v>
      </c>
      <c r="L326" t="s">
        <v>3606</v>
      </c>
      <c r="M326" t="s">
        <v>3645</v>
      </c>
      <c r="N326" t="s">
        <v>3608</v>
      </c>
      <c r="O326" t="s">
        <v>2051</v>
      </c>
      <c r="P326" t="s">
        <v>3609</v>
      </c>
      <c r="Q326" t="s">
        <v>3157</v>
      </c>
      <c r="R326" t="s">
        <v>1991</v>
      </c>
      <c r="S326" t="s">
        <v>2073</v>
      </c>
      <c r="T326" t="s">
        <v>3610</v>
      </c>
      <c r="U326" t="s">
        <v>3611</v>
      </c>
      <c r="V326" t="s">
        <v>3646</v>
      </c>
      <c r="W326" t="s">
        <v>2046</v>
      </c>
      <c r="X326" t="s">
        <v>2046</v>
      </c>
    </row>
    <row r="327">
      <c r="A327" t="s">
        <v>3647</v>
      </c>
      <c r="B327" t="s">
        <v>958</v>
      </c>
      <c r="C327" t="s">
        <v>3599</v>
      </c>
      <c r="D327" t="s">
        <v>3600</v>
      </c>
      <c r="E327" t="s">
        <v>3601</v>
      </c>
      <c r="F327" t="s">
        <v>3648</v>
      </c>
      <c r="G327" t="s">
        <v>97</v>
      </c>
      <c r="H327" t="s">
        <v>3649</v>
      </c>
      <c r="I327" t="s">
        <v>3650</v>
      </c>
      <c r="J327" t="s">
        <v>3651</v>
      </c>
      <c r="K327" t="s">
        <v>2042</v>
      </c>
      <c r="L327" t="s">
        <v>3606</v>
      </c>
      <c r="M327" t="s">
        <v>3652</v>
      </c>
      <c r="N327" t="s">
        <v>3608</v>
      </c>
      <c r="O327" t="s">
        <v>2051</v>
      </c>
      <c r="P327" t="s">
        <v>3609</v>
      </c>
      <c r="Q327" t="s">
        <v>3157</v>
      </c>
      <c r="R327" t="s">
        <v>1991</v>
      </c>
      <c r="S327" t="s">
        <v>2073</v>
      </c>
      <c r="T327" t="s">
        <v>3610</v>
      </c>
      <c r="U327" t="s">
        <v>3611</v>
      </c>
      <c r="V327" t="s">
        <v>3653</v>
      </c>
      <c r="W327" t="s">
        <v>2046</v>
      </c>
      <c r="X327" t="s">
        <v>2046</v>
      </c>
    </row>
    <row r="328">
      <c r="A328" t="s">
        <v>3654</v>
      </c>
      <c r="B328" t="s">
        <v>958</v>
      </c>
      <c r="C328" t="s">
        <v>3599</v>
      </c>
      <c r="D328" t="s">
        <v>3655</v>
      </c>
      <c r="E328" t="s">
        <v>3656</v>
      </c>
      <c r="F328" t="s">
        <v>3657</v>
      </c>
      <c r="G328" t="s">
        <v>97</v>
      </c>
      <c r="H328" t="s">
        <v>3658</v>
      </c>
      <c r="I328" t="s">
        <v>3659</v>
      </c>
      <c r="J328" t="s">
        <v>3660</v>
      </c>
      <c r="K328" t="s">
        <v>2042</v>
      </c>
      <c r="L328" t="s">
        <v>3661</v>
      </c>
      <c r="M328" t="s">
        <v>3662</v>
      </c>
      <c r="N328" t="s">
        <v>3608</v>
      </c>
      <c r="O328" t="s">
        <v>2053</v>
      </c>
      <c r="P328" t="s">
        <v>3609</v>
      </c>
      <c r="Q328" t="s">
        <v>3157</v>
      </c>
      <c r="R328" t="s">
        <v>1991</v>
      </c>
      <c r="S328" t="s">
        <v>2073</v>
      </c>
      <c r="T328" t="s">
        <v>3610</v>
      </c>
      <c r="U328" t="s">
        <v>3611</v>
      </c>
      <c r="V328" t="s">
        <v>3663</v>
      </c>
      <c r="W328" t="s">
        <v>2046</v>
      </c>
      <c r="X328" t="s">
        <v>2046</v>
      </c>
    </row>
    <row r="329">
      <c r="A329" t="s">
        <v>3664</v>
      </c>
      <c r="B329" t="s">
        <v>958</v>
      </c>
      <c r="C329" t="s">
        <v>3599</v>
      </c>
      <c r="D329" t="s">
        <v>3655</v>
      </c>
      <c r="E329" t="s">
        <v>3656</v>
      </c>
      <c r="F329" t="s">
        <v>3665</v>
      </c>
      <c r="G329" t="s">
        <v>97</v>
      </c>
      <c r="H329" t="s">
        <v>3666</v>
      </c>
      <c r="I329" t="s">
        <v>3667</v>
      </c>
      <c r="J329" t="s">
        <v>3668</v>
      </c>
      <c r="K329" t="s">
        <v>2042</v>
      </c>
      <c r="L329" t="s">
        <v>3661</v>
      </c>
      <c r="M329" t="s">
        <v>3669</v>
      </c>
      <c r="N329" t="s">
        <v>3608</v>
      </c>
      <c r="O329" t="s">
        <v>2053</v>
      </c>
      <c r="P329" t="s">
        <v>3609</v>
      </c>
      <c r="Q329" t="s">
        <v>3157</v>
      </c>
      <c r="R329" t="s">
        <v>1991</v>
      </c>
      <c r="S329" t="s">
        <v>2073</v>
      </c>
      <c r="T329" t="s">
        <v>3610</v>
      </c>
      <c r="U329" t="s">
        <v>3611</v>
      </c>
      <c r="V329" t="s">
        <v>3670</v>
      </c>
      <c r="W329" t="s">
        <v>2046</v>
      </c>
      <c r="X329" t="s">
        <v>2046</v>
      </c>
    </row>
    <row r="330">
      <c r="A330" t="s">
        <v>3671</v>
      </c>
      <c r="B330" t="s">
        <v>958</v>
      </c>
      <c r="C330" t="s">
        <v>3599</v>
      </c>
      <c r="D330" t="s">
        <v>3655</v>
      </c>
      <c r="E330" t="s">
        <v>3656</v>
      </c>
      <c r="F330" t="s">
        <v>3672</v>
      </c>
      <c r="G330" t="s">
        <v>97</v>
      </c>
      <c r="H330" t="s">
        <v>3673</v>
      </c>
      <c r="I330" t="s">
        <v>3674</v>
      </c>
      <c r="J330" t="s">
        <v>3675</v>
      </c>
      <c r="K330" t="s">
        <v>2042</v>
      </c>
      <c r="L330" t="s">
        <v>3661</v>
      </c>
      <c r="M330" t="s">
        <v>3676</v>
      </c>
      <c r="N330" t="s">
        <v>3608</v>
      </c>
      <c r="O330" t="s">
        <v>2053</v>
      </c>
      <c r="P330" t="s">
        <v>3609</v>
      </c>
      <c r="Q330" t="s">
        <v>3157</v>
      </c>
      <c r="R330" t="s">
        <v>1991</v>
      </c>
      <c r="S330" t="s">
        <v>2073</v>
      </c>
      <c r="T330" t="s">
        <v>3610</v>
      </c>
      <c r="U330" t="s">
        <v>3611</v>
      </c>
      <c r="V330" t="s">
        <v>3677</v>
      </c>
      <c r="W330" t="s">
        <v>2046</v>
      </c>
      <c r="X330" t="s">
        <v>2046</v>
      </c>
    </row>
    <row r="331">
      <c r="A331" t="s">
        <v>3678</v>
      </c>
      <c r="B331" t="s">
        <v>958</v>
      </c>
      <c r="C331" t="s">
        <v>3599</v>
      </c>
      <c r="D331" t="s">
        <v>3655</v>
      </c>
      <c r="E331" t="s">
        <v>3656</v>
      </c>
      <c r="F331" t="s">
        <v>3679</v>
      </c>
      <c r="G331" t="s">
        <v>97</v>
      </c>
      <c r="H331" t="s">
        <v>3680</v>
      </c>
      <c r="I331" t="s">
        <v>3681</v>
      </c>
      <c r="J331" t="s">
        <v>3682</v>
      </c>
      <c r="K331" t="s">
        <v>2042</v>
      </c>
      <c r="L331" t="s">
        <v>3661</v>
      </c>
      <c r="M331" t="s">
        <v>3683</v>
      </c>
      <c r="N331" t="s">
        <v>3608</v>
      </c>
      <c r="O331" t="s">
        <v>2053</v>
      </c>
      <c r="P331" t="s">
        <v>3609</v>
      </c>
      <c r="Q331" t="s">
        <v>3157</v>
      </c>
      <c r="R331" t="s">
        <v>1991</v>
      </c>
      <c r="S331" t="s">
        <v>2073</v>
      </c>
      <c r="T331" t="s">
        <v>3610</v>
      </c>
      <c r="U331" t="s">
        <v>3611</v>
      </c>
      <c r="V331" t="s">
        <v>3684</v>
      </c>
      <c r="W331" t="s">
        <v>2046</v>
      </c>
      <c r="X331" t="s">
        <v>2046</v>
      </c>
    </row>
    <row r="332">
      <c r="A332" t="s">
        <v>3685</v>
      </c>
      <c r="B332" t="s">
        <v>958</v>
      </c>
      <c r="C332" t="s">
        <v>3599</v>
      </c>
      <c r="D332" t="s">
        <v>3655</v>
      </c>
      <c r="E332" t="s">
        <v>3656</v>
      </c>
      <c r="F332" t="s">
        <v>3686</v>
      </c>
      <c r="G332" t="s">
        <v>97</v>
      </c>
      <c r="H332" t="s">
        <v>3687</v>
      </c>
      <c r="I332" t="s">
        <v>3688</v>
      </c>
      <c r="J332" t="s">
        <v>3689</v>
      </c>
      <c r="K332" t="s">
        <v>2042</v>
      </c>
      <c r="L332" t="s">
        <v>3661</v>
      </c>
      <c r="M332" t="s">
        <v>3690</v>
      </c>
      <c r="N332" t="s">
        <v>3608</v>
      </c>
      <c r="O332" t="s">
        <v>2053</v>
      </c>
      <c r="P332" t="s">
        <v>3609</v>
      </c>
      <c r="Q332" t="s">
        <v>3157</v>
      </c>
      <c r="R332" t="s">
        <v>1991</v>
      </c>
      <c r="S332" t="s">
        <v>2073</v>
      </c>
      <c r="T332" t="s">
        <v>3610</v>
      </c>
      <c r="U332" t="s">
        <v>3611</v>
      </c>
      <c r="V332" t="s">
        <v>3691</v>
      </c>
      <c r="W332" t="s">
        <v>2046</v>
      </c>
      <c r="X332" t="s">
        <v>2046</v>
      </c>
    </row>
    <row r="333">
      <c r="A333" t="s">
        <v>3692</v>
      </c>
      <c r="B333" t="s">
        <v>958</v>
      </c>
      <c r="C333" t="s">
        <v>3599</v>
      </c>
      <c r="D333" t="s">
        <v>3655</v>
      </c>
      <c r="E333" t="s">
        <v>3656</v>
      </c>
      <c r="F333" t="s">
        <v>3693</v>
      </c>
      <c r="G333" t="s">
        <v>97</v>
      </c>
      <c r="H333" t="s">
        <v>3694</v>
      </c>
      <c r="I333" t="s">
        <v>3695</v>
      </c>
      <c r="J333" t="s">
        <v>3696</v>
      </c>
      <c r="K333" t="s">
        <v>2042</v>
      </c>
      <c r="L333" t="s">
        <v>3661</v>
      </c>
      <c r="M333" t="s">
        <v>3697</v>
      </c>
      <c r="N333" t="s">
        <v>3608</v>
      </c>
      <c r="O333" t="s">
        <v>2053</v>
      </c>
      <c r="P333" t="s">
        <v>3609</v>
      </c>
      <c r="Q333" t="s">
        <v>3157</v>
      </c>
      <c r="R333" t="s">
        <v>1991</v>
      </c>
      <c r="S333" t="s">
        <v>2073</v>
      </c>
      <c r="T333" t="s">
        <v>3610</v>
      </c>
      <c r="U333" t="s">
        <v>3611</v>
      </c>
      <c r="V333" t="s">
        <v>3698</v>
      </c>
      <c r="W333" t="s">
        <v>2046</v>
      </c>
      <c r="X333" t="s">
        <v>2046</v>
      </c>
    </row>
    <row r="334">
      <c r="A334" t="s">
        <v>3699</v>
      </c>
      <c r="B334" t="s">
        <v>958</v>
      </c>
      <c r="C334" t="s">
        <v>3599</v>
      </c>
      <c r="D334" t="s">
        <v>3655</v>
      </c>
      <c r="E334" t="s">
        <v>3656</v>
      </c>
      <c r="F334" t="s">
        <v>3700</v>
      </c>
      <c r="G334" t="s">
        <v>154</v>
      </c>
      <c r="H334" t="s">
        <v>3701</v>
      </c>
      <c r="I334" t="s">
        <v>3702</v>
      </c>
      <c r="J334" t="s">
        <v>3703</v>
      </c>
      <c r="K334" t="s">
        <v>2042</v>
      </c>
      <c r="L334" t="s">
        <v>3661</v>
      </c>
      <c r="M334" t="s">
        <v>3704</v>
      </c>
      <c r="N334" t="s">
        <v>3608</v>
      </c>
      <c r="O334" t="s">
        <v>2053</v>
      </c>
      <c r="P334" t="s">
        <v>3609</v>
      </c>
      <c r="Q334" t="s">
        <v>3157</v>
      </c>
      <c r="R334" t="s">
        <v>1991</v>
      </c>
      <c r="S334" t="s">
        <v>2073</v>
      </c>
      <c r="T334" t="s">
        <v>3610</v>
      </c>
      <c r="U334" t="s">
        <v>3611</v>
      </c>
      <c r="V334" t="s">
        <v>3705</v>
      </c>
      <c r="W334" t="s">
        <v>2046</v>
      </c>
      <c r="X334" t="s">
        <v>2046</v>
      </c>
    </row>
    <row r="335">
      <c r="A335" t="s">
        <v>3706</v>
      </c>
      <c r="B335" t="s">
        <v>958</v>
      </c>
      <c r="C335" t="s">
        <v>3599</v>
      </c>
      <c r="D335" t="s">
        <v>3655</v>
      </c>
      <c r="E335" t="s">
        <v>3656</v>
      </c>
      <c r="F335" t="s">
        <v>3707</v>
      </c>
      <c r="G335" t="s">
        <v>154</v>
      </c>
      <c r="H335" t="s">
        <v>3708</v>
      </c>
      <c r="I335" t="s">
        <v>3709</v>
      </c>
      <c r="J335" t="s">
        <v>3710</v>
      </c>
      <c r="K335" t="s">
        <v>2042</v>
      </c>
      <c r="L335" t="s">
        <v>3661</v>
      </c>
      <c r="M335" t="s">
        <v>3711</v>
      </c>
      <c r="N335" t="s">
        <v>3608</v>
      </c>
      <c r="O335" t="s">
        <v>2053</v>
      </c>
      <c r="P335" t="s">
        <v>3609</v>
      </c>
      <c r="Q335" t="s">
        <v>3157</v>
      </c>
      <c r="R335" t="s">
        <v>1991</v>
      </c>
      <c r="S335" t="s">
        <v>2073</v>
      </c>
      <c r="T335" t="s">
        <v>3610</v>
      </c>
      <c r="U335" t="s">
        <v>3611</v>
      </c>
      <c r="V335" t="s">
        <v>3712</v>
      </c>
      <c r="W335" t="s">
        <v>2047</v>
      </c>
      <c r="X335" t="s">
        <v>2047</v>
      </c>
    </row>
    <row r="336">
      <c r="A336" t="s">
        <v>3713</v>
      </c>
      <c r="B336" t="s">
        <v>958</v>
      </c>
      <c r="C336" t="s">
        <v>3599</v>
      </c>
      <c r="D336" t="s">
        <v>3655</v>
      </c>
      <c r="E336" t="s">
        <v>3656</v>
      </c>
      <c r="F336" t="s">
        <v>3714</v>
      </c>
      <c r="G336" t="s">
        <v>97</v>
      </c>
      <c r="H336" t="s">
        <v>3715</v>
      </c>
      <c r="I336" t="s">
        <v>3716</v>
      </c>
      <c r="J336" t="s">
        <v>3717</v>
      </c>
      <c r="K336" t="s">
        <v>2042</v>
      </c>
      <c r="L336" t="s">
        <v>3661</v>
      </c>
      <c r="M336" t="s">
        <v>3718</v>
      </c>
      <c r="N336" t="s">
        <v>3608</v>
      </c>
      <c r="O336" t="s">
        <v>2053</v>
      </c>
      <c r="P336" t="s">
        <v>3609</v>
      </c>
      <c r="Q336" t="s">
        <v>3157</v>
      </c>
      <c r="R336" t="s">
        <v>1991</v>
      </c>
      <c r="S336" t="s">
        <v>2073</v>
      </c>
      <c r="T336" t="s">
        <v>3610</v>
      </c>
      <c r="U336" t="s">
        <v>3611</v>
      </c>
      <c r="V336" t="s">
        <v>3719</v>
      </c>
      <c r="W336" t="s">
        <v>2046</v>
      </c>
      <c r="X336" t="s">
        <v>2046</v>
      </c>
    </row>
    <row r="337">
      <c r="A337" t="s">
        <v>3720</v>
      </c>
      <c r="B337" t="s">
        <v>958</v>
      </c>
      <c r="C337" t="s">
        <v>3599</v>
      </c>
      <c r="D337" t="s">
        <v>3655</v>
      </c>
      <c r="E337" t="s">
        <v>3656</v>
      </c>
      <c r="F337" t="s">
        <v>3721</v>
      </c>
      <c r="G337" t="s">
        <v>97</v>
      </c>
      <c r="H337" t="s">
        <v>3722</v>
      </c>
      <c r="I337" t="s">
        <v>3723</v>
      </c>
      <c r="J337" t="s">
        <v>3724</v>
      </c>
      <c r="K337" t="s">
        <v>2042</v>
      </c>
      <c r="L337" t="s">
        <v>3661</v>
      </c>
      <c r="M337" t="s">
        <v>3725</v>
      </c>
      <c r="N337" t="s">
        <v>3608</v>
      </c>
      <c r="O337" t="s">
        <v>2053</v>
      </c>
      <c r="P337" t="s">
        <v>3609</v>
      </c>
      <c r="Q337" t="s">
        <v>3157</v>
      </c>
      <c r="R337" t="s">
        <v>1991</v>
      </c>
      <c r="S337" t="s">
        <v>2073</v>
      </c>
      <c r="T337" t="s">
        <v>3610</v>
      </c>
      <c r="U337" t="s">
        <v>3611</v>
      </c>
      <c r="V337" t="s">
        <v>3726</v>
      </c>
      <c r="W337" t="s">
        <v>2046</v>
      </c>
      <c r="X337" t="s">
        <v>2046</v>
      </c>
    </row>
    <row r="338">
      <c r="A338" t="s">
        <v>3727</v>
      </c>
      <c r="B338" t="s">
        <v>958</v>
      </c>
      <c r="C338" t="s">
        <v>3599</v>
      </c>
      <c r="D338" t="s">
        <v>3728</v>
      </c>
      <c r="E338" t="s">
        <v>3729</v>
      </c>
      <c r="F338" t="s">
        <v>3730</v>
      </c>
      <c r="G338" t="s">
        <v>120</v>
      </c>
      <c r="H338" t="s">
        <v>3731</v>
      </c>
      <c r="I338" t="s">
        <v>3732</v>
      </c>
      <c r="J338" t="s">
        <v>3733</v>
      </c>
      <c r="K338" t="s">
        <v>2042</v>
      </c>
      <c r="L338" t="s">
        <v>3734</v>
      </c>
      <c r="M338" t="s">
        <v>3735</v>
      </c>
      <c r="N338" t="s">
        <v>3608</v>
      </c>
      <c r="O338" t="s">
        <v>2054</v>
      </c>
      <c r="P338" t="s">
        <v>3609</v>
      </c>
      <c r="Q338" t="s">
        <v>3157</v>
      </c>
      <c r="R338" t="s">
        <v>1991</v>
      </c>
      <c r="S338" t="s">
        <v>2073</v>
      </c>
      <c r="T338" t="s">
        <v>3610</v>
      </c>
      <c r="U338" t="s">
        <v>3611</v>
      </c>
      <c r="V338" t="s">
        <v>3736</v>
      </c>
      <c r="W338" t="s">
        <v>2048</v>
      </c>
      <c r="X338" t="s">
        <v>2048</v>
      </c>
    </row>
    <row r="339">
      <c r="A339" t="s">
        <v>3737</v>
      </c>
      <c r="B339" t="s">
        <v>958</v>
      </c>
      <c r="C339" t="s">
        <v>3599</v>
      </c>
      <c r="D339" t="s">
        <v>3728</v>
      </c>
      <c r="E339" t="s">
        <v>3729</v>
      </c>
      <c r="F339" t="s">
        <v>3738</v>
      </c>
      <c r="G339" t="s">
        <v>120</v>
      </c>
      <c r="H339" t="s">
        <v>3739</v>
      </c>
      <c r="I339" t="s">
        <v>3740</v>
      </c>
      <c r="J339" t="s">
        <v>3741</v>
      </c>
      <c r="K339" t="s">
        <v>2042</v>
      </c>
      <c r="L339" t="s">
        <v>3734</v>
      </c>
      <c r="M339" t="s">
        <v>3742</v>
      </c>
      <c r="N339" t="s">
        <v>3608</v>
      </c>
      <c r="O339" t="s">
        <v>2054</v>
      </c>
      <c r="P339" t="s">
        <v>3609</v>
      </c>
      <c r="Q339" t="s">
        <v>3157</v>
      </c>
      <c r="R339" t="s">
        <v>1991</v>
      </c>
      <c r="S339" t="s">
        <v>2073</v>
      </c>
      <c r="T339" t="s">
        <v>3610</v>
      </c>
      <c r="U339" t="s">
        <v>3611</v>
      </c>
      <c r="V339" t="s">
        <v>3743</v>
      </c>
      <c r="W339" t="s">
        <v>2048</v>
      </c>
      <c r="X339" t="s">
        <v>2048</v>
      </c>
    </row>
    <row r="340">
      <c r="A340" t="s">
        <v>3744</v>
      </c>
      <c r="B340" t="s">
        <v>958</v>
      </c>
      <c r="C340" t="s">
        <v>3599</v>
      </c>
      <c r="D340" t="s">
        <v>3728</v>
      </c>
      <c r="E340" t="s">
        <v>3729</v>
      </c>
      <c r="F340" t="s">
        <v>3745</v>
      </c>
      <c r="G340" t="s">
        <v>120</v>
      </c>
      <c r="H340" t="s">
        <v>3746</v>
      </c>
      <c r="I340" t="s">
        <v>3747</v>
      </c>
      <c r="J340" t="s">
        <v>3748</v>
      </c>
      <c r="K340" t="s">
        <v>2042</v>
      </c>
      <c r="L340" t="s">
        <v>3734</v>
      </c>
      <c r="M340" t="s">
        <v>3749</v>
      </c>
      <c r="N340" t="s">
        <v>3608</v>
      </c>
      <c r="O340" t="s">
        <v>2054</v>
      </c>
      <c r="P340" t="s">
        <v>3609</v>
      </c>
      <c r="Q340" t="s">
        <v>3157</v>
      </c>
      <c r="R340" t="s">
        <v>1991</v>
      </c>
      <c r="S340" t="s">
        <v>2073</v>
      </c>
      <c r="T340" t="s">
        <v>3610</v>
      </c>
      <c r="U340" t="s">
        <v>3611</v>
      </c>
      <c r="V340" t="s">
        <v>3750</v>
      </c>
      <c r="W340" t="s">
        <v>2048</v>
      </c>
      <c r="X340" t="s">
        <v>2048</v>
      </c>
    </row>
    <row r="341">
      <c r="A341" t="s">
        <v>3751</v>
      </c>
      <c r="B341" t="s">
        <v>958</v>
      </c>
      <c r="C341" t="s">
        <v>3599</v>
      </c>
      <c r="D341" t="s">
        <v>3728</v>
      </c>
      <c r="E341" t="s">
        <v>3729</v>
      </c>
      <c r="F341" t="s">
        <v>3752</v>
      </c>
      <c r="G341" t="s">
        <v>120</v>
      </c>
      <c r="H341" t="s">
        <v>3753</v>
      </c>
      <c r="I341" t="s">
        <v>3754</v>
      </c>
      <c r="J341" t="s">
        <v>3755</v>
      </c>
      <c r="K341" t="s">
        <v>2042</v>
      </c>
      <c r="L341" t="s">
        <v>3734</v>
      </c>
      <c r="M341" t="s">
        <v>3756</v>
      </c>
      <c r="N341" t="s">
        <v>3608</v>
      </c>
      <c r="O341" t="s">
        <v>2054</v>
      </c>
      <c r="P341" t="s">
        <v>3609</v>
      </c>
      <c r="Q341" t="s">
        <v>3157</v>
      </c>
      <c r="R341" t="s">
        <v>1991</v>
      </c>
      <c r="S341" t="s">
        <v>2073</v>
      </c>
      <c r="T341" t="s">
        <v>3610</v>
      </c>
      <c r="U341" t="s">
        <v>3611</v>
      </c>
      <c r="V341" t="s">
        <v>3757</v>
      </c>
      <c r="W341" t="s">
        <v>2048</v>
      </c>
      <c r="X341" t="s">
        <v>2048</v>
      </c>
    </row>
    <row r="342">
      <c r="A342" t="s">
        <v>3758</v>
      </c>
      <c r="B342" t="s">
        <v>958</v>
      </c>
      <c r="C342" t="s">
        <v>3599</v>
      </c>
      <c r="D342" t="s">
        <v>3728</v>
      </c>
      <c r="E342" t="s">
        <v>3729</v>
      </c>
      <c r="F342" t="s">
        <v>3759</v>
      </c>
      <c r="G342" t="s">
        <v>120</v>
      </c>
      <c r="H342" t="s">
        <v>3760</v>
      </c>
      <c r="I342" t="s">
        <v>3761</v>
      </c>
      <c r="J342" t="s">
        <v>3762</v>
      </c>
      <c r="K342" t="s">
        <v>2042</v>
      </c>
      <c r="L342" t="s">
        <v>3734</v>
      </c>
      <c r="M342" t="s">
        <v>3763</v>
      </c>
      <c r="N342" t="s">
        <v>3608</v>
      </c>
      <c r="O342" t="s">
        <v>2054</v>
      </c>
      <c r="P342" t="s">
        <v>3609</v>
      </c>
      <c r="Q342" t="s">
        <v>3157</v>
      </c>
      <c r="R342" t="s">
        <v>1991</v>
      </c>
      <c r="S342" t="s">
        <v>2073</v>
      </c>
      <c r="T342" t="s">
        <v>3610</v>
      </c>
      <c r="U342" t="s">
        <v>3611</v>
      </c>
      <c r="V342" t="s">
        <v>3764</v>
      </c>
      <c r="W342" t="s">
        <v>2048</v>
      </c>
      <c r="X342" t="s">
        <v>2048</v>
      </c>
    </row>
    <row r="343">
      <c r="A343" t="s">
        <v>3765</v>
      </c>
      <c r="B343" t="s">
        <v>958</v>
      </c>
      <c r="C343" t="s">
        <v>3599</v>
      </c>
      <c r="D343" t="s">
        <v>3728</v>
      </c>
      <c r="E343" t="s">
        <v>3729</v>
      </c>
      <c r="F343" t="s">
        <v>3766</v>
      </c>
      <c r="G343" t="s">
        <v>120</v>
      </c>
      <c r="H343" t="s">
        <v>3767</v>
      </c>
      <c r="I343" t="s">
        <v>3768</v>
      </c>
      <c r="J343" t="s">
        <v>3769</v>
      </c>
      <c r="K343" t="s">
        <v>2042</v>
      </c>
      <c r="L343" t="s">
        <v>3734</v>
      </c>
      <c r="M343" t="s">
        <v>3770</v>
      </c>
      <c r="N343" t="s">
        <v>3608</v>
      </c>
      <c r="O343" t="s">
        <v>2054</v>
      </c>
      <c r="P343" t="s">
        <v>3609</v>
      </c>
      <c r="Q343" t="s">
        <v>3157</v>
      </c>
      <c r="R343" t="s">
        <v>1991</v>
      </c>
      <c r="S343" t="s">
        <v>2073</v>
      </c>
      <c r="T343" t="s">
        <v>3610</v>
      </c>
      <c r="U343" t="s">
        <v>3611</v>
      </c>
      <c r="V343" t="s">
        <v>3771</v>
      </c>
      <c r="W343" t="s">
        <v>2048</v>
      </c>
      <c r="X343" t="s">
        <v>2048</v>
      </c>
    </row>
    <row r="344">
      <c r="A344" t="s">
        <v>3772</v>
      </c>
      <c r="B344" t="s">
        <v>958</v>
      </c>
      <c r="C344" t="s">
        <v>3599</v>
      </c>
      <c r="D344" t="s">
        <v>3728</v>
      </c>
      <c r="E344" t="s">
        <v>3729</v>
      </c>
      <c r="F344" t="s">
        <v>3773</v>
      </c>
      <c r="G344" t="s">
        <v>120</v>
      </c>
      <c r="H344" t="s">
        <v>3774</v>
      </c>
      <c r="I344" t="s">
        <v>3775</v>
      </c>
      <c r="J344" t="s">
        <v>3776</v>
      </c>
      <c r="K344" t="s">
        <v>2042</v>
      </c>
      <c r="L344" t="s">
        <v>3734</v>
      </c>
      <c r="M344" t="s">
        <v>3777</v>
      </c>
      <c r="N344" t="s">
        <v>3608</v>
      </c>
      <c r="O344" t="s">
        <v>2054</v>
      </c>
      <c r="P344" t="s">
        <v>3609</v>
      </c>
      <c r="Q344" t="s">
        <v>3157</v>
      </c>
      <c r="R344" t="s">
        <v>1991</v>
      </c>
      <c r="S344" t="s">
        <v>2073</v>
      </c>
      <c r="T344" t="s">
        <v>3610</v>
      </c>
      <c r="U344" t="s">
        <v>3611</v>
      </c>
      <c r="V344" t="s">
        <v>3778</v>
      </c>
      <c r="W344" t="s">
        <v>2048</v>
      </c>
      <c r="X344" t="s">
        <v>2048</v>
      </c>
    </row>
    <row r="345">
      <c r="A345" t="s">
        <v>3779</v>
      </c>
      <c r="B345" t="s">
        <v>958</v>
      </c>
      <c r="C345" t="s">
        <v>3599</v>
      </c>
      <c r="D345" t="s">
        <v>3780</v>
      </c>
      <c r="E345" t="s">
        <v>3781</v>
      </c>
      <c r="F345" t="s">
        <v>3782</v>
      </c>
      <c r="G345" t="s">
        <v>3783</v>
      </c>
      <c r="H345" t="s">
        <v>3784</v>
      </c>
      <c r="I345" t="s">
        <v>3785</v>
      </c>
      <c r="J345" t="s">
        <v>3786</v>
      </c>
      <c r="K345" t="s">
        <v>2042</v>
      </c>
      <c r="L345" t="s">
        <v>3787</v>
      </c>
      <c r="M345" t="s">
        <v>3788</v>
      </c>
      <c r="N345" t="s">
        <v>3608</v>
      </c>
      <c r="O345" t="s">
        <v>2055</v>
      </c>
      <c r="P345" t="s">
        <v>3609</v>
      </c>
      <c r="Q345" t="s">
        <v>3157</v>
      </c>
      <c r="R345" t="s">
        <v>1991</v>
      </c>
      <c r="S345" t="s">
        <v>2073</v>
      </c>
      <c r="T345" t="s">
        <v>3610</v>
      </c>
      <c r="U345" t="s">
        <v>3611</v>
      </c>
      <c r="V345" t="s">
        <v>3789</v>
      </c>
      <c r="W345" t="s">
        <v>2049</v>
      </c>
      <c r="X345" t="s">
        <v>2049</v>
      </c>
    </row>
    <row r="346">
      <c r="A346" t="s">
        <v>3792</v>
      </c>
      <c r="B346" t="s">
        <v>958</v>
      </c>
      <c r="C346" t="s">
        <v>3599</v>
      </c>
      <c r="D346" t="s">
        <v>3780</v>
      </c>
      <c r="E346" t="s">
        <v>3781</v>
      </c>
      <c r="F346" t="s">
        <v>3793</v>
      </c>
      <c r="G346" t="s">
        <v>3783</v>
      </c>
      <c r="H346" t="s">
        <v>3794</v>
      </c>
      <c r="I346" t="s">
        <v>3795</v>
      </c>
      <c r="J346" t="s">
        <v>3796</v>
      </c>
      <c r="K346" t="s">
        <v>2042</v>
      </c>
      <c r="L346" t="s">
        <v>3787</v>
      </c>
      <c r="M346" t="s">
        <v>3797</v>
      </c>
      <c r="N346" t="s">
        <v>3608</v>
      </c>
      <c r="O346" t="s">
        <v>2055</v>
      </c>
      <c r="P346" t="s">
        <v>3609</v>
      </c>
      <c r="Q346" t="s">
        <v>3157</v>
      </c>
      <c r="R346" t="s">
        <v>1991</v>
      </c>
      <c r="S346" t="s">
        <v>2073</v>
      </c>
      <c r="T346" t="s">
        <v>3610</v>
      </c>
      <c r="U346" t="s">
        <v>3611</v>
      </c>
      <c r="V346" t="s">
        <v>3798</v>
      </c>
      <c r="W346" t="s">
        <v>2049</v>
      </c>
      <c r="X346" t="s">
        <v>2049</v>
      </c>
    </row>
    <row r="347">
      <c r="A347" t="s">
        <v>3799</v>
      </c>
      <c r="B347" t="s">
        <v>958</v>
      </c>
      <c r="C347" t="s">
        <v>3599</v>
      </c>
      <c r="D347" t="s">
        <v>3780</v>
      </c>
      <c r="E347" t="s">
        <v>3781</v>
      </c>
      <c r="F347" t="s">
        <v>3800</v>
      </c>
      <c r="G347" t="s">
        <v>3783</v>
      </c>
      <c r="H347" t="s">
        <v>3801</v>
      </c>
      <c r="I347" t="s">
        <v>3802</v>
      </c>
      <c r="J347" t="s">
        <v>3803</v>
      </c>
      <c r="K347" t="s">
        <v>2042</v>
      </c>
      <c r="L347" t="s">
        <v>3787</v>
      </c>
      <c r="M347" t="s">
        <v>3804</v>
      </c>
      <c r="N347" t="s">
        <v>3608</v>
      </c>
      <c r="O347" t="s">
        <v>2055</v>
      </c>
      <c r="P347" t="s">
        <v>3609</v>
      </c>
      <c r="Q347" t="s">
        <v>3157</v>
      </c>
      <c r="R347" t="s">
        <v>1991</v>
      </c>
      <c r="S347" t="s">
        <v>2073</v>
      </c>
      <c r="T347" t="s">
        <v>3610</v>
      </c>
      <c r="U347" t="s">
        <v>3611</v>
      </c>
      <c r="V347" t="s">
        <v>3805</v>
      </c>
      <c r="W347" t="s">
        <v>2049</v>
      </c>
      <c r="X347" t="s">
        <v>2049</v>
      </c>
    </row>
    <row r="348">
      <c r="A348" t="s">
        <v>3806</v>
      </c>
      <c r="B348" t="s">
        <v>958</v>
      </c>
      <c r="C348" t="s">
        <v>3599</v>
      </c>
      <c r="D348" t="s">
        <v>3780</v>
      </c>
      <c r="E348" t="s">
        <v>3781</v>
      </c>
      <c r="F348" t="s">
        <v>3807</v>
      </c>
      <c r="G348" t="s">
        <v>3783</v>
      </c>
      <c r="H348" t="s">
        <v>3808</v>
      </c>
      <c r="I348" t="s">
        <v>3809</v>
      </c>
      <c r="J348" t="s">
        <v>3810</v>
      </c>
      <c r="K348" t="s">
        <v>2042</v>
      </c>
      <c r="L348" t="s">
        <v>3787</v>
      </c>
      <c r="M348" t="s">
        <v>3811</v>
      </c>
      <c r="N348" t="s">
        <v>3608</v>
      </c>
      <c r="O348" t="s">
        <v>2055</v>
      </c>
      <c r="P348" t="s">
        <v>3609</v>
      </c>
      <c r="Q348" t="s">
        <v>3157</v>
      </c>
      <c r="R348" t="s">
        <v>1991</v>
      </c>
      <c r="S348" t="s">
        <v>2073</v>
      </c>
      <c r="T348" t="s">
        <v>3610</v>
      </c>
      <c r="U348" t="s">
        <v>3611</v>
      </c>
      <c r="V348" t="s">
        <v>3812</v>
      </c>
      <c r="W348" t="s">
        <v>2049</v>
      </c>
      <c r="X348" t="s">
        <v>2049</v>
      </c>
    </row>
    <row r="349">
      <c r="A349" t="s">
        <v>3813</v>
      </c>
      <c r="B349" t="s">
        <v>958</v>
      </c>
      <c r="C349" t="s">
        <v>3599</v>
      </c>
      <c r="D349" t="s">
        <v>3780</v>
      </c>
      <c r="E349" t="s">
        <v>3781</v>
      </c>
      <c r="F349" t="s">
        <v>3814</v>
      </c>
      <c r="G349" t="s">
        <v>3783</v>
      </c>
      <c r="H349" t="s">
        <v>3815</v>
      </c>
      <c r="I349" t="s">
        <v>3816</v>
      </c>
      <c r="J349" t="s">
        <v>3817</v>
      </c>
      <c r="K349" t="s">
        <v>2042</v>
      </c>
      <c r="L349" t="s">
        <v>3787</v>
      </c>
      <c r="M349" t="s">
        <v>3818</v>
      </c>
      <c r="N349" t="s">
        <v>3608</v>
      </c>
      <c r="O349" t="s">
        <v>2055</v>
      </c>
      <c r="P349" t="s">
        <v>3609</v>
      </c>
      <c r="Q349" t="s">
        <v>3157</v>
      </c>
      <c r="R349" t="s">
        <v>1991</v>
      </c>
      <c r="S349" t="s">
        <v>2073</v>
      </c>
      <c r="T349" t="s">
        <v>3610</v>
      </c>
      <c r="U349" t="s">
        <v>3611</v>
      </c>
      <c r="V349" t="s">
        <v>3819</v>
      </c>
      <c r="W349" t="s">
        <v>2049</v>
      </c>
      <c r="X349" t="s">
        <v>2049</v>
      </c>
    </row>
    <row r="350">
      <c r="A350" t="s">
        <v>3820</v>
      </c>
      <c r="B350" t="s">
        <v>958</v>
      </c>
      <c r="C350" t="s">
        <v>3599</v>
      </c>
      <c r="D350" t="s">
        <v>3780</v>
      </c>
      <c r="E350" t="s">
        <v>3781</v>
      </c>
      <c r="F350" t="s">
        <v>3821</v>
      </c>
      <c r="G350" t="s">
        <v>3783</v>
      </c>
      <c r="H350" t="s">
        <v>3822</v>
      </c>
      <c r="I350" t="s">
        <v>3823</v>
      </c>
      <c r="J350" t="s">
        <v>3824</v>
      </c>
      <c r="K350" t="s">
        <v>2042</v>
      </c>
      <c r="L350" t="s">
        <v>3787</v>
      </c>
      <c r="M350" t="s">
        <v>3825</v>
      </c>
      <c r="N350" t="s">
        <v>3608</v>
      </c>
      <c r="O350" t="s">
        <v>2055</v>
      </c>
      <c r="P350" t="s">
        <v>3609</v>
      </c>
      <c r="Q350" t="s">
        <v>3157</v>
      </c>
      <c r="R350" t="s">
        <v>1991</v>
      </c>
      <c r="S350" t="s">
        <v>2073</v>
      </c>
      <c r="T350" t="s">
        <v>3610</v>
      </c>
      <c r="U350" t="s">
        <v>3611</v>
      </c>
      <c r="V350" t="s">
        <v>3826</v>
      </c>
      <c r="W350" t="s">
        <v>2049</v>
      </c>
      <c r="X350" t="s">
        <v>2049</v>
      </c>
    </row>
    <row r="351">
      <c r="A351" t="s">
        <v>3827</v>
      </c>
      <c r="B351" t="s">
        <v>958</v>
      </c>
      <c r="C351" t="s">
        <v>3599</v>
      </c>
      <c r="D351" t="s">
        <v>3828</v>
      </c>
      <c r="E351" t="s">
        <v>3829</v>
      </c>
      <c r="F351" t="s">
        <v>3830</v>
      </c>
      <c r="G351" t="s">
        <v>97</v>
      </c>
      <c r="H351" t="s">
        <v>3831</v>
      </c>
      <c r="I351" t="s">
        <v>3832</v>
      </c>
      <c r="J351" t="s">
        <v>3833</v>
      </c>
      <c r="K351" t="s">
        <v>2042</v>
      </c>
      <c r="L351" t="s">
        <v>3834</v>
      </c>
      <c r="M351" t="s">
        <v>3835</v>
      </c>
      <c r="N351" t="s">
        <v>3608</v>
      </c>
      <c r="O351" t="s">
        <v>2056</v>
      </c>
      <c r="P351" t="s">
        <v>3609</v>
      </c>
      <c r="Q351" t="s">
        <v>3157</v>
      </c>
      <c r="R351" t="s">
        <v>1991</v>
      </c>
      <c r="S351" t="s">
        <v>2073</v>
      </c>
      <c r="T351" t="s">
        <v>3610</v>
      </c>
      <c r="U351" t="s">
        <v>3611</v>
      </c>
      <c r="V351" t="s">
        <v>3836</v>
      </c>
      <c r="W351" t="s">
        <v>2046</v>
      </c>
      <c r="X351" t="s">
        <v>2046</v>
      </c>
    </row>
    <row r="352">
      <c r="A352" t="s">
        <v>3837</v>
      </c>
      <c r="B352" t="s">
        <v>958</v>
      </c>
      <c r="C352" t="s">
        <v>3599</v>
      </c>
      <c r="D352" t="s">
        <v>3828</v>
      </c>
      <c r="E352" t="s">
        <v>3829</v>
      </c>
      <c r="F352" t="s">
        <v>3838</v>
      </c>
      <c r="G352" t="s">
        <v>120</v>
      </c>
      <c r="H352" t="s">
        <v>3839</v>
      </c>
      <c r="I352" t="s">
        <v>3840</v>
      </c>
      <c r="J352" t="s">
        <v>3841</v>
      </c>
      <c r="K352" t="s">
        <v>2042</v>
      </c>
      <c r="L352" t="s">
        <v>3834</v>
      </c>
      <c r="M352" t="s">
        <v>3842</v>
      </c>
      <c r="N352" t="s">
        <v>3608</v>
      </c>
      <c r="O352" t="s">
        <v>2056</v>
      </c>
      <c r="P352" t="s">
        <v>3609</v>
      </c>
      <c r="Q352" t="s">
        <v>3157</v>
      </c>
      <c r="R352" t="s">
        <v>1991</v>
      </c>
      <c r="S352" t="s">
        <v>2073</v>
      </c>
      <c r="T352" t="s">
        <v>3610</v>
      </c>
      <c r="U352" t="s">
        <v>3611</v>
      </c>
      <c r="V352" t="s">
        <v>3843</v>
      </c>
      <c r="W352" t="s">
        <v>2048</v>
      </c>
      <c r="X352" t="s">
        <v>2048</v>
      </c>
    </row>
    <row r="353" ht="44" customHeight="1">
      <c r="A353" s="74" t="s">
        <v>7286</v>
      </c>
      <c r="B353" s="74" t="s">
        <v>7287</v>
      </c>
      <c r="C353" s="74" t="s">
        <v>7288</v>
      </c>
      <c r="D353" s="74" t="s">
        <v>7289</v>
      </c>
      <c r="E353" s="74" t="s">
        <v>7290</v>
      </c>
      <c r="F353" s="74" t="s">
        <v>7291</v>
      </c>
      <c r="G353" s="74" t="s">
        <v>120</v>
      </c>
      <c r="H353" s="74" t="s">
        <v>7292</v>
      </c>
      <c r="I353" s="74" t="s">
        <v>7293</v>
      </c>
      <c r="J353" s="74" t="s">
        <v>7294</v>
      </c>
      <c r="K353" s="74" t="s">
        <v>7295</v>
      </c>
      <c r="L353" s="74" t="s">
        <v>7296</v>
      </c>
      <c r="M353" s="74" t="s">
        <v>7297</v>
      </c>
      <c r="N353" s="74" t="s">
        <v>7298</v>
      </c>
      <c r="O353" s="74" t="s">
        <v>7299</v>
      </c>
      <c r="P353" s="74" t="str">
        <v>Domain Applications</v>
      </c>
      <c r="Q353" s="74" t="str">
        <v>Build</v>
      </c>
      <c r="R353" s="74" t="str">
        <v>Tier 2</v>
      </c>
      <c r="S353" s="74" t="str">
        <v>Service Desk</v>
      </c>
      <c r="T353" s="74" t="str">
        <v>Management Governance Ops</v>
      </c>
      <c r="U353" s="74" t="str">
        <v>Product Engineering</v>
      </c>
      <c r="V353" s="74" t="str">
        <v>enterprise strategies; strategy frameworks; strategy themes; strategy planning cycles; strategy periods; strategy versions</v>
      </c>
      <c r="W353" s="74" t="str">
        <v>M&amp;G Foundation</v>
      </c>
      <c r="X353" s="74" t="str">
        <v>Management Governance Foundation</v>
      </c>
    </row>
    <row r="354" ht="44" customHeight="1">
      <c r="A354" s="74" t="s">
        <v>7308</v>
      </c>
      <c r="B354" s="74" t="s">
        <v>7287</v>
      </c>
      <c r="C354" s="74" t="s">
        <v>7288</v>
      </c>
      <c r="D354" s="74" t="s">
        <v>7309</v>
      </c>
      <c r="E354" s="74" t="s">
        <v>7310</v>
      </c>
      <c r="F354" s="74" t="s">
        <v>7311</v>
      </c>
      <c r="G354" s="74" t="s">
        <v>154</v>
      </c>
      <c r="H354" s="74" t="s">
        <v>7312</v>
      </c>
      <c r="I354" s="74" t="s">
        <v>7313</v>
      </c>
      <c r="J354" s="74" t="s">
        <v>7314</v>
      </c>
      <c r="K354" s="74" t="s">
        <v>7295</v>
      </c>
      <c r="L354" s="74" t="s">
        <v>7315</v>
      </c>
      <c r="M354" s="74" t="s">
        <v>7316</v>
      </c>
      <c r="N354" s="74" t="s">
        <v>7298</v>
      </c>
      <c r="O354" s="74" t="s">
        <v>7299</v>
      </c>
      <c r="P354" s="74" t="str">
        <v>Domain Applications</v>
      </c>
      <c r="Q354" s="74" t="str">
        <v>Build</v>
      </c>
      <c r="R354" s="74" t="str">
        <v>Tier 2</v>
      </c>
      <c r="S354" s="74" t="str">
        <v>Service Desk</v>
      </c>
      <c r="T354" s="74" t="str">
        <v>Management Governance Ops</v>
      </c>
      <c r="U354" s="74" t="str">
        <v>Product Engineering</v>
      </c>
      <c r="V354" s="74" t="str">
        <v>structure definitions; node definitions; hierarchy rules; structure templates; structure instances; structure nodes; structural dependencies; baseline snapshots</v>
      </c>
      <c r="W354" s="74" t="str">
        <v>M&amp;G Foundation</v>
      </c>
      <c r="X354" s="74" t="str">
        <v>Management Governance Foundation</v>
      </c>
    </row>
    <row r="355" ht="44" customHeight="1">
      <c r="A355" s="74" t="s">
        <v>7321</v>
      </c>
      <c r="B355" s="74" t="s">
        <v>7287</v>
      </c>
      <c r="C355" s="74" t="s">
        <v>7288</v>
      </c>
      <c r="D355" s="74" t="s">
        <v>7322</v>
      </c>
      <c r="E355" s="74" t="s">
        <v>7323</v>
      </c>
      <c r="F355" s="74" t="s">
        <v>7324</v>
      </c>
      <c r="G355" s="74" t="s">
        <v>120</v>
      </c>
      <c r="H355" s="74" t="s">
        <v>7325</v>
      </c>
      <c r="I355" s="74" t="s">
        <v>7326</v>
      </c>
      <c r="J355" s="74" t="s">
        <v>7327</v>
      </c>
      <c r="K355" s="74" t="s">
        <v>7295</v>
      </c>
      <c r="L355" s="74" t="s">
        <v>7328</v>
      </c>
      <c r="M355" s="74" t="s">
        <v>7329</v>
      </c>
      <c r="N355" s="74" t="s">
        <v>7298</v>
      </c>
      <c r="O355" s="74" t="s">
        <v>7299</v>
      </c>
      <c r="P355" s="74" t="str">
        <v>Domain Applications</v>
      </c>
      <c r="Q355" s="74" t="str">
        <v>Build</v>
      </c>
      <c r="R355" s="74" t="str">
        <v>Tier 2</v>
      </c>
      <c r="S355" s="74" t="str">
        <v>Service Desk</v>
      </c>
      <c r="T355" s="74" t="str">
        <v>Management Governance Ops</v>
      </c>
      <c r="U355" s="74" t="str">
        <v>Product Engineering</v>
      </c>
      <c r="V355" s="74" t="str">
        <v>process architectures; process domains; process families; business processes; process models; process model versions; process activities; process control points; process role bindings</v>
      </c>
      <c r="W355" s="74" t="str">
        <v>M&amp;G Core</v>
      </c>
      <c r="X355" s="74" t="str">
        <v>Management Governance Core</v>
      </c>
    </row>
    <row r="356" ht="44" customHeight="1">
      <c r="A356" s="74" t="s">
        <v>7334</v>
      </c>
      <c r="B356" s="74" t="s">
        <v>7287</v>
      </c>
      <c r="C356" s="74" t="s">
        <v>7288</v>
      </c>
      <c r="D356" s="74" t="s">
        <v>7335</v>
      </c>
      <c r="E356" s="74" t="s">
        <v>7336</v>
      </c>
      <c r="F356" s="74" t="s">
        <v>7337</v>
      </c>
      <c r="G356" s="74" t="s">
        <v>3783</v>
      </c>
      <c r="H356" s="74" t="s">
        <v>7338</v>
      </c>
      <c r="I356" s="74" t="s">
        <v>7339</v>
      </c>
      <c r="J356" s="74" t="s">
        <v>7340</v>
      </c>
      <c r="K356" s="74" t="s">
        <v>7295</v>
      </c>
      <c r="L356" s="74" t="s">
        <v>7341</v>
      </c>
      <c r="M356" s="74" t="s">
        <v>7342</v>
      </c>
      <c r="N356" s="74" t="s">
        <v>7298</v>
      </c>
      <c r="O356" s="74" t="s">
        <v>7299</v>
      </c>
      <c r="P356" s="74" t="str">
        <v>Domain Applications</v>
      </c>
      <c r="Q356" s="74" t="str">
        <v>Build</v>
      </c>
      <c r="R356" s="74" t="str">
        <v>Tier 2</v>
      </c>
      <c r="S356" s="74" t="str">
        <v>Service Desk</v>
      </c>
      <c r="T356" s="74" t="str">
        <v>Management Governance Ops</v>
      </c>
      <c r="U356" s="74" t="str">
        <v>Product Engineering</v>
      </c>
      <c r="V356" s="74" t="str">
        <v>management review cycles; review instances; agendas; review packs; attendance records; review outcomes; cadence configurations</v>
      </c>
      <c r="W356" s="74" t="str">
        <v>M&amp;G Core</v>
      </c>
      <c r="X356" s="74" t="str">
        <v>Management Governance Core</v>
      </c>
    </row>
    <row r="357" ht="44" customHeight="1">
      <c r="A357" s="74" t="s">
        <v>7346</v>
      </c>
      <c r="B357" s="74" t="s">
        <v>7287</v>
      </c>
      <c r="C357" s="74" t="s">
        <v>7288</v>
      </c>
      <c r="D357" s="74" t="s">
        <v>7347</v>
      </c>
      <c r="E357" s="74" t="s">
        <v>7348</v>
      </c>
      <c r="F357" s="74" t="s">
        <v>7349</v>
      </c>
      <c r="G357" s="74" t="s">
        <v>154</v>
      </c>
      <c r="H357" s="74" t="s">
        <v>7350</v>
      </c>
      <c r="I357" s="74" t="s">
        <v>7351</v>
      </c>
      <c r="J357" s="74" t="s">
        <v>7352</v>
      </c>
      <c r="K357" s="74" t="s">
        <v>7295</v>
      </c>
      <c r="L357" s="74" t="s">
        <v>7353</v>
      </c>
      <c r="M357" s="74" t="s">
        <v>7354</v>
      </c>
      <c r="N357" s="74" t="s">
        <v>7298</v>
      </c>
      <c r="O357" s="74" t="s">
        <v>7299</v>
      </c>
      <c r="P357" s="74" t="str">
        <v>Domain Applications</v>
      </c>
      <c r="Q357" s="74" t="str">
        <v>Build</v>
      </c>
      <c r="R357" s="74" t="str">
        <v>Tier 2</v>
      </c>
      <c r="S357" s="74" t="str">
        <v>Service Desk</v>
      </c>
      <c r="T357" s="74" t="str">
        <v>Management Governance Ops</v>
      </c>
      <c r="U357" s="74" t="str">
        <v>Product Engineering</v>
      </c>
      <c r="V357" s="74" t="str">
        <v>authority policies; approval limits; authority grants; authority mandates; authority delegations; authority exceptions; authority revocations</v>
      </c>
      <c r="W357" s="74" t="str">
        <v>M&amp;G Foundation</v>
      </c>
      <c r="X357" s="74" t="str">
        <v>Management Governance Foundation</v>
      </c>
    </row>
    <row r="358" ht="44" customHeight="1">
      <c r="A358" s="74" t="s">
        <v>7358</v>
      </c>
      <c r="B358" s="74" t="s">
        <v>7287</v>
      </c>
      <c r="C358" s="74" t="s">
        <v>7288</v>
      </c>
      <c r="D358" s="74" t="s">
        <v>7347</v>
      </c>
      <c r="E358" s="74" t="s">
        <v>7359</v>
      </c>
      <c r="F358" s="74" t="s">
        <v>7360</v>
      </c>
      <c r="G358" s="74" t="s">
        <v>154</v>
      </c>
      <c r="H358" s="74" t="s">
        <v>7361</v>
      </c>
      <c r="I358" s="74" t="s">
        <v>7362</v>
      </c>
      <c r="J358" s="74" t="s">
        <v>7363</v>
      </c>
      <c r="K358" s="74" t="s">
        <v>7295</v>
      </c>
      <c r="L358" s="74" t="s">
        <v>7364</v>
      </c>
      <c r="M358" s="74" t="s">
        <v>7365</v>
      </c>
      <c r="N358" s="74" t="s">
        <v>7298</v>
      </c>
      <c r="O358" s="74" t="s">
        <v>7299</v>
      </c>
      <c r="P358" s="74" t="str">
        <v>Domain Applications</v>
      </c>
      <c r="Q358" s="74" t="str">
        <v>Build</v>
      </c>
      <c r="R358" s="74" t="str">
        <v>Tier 2</v>
      </c>
      <c r="S358" s="74" t="str">
        <v>Service Desk</v>
      </c>
      <c r="T358" s="74" t="str">
        <v>Management Governance Ops</v>
      </c>
      <c r="U358" s="74" t="str">
        <v>Product Engineering</v>
      </c>
      <c r="V358" s="74" t="str">
        <v>governance bodies; governance charters; committee mandates; committee memberships; decision-right assignments; accountability matrices</v>
      </c>
      <c r="W358" s="74" t="str">
        <v>M&amp;G Core</v>
      </c>
      <c r="X358" s="74" t="str">
        <v>Management Governance Core</v>
      </c>
    </row>
    <row r="999" ht="44"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row>
    <row r="1000" ht="44"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row>
    <row r="1001" ht="44"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row>
    <row r="1002" ht="44"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row>
    <row r="1003" ht="44"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row>
    <row r="1004" ht="44"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row>
    <row r="1005" ht="44"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row>
    <row r="1006" ht="44"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row>
  </sheetData>
  <pageMargins left="0.7" right="0.7" top="0.75" bottom="0.75" header="0.3" footer="0.3"/>
  <tableParts count="1">
    <tablePart r:id="Rcf18c434486c49d6"/>
  </tableParts>
</worksheet>
</file>

<file path=xl/worksheets/sheet7.xml><?xml version="1.0" encoding="utf-8"?>
<worksheet xmlns="http://schemas.openxmlformats.org/spreadsheetml/2006/main">
  <sheetFormatPr baseColWidth="10" defaultColWidth="8.83203125" defaultRowHeight="13"/>
  <cols>
    <col min="1" max="4" width="28" customWidth="1"/>
  </cols>
  <sheetData>
    <row r="1">
      <c r="A1" t="s">
        <v>2058</v>
      </c>
      <c r="B1" t="s">
        <v>61</v>
      </c>
      <c r="C1" t="s">
        <v>3845</v>
      </c>
      <c r="D1" t="s">
        <v>3846</v>
      </c>
    </row>
    <row r="2">
      <c r="A2" t="s">
        <v>2071</v>
      </c>
      <c r="B2" t="s">
        <v>96</v>
      </c>
      <c r="C2" t="s">
        <v>2124</v>
      </c>
      <c r="D2" t="s">
        <v>226</v>
      </c>
    </row>
    <row r="3">
      <c r="A3" t="s">
        <v>2071</v>
      </c>
      <c r="B3" t="s">
        <v>96</v>
      </c>
      <c r="C3" t="s">
        <v>2133</v>
      </c>
      <c r="D3" t="s">
        <v>248</v>
      </c>
    </row>
    <row r="4">
      <c r="A4" t="s">
        <v>2071</v>
      </c>
      <c r="B4" t="s">
        <v>96</v>
      </c>
      <c r="C4" t="s">
        <v>2112</v>
      </c>
      <c r="D4" t="s">
        <v>198</v>
      </c>
    </row>
    <row r="5">
      <c r="A5" t="s">
        <v>2079</v>
      </c>
      <c r="B5" t="s">
        <v>106</v>
      </c>
      <c r="C5" t="s">
        <v>2124</v>
      </c>
      <c r="D5" t="s">
        <v>226</v>
      </c>
    </row>
    <row r="6">
      <c r="A6" t="s">
        <v>2079</v>
      </c>
      <c r="B6" t="s">
        <v>106</v>
      </c>
      <c r="C6" t="s">
        <v>2133</v>
      </c>
      <c r="D6" t="s">
        <v>248</v>
      </c>
    </row>
    <row r="7">
      <c r="A7" t="s">
        <v>2079</v>
      </c>
      <c r="B7" t="s">
        <v>106</v>
      </c>
      <c r="C7" t="s">
        <v>2112</v>
      </c>
      <c r="D7" t="s">
        <v>198</v>
      </c>
    </row>
    <row r="8">
      <c r="A8" t="s">
        <v>2079</v>
      </c>
      <c r="B8" t="s">
        <v>106</v>
      </c>
      <c r="C8" t="s">
        <v>2110</v>
      </c>
      <c r="D8" t="s">
        <v>192</v>
      </c>
    </row>
    <row r="9">
      <c r="A9" t="s">
        <v>2081</v>
      </c>
      <c r="B9" t="s">
        <v>113</v>
      </c>
      <c r="C9" t="s">
        <v>2079</v>
      </c>
      <c r="D9" t="s">
        <v>106</v>
      </c>
    </row>
    <row r="10">
      <c r="A10" t="s">
        <v>2084</v>
      </c>
      <c r="B10" t="s">
        <v>119</v>
      </c>
      <c r="C10" t="s">
        <v>2071</v>
      </c>
      <c r="D10" t="s">
        <v>96</v>
      </c>
    </row>
    <row r="11">
      <c r="A11" t="s">
        <v>2084</v>
      </c>
      <c r="B11" t="s">
        <v>119</v>
      </c>
      <c r="C11" t="s">
        <v>2081</v>
      </c>
      <c r="D11" t="s">
        <v>113</v>
      </c>
    </row>
    <row r="12">
      <c r="A12" t="s">
        <v>2084</v>
      </c>
      <c r="B12" t="s">
        <v>119</v>
      </c>
      <c r="C12" t="s">
        <v>2242</v>
      </c>
      <c r="D12" t="s">
        <v>502</v>
      </c>
    </row>
    <row r="13">
      <c r="A13" t="s">
        <v>2087</v>
      </c>
      <c r="B13" t="s">
        <v>128</v>
      </c>
      <c r="C13" t="s">
        <v>2120</v>
      </c>
      <c r="D13" t="s">
        <v>219</v>
      </c>
    </row>
    <row r="14">
      <c r="A14" t="s">
        <v>2087</v>
      </c>
      <c r="B14" t="s">
        <v>128</v>
      </c>
      <c r="C14" t="s">
        <v>2124</v>
      </c>
      <c r="D14" t="s">
        <v>226</v>
      </c>
    </row>
    <row r="15">
      <c r="A15" t="s">
        <v>2089</v>
      </c>
      <c r="B15" t="s">
        <v>137</v>
      </c>
      <c r="C15" t="s">
        <v>2087</v>
      </c>
      <c r="D15" t="s">
        <v>128</v>
      </c>
    </row>
    <row r="16">
      <c r="A16" t="s">
        <v>2089</v>
      </c>
      <c r="B16" t="s">
        <v>137</v>
      </c>
      <c r="C16" t="s">
        <v>2140</v>
      </c>
      <c r="D16" t="s">
        <v>263</v>
      </c>
    </row>
    <row r="17">
      <c r="A17" t="s">
        <v>2089</v>
      </c>
      <c r="B17" t="s">
        <v>137</v>
      </c>
      <c r="C17" t="s">
        <v>2133</v>
      </c>
      <c r="D17" t="s">
        <v>248</v>
      </c>
    </row>
    <row r="18">
      <c r="A18" t="s">
        <v>2092</v>
      </c>
      <c r="B18" t="s">
        <v>145</v>
      </c>
      <c r="C18" t="s">
        <v>2120</v>
      </c>
      <c r="D18" t="s">
        <v>219</v>
      </c>
    </row>
    <row r="19">
      <c r="A19" t="s">
        <v>2092</v>
      </c>
      <c r="B19" t="s">
        <v>145</v>
      </c>
      <c r="C19" t="s">
        <v>2133</v>
      </c>
      <c r="D19" t="s">
        <v>248</v>
      </c>
    </row>
    <row r="20">
      <c r="A20" t="s">
        <v>2095</v>
      </c>
      <c r="B20" t="s">
        <v>153</v>
      </c>
      <c r="C20" t="s">
        <v>2112</v>
      </c>
      <c r="D20" t="s">
        <v>198</v>
      </c>
    </row>
    <row r="21">
      <c r="A21" t="s">
        <v>2095</v>
      </c>
      <c r="B21" t="s">
        <v>153</v>
      </c>
      <c r="C21" t="s">
        <v>2071</v>
      </c>
      <c r="D21" t="s">
        <v>96</v>
      </c>
    </row>
    <row r="22">
      <c r="A22" t="s">
        <v>2100</v>
      </c>
      <c r="B22" t="s">
        <v>172</v>
      </c>
      <c r="C22" t="s">
        <v>2097</v>
      </c>
      <c r="D22" t="s">
        <v>164</v>
      </c>
    </row>
    <row r="23">
      <c r="A23" t="s">
        <v>2100</v>
      </c>
      <c r="B23" t="s">
        <v>172</v>
      </c>
      <c r="C23" t="s">
        <v>2960</v>
      </c>
      <c r="D23" t="s">
        <v>2961</v>
      </c>
    </row>
    <row r="24">
      <c r="A24" t="s">
        <v>2100</v>
      </c>
      <c r="B24" t="s">
        <v>172</v>
      </c>
      <c r="C24" t="s">
        <v>2966</v>
      </c>
      <c r="D24" t="s">
        <v>2967</v>
      </c>
    </row>
    <row r="25">
      <c r="A25" t="s">
        <v>2104</v>
      </c>
      <c r="B25" t="s">
        <v>177</v>
      </c>
      <c r="D25" t="s">
        <v>3847</v>
      </c>
    </row>
    <row r="26">
      <c r="A26" t="s">
        <v>2104</v>
      </c>
      <c r="B26" t="s">
        <v>177</v>
      </c>
      <c r="C26" t="s">
        <v>2107</v>
      </c>
      <c r="D26" t="s">
        <v>184</v>
      </c>
    </row>
    <row r="27">
      <c r="A27" t="s">
        <v>2107</v>
      </c>
      <c r="B27" t="s">
        <v>184</v>
      </c>
      <c r="C27" t="s">
        <v>2097</v>
      </c>
      <c r="D27" t="s">
        <v>164</v>
      </c>
    </row>
    <row r="28">
      <c r="A28" t="s">
        <v>2110</v>
      </c>
      <c r="B28" t="s">
        <v>192</v>
      </c>
      <c r="C28" t="s">
        <v>2100</v>
      </c>
      <c r="D28" t="s">
        <v>172</v>
      </c>
    </row>
    <row r="29">
      <c r="A29" t="s">
        <v>2112</v>
      </c>
      <c r="B29" t="s">
        <v>198</v>
      </c>
      <c r="C29" t="s">
        <v>2110</v>
      </c>
      <c r="D29" t="s">
        <v>192</v>
      </c>
    </row>
    <row r="30">
      <c r="A30" t="s">
        <v>2114</v>
      </c>
      <c r="B30" t="s">
        <v>204</v>
      </c>
      <c r="C30" t="s">
        <v>2110</v>
      </c>
      <c r="D30" t="s">
        <v>192</v>
      </c>
    </row>
    <row r="31">
      <c r="A31" t="s">
        <v>2114</v>
      </c>
      <c r="B31" t="s">
        <v>204</v>
      </c>
      <c r="C31" t="s">
        <v>2112</v>
      </c>
      <c r="D31" t="s">
        <v>198</v>
      </c>
    </row>
    <row r="32">
      <c r="A32" t="s">
        <v>2117</v>
      </c>
      <c r="B32" t="s">
        <v>211</v>
      </c>
      <c r="C32" t="s">
        <v>2114</v>
      </c>
      <c r="D32" t="s">
        <v>204</v>
      </c>
    </row>
    <row r="33">
      <c r="A33" t="s">
        <v>2120</v>
      </c>
      <c r="B33" t="s">
        <v>219</v>
      </c>
      <c r="C33" t="s">
        <v>2097</v>
      </c>
      <c r="D33" t="s">
        <v>164</v>
      </c>
    </row>
    <row r="34">
      <c r="A34" t="s">
        <v>2120</v>
      </c>
      <c r="B34" t="s">
        <v>219</v>
      </c>
      <c r="C34" t="s">
        <v>2918</v>
      </c>
      <c r="D34" t="s">
        <v>2919</v>
      </c>
    </row>
    <row r="35">
      <c r="A35" t="s">
        <v>2124</v>
      </c>
      <c r="B35" t="s">
        <v>226</v>
      </c>
      <c r="C35" t="s">
        <v>2120</v>
      </c>
      <c r="D35" t="s">
        <v>219</v>
      </c>
    </row>
    <row r="36">
      <c r="A36" t="s">
        <v>2127</v>
      </c>
      <c r="B36" t="s">
        <v>231</v>
      </c>
      <c r="C36" t="s">
        <v>2124</v>
      </c>
      <c r="D36" t="s">
        <v>226</v>
      </c>
    </row>
    <row r="37">
      <c r="A37" t="s">
        <v>2127</v>
      </c>
      <c r="B37" t="s">
        <v>231</v>
      </c>
      <c r="D37" t="s">
        <v>3848</v>
      </c>
    </row>
    <row r="38">
      <c r="A38" t="s">
        <v>2130</v>
      </c>
      <c r="B38" t="s">
        <v>240</v>
      </c>
      <c r="C38" t="s">
        <v>2124</v>
      </c>
      <c r="D38" t="s">
        <v>226</v>
      </c>
    </row>
    <row r="39">
      <c r="A39" t="s">
        <v>2130</v>
      </c>
      <c r="B39" t="s">
        <v>240</v>
      </c>
      <c r="C39" t="s">
        <v>2133</v>
      </c>
      <c r="D39" t="s">
        <v>248</v>
      </c>
    </row>
    <row r="40">
      <c r="A40" t="s">
        <v>2130</v>
      </c>
      <c r="B40" t="s">
        <v>240</v>
      </c>
      <c r="C40" t="s">
        <v>2140</v>
      </c>
      <c r="D40" t="s">
        <v>263</v>
      </c>
    </row>
    <row r="41">
      <c r="A41" t="s">
        <v>2133</v>
      </c>
      <c r="B41" t="s">
        <v>248</v>
      </c>
      <c r="C41" t="s">
        <v>2120</v>
      </c>
      <c r="D41" t="s">
        <v>219</v>
      </c>
    </row>
    <row r="42">
      <c r="A42" t="s">
        <v>2136</v>
      </c>
      <c r="B42" t="s">
        <v>254</v>
      </c>
      <c r="C42" t="s">
        <v>2133</v>
      </c>
      <c r="D42" t="s">
        <v>248</v>
      </c>
    </row>
    <row r="43">
      <c r="A43" t="s">
        <v>2136</v>
      </c>
      <c r="B43" t="s">
        <v>254</v>
      </c>
      <c r="C43" t="s">
        <v>2161</v>
      </c>
      <c r="D43" t="s">
        <v>313</v>
      </c>
    </row>
    <row r="44">
      <c r="A44" t="s">
        <v>2136</v>
      </c>
      <c r="B44" t="s">
        <v>254</v>
      </c>
      <c r="C44" t="s">
        <v>2087</v>
      </c>
      <c r="D44" t="s">
        <v>128</v>
      </c>
    </row>
    <row r="45">
      <c r="A45" t="s">
        <v>2136</v>
      </c>
      <c r="B45" t="s">
        <v>254</v>
      </c>
      <c r="C45" t="s">
        <v>2945</v>
      </c>
      <c r="D45" t="s">
        <v>2946</v>
      </c>
    </row>
    <row r="46">
      <c r="A46" t="s">
        <v>2140</v>
      </c>
      <c r="B46" t="s">
        <v>263</v>
      </c>
      <c r="C46" t="s">
        <v>2124</v>
      </c>
      <c r="D46" t="s">
        <v>226</v>
      </c>
    </row>
    <row r="47">
      <c r="A47" t="s">
        <v>2140</v>
      </c>
      <c r="B47" t="s">
        <v>263</v>
      </c>
      <c r="C47" t="s">
        <v>2133</v>
      </c>
      <c r="D47" t="s">
        <v>248</v>
      </c>
    </row>
    <row r="48">
      <c r="A48" t="s">
        <v>2143</v>
      </c>
      <c r="B48" t="s">
        <v>271</v>
      </c>
      <c r="C48" t="s">
        <v>2140</v>
      </c>
      <c r="D48" t="s">
        <v>263</v>
      </c>
    </row>
    <row r="49">
      <c r="A49" t="s">
        <v>2146</v>
      </c>
      <c r="B49" t="s">
        <v>279</v>
      </c>
      <c r="C49" t="s">
        <v>2140</v>
      </c>
      <c r="D49" t="s">
        <v>263</v>
      </c>
    </row>
    <row r="50">
      <c r="A50" t="s">
        <v>2146</v>
      </c>
      <c r="B50" t="s">
        <v>279</v>
      </c>
      <c r="C50" t="s">
        <v>2133</v>
      </c>
      <c r="D50" t="s">
        <v>248</v>
      </c>
    </row>
    <row r="51">
      <c r="A51" t="s">
        <v>2149</v>
      </c>
      <c r="B51" t="s">
        <v>287</v>
      </c>
      <c r="C51" t="s">
        <v>2107</v>
      </c>
      <c r="D51" t="s">
        <v>184</v>
      </c>
    </row>
    <row r="52">
      <c r="A52" t="s">
        <v>2149</v>
      </c>
      <c r="B52" t="s">
        <v>287</v>
      </c>
      <c r="C52" t="s">
        <v>2199</v>
      </c>
      <c r="D52" t="s">
        <v>410</v>
      </c>
    </row>
    <row r="53">
      <c r="A53" t="s">
        <v>2152</v>
      </c>
      <c r="B53" t="s">
        <v>295</v>
      </c>
      <c r="C53" t="s">
        <v>2140</v>
      </c>
      <c r="D53" t="s">
        <v>263</v>
      </c>
    </row>
    <row r="54">
      <c r="A54" t="s">
        <v>2152</v>
      </c>
      <c r="B54" t="s">
        <v>295</v>
      </c>
      <c r="C54" t="s">
        <v>2124</v>
      </c>
      <c r="D54" t="s">
        <v>226</v>
      </c>
    </row>
    <row r="55">
      <c r="A55" t="s">
        <v>2152</v>
      </c>
      <c r="B55" t="s">
        <v>295</v>
      </c>
      <c r="C55" t="s">
        <v>2940</v>
      </c>
      <c r="D55" t="s">
        <v>2941</v>
      </c>
    </row>
    <row r="56">
      <c r="A56" t="s">
        <v>2156</v>
      </c>
      <c r="B56" t="s">
        <v>306</v>
      </c>
      <c r="C56" t="s">
        <v>2124</v>
      </c>
      <c r="D56" t="s">
        <v>226</v>
      </c>
    </row>
    <row r="57">
      <c r="A57" t="s">
        <v>2156</v>
      </c>
      <c r="B57" t="s">
        <v>306</v>
      </c>
      <c r="C57" t="s">
        <v>2133</v>
      </c>
      <c r="D57" t="s">
        <v>248</v>
      </c>
    </row>
    <row r="58">
      <c r="A58" t="s">
        <v>2156</v>
      </c>
      <c r="B58" t="s">
        <v>306</v>
      </c>
      <c r="C58" t="s">
        <v>2925</v>
      </c>
      <c r="D58" t="s">
        <v>2929</v>
      </c>
    </row>
    <row r="59">
      <c r="A59" t="s">
        <v>2161</v>
      </c>
      <c r="B59" t="s">
        <v>313</v>
      </c>
      <c r="D59" t="s">
        <v>3849</v>
      </c>
    </row>
    <row r="60">
      <c r="A60" t="s">
        <v>2161</v>
      </c>
      <c r="B60" t="s">
        <v>313</v>
      </c>
      <c r="C60" t="s">
        <v>2140</v>
      </c>
      <c r="D60" t="s">
        <v>263</v>
      </c>
    </row>
    <row r="61">
      <c r="A61" t="s">
        <v>2164</v>
      </c>
      <c r="B61" t="s">
        <v>322</v>
      </c>
      <c r="D61" t="s">
        <v>3849</v>
      </c>
    </row>
    <row r="62">
      <c r="A62" t="s">
        <v>2164</v>
      </c>
      <c r="B62" t="s">
        <v>322</v>
      </c>
      <c r="C62" t="s">
        <v>2133</v>
      </c>
      <c r="D62" t="s">
        <v>248</v>
      </c>
    </row>
    <row r="63">
      <c r="A63" t="s">
        <v>2167</v>
      </c>
      <c r="B63" t="s">
        <v>332</v>
      </c>
      <c r="C63" t="s">
        <v>2133</v>
      </c>
      <c r="D63" t="s">
        <v>248</v>
      </c>
    </row>
    <row r="64">
      <c r="A64" t="s">
        <v>2167</v>
      </c>
      <c r="B64" t="s">
        <v>332</v>
      </c>
      <c r="D64" t="s">
        <v>1727</v>
      </c>
    </row>
    <row r="65">
      <c r="A65" t="s">
        <v>2167</v>
      </c>
      <c r="B65" t="s">
        <v>332</v>
      </c>
      <c r="C65" t="s">
        <v>2092</v>
      </c>
      <c r="D65" t="s">
        <v>145</v>
      </c>
    </row>
    <row r="66">
      <c r="A66" t="s">
        <v>2170</v>
      </c>
      <c r="B66" t="s">
        <v>343</v>
      </c>
      <c r="C66" t="s">
        <v>2079</v>
      </c>
      <c r="D66" t="s">
        <v>106</v>
      </c>
    </row>
    <row r="67">
      <c r="A67" t="s">
        <v>2170</v>
      </c>
      <c r="B67" t="s">
        <v>343</v>
      </c>
      <c r="C67" t="s">
        <v>2107</v>
      </c>
      <c r="D67" t="s">
        <v>184</v>
      </c>
    </row>
    <row r="68">
      <c r="A68" t="s">
        <v>2170</v>
      </c>
      <c r="B68" t="s">
        <v>343</v>
      </c>
      <c r="C68" t="s">
        <v>2199</v>
      </c>
      <c r="D68" t="s">
        <v>410</v>
      </c>
    </row>
    <row r="69">
      <c r="A69" t="s">
        <v>2170</v>
      </c>
      <c r="B69" t="s">
        <v>343</v>
      </c>
      <c r="C69" t="s">
        <v>2124</v>
      </c>
      <c r="D69" t="s">
        <v>226</v>
      </c>
    </row>
    <row r="70">
      <c r="A70" t="s">
        <v>2170</v>
      </c>
      <c r="B70" t="s">
        <v>343</v>
      </c>
      <c r="C70" t="s">
        <v>2954</v>
      </c>
      <c r="D70" t="s">
        <v>2955</v>
      </c>
    </row>
    <row r="71">
      <c r="A71" t="s">
        <v>2174</v>
      </c>
      <c r="B71" t="s">
        <v>351</v>
      </c>
      <c r="C71" t="s">
        <v>2170</v>
      </c>
      <c r="D71" t="s">
        <v>343</v>
      </c>
    </row>
    <row r="72">
      <c r="A72" t="s">
        <v>2174</v>
      </c>
      <c r="B72" t="s">
        <v>351</v>
      </c>
      <c r="D72" t="s">
        <v>3850</v>
      </c>
    </row>
    <row r="73">
      <c r="A73" t="s">
        <v>2174</v>
      </c>
      <c r="B73" t="s">
        <v>351</v>
      </c>
      <c r="D73" t="s">
        <v>3851</v>
      </c>
    </row>
    <row r="74">
      <c r="A74" t="s">
        <v>2174</v>
      </c>
      <c r="B74" t="s">
        <v>351</v>
      </c>
      <c r="C74" t="s">
        <v>2133</v>
      </c>
      <c r="D74" t="s">
        <v>248</v>
      </c>
    </row>
    <row r="75">
      <c r="A75" t="s">
        <v>2177</v>
      </c>
      <c r="B75" t="s">
        <v>357</v>
      </c>
      <c r="C75" t="s">
        <v>2170</v>
      </c>
      <c r="D75" t="s">
        <v>343</v>
      </c>
    </row>
    <row r="76">
      <c r="A76" t="s">
        <v>2177</v>
      </c>
      <c r="B76" t="s">
        <v>357</v>
      </c>
      <c r="C76" t="s">
        <v>2079</v>
      </c>
      <c r="D76" t="s">
        <v>106</v>
      </c>
    </row>
    <row r="77">
      <c r="A77" t="s">
        <v>2180</v>
      </c>
      <c r="B77" t="s">
        <v>363</v>
      </c>
      <c r="C77" t="s">
        <v>2199</v>
      </c>
      <c r="D77" t="s">
        <v>410</v>
      </c>
    </row>
    <row r="78">
      <c r="A78" t="s">
        <v>2180</v>
      </c>
      <c r="B78" t="s">
        <v>363</v>
      </c>
      <c r="D78" t="s">
        <v>3852</v>
      </c>
    </row>
    <row r="79">
      <c r="A79" t="s">
        <v>2180</v>
      </c>
      <c r="B79" t="s">
        <v>363</v>
      </c>
      <c r="D79" t="s">
        <v>3853</v>
      </c>
    </row>
    <row r="80">
      <c r="A80" t="s">
        <v>2180</v>
      </c>
      <c r="B80" t="s">
        <v>363</v>
      </c>
      <c r="C80" t="s">
        <v>2954</v>
      </c>
      <c r="D80" t="s">
        <v>2955</v>
      </c>
    </row>
    <row r="81">
      <c r="A81" t="s">
        <v>2184</v>
      </c>
      <c r="B81" t="s">
        <v>369</v>
      </c>
      <c r="D81" t="s">
        <v>3854</v>
      </c>
    </row>
    <row r="82">
      <c r="A82" t="s">
        <v>2184</v>
      </c>
      <c r="B82" t="s">
        <v>369</v>
      </c>
      <c r="C82" t="s">
        <v>2081</v>
      </c>
      <c r="D82" t="s">
        <v>113</v>
      </c>
    </row>
    <row r="83">
      <c r="A83" t="s">
        <v>2184</v>
      </c>
      <c r="B83" t="s">
        <v>369</v>
      </c>
      <c r="C83" t="s">
        <v>2188</v>
      </c>
      <c r="D83" t="s">
        <v>378</v>
      </c>
    </row>
    <row r="84">
      <c r="A84" t="s">
        <v>2184</v>
      </c>
      <c r="B84" t="s">
        <v>369</v>
      </c>
      <c r="C84" t="s">
        <v>2998</v>
      </c>
      <c r="D84" t="s">
        <v>2999</v>
      </c>
    </row>
    <row r="85">
      <c r="A85" t="s">
        <v>2188</v>
      </c>
      <c r="B85" t="s">
        <v>378</v>
      </c>
      <c r="C85" t="s">
        <v>2170</v>
      </c>
      <c r="D85" t="s">
        <v>343</v>
      </c>
    </row>
    <row r="86">
      <c r="A86" t="s">
        <v>2188</v>
      </c>
      <c r="B86" t="s">
        <v>378</v>
      </c>
      <c r="D86" t="s">
        <v>3855</v>
      </c>
    </row>
    <row r="87">
      <c r="A87" t="s">
        <v>2188</v>
      </c>
      <c r="B87" t="s">
        <v>378</v>
      </c>
      <c r="C87" t="s">
        <v>2081</v>
      </c>
      <c r="D87" t="s">
        <v>113</v>
      </c>
    </row>
    <row r="88">
      <c r="A88" t="s">
        <v>2188</v>
      </c>
      <c r="B88" t="s">
        <v>378</v>
      </c>
      <c r="C88" t="s">
        <v>2199</v>
      </c>
      <c r="D88" t="s">
        <v>410</v>
      </c>
    </row>
    <row r="89">
      <c r="A89" t="s">
        <v>2191</v>
      </c>
      <c r="B89" t="s">
        <v>387</v>
      </c>
      <c r="C89" t="s">
        <v>2079</v>
      </c>
      <c r="D89" t="s">
        <v>106</v>
      </c>
    </row>
    <row r="90">
      <c r="A90" t="s">
        <v>2191</v>
      </c>
      <c r="B90" t="s">
        <v>387</v>
      </c>
      <c r="C90" t="s">
        <v>2180</v>
      </c>
      <c r="D90" t="s">
        <v>363</v>
      </c>
    </row>
    <row r="91">
      <c r="A91" t="s">
        <v>2193</v>
      </c>
      <c r="B91" t="s">
        <v>394</v>
      </c>
      <c r="C91" t="s">
        <v>2081</v>
      </c>
      <c r="D91" t="s">
        <v>113</v>
      </c>
    </row>
    <row r="92">
      <c r="A92" t="s">
        <v>2196</v>
      </c>
      <c r="B92" t="s">
        <v>400</v>
      </c>
      <c r="C92" t="s">
        <v>2079</v>
      </c>
      <c r="D92" t="s">
        <v>106</v>
      </c>
    </row>
    <row r="93">
      <c r="A93" t="s">
        <v>2196</v>
      </c>
      <c r="B93" t="s">
        <v>400</v>
      </c>
      <c r="C93" t="s">
        <v>2199</v>
      </c>
      <c r="D93" t="s">
        <v>410</v>
      </c>
    </row>
    <row r="94">
      <c r="A94" t="s">
        <v>2199</v>
      </c>
      <c r="B94" t="s">
        <v>410</v>
      </c>
      <c r="C94" t="s">
        <v>2097</v>
      </c>
      <c r="D94" t="s">
        <v>164</v>
      </c>
    </row>
    <row r="95">
      <c r="A95" t="s">
        <v>2199</v>
      </c>
      <c r="B95" t="s">
        <v>410</v>
      </c>
      <c r="C95" t="s">
        <v>2948</v>
      </c>
      <c r="D95" t="s">
        <v>2949</v>
      </c>
    </row>
    <row r="96">
      <c r="A96" t="s">
        <v>2199</v>
      </c>
      <c r="B96" t="s">
        <v>410</v>
      </c>
      <c r="C96" t="s">
        <v>2954</v>
      </c>
      <c r="D96" t="s">
        <v>2955</v>
      </c>
    </row>
    <row r="97">
      <c r="A97" t="s">
        <v>2203</v>
      </c>
      <c r="B97" t="s">
        <v>417</v>
      </c>
      <c r="C97" t="s">
        <v>2199</v>
      </c>
      <c r="D97" t="s">
        <v>410</v>
      </c>
    </row>
    <row r="98">
      <c r="A98" t="s">
        <v>2206</v>
      </c>
      <c r="B98" t="s">
        <v>423</v>
      </c>
      <c r="C98" t="s">
        <v>2199</v>
      </c>
      <c r="D98" t="s">
        <v>410</v>
      </c>
    </row>
    <row r="99">
      <c r="A99" t="s">
        <v>2206</v>
      </c>
      <c r="B99" t="s">
        <v>423</v>
      </c>
      <c r="C99" t="s">
        <v>2203</v>
      </c>
      <c r="D99" t="s">
        <v>417</v>
      </c>
    </row>
    <row r="100">
      <c r="A100" t="s">
        <v>2209</v>
      </c>
      <c r="B100" t="s">
        <v>432</v>
      </c>
      <c r="C100" t="s">
        <v>2097</v>
      </c>
      <c r="D100" t="s">
        <v>164</v>
      </c>
    </row>
    <row r="101">
      <c r="A101" t="s">
        <v>2209</v>
      </c>
      <c r="B101" t="s">
        <v>432</v>
      </c>
      <c r="D101" t="s">
        <v>3856</v>
      </c>
    </row>
    <row r="102">
      <c r="A102" t="s">
        <v>2212</v>
      </c>
      <c r="B102" t="s">
        <v>439</v>
      </c>
      <c r="C102" t="s">
        <v>2209</v>
      </c>
      <c r="D102" t="s">
        <v>432</v>
      </c>
    </row>
    <row r="103">
      <c r="A103" t="s">
        <v>2212</v>
      </c>
      <c r="B103" t="s">
        <v>439</v>
      </c>
      <c r="D103" t="s">
        <v>3857</v>
      </c>
    </row>
    <row r="104">
      <c r="A104" t="s">
        <v>2215</v>
      </c>
      <c r="B104" t="s">
        <v>447</v>
      </c>
      <c r="C104" t="s">
        <v>2199</v>
      </c>
      <c r="D104" t="s">
        <v>410</v>
      </c>
    </row>
    <row r="105">
      <c r="A105" t="s">
        <v>2215</v>
      </c>
      <c r="B105" t="s">
        <v>447</v>
      </c>
      <c r="D105" t="s">
        <v>3858</v>
      </c>
    </row>
    <row r="106">
      <c r="A106" t="s">
        <v>2218</v>
      </c>
      <c r="B106" t="s">
        <v>455</v>
      </c>
      <c r="C106" t="s">
        <v>2203</v>
      </c>
      <c r="D106" t="s">
        <v>417</v>
      </c>
    </row>
    <row r="107">
      <c r="A107" t="s">
        <v>2218</v>
      </c>
      <c r="B107" t="s">
        <v>455</v>
      </c>
      <c r="D107" t="s">
        <v>3859</v>
      </c>
    </row>
    <row r="108">
      <c r="A108" t="s">
        <v>2224</v>
      </c>
      <c r="B108" t="s">
        <v>467</v>
      </c>
      <c r="C108" t="s">
        <v>2071</v>
      </c>
      <c r="D108" t="s">
        <v>96</v>
      </c>
    </row>
    <row r="109">
      <c r="A109" t="s">
        <v>2224</v>
      </c>
      <c r="B109" t="s">
        <v>467</v>
      </c>
      <c r="C109" t="s">
        <v>2140</v>
      </c>
      <c r="D109" t="s">
        <v>263</v>
      </c>
    </row>
    <row r="110">
      <c r="A110" t="s">
        <v>2230</v>
      </c>
      <c r="B110" t="s">
        <v>475</v>
      </c>
      <c r="D110" t="s">
        <v>3860</v>
      </c>
    </row>
    <row r="111">
      <c r="A111" t="s">
        <v>2230</v>
      </c>
      <c r="B111" t="s">
        <v>475</v>
      </c>
      <c r="C111" t="s">
        <v>2224</v>
      </c>
      <c r="D111" t="s">
        <v>467</v>
      </c>
    </row>
    <row r="112">
      <c r="A112" t="s">
        <v>2230</v>
      </c>
      <c r="B112" t="s">
        <v>475</v>
      </c>
      <c r="C112" t="s">
        <v>2081</v>
      </c>
      <c r="D112" t="s">
        <v>113</v>
      </c>
    </row>
    <row r="113">
      <c r="A113" t="s">
        <v>2233</v>
      </c>
      <c r="B113" t="s">
        <v>481</v>
      </c>
      <c r="D113" t="s">
        <v>3861</v>
      </c>
    </row>
    <row r="114">
      <c r="A114" t="s">
        <v>2233</v>
      </c>
      <c r="B114" t="s">
        <v>481</v>
      </c>
      <c r="C114" t="s">
        <v>2140</v>
      </c>
      <c r="D114" t="s">
        <v>263</v>
      </c>
    </row>
    <row r="115">
      <c r="A115" t="s">
        <v>2236</v>
      </c>
      <c r="B115" t="s">
        <v>488</v>
      </c>
      <c r="D115" t="s">
        <v>3861</v>
      </c>
    </row>
    <row r="116">
      <c r="A116" t="s">
        <v>2236</v>
      </c>
      <c r="B116" t="s">
        <v>488</v>
      </c>
      <c r="C116" t="s">
        <v>2233</v>
      </c>
      <c r="D116" t="s">
        <v>481</v>
      </c>
    </row>
    <row r="117">
      <c r="A117" t="s">
        <v>2239</v>
      </c>
      <c r="B117" t="s">
        <v>496</v>
      </c>
      <c r="C117" t="s">
        <v>2081</v>
      </c>
      <c r="D117" t="s">
        <v>113</v>
      </c>
    </row>
    <row r="118">
      <c r="A118" t="s">
        <v>2239</v>
      </c>
      <c r="B118" t="s">
        <v>496</v>
      </c>
      <c r="D118" t="s">
        <v>3860</v>
      </c>
    </row>
    <row r="119">
      <c r="A119" t="s">
        <v>2242</v>
      </c>
      <c r="B119" t="s">
        <v>502</v>
      </c>
      <c r="C119" t="s">
        <v>2239</v>
      </c>
      <c r="D119" t="s">
        <v>496</v>
      </c>
    </row>
    <row r="120">
      <c r="A120" t="s">
        <v>2245</v>
      </c>
      <c r="B120" t="s">
        <v>508</v>
      </c>
      <c r="C120" t="s">
        <v>2239</v>
      </c>
      <c r="D120" t="s">
        <v>496</v>
      </c>
    </row>
    <row r="121">
      <c r="A121" t="s">
        <v>2245</v>
      </c>
      <c r="B121" t="s">
        <v>508</v>
      </c>
      <c r="C121" t="s">
        <v>2081</v>
      </c>
      <c r="D121" t="s">
        <v>113</v>
      </c>
    </row>
    <row r="122">
      <c r="A122" t="s">
        <v>2245</v>
      </c>
      <c r="B122" t="s">
        <v>508</v>
      </c>
      <c r="D122" t="s">
        <v>3860</v>
      </c>
    </row>
    <row r="123">
      <c r="A123" t="s">
        <v>2248</v>
      </c>
      <c r="B123" t="s">
        <v>515</v>
      </c>
      <c r="C123" t="s">
        <v>2239</v>
      </c>
      <c r="D123" t="s">
        <v>496</v>
      </c>
    </row>
    <row r="124">
      <c r="A124" t="s">
        <v>2248</v>
      </c>
      <c r="B124" t="s">
        <v>515</v>
      </c>
      <c r="C124" t="s">
        <v>2275</v>
      </c>
      <c r="D124" t="s">
        <v>587</v>
      </c>
    </row>
    <row r="125">
      <c r="A125" t="s">
        <v>2251</v>
      </c>
      <c r="B125" t="s">
        <v>524</v>
      </c>
      <c r="C125" t="s">
        <v>2239</v>
      </c>
      <c r="D125" t="s">
        <v>496</v>
      </c>
    </row>
    <row r="126">
      <c r="A126" t="s">
        <v>2251</v>
      </c>
      <c r="B126" t="s">
        <v>524</v>
      </c>
      <c r="D126" t="s">
        <v>3849</v>
      </c>
    </row>
    <row r="127">
      <c r="A127" t="s">
        <v>2254</v>
      </c>
      <c r="B127" t="s">
        <v>532</v>
      </c>
      <c r="D127" t="s">
        <v>3862</v>
      </c>
    </row>
    <row r="128">
      <c r="A128" t="s">
        <v>2254</v>
      </c>
      <c r="B128" t="s">
        <v>532</v>
      </c>
      <c r="C128" t="s">
        <v>2251</v>
      </c>
      <c r="D128" t="s">
        <v>524</v>
      </c>
    </row>
    <row r="129">
      <c r="A129" t="s">
        <v>2257</v>
      </c>
      <c r="B129" t="s">
        <v>538</v>
      </c>
      <c r="C129" t="s">
        <v>2196</v>
      </c>
      <c r="D129" t="s">
        <v>400</v>
      </c>
    </row>
    <row r="130">
      <c r="A130" t="s">
        <v>2257</v>
      </c>
      <c r="B130" t="s">
        <v>538</v>
      </c>
      <c r="C130" t="s">
        <v>2239</v>
      </c>
      <c r="D130" t="s">
        <v>496</v>
      </c>
    </row>
    <row r="131">
      <c r="A131" t="s">
        <v>2257</v>
      </c>
      <c r="B131" t="s">
        <v>538</v>
      </c>
      <c r="D131" t="s">
        <v>3863</v>
      </c>
    </row>
    <row r="132">
      <c r="A132" t="s">
        <v>2260</v>
      </c>
      <c r="B132" t="s">
        <v>548</v>
      </c>
      <c r="C132" t="s">
        <v>2084</v>
      </c>
      <c r="D132" t="s">
        <v>119</v>
      </c>
    </row>
    <row r="133">
      <c r="A133" t="s">
        <v>2260</v>
      </c>
      <c r="B133" t="s">
        <v>548</v>
      </c>
      <c r="C133" t="s">
        <v>2242</v>
      </c>
      <c r="D133" t="s">
        <v>502</v>
      </c>
    </row>
    <row r="134">
      <c r="A134" t="s">
        <v>2263</v>
      </c>
      <c r="B134" t="s">
        <v>556</v>
      </c>
      <c r="C134" t="s">
        <v>2260</v>
      </c>
      <c r="D134" t="s">
        <v>548</v>
      </c>
    </row>
    <row r="135">
      <c r="A135" t="s">
        <v>2266</v>
      </c>
      <c r="B135" t="s">
        <v>561</v>
      </c>
      <c r="C135" t="s">
        <v>2084</v>
      </c>
      <c r="D135" t="s">
        <v>119</v>
      </c>
    </row>
    <row r="136">
      <c r="A136" t="s">
        <v>2266</v>
      </c>
      <c r="B136" t="s">
        <v>561</v>
      </c>
      <c r="D136" t="s">
        <v>3864</v>
      </c>
    </row>
    <row r="137">
      <c r="A137" t="s">
        <v>2269</v>
      </c>
      <c r="B137" t="s">
        <v>569</v>
      </c>
      <c r="D137" t="s">
        <v>3865</v>
      </c>
    </row>
    <row r="138">
      <c r="A138" t="s">
        <v>2269</v>
      </c>
      <c r="B138" t="s">
        <v>569</v>
      </c>
      <c r="C138" t="s">
        <v>2084</v>
      </c>
      <c r="D138" t="s">
        <v>119</v>
      </c>
    </row>
    <row r="139">
      <c r="A139" t="s">
        <v>2272</v>
      </c>
      <c r="B139" t="s">
        <v>580</v>
      </c>
      <c r="D139" t="s">
        <v>3866</v>
      </c>
    </row>
    <row r="140">
      <c r="A140" t="s">
        <v>2272</v>
      </c>
      <c r="B140" t="s">
        <v>580</v>
      </c>
      <c r="C140" t="s">
        <v>2199</v>
      </c>
      <c r="D140" t="s">
        <v>410</v>
      </c>
    </row>
    <row r="141">
      <c r="A141" t="s">
        <v>2272</v>
      </c>
      <c r="B141" t="s">
        <v>580</v>
      </c>
      <c r="C141" t="s">
        <v>2081</v>
      </c>
      <c r="D141" t="s">
        <v>113</v>
      </c>
    </row>
    <row r="142">
      <c r="A142" t="s">
        <v>2275</v>
      </c>
      <c r="B142" t="s">
        <v>587</v>
      </c>
      <c r="D142" t="s">
        <v>3867</v>
      </c>
    </row>
    <row r="143">
      <c r="A143" t="s">
        <v>2275</v>
      </c>
      <c r="B143" t="s">
        <v>587</v>
      </c>
      <c r="D143" t="s">
        <v>3868</v>
      </c>
    </row>
    <row r="144">
      <c r="A144" t="s">
        <v>2275</v>
      </c>
      <c r="B144" t="s">
        <v>587</v>
      </c>
      <c r="C144" t="s">
        <v>2081</v>
      </c>
      <c r="D144" t="s">
        <v>113</v>
      </c>
    </row>
    <row r="145">
      <c r="A145" t="s">
        <v>2278</v>
      </c>
      <c r="B145" t="s">
        <v>593</v>
      </c>
      <c r="D145" t="s">
        <v>3855</v>
      </c>
    </row>
    <row r="146">
      <c r="A146" t="s">
        <v>2278</v>
      </c>
      <c r="B146" t="s">
        <v>593</v>
      </c>
      <c r="D146" t="s">
        <v>3867</v>
      </c>
    </row>
    <row r="147">
      <c r="A147" t="s">
        <v>2281</v>
      </c>
      <c r="B147" t="s">
        <v>602</v>
      </c>
      <c r="D147" t="s">
        <v>3867</v>
      </c>
    </row>
    <row r="148">
      <c r="A148" t="s">
        <v>2281</v>
      </c>
      <c r="B148" t="s">
        <v>602</v>
      </c>
      <c r="C148" t="s">
        <v>2087</v>
      </c>
      <c r="D148" t="s">
        <v>128</v>
      </c>
    </row>
    <row r="149">
      <c r="A149" t="s">
        <v>2281</v>
      </c>
      <c r="B149" t="s">
        <v>602</v>
      </c>
      <c r="C149" t="s">
        <v>2133</v>
      </c>
      <c r="D149" t="s">
        <v>248</v>
      </c>
    </row>
    <row r="150">
      <c r="A150" t="s">
        <v>2284</v>
      </c>
      <c r="B150" t="s">
        <v>610</v>
      </c>
      <c r="D150" t="s">
        <v>3869</v>
      </c>
    </row>
    <row r="151">
      <c r="A151" t="s">
        <v>2284</v>
      </c>
      <c r="B151" t="s">
        <v>610</v>
      </c>
      <c r="C151" t="s">
        <v>2199</v>
      </c>
      <c r="D151" t="s">
        <v>410</v>
      </c>
    </row>
    <row r="152">
      <c r="A152" t="s">
        <v>2287</v>
      </c>
      <c r="B152" t="s">
        <v>617</v>
      </c>
      <c r="C152" t="s">
        <v>2087</v>
      </c>
      <c r="D152" t="s">
        <v>128</v>
      </c>
    </row>
    <row r="153">
      <c r="A153" t="s">
        <v>2287</v>
      </c>
      <c r="B153" t="s">
        <v>617</v>
      </c>
      <c r="C153" t="s">
        <v>2140</v>
      </c>
      <c r="D153" t="s">
        <v>263</v>
      </c>
    </row>
    <row r="154">
      <c r="A154" t="s">
        <v>2290</v>
      </c>
      <c r="B154" t="s">
        <v>624</v>
      </c>
      <c r="C154" t="s">
        <v>2140</v>
      </c>
      <c r="D154" t="s">
        <v>263</v>
      </c>
    </row>
    <row r="155">
      <c r="A155" t="s">
        <v>2290</v>
      </c>
      <c r="B155" t="s">
        <v>624</v>
      </c>
      <c r="D155" t="s">
        <v>3870</v>
      </c>
    </row>
    <row r="156">
      <c r="A156" t="s">
        <v>2293</v>
      </c>
      <c r="B156" t="s">
        <v>634</v>
      </c>
      <c r="C156" t="s">
        <v>2084</v>
      </c>
      <c r="D156" t="s">
        <v>119</v>
      </c>
    </row>
    <row r="157">
      <c r="A157" t="s">
        <v>2293</v>
      </c>
      <c r="B157" t="s">
        <v>634</v>
      </c>
      <c r="D157" t="s">
        <v>3867</v>
      </c>
    </row>
    <row r="158">
      <c r="A158" t="s">
        <v>2296</v>
      </c>
      <c r="B158" t="s">
        <v>641</v>
      </c>
      <c r="D158" t="s">
        <v>642</v>
      </c>
    </row>
    <row r="159">
      <c r="A159" t="s">
        <v>2299</v>
      </c>
      <c r="B159" t="s">
        <v>647</v>
      </c>
      <c r="C159" t="s">
        <v>2092</v>
      </c>
      <c r="D159" t="s">
        <v>145</v>
      </c>
    </row>
    <row r="160">
      <c r="A160" t="s">
        <v>2299</v>
      </c>
      <c r="B160" t="s">
        <v>647</v>
      </c>
      <c r="C160" t="s">
        <v>2084</v>
      </c>
      <c r="D160" t="s">
        <v>119</v>
      </c>
    </row>
    <row r="161">
      <c r="A161" t="s">
        <v>2302</v>
      </c>
      <c r="B161" t="s">
        <v>656</v>
      </c>
      <c r="D161" t="s">
        <v>3865</v>
      </c>
    </row>
    <row r="162">
      <c r="A162" t="s">
        <v>2302</v>
      </c>
      <c r="B162" t="s">
        <v>656</v>
      </c>
      <c r="C162" t="s">
        <v>2140</v>
      </c>
      <c r="D162" t="s">
        <v>263</v>
      </c>
    </row>
    <row r="163">
      <c r="A163" t="s">
        <v>2305</v>
      </c>
      <c r="B163" t="s">
        <v>664</v>
      </c>
      <c r="C163" t="s">
        <v>2084</v>
      </c>
      <c r="D163" t="s">
        <v>119</v>
      </c>
    </row>
    <row r="164">
      <c r="A164" t="s">
        <v>2305</v>
      </c>
      <c r="B164" t="s">
        <v>664</v>
      </c>
      <c r="D164" t="s">
        <v>3871</v>
      </c>
    </row>
    <row r="165">
      <c r="A165" t="s">
        <v>2308</v>
      </c>
      <c r="B165" t="s">
        <v>671</v>
      </c>
      <c r="D165" t="s">
        <v>3872</v>
      </c>
    </row>
    <row r="166">
      <c r="A166" t="s">
        <v>2308</v>
      </c>
      <c r="B166" t="s">
        <v>671</v>
      </c>
      <c r="C166" t="s">
        <v>2140</v>
      </c>
      <c r="D166" t="s">
        <v>263</v>
      </c>
    </row>
    <row r="167">
      <c r="A167" t="s">
        <v>2308</v>
      </c>
      <c r="B167" t="s">
        <v>671</v>
      </c>
      <c r="D167" t="s">
        <v>3873</v>
      </c>
    </row>
    <row r="168">
      <c r="A168" t="s">
        <v>2311</v>
      </c>
      <c r="B168" t="s">
        <v>683</v>
      </c>
      <c r="C168" t="s">
        <v>2092</v>
      </c>
      <c r="D168" t="s">
        <v>145</v>
      </c>
    </row>
    <row r="169">
      <c r="A169" t="s">
        <v>2311</v>
      </c>
      <c r="B169" t="s">
        <v>683</v>
      </c>
      <c r="C169" t="s">
        <v>2156</v>
      </c>
      <c r="D169" t="s">
        <v>306</v>
      </c>
    </row>
    <row r="170">
      <c r="A170" t="s">
        <v>2314</v>
      </c>
      <c r="B170" t="s">
        <v>691</v>
      </c>
      <c r="C170" t="s">
        <v>2311</v>
      </c>
      <c r="D170" t="s">
        <v>683</v>
      </c>
    </row>
    <row r="171">
      <c r="A171" t="s">
        <v>2317</v>
      </c>
      <c r="B171" t="s">
        <v>697</v>
      </c>
      <c r="C171" t="s">
        <v>2311</v>
      </c>
      <c r="D171" t="s">
        <v>683</v>
      </c>
    </row>
    <row r="172">
      <c r="A172" t="s">
        <v>2320</v>
      </c>
      <c r="B172" t="s">
        <v>702</v>
      </c>
      <c r="C172" t="s">
        <v>2311</v>
      </c>
      <c r="D172" t="s">
        <v>683</v>
      </c>
    </row>
    <row r="173">
      <c r="A173" t="s">
        <v>2323</v>
      </c>
      <c r="B173" t="s">
        <v>707</v>
      </c>
      <c r="C173" t="s">
        <v>2320</v>
      </c>
      <c r="D173" t="s">
        <v>702</v>
      </c>
    </row>
    <row r="174">
      <c r="A174" t="s">
        <v>2326</v>
      </c>
      <c r="B174" t="s">
        <v>713</v>
      </c>
      <c r="C174" t="s">
        <v>2323</v>
      </c>
      <c r="D174" t="s">
        <v>707</v>
      </c>
    </row>
    <row r="175">
      <c r="A175" t="s">
        <v>2326</v>
      </c>
      <c r="B175" t="s">
        <v>713</v>
      </c>
      <c r="C175" t="s">
        <v>2140</v>
      </c>
      <c r="D175" t="s">
        <v>263</v>
      </c>
    </row>
    <row r="176">
      <c r="A176" t="s">
        <v>2329</v>
      </c>
      <c r="B176" t="s">
        <v>721</v>
      </c>
      <c r="C176" t="s">
        <v>2311</v>
      </c>
      <c r="D176" t="s">
        <v>683</v>
      </c>
    </row>
    <row r="177">
      <c r="A177" t="s">
        <v>2329</v>
      </c>
      <c r="B177" t="s">
        <v>721</v>
      </c>
      <c r="C177" t="s">
        <v>2092</v>
      </c>
      <c r="D177" t="s">
        <v>145</v>
      </c>
    </row>
    <row r="178">
      <c r="A178" t="s">
        <v>2332</v>
      </c>
      <c r="B178" t="s">
        <v>728</v>
      </c>
      <c r="C178" t="s">
        <v>2326</v>
      </c>
      <c r="D178" t="s">
        <v>713</v>
      </c>
    </row>
    <row r="179">
      <c r="A179" t="s">
        <v>2332</v>
      </c>
      <c r="B179" t="s">
        <v>728</v>
      </c>
      <c r="C179" t="s">
        <v>2156</v>
      </c>
      <c r="D179" t="s">
        <v>306</v>
      </c>
    </row>
    <row r="180">
      <c r="A180" t="s">
        <v>2335</v>
      </c>
      <c r="B180" t="s">
        <v>736</v>
      </c>
      <c r="C180" t="s">
        <v>2071</v>
      </c>
      <c r="D180" t="s">
        <v>96</v>
      </c>
    </row>
    <row r="181">
      <c r="A181" t="s">
        <v>2335</v>
      </c>
      <c r="B181" t="s">
        <v>736</v>
      </c>
      <c r="C181" t="s">
        <v>2311</v>
      </c>
      <c r="D181" t="s">
        <v>683</v>
      </c>
    </row>
    <row r="182">
      <c r="A182" t="s">
        <v>2338</v>
      </c>
      <c r="B182" t="s">
        <v>743</v>
      </c>
      <c r="C182" t="s">
        <v>2079</v>
      </c>
      <c r="D182" t="s">
        <v>106</v>
      </c>
    </row>
    <row r="183">
      <c r="A183" t="s">
        <v>2338</v>
      </c>
      <c r="B183" t="s">
        <v>743</v>
      </c>
      <c r="C183" t="s">
        <v>2311</v>
      </c>
      <c r="D183" t="s">
        <v>683</v>
      </c>
    </row>
    <row r="184">
      <c r="A184" t="s">
        <v>2340</v>
      </c>
      <c r="B184" t="s">
        <v>749</v>
      </c>
      <c r="D184" t="s">
        <v>3874</v>
      </c>
    </row>
    <row r="185">
      <c r="A185" t="s">
        <v>2340</v>
      </c>
      <c r="B185" t="s">
        <v>749</v>
      </c>
      <c r="C185" t="s">
        <v>2164</v>
      </c>
      <c r="D185" t="s">
        <v>322</v>
      </c>
    </row>
    <row r="186">
      <c r="A186" t="s">
        <v>2343</v>
      </c>
      <c r="B186" t="s">
        <v>758</v>
      </c>
      <c r="C186" t="s">
        <v>2311</v>
      </c>
      <c r="D186" t="s">
        <v>683</v>
      </c>
    </row>
    <row r="187">
      <c r="A187" t="s">
        <v>2346</v>
      </c>
      <c r="B187" t="s">
        <v>764</v>
      </c>
      <c r="C187" t="s">
        <v>2343</v>
      </c>
      <c r="D187" t="s">
        <v>758</v>
      </c>
    </row>
    <row r="188">
      <c r="A188" t="s">
        <v>2349</v>
      </c>
      <c r="B188" t="s">
        <v>769</v>
      </c>
      <c r="C188" t="s">
        <v>2269</v>
      </c>
      <c r="D188" t="s">
        <v>569</v>
      </c>
    </row>
    <row r="189">
      <c r="A189" t="s">
        <v>2351</v>
      </c>
      <c r="B189" t="s">
        <v>775</v>
      </c>
      <c r="C189" t="s">
        <v>2092</v>
      </c>
      <c r="D189" t="s">
        <v>145</v>
      </c>
    </row>
    <row r="190">
      <c r="A190" t="s">
        <v>2351</v>
      </c>
      <c r="B190" t="s">
        <v>775</v>
      </c>
      <c r="C190" t="s">
        <v>2329</v>
      </c>
      <c r="D190" t="s">
        <v>721</v>
      </c>
    </row>
    <row r="191">
      <c r="A191" t="s">
        <v>2354</v>
      </c>
      <c r="B191" t="s">
        <v>783</v>
      </c>
      <c r="C191" t="s">
        <v>2311</v>
      </c>
      <c r="D191" t="s">
        <v>683</v>
      </c>
    </row>
    <row r="192">
      <c r="A192" t="s">
        <v>2357</v>
      </c>
      <c r="B192" t="s">
        <v>790</v>
      </c>
      <c r="C192" t="s">
        <v>2354</v>
      </c>
      <c r="D192" t="s">
        <v>783</v>
      </c>
    </row>
    <row r="193">
      <c r="A193" t="s">
        <v>2360</v>
      </c>
      <c r="B193" t="s">
        <v>795</v>
      </c>
      <c r="C193" t="s">
        <v>2354</v>
      </c>
      <c r="D193" t="s">
        <v>783</v>
      </c>
    </row>
    <row r="194">
      <c r="A194" t="s">
        <v>2363</v>
      </c>
      <c r="B194" t="s">
        <v>800</v>
      </c>
      <c r="C194" t="s">
        <v>2343</v>
      </c>
      <c r="D194" t="s">
        <v>758</v>
      </c>
    </row>
    <row r="195">
      <c r="A195" t="s">
        <v>2366</v>
      </c>
      <c r="B195" t="s">
        <v>808</v>
      </c>
      <c r="C195" t="s">
        <v>2311</v>
      </c>
      <c r="D195" t="s">
        <v>683</v>
      </c>
    </row>
    <row r="196">
      <c r="A196" t="s">
        <v>2369</v>
      </c>
      <c r="B196" t="s">
        <v>815</v>
      </c>
      <c r="C196" t="s">
        <v>2366</v>
      </c>
      <c r="D196" t="s">
        <v>808</v>
      </c>
    </row>
    <row r="197">
      <c r="A197" t="s">
        <v>2372</v>
      </c>
      <c r="B197" t="s">
        <v>820</v>
      </c>
      <c r="C197" t="s">
        <v>2366</v>
      </c>
      <c r="D197" t="s">
        <v>808</v>
      </c>
    </row>
    <row r="198">
      <c r="A198" t="s">
        <v>2375</v>
      </c>
      <c r="B198" t="s">
        <v>826</v>
      </c>
      <c r="C198" t="s">
        <v>2754</v>
      </c>
      <c r="D198" t="s">
        <v>1735</v>
      </c>
    </row>
    <row r="199">
      <c r="A199" t="s">
        <v>2375</v>
      </c>
      <c r="B199" t="s">
        <v>826</v>
      </c>
      <c r="C199" t="s">
        <v>2311</v>
      </c>
      <c r="D199" t="s">
        <v>683</v>
      </c>
    </row>
    <row r="200">
      <c r="A200" t="s">
        <v>2378</v>
      </c>
      <c r="B200" t="s">
        <v>836</v>
      </c>
      <c r="C200" t="s">
        <v>2112</v>
      </c>
      <c r="D200" t="s">
        <v>198</v>
      </c>
    </row>
    <row r="201">
      <c r="A201" t="s">
        <v>2378</v>
      </c>
      <c r="B201" t="s">
        <v>836</v>
      </c>
      <c r="C201" t="s">
        <v>2311</v>
      </c>
      <c r="D201" t="s">
        <v>683</v>
      </c>
    </row>
    <row r="202">
      <c r="A202" t="s">
        <v>2381</v>
      </c>
      <c r="B202" t="s">
        <v>843</v>
      </c>
      <c r="C202" t="s">
        <v>2079</v>
      </c>
      <c r="D202" t="s">
        <v>106</v>
      </c>
    </row>
    <row r="203">
      <c r="A203" t="s">
        <v>2381</v>
      </c>
      <c r="B203" t="s">
        <v>843</v>
      </c>
      <c r="C203" t="s">
        <v>2140</v>
      </c>
      <c r="D203" t="s">
        <v>263</v>
      </c>
    </row>
    <row r="204">
      <c r="A204" t="s">
        <v>2384</v>
      </c>
      <c r="B204" t="s">
        <v>850</v>
      </c>
      <c r="C204" t="s">
        <v>2140</v>
      </c>
      <c r="D204" t="s">
        <v>263</v>
      </c>
    </row>
    <row r="205">
      <c r="A205" t="s">
        <v>2384</v>
      </c>
      <c r="B205" t="s">
        <v>850</v>
      </c>
      <c r="C205" t="s">
        <v>2354</v>
      </c>
      <c r="D205" t="s">
        <v>783</v>
      </c>
    </row>
    <row r="206">
      <c r="A206" t="s">
        <v>2387</v>
      </c>
      <c r="B206" t="s">
        <v>857</v>
      </c>
      <c r="C206" t="s">
        <v>2378</v>
      </c>
      <c r="D206" t="s">
        <v>836</v>
      </c>
    </row>
    <row r="207">
      <c r="A207" t="s">
        <v>2390</v>
      </c>
      <c r="B207" t="s">
        <v>864</v>
      </c>
      <c r="C207" t="s">
        <v>2326</v>
      </c>
      <c r="D207" t="s">
        <v>713</v>
      </c>
    </row>
    <row r="208">
      <c r="A208" t="s">
        <v>2390</v>
      </c>
      <c r="B208" t="s">
        <v>864</v>
      </c>
      <c r="C208" t="s">
        <v>2084</v>
      </c>
      <c r="D208" t="s">
        <v>119</v>
      </c>
    </row>
    <row r="209">
      <c r="A209" t="s">
        <v>2393</v>
      </c>
      <c r="B209" t="s">
        <v>870</v>
      </c>
      <c r="C209" t="s">
        <v>2354</v>
      </c>
      <c r="D209" t="s">
        <v>783</v>
      </c>
    </row>
    <row r="210">
      <c r="A210" t="s">
        <v>2393</v>
      </c>
      <c r="B210" t="s">
        <v>870</v>
      </c>
      <c r="C210" t="s">
        <v>2390</v>
      </c>
      <c r="D210" t="s">
        <v>864</v>
      </c>
    </row>
    <row r="211">
      <c r="A211" t="s">
        <v>2396</v>
      </c>
      <c r="B211" t="s">
        <v>877</v>
      </c>
      <c r="C211" t="s">
        <v>2354</v>
      </c>
      <c r="D211" t="s">
        <v>783</v>
      </c>
    </row>
    <row r="212">
      <c r="A212" t="s">
        <v>2399</v>
      </c>
      <c r="B212" t="s">
        <v>882</v>
      </c>
      <c r="C212" t="s">
        <v>2266</v>
      </c>
      <c r="D212" t="s">
        <v>561</v>
      </c>
    </row>
    <row r="213">
      <c r="A213" t="s">
        <v>2399</v>
      </c>
      <c r="B213" t="s">
        <v>882</v>
      </c>
      <c r="C213" t="s">
        <v>2140</v>
      </c>
      <c r="D213" t="s">
        <v>263</v>
      </c>
    </row>
    <row r="214">
      <c r="A214" t="s">
        <v>2402</v>
      </c>
      <c r="B214" t="s">
        <v>889</v>
      </c>
      <c r="C214" t="s">
        <v>2161</v>
      </c>
      <c r="D214" t="s">
        <v>313</v>
      </c>
    </row>
    <row r="215">
      <c r="A215" t="s">
        <v>2402</v>
      </c>
      <c r="B215" t="s">
        <v>889</v>
      </c>
      <c r="C215" t="s">
        <v>2390</v>
      </c>
      <c r="D215" t="s">
        <v>864</v>
      </c>
    </row>
    <row r="216">
      <c r="A216" t="s">
        <v>2405</v>
      </c>
      <c r="B216" t="s">
        <v>899</v>
      </c>
      <c r="C216" t="s">
        <v>2087</v>
      </c>
      <c r="D216" t="s">
        <v>128</v>
      </c>
    </row>
    <row r="217">
      <c r="A217" t="s">
        <v>2405</v>
      </c>
      <c r="B217" t="s">
        <v>899</v>
      </c>
      <c r="C217" t="s">
        <v>2140</v>
      </c>
      <c r="D217" t="s">
        <v>263</v>
      </c>
    </row>
    <row r="218">
      <c r="A218" t="s">
        <v>2408</v>
      </c>
      <c r="B218" t="s">
        <v>906</v>
      </c>
      <c r="C218" t="s">
        <v>2405</v>
      </c>
      <c r="D218" t="s">
        <v>899</v>
      </c>
    </row>
    <row r="219">
      <c r="A219" t="s">
        <v>2408</v>
      </c>
      <c r="B219" t="s">
        <v>906</v>
      </c>
      <c r="C219" t="s">
        <v>2354</v>
      </c>
      <c r="D219" t="s">
        <v>783</v>
      </c>
    </row>
    <row r="220">
      <c r="A220" t="s">
        <v>2411</v>
      </c>
      <c r="B220" t="s">
        <v>912</v>
      </c>
      <c r="C220" t="s">
        <v>2281</v>
      </c>
      <c r="D220" t="s">
        <v>602</v>
      </c>
    </row>
    <row r="221">
      <c r="A221" t="s">
        <v>2411</v>
      </c>
      <c r="B221" t="s">
        <v>912</v>
      </c>
      <c r="C221" t="s">
        <v>2405</v>
      </c>
      <c r="D221" t="s">
        <v>899</v>
      </c>
    </row>
    <row r="222">
      <c r="A222" t="s">
        <v>2414</v>
      </c>
      <c r="B222" t="s">
        <v>919</v>
      </c>
      <c r="C222" t="s">
        <v>2084</v>
      </c>
      <c r="D222" t="s">
        <v>119</v>
      </c>
    </row>
    <row r="223">
      <c r="A223" t="s">
        <v>2417</v>
      </c>
      <c r="B223" t="s">
        <v>925</v>
      </c>
      <c r="C223" t="s">
        <v>2727</v>
      </c>
      <c r="D223" t="s">
        <v>1671</v>
      </c>
    </row>
    <row r="224">
      <c r="A224" t="s">
        <v>2417</v>
      </c>
      <c r="B224" t="s">
        <v>925</v>
      </c>
      <c r="C224" t="s">
        <v>2136</v>
      </c>
      <c r="D224" t="s">
        <v>254</v>
      </c>
    </row>
    <row r="225">
      <c r="A225" t="s">
        <v>2420</v>
      </c>
      <c r="B225" t="s">
        <v>935</v>
      </c>
      <c r="C225" t="s">
        <v>2366</v>
      </c>
      <c r="D225" t="s">
        <v>808</v>
      </c>
    </row>
    <row r="226">
      <c r="A226" t="s">
        <v>2423</v>
      </c>
      <c r="B226" t="s">
        <v>940</v>
      </c>
      <c r="C226" t="s">
        <v>2420</v>
      </c>
      <c r="D226" t="s">
        <v>935</v>
      </c>
    </row>
    <row r="227">
      <c r="A227" t="s">
        <v>2423</v>
      </c>
      <c r="B227" t="s">
        <v>940</v>
      </c>
      <c r="C227" t="s">
        <v>2140</v>
      </c>
      <c r="D227" t="s">
        <v>263</v>
      </c>
    </row>
    <row r="228">
      <c r="A228" t="s">
        <v>2426</v>
      </c>
      <c r="B228" t="s">
        <v>946</v>
      </c>
      <c r="C228" t="s">
        <v>2084</v>
      </c>
      <c r="D228" t="s">
        <v>119</v>
      </c>
    </row>
    <row r="229">
      <c r="A229" t="s">
        <v>2426</v>
      </c>
      <c r="B229" t="s">
        <v>946</v>
      </c>
      <c r="C229" t="s">
        <v>2423</v>
      </c>
      <c r="D229" t="s">
        <v>940</v>
      </c>
    </row>
    <row r="230">
      <c r="A230" t="s">
        <v>2429</v>
      </c>
      <c r="B230" t="s">
        <v>953</v>
      </c>
      <c r="C230" t="s">
        <v>2084</v>
      </c>
      <c r="D230" t="s">
        <v>119</v>
      </c>
    </row>
    <row r="231">
      <c r="A231" t="s">
        <v>2431</v>
      </c>
      <c r="B231" t="s">
        <v>962</v>
      </c>
      <c r="C231" t="s">
        <v>2092</v>
      </c>
      <c r="D231" t="s">
        <v>145</v>
      </c>
    </row>
    <row r="232">
      <c r="A232" t="s">
        <v>2431</v>
      </c>
      <c r="B232" t="s">
        <v>962</v>
      </c>
      <c r="C232" t="s">
        <v>2140</v>
      </c>
      <c r="D232" t="s">
        <v>263</v>
      </c>
    </row>
    <row r="233">
      <c r="A233" t="s">
        <v>2431</v>
      </c>
      <c r="B233" t="s">
        <v>962</v>
      </c>
      <c r="C233" t="s">
        <v>2071</v>
      </c>
      <c r="D233" t="s">
        <v>96</v>
      </c>
    </row>
    <row r="234">
      <c r="A234" t="s">
        <v>2431</v>
      </c>
      <c r="B234" t="s">
        <v>962</v>
      </c>
      <c r="C234" t="s">
        <v>2156</v>
      </c>
      <c r="D234" t="s">
        <v>306</v>
      </c>
    </row>
    <row r="235">
      <c r="A235" t="s">
        <v>2439</v>
      </c>
      <c r="B235" t="s">
        <v>973</v>
      </c>
      <c r="C235" t="s">
        <v>2170</v>
      </c>
      <c r="D235" t="s">
        <v>343</v>
      </c>
    </row>
    <row r="236">
      <c r="A236" t="s">
        <v>2439</v>
      </c>
      <c r="B236" t="s">
        <v>973</v>
      </c>
      <c r="C236" t="s">
        <v>2081</v>
      </c>
      <c r="D236" t="s">
        <v>113</v>
      </c>
    </row>
    <row r="237">
      <c r="A237" t="s">
        <v>2439</v>
      </c>
      <c r="B237" t="s">
        <v>973</v>
      </c>
      <c r="D237" t="s">
        <v>3860</v>
      </c>
    </row>
    <row r="238">
      <c r="A238" t="s">
        <v>2446</v>
      </c>
      <c r="B238" t="s">
        <v>981</v>
      </c>
      <c r="C238" t="s">
        <v>2140</v>
      </c>
      <c r="D238" t="s">
        <v>263</v>
      </c>
    </row>
    <row r="239">
      <c r="A239" t="s">
        <v>2446</v>
      </c>
      <c r="B239" t="s">
        <v>981</v>
      </c>
      <c r="C239" t="s">
        <v>2081</v>
      </c>
      <c r="D239" t="s">
        <v>113</v>
      </c>
    </row>
    <row r="240">
      <c r="A240" t="s">
        <v>2446</v>
      </c>
      <c r="B240" t="s">
        <v>981</v>
      </c>
      <c r="C240" t="s">
        <v>2133</v>
      </c>
      <c r="D240" t="s">
        <v>248</v>
      </c>
    </row>
    <row r="241">
      <c r="A241" t="s">
        <v>2449</v>
      </c>
      <c r="B241" t="s">
        <v>987</v>
      </c>
      <c r="C241" t="s">
        <v>2081</v>
      </c>
      <c r="D241" t="s">
        <v>113</v>
      </c>
    </row>
    <row r="242">
      <c r="A242" t="s">
        <v>2449</v>
      </c>
      <c r="B242" t="s">
        <v>987</v>
      </c>
      <c r="D242" t="s">
        <v>3875</v>
      </c>
    </row>
    <row r="243">
      <c r="A243" t="s">
        <v>2452</v>
      </c>
      <c r="B243" t="s">
        <v>993</v>
      </c>
      <c r="D243" t="s">
        <v>3864</v>
      </c>
    </row>
    <row r="244">
      <c r="A244" t="s">
        <v>2452</v>
      </c>
      <c r="B244" t="s">
        <v>993</v>
      </c>
      <c r="C244" t="s">
        <v>2188</v>
      </c>
      <c r="D244" t="s">
        <v>378</v>
      </c>
    </row>
    <row r="245">
      <c r="A245" t="s">
        <v>2455</v>
      </c>
      <c r="B245" t="s">
        <v>1001</v>
      </c>
      <c r="D245" t="s">
        <v>3876</v>
      </c>
    </row>
    <row r="246">
      <c r="A246" t="s">
        <v>2455</v>
      </c>
      <c r="B246" t="s">
        <v>1001</v>
      </c>
      <c r="C246" t="s">
        <v>2143</v>
      </c>
      <c r="D246" t="s">
        <v>271</v>
      </c>
    </row>
    <row r="247">
      <c r="A247" t="s">
        <v>2455</v>
      </c>
      <c r="B247" t="s">
        <v>1001</v>
      </c>
      <c r="D247" t="s">
        <v>3877</v>
      </c>
    </row>
    <row r="248">
      <c r="A248" t="s">
        <v>2458</v>
      </c>
      <c r="B248" t="s">
        <v>1007</v>
      </c>
      <c r="C248" t="s">
        <v>2081</v>
      </c>
      <c r="D248" t="s">
        <v>113</v>
      </c>
    </row>
    <row r="249">
      <c r="A249" t="s">
        <v>2458</v>
      </c>
      <c r="B249" t="s">
        <v>1007</v>
      </c>
      <c r="D249" t="s">
        <v>3878</v>
      </c>
    </row>
    <row r="250">
      <c r="A250" t="s">
        <v>2458</v>
      </c>
      <c r="B250" t="s">
        <v>1007</v>
      </c>
      <c r="C250" t="s">
        <v>2188</v>
      </c>
      <c r="D250" t="s">
        <v>378</v>
      </c>
    </row>
    <row r="251">
      <c r="A251" t="s">
        <v>2461</v>
      </c>
      <c r="B251" t="s">
        <v>1015</v>
      </c>
      <c r="C251" t="s">
        <v>2081</v>
      </c>
      <c r="D251" t="s">
        <v>113</v>
      </c>
    </row>
    <row r="252">
      <c r="A252" t="s">
        <v>2461</v>
      </c>
      <c r="B252" t="s">
        <v>1015</v>
      </c>
      <c r="C252" t="s">
        <v>2188</v>
      </c>
      <c r="D252" t="s">
        <v>378</v>
      </c>
    </row>
    <row r="253">
      <c r="A253" t="s">
        <v>2464</v>
      </c>
      <c r="B253" t="s">
        <v>1022</v>
      </c>
      <c r="D253" t="s">
        <v>3864</v>
      </c>
    </row>
    <row r="254">
      <c r="A254" t="s">
        <v>2464</v>
      </c>
      <c r="B254" t="s">
        <v>1022</v>
      </c>
      <c r="C254" t="s">
        <v>2084</v>
      </c>
      <c r="D254" t="s">
        <v>119</v>
      </c>
    </row>
    <row r="255">
      <c r="A255" t="s">
        <v>2467</v>
      </c>
      <c r="B255" t="s">
        <v>1029</v>
      </c>
      <c r="C255" t="s">
        <v>2140</v>
      </c>
      <c r="D255" t="s">
        <v>263</v>
      </c>
    </row>
    <row r="256">
      <c r="A256" t="s">
        <v>2467</v>
      </c>
      <c r="B256" t="s">
        <v>1029</v>
      </c>
      <c r="C256" t="s">
        <v>2133</v>
      </c>
      <c r="D256" t="s">
        <v>248</v>
      </c>
    </row>
    <row r="257">
      <c r="A257" t="s">
        <v>2467</v>
      </c>
      <c r="B257" t="s">
        <v>1029</v>
      </c>
      <c r="C257" t="s">
        <v>2970</v>
      </c>
      <c r="D257" t="s">
        <v>2971</v>
      </c>
    </row>
    <row r="258">
      <c r="A258" t="s">
        <v>2471</v>
      </c>
      <c r="B258" t="s">
        <v>1035</v>
      </c>
      <c r="D258" t="s">
        <v>3864</v>
      </c>
    </row>
    <row r="259">
      <c r="A259" t="s">
        <v>2471</v>
      </c>
      <c r="B259" t="s">
        <v>1035</v>
      </c>
      <c r="D259" t="s">
        <v>3879</v>
      </c>
    </row>
    <row r="260">
      <c r="A260" t="s">
        <v>2474</v>
      </c>
      <c r="B260" t="s">
        <v>1043</v>
      </c>
      <c r="C260" t="s">
        <v>2081</v>
      </c>
      <c r="D260" t="s">
        <v>113</v>
      </c>
    </row>
    <row r="261">
      <c r="A261" t="s">
        <v>2474</v>
      </c>
      <c r="B261" t="s">
        <v>1043</v>
      </c>
      <c r="D261" t="s">
        <v>3877</v>
      </c>
    </row>
    <row r="262">
      <c r="A262" t="s">
        <v>2477</v>
      </c>
      <c r="B262" t="s">
        <v>1050</v>
      </c>
      <c r="C262" t="s">
        <v>2170</v>
      </c>
      <c r="D262" t="s">
        <v>343</v>
      </c>
    </row>
    <row r="263">
      <c r="A263" t="s">
        <v>2477</v>
      </c>
      <c r="B263" t="s">
        <v>1050</v>
      </c>
      <c r="D263" t="s">
        <v>1727</v>
      </c>
    </row>
    <row r="264">
      <c r="A264" t="s">
        <v>2480</v>
      </c>
      <c r="B264" t="s">
        <v>1058</v>
      </c>
      <c r="C264" t="s">
        <v>2084</v>
      </c>
      <c r="D264" t="s">
        <v>119</v>
      </c>
    </row>
    <row r="265">
      <c r="A265" t="s">
        <v>2480</v>
      </c>
      <c r="B265" t="s">
        <v>1058</v>
      </c>
      <c r="D265" t="s">
        <v>3864</v>
      </c>
    </row>
    <row r="266">
      <c r="A266" t="s">
        <v>2483</v>
      </c>
      <c r="B266" t="s">
        <v>1064</v>
      </c>
      <c r="D266" t="s">
        <v>3864</v>
      </c>
    </row>
    <row r="267">
      <c r="A267" t="s">
        <v>2483</v>
      </c>
      <c r="B267" t="s">
        <v>1064</v>
      </c>
      <c r="C267" t="s">
        <v>2248</v>
      </c>
      <c r="D267" t="s">
        <v>515</v>
      </c>
    </row>
    <row r="268">
      <c r="A268" t="s">
        <v>2486</v>
      </c>
      <c r="B268" t="s">
        <v>1074</v>
      </c>
      <c r="C268" t="s">
        <v>2087</v>
      </c>
      <c r="D268" t="s">
        <v>128</v>
      </c>
    </row>
    <row r="269">
      <c r="A269" t="s">
        <v>2486</v>
      </c>
      <c r="B269" t="s">
        <v>1074</v>
      </c>
      <c r="C269" t="s">
        <v>2140</v>
      </c>
      <c r="D269" t="s">
        <v>263</v>
      </c>
    </row>
    <row r="270">
      <c r="A270" t="s">
        <v>2489</v>
      </c>
      <c r="B270" t="s">
        <v>1081</v>
      </c>
      <c r="D270" t="s">
        <v>3864</v>
      </c>
    </row>
    <row r="271">
      <c r="A271" t="s">
        <v>2489</v>
      </c>
      <c r="B271" t="s">
        <v>1081</v>
      </c>
      <c r="C271" t="s">
        <v>2188</v>
      </c>
      <c r="D271" t="s">
        <v>378</v>
      </c>
    </row>
    <row r="272">
      <c r="A272" t="s">
        <v>2492</v>
      </c>
      <c r="B272" t="s">
        <v>1087</v>
      </c>
      <c r="D272" t="s">
        <v>1727</v>
      </c>
    </row>
    <row r="273">
      <c r="A273" t="s">
        <v>2492</v>
      </c>
      <c r="B273" t="s">
        <v>1087</v>
      </c>
      <c r="C273" t="s">
        <v>2081</v>
      </c>
      <c r="D273" t="s">
        <v>113</v>
      </c>
    </row>
    <row r="274">
      <c r="A274" t="s">
        <v>2495</v>
      </c>
      <c r="B274" t="s">
        <v>1094</v>
      </c>
      <c r="D274" t="s">
        <v>1727</v>
      </c>
    </row>
    <row r="275">
      <c r="A275" t="s">
        <v>2495</v>
      </c>
      <c r="B275" t="s">
        <v>1094</v>
      </c>
      <c r="C275" t="s">
        <v>2081</v>
      </c>
      <c r="D275" t="s">
        <v>113</v>
      </c>
    </row>
    <row r="276">
      <c r="A276" t="s">
        <v>2498</v>
      </c>
      <c r="B276" t="s">
        <v>1101</v>
      </c>
      <c r="C276" t="s">
        <v>2084</v>
      </c>
      <c r="D276" t="s">
        <v>119</v>
      </c>
    </row>
    <row r="277">
      <c r="A277" t="s">
        <v>2498</v>
      </c>
      <c r="B277" t="s">
        <v>1101</v>
      </c>
      <c r="C277" t="s">
        <v>2140</v>
      </c>
      <c r="D277" t="s">
        <v>263</v>
      </c>
    </row>
    <row r="278">
      <c r="A278" t="s">
        <v>2501</v>
      </c>
      <c r="B278" t="s">
        <v>1109</v>
      </c>
      <c r="D278" t="s">
        <v>3864</v>
      </c>
    </row>
    <row r="279">
      <c r="A279" t="s">
        <v>2501</v>
      </c>
      <c r="B279" t="s">
        <v>1109</v>
      </c>
      <c r="C279" t="s">
        <v>2084</v>
      </c>
      <c r="D279" t="s">
        <v>119</v>
      </c>
    </row>
    <row r="280">
      <c r="A280" t="s">
        <v>2504</v>
      </c>
      <c r="B280" t="s">
        <v>1114</v>
      </c>
      <c r="C280" t="s">
        <v>2293</v>
      </c>
      <c r="D280" t="s">
        <v>634</v>
      </c>
    </row>
    <row r="281">
      <c r="A281" t="s">
        <v>2505</v>
      </c>
      <c r="B281" t="s">
        <v>1121</v>
      </c>
      <c r="D281" t="s">
        <v>3865</v>
      </c>
    </row>
    <row r="282">
      <c r="A282" t="s">
        <v>2505</v>
      </c>
      <c r="B282" t="s">
        <v>1121</v>
      </c>
      <c r="C282" t="s">
        <v>2084</v>
      </c>
      <c r="D282" t="s">
        <v>119</v>
      </c>
    </row>
    <row r="283">
      <c r="A283" t="s">
        <v>2508</v>
      </c>
      <c r="B283" t="s">
        <v>1131</v>
      </c>
      <c r="C283" t="s">
        <v>2120</v>
      </c>
      <c r="D283" t="s">
        <v>219</v>
      </c>
    </row>
    <row r="284">
      <c r="A284" t="s">
        <v>2508</v>
      </c>
      <c r="B284" t="s">
        <v>1131</v>
      </c>
      <c r="C284" t="s">
        <v>2140</v>
      </c>
      <c r="D284" t="s">
        <v>263</v>
      </c>
    </row>
    <row r="285">
      <c r="A285" t="s">
        <v>2508</v>
      </c>
      <c r="B285" t="s">
        <v>1131</v>
      </c>
      <c r="C285" t="s">
        <v>2156</v>
      </c>
      <c r="D285" t="s">
        <v>306</v>
      </c>
    </row>
    <row r="286">
      <c r="A286" t="s">
        <v>2508</v>
      </c>
      <c r="B286" t="s">
        <v>1131</v>
      </c>
      <c r="C286" t="s">
        <v>2087</v>
      </c>
      <c r="D286" t="s">
        <v>128</v>
      </c>
    </row>
    <row r="287">
      <c r="A287" t="s">
        <v>2508</v>
      </c>
      <c r="B287" t="s">
        <v>1131</v>
      </c>
      <c r="C287" t="s">
        <v>2976</v>
      </c>
      <c r="D287" t="s">
        <v>2977</v>
      </c>
    </row>
    <row r="288">
      <c r="A288" t="s">
        <v>2510</v>
      </c>
      <c r="B288" t="s">
        <v>1139</v>
      </c>
      <c r="C288" t="s">
        <v>2170</v>
      </c>
      <c r="D288" t="s">
        <v>343</v>
      </c>
    </row>
    <row r="289">
      <c r="A289" t="s">
        <v>2510</v>
      </c>
      <c r="B289" t="s">
        <v>1139</v>
      </c>
      <c r="C289" t="s">
        <v>2081</v>
      </c>
      <c r="D289" t="s">
        <v>113</v>
      </c>
    </row>
    <row r="290">
      <c r="A290" t="s">
        <v>2510</v>
      </c>
      <c r="B290" t="s">
        <v>1139</v>
      </c>
      <c r="C290" t="s">
        <v>2140</v>
      </c>
      <c r="D290" t="s">
        <v>263</v>
      </c>
    </row>
    <row r="291">
      <c r="A291" t="s">
        <v>2514</v>
      </c>
      <c r="B291" t="s">
        <v>1145</v>
      </c>
      <c r="C291" t="s">
        <v>2510</v>
      </c>
      <c r="D291" t="s">
        <v>1139</v>
      </c>
    </row>
    <row r="292">
      <c r="A292" t="s">
        <v>2514</v>
      </c>
      <c r="B292" t="s">
        <v>1145</v>
      </c>
      <c r="C292" t="s">
        <v>2081</v>
      </c>
      <c r="D292" t="s">
        <v>113</v>
      </c>
    </row>
    <row r="293">
      <c r="A293" t="s">
        <v>2519</v>
      </c>
      <c r="B293" t="s">
        <v>1152</v>
      </c>
      <c r="C293" t="s">
        <v>2514</v>
      </c>
      <c r="D293" t="s">
        <v>1145</v>
      </c>
    </row>
    <row r="294">
      <c r="A294" t="s">
        <v>2519</v>
      </c>
      <c r="B294" t="s">
        <v>1152</v>
      </c>
      <c r="D294" t="s">
        <v>3880</v>
      </c>
    </row>
    <row r="295">
      <c r="A295" t="s">
        <v>2519</v>
      </c>
      <c r="B295" t="s">
        <v>1152</v>
      </c>
      <c r="C295" t="s">
        <v>2140</v>
      </c>
      <c r="D295" t="s">
        <v>263</v>
      </c>
    </row>
    <row r="296">
      <c r="A296" t="s">
        <v>2522</v>
      </c>
      <c r="B296" t="s">
        <v>1160</v>
      </c>
      <c r="D296" t="s">
        <v>1714</v>
      </c>
    </row>
    <row r="297">
      <c r="A297" t="s">
        <v>2522</v>
      </c>
      <c r="B297" t="s">
        <v>1160</v>
      </c>
      <c r="C297" t="s">
        <v>2745</v>
      </c>
      <c r="D297" t="s">
        <v>1713</v>
      </c>
    </row>
    <row r="298">
      <c r="A298" t="s">
        <v>2522</v>
      </c>
      <c r="B298" t="s">
        <v>1160</v>
      </c>
      <c r="D298" t="s">
        <v>3881</v>
      </c>
    </row>
    <row r="299">
      <c r="A299" t="s">
        <v>2525</v>
      </c>
      <c r="B299" t="s">
        <v>1168</v>
      </c>
      <c r="D299" t="s">
        <v>3882</v>
      </c>
    </row>
    <row r="300">
      <c r="A300" t="s">
        <v>2525</v>
      </c>
      <c r="B300" t="s">
        <v>1168</v>
      </c>
      <c r="C300" t="s">
        <v>2140</v>
      </c>
      <c r="D300" t="s">
        <v>263</v>
      </c>
    </row>
    <row r="301">
      <c r="A301" t="s">
        <v>2528</v>
      </c>
      <c r="B301" t="s">
        <v>1174</v>
      </c>
      <c r="C301" t="s">
        <v>2467</v>
      </c>
      <c r="D301" t="s">
        <v>1029</v>
      </c>
    </row>
    <row r="302">
      <c r="A302" t="s">
        <v>2528</v>
      </c>
      <c r="B302" t="s">
        <v>1174</v>
      </c>
      <c r="D302" t="s">
        <v>3880</v>
      </c>
    </row>
    <row r="303">
      <c r="A303" t="s">
        <v>2531</v>
      </c>
      <c r="B303" t="s">
        <v>1182</v>
      </c>
      <c r="D303" t="s">
        <v>3883</v>
      </c>
    </row>
    <row r="304">
      <c r="A304" t="s">
        <v>2531</v>
      </c>
      <c r="B304" t="s">
        <v>1182</v>
      </c>
      <c r="C304" t="s">
        <v>2084</v>
      </c>
      <c r="D304" t="s">
        <v>119</v>
      </c>
    </row>
    <row r="305">
      <c r="A305" t="s">
        <v>2531</v>
      </c>
      <c r="B305" t="s">
        <v>1182</v>
      </c>
      <c r="D305" t="s">
        <v>3882</v>
      </c>
    </row>
    <row r="306">
      <c r="A306" t="s">
        <v>2534</v>
      </c>
      <c r="B306" t="s">
        <v>1190</v>
      </c>
      <c r="D306" t="s">
        <v>3882</v>
      </c>
    </row>
    <row r="307">
      <c r="A307" t="s">
        <v>2534</v>
      </c>
      <c r="B307" t="s">
        <v>1190</v>
      </c>
      <c r="C307" t="s">
        <v>2170</v>
      </c>
      <c r="D307" t="s">
        <v>343</v>
      </c>
    </row>
    <row r="308">
      <c r="A308" t="s">
        <v>2537</v>
      </c>
      <c r="B308" t="s">
        <v>1201</v>
      </c>
      <c r="D308" t="s">
        <v>3860</v>
      </c>
    </row>
    <row r="309">
      <c r="A309" t="s">
        <v>2537</v>
      </c>
      <c r="B309" t="s">
        <v>1201</v>
      </c>
      <c r="D309" t="s">
        <v>3884</v>
      </c>
    </row>
    <row r="310">
      <c r="A310" t="s">
        <v>2537</v>
      </c>
      <c r="B310" t="s">
        <v>1201</v>
      </c>
      <c r="C310" t="s">
        <v>2081</v>
      </c>
      <c r="D310" t="s">
        <v>113</v>
      </c>
    </row>
    <row r="311">
      <c r="A311" t="s">
        <v>2541</v>
      </c>
      <c r="B311" t="s">
        <v>1209</v>
      </c>
      <c r="D311" t="s">
        <v>3885</v>
      </c>
    </row>
    <row r="312">
      <c r="A312" t="s">
        <v>2541</v>
      </c>
      <c r="B312" t="s">
        <v>1209</v>
      </c>
      <c r="D312" t="s">
        <v>3886</v>
      </c>
    </row>
    <row r="313">
      <c r="A313" t="s">
        <v>2544</v>
      </c>
      <c r="B313" t="s">
        <v>1215</v>
      </c>
      <c r="D313" t="s">
        <v>3885</v>
      </c>
    </row>
    <row r="314">
      <c r="A314" t="s">
        <v>2544</v>
      </c>
      <c r="B314" t="s">
        <v>1215</v>
      </c>
      <c r="C314" t="s">
        <v>2140</v>
      </c>
      <c r="D314" t="s">
        <v>263</v>
      </c>
    </row>
    <row r="315">
      <c r="A315" t="s">
        <v>2547</v>
      </c>
      <c r="B315" t="s">
        <v>1223</v>
      </c>
      <c r="C315" t="s">
        <v>2140</v>
      </c>
      <c r="D315" t="s">
        <v>263</v>
      </c>
    </row>
    <row r="316">
      <c r="A316" t="s">
        <v>2547</v>
      </c>
      <c r="B316" t="s">
        <v>1223</v>
      </c>
      <c r="C316" t="s">
        <v>2081</v>
      </c>
      <c r="D316" t="s">
        <v>113</v>
      </c>
    </row>
    <row r="317">
      <c r="A317" t="s">
        <v>2550</v>
      </c>
      <c r="B317" t="s">
        <v>1229</v>
      </c>
      <c r="C317" t="s">
        <v>2547</v>
      </c>
      <c r="D317" t="s">
        <v>1223</v>
      </c>
    </row>
    <row r="318">
      <c r="A318" t="s">
        <v>2550</v>
      </c>
      <c r="B318" t="s">
        <v>1229</v>
      </c>
      <c r="C318" t="s">
        <v>2084</v>
      </c>
      <c r="D318" t="s">
        <v>119</v>
      </c>
    </row>
    <row r="319">
      <c r="A319" t="s">
        <v>2553</v>
      </c>
      <c r="B319" t="s">
        <v>1235</v>
      </c>
      <c r="D319" t="s">
        <v>3865</v>
      </c>
    </row>
    <row r="320">
      <c r="A320" t="s">
        <v>2553</v>
      </c>
      <c r="B320" t="s">
        <v>1235</v>
      </c>
      <c r="C320" t="s">
        <v>2084</v>
      </c>
      <c r="D320" t="s">
        <v>119</v>
      </c>
    </row>
    <row r="321">
      <c r="A321" t="s">
        <v>2555</v>
      </c>
      <c r="B321" t="s">
        <v>1242</v>
      </c>
      <c r="C321" t="s">
        <v>2550</v>
      </c>
      <c r="D321" t="s">
        <v>1229</v>
      </c>
    </row>
    <row r="322">
      <c r="A322" t="s">
        <v>2558</v>
      </c>
      <c r="B322" t="s">
        <v>1250</v>
      </c>
      <c r="C322" t="s">
        <v>2087</v>
      </c>
      <c r="D322" t="s">
        <v>128</v>
      </c>
    </row>
    <row r="323">
      <c r="A323" t="s">
        <v>2558</v>
      </c>
      <c r="B323" t="s">
        <v>1250</v>
      </c>
      <c r="C323" t="s">
        <v>2140</v>
      </c>
      <c r="D323" t="s">
        <v>263</v>
      </c>
    </row>
    <row r="324">
      <c r="A324" t="s">
        <v>2561</v>
      </c>
      <c r="B324" t="s">
        <v>1257</v>
      </c>
      <c r="C324" t="s">
        <v>2558</v>
      </c>
      <c r="D324" t="s">
        <v>1250</v>
      </c>
    </row>
    <row r="325">
      <c r="A325" t="s">
        <v>2561</v>
      </c>
      <c r="B325" t="s">
        <v>1257</v>
      </c>
      <c r="C325" t="s">
        <v>2140</v>
      </c>
      <c r="D325" t="s">
        <v>263</v>
      </c>
    </row>
    <row r="326">
      <c r="A326" t="s">
        <v>2564</v>
      </c>
      <c r="B326" t="s">
        <v>1263</v>
      </c>
      <c r="D326" t="s">
        <v>1714</v>
      </c>
    </row>
    <row r="327">
      <c r="A327" t="s">
        <v>2564</v>
      </c>
      <c r="B327" t="s">
        <v>1263</v>
      </c>
      <c r="C327" t="s">
        <v>2561</v>
      </c>
      <c r="D327" t="s">
        <v>1257</v>
      </c>
    </row>
    <row r="328">
      <c r="A328" t="s">
        <v>2567</v>
      </c>
      <c r="B328" t="s">
        <v>1271</v>
      </c>
      <c r="C328" t="s">
        <v>2146</v>
      </c>
      <c r="D328" t="s">
        <v>279</v>
      </c>
    </row>
    <row r="329">
      <c r="A329" t="s">
        <v>2567</v>
      </c>
      <c r="B329" t="s">
        <v>1271</v>
      </c>
      <c r="C329" t="s">
        <v>2081</v>
      </c>
      <c r="D329" t="s">
        <v>113</v>
      </c>
    </row>
    <row r="330">
      <c r="A330" t="s">
        <v>2570</v>
      </c>
      <c r="B330" t="s">
        <v>1279</v>
      </c>
      <c r="C330" t="s">
        <v>2140</v>
      </c>
      <c r="D330" t="s">
        <v>263</v>
      </c>
    </row>
    <row r="331">
      <c r="A331" t="s">
        <v>2570</v>
      </c>
      <c r="B331" t="s">
        <v>1279</v>
      </c>
      <c r="D331" t="s">
        <v>3887</v>
      </c>
    </row>
    <row r="332">
      <c r="A332" t="s">
        <v>2570</v>
      </c>
      <c r="B332" t="s">
        <v>1279</v>
      </c>
      <c r="D332" t="s">
        <v>3876</v>
      </c>
    </row>
    <row r="333">
      <c r="A333" t="s">
        <v>2573</v>
      </c>
      <c r="B333" t="s">
        <v>1287</v>
      </c>
      <c r="C333" t="s">
        <v>2570</v>
      </c>
      <c r="D333" t="s">
        <v>1279</v>
      </c>
    </row>
    <row r="334">
      <c r="A334" t="s">
        <v>2573</v>
      </c>
      <c r="B334" t="s">
        <v>1287</v>
      </c>
      <c r="C334" t="s">
        <v>2140</v>
      </c>
      <c r="D334" t="s">
        <v>263</v>
      </c>
    </row>
    <row r="335">
      <c r="A335" t="s">
        <v>2576</v>
      </c>
      <c r="B335" t="s">
        <v>1294</v>
      </c>
      <c r="D335" t="s">
        <v>3881</v>
      </c>
    </row>
    <row r="336">
      <c r="A336" t="s">
        <v>2576</v>
      </c>
      <c r="B336" t="s">
        <v>1294</v>
      </c>
      <c r="C336" t="s">
        <v>2251</v>
      </c>
      <c r="D336" t="s">
        <v>524</v>
      </c>
    </row>
    <row r="337">
      <c r="A337" t="s">
        <v>2579</v>
      </c>
      <c r="B337" t="s">
        <v>1302</v>
      </c>
      <c r="C337" t="s">
        <v>2570</v>
      </c>
      <c r="D337" t="s">
        <v>1279</v>
      </c>
    </row>
    <row r="338">
      <c r="A338" t="s">
        <v>2579</v>
      </c>
      <c r="B338" t="s">
        <v>1302</v>
      </c>
      <c r="D338" t="s">
        <v>3865</v>
      </c>
    </row>
    <row r="339">
      <c r="A339" t="s">
        <v>2582</v>
      </c>
      <c r="B339" t="s">
        <v>1312</v>
      </c>
      <c r="D339" t="s">
        <v>3850</v>
      </c>
    </row>
    <row r="340">
      <c r="A340" t="s">
        <v>2582</v>
      </c>
      <c r="B340" t="s">
        <v>1312</v>
      </c>
      <c r="C340" t="s">
        <v>2087</v>
      </c>
      <c r="D340" t="s">
        <v>128</v>
      </c>
    </row>
    <row r="341">
      <c r="A341" t="s">
        <v>2582</v>
      </c>
      <c r="B341" t="s">
        <v>1312</v>
      </c>
      <c r="D341" t="s">
        <v>3876</v>
      </c>
    </row>
    <row r="342">
      <c r="A342" t="s">
        <v>2585</v>
      </c>
      <c r="B342" t="s">
        <v>1320</v>
      </c>
      <c r="D342" t="s">
        <v>3886</v>
      </c>
    </row>
    <row r="343">
      <c r="A343" t="s">
        <v>2585</v>
      </c>
      <c r="B343" t="s">
        <v>1320</v>
      </c>
      <c r="C343" t="s">
        <v>2084</v>
      </c>
      <c r="D343" t="s">
        <v>119</v>
      </c>
    </row>
    <row r="344">
      <c r="A344" t="s">
        <v>2588</v>
      </c>
      <c r="B344" t="s">
        <v>1328</v>
      </c>
      <c r="C344" t="s">
        <v>2140</v>
      </c>
      <c r="D344" t="s">
        <v>263</v>
      </c>
    </row>
    <row r="345">
      <c r="A345" t="s">
        <v>2588</v>
      </c>
      <c r="B345" t="s">
        <v>1328</v>
      </c>
      <c r="D345" t="s">
        <v>3886</v>
      </c>
    </row>
    <row r="346">
      <c r="A346" t="s">
        <v>2590</v>
      </c>
      <c r="B346" t="s">
        <v>1334</v>
      </c>
      <c r="D346" t="s">
        <v>1621</v>
      </c>
    </row>
    <row r="347">
      <c r="A347" t="s">
        <v>2590</v>
      </c>
      <c r="B347" t="s">
        <v>1334</v>
      </c>
      <c r="C347" t="s">
        <v>2245</v>
      </c>
      <c r="D347" t="s">
        <v>508</v>
      </c>
    </row>
    <row r="348">
      <c r="A348" t="s">
        <v>2590</v>
      </c>
      <c r="B348" t="s">
        <v>1334</v>
      </c>
      <c r="D348" t="s">
        <v>3886</v>
      </c>
    </row>
    <row r="349">
      <c r="A349" t="s">
        <v>2593</v>
      </c>
      <c r="B349" t="s">
        <v>1344</v>
      </c>
      <c r="C349" t="s">
        <v>2081</v>
      </c>
      <c r="D349" t="s">
        <v>113</v>
      </c>
    </row>
    <row r="350">
      <c r="A350" t="s">
        <v>2593</v>
      </c>
      <c r="B350" t="s">
        <v>1344</v>
      </c>
      <c r="C350" t="s">
        <v>2170</v>
      </c>
      <c r="D350" t="s">
        <v>343</v>
      </c>
    </row>
    <row r="351">
      <c r="A351" t="s">
        <v>2596</v>
      </c>
      <c r="B351" t="s">
        <v>1352</v>
      </c>
      <c r="C351" t="s">
        <v>2593</v>
      </c>
      <c r="D351" t="s">
        <v>1344</v>
      </c>
    </row>
    <row r="352">
      <c r="A352" t="s">
        <v>2596</v>
      </c>
      <c r="B352" t="s">
        <v>1352</v>
      </c>
      <c r="D352" t="s">
        <v>3888</v>
      </c>
    </row>
    <row r="353">
      <c r="A353" t="s">
        <v>2596</v>
      </c>
      <c r="B353" t="s">
        <v>1352</v>
      </c>
      <c r="C353" t="s">
        <v>2081</v>
      </c>
      <c r="D353" t="s">
        <v>113</v>
      </c>
    </row>
    <row r="354">
      <c r="A354" t="s">
        <v>2599</v>
      </c>
      <c r="B354" t="s">
        <v>1359</v>
      </c>
      <c r="C354" t="s">
        <v>2593</v>
      </c>
      <c r="D354" t="s">
        <v>1344</v>
      </c>
    </row>
    <row r="355">
      <c r="A355" t="s">
        <v>2599</v>
      </c>
      <c r="B355" t="s">
        <v>1359</v>
      </c>
      <c r="C355" t="s">
        <v>2140</v>
      </c>
      <c r="D355" t="s">
        <v>263</v>
      </c>
    </row>
    <row r="356">
      <c r="A356" t="s">
        <v>2602</v>
      </c>
      <c r="B356" t="s">
        <v>1366</v>
      </c>
      <c r="C356" t="s">
        <v>2596</v>
      </c>
      <c r="D356" t="s">
        <v>1352</v>
      </c>
    </row>
    <row r="357">
      <c r="A357" t="s">
        <v>2602</v>
      </c>
      <c r="B357" t="s">
        <v>1366</v>
      </c>
      <c r="C357" t="s">
        <v>2140</v>
      </c>
      <c r="D357" t="s">
        <v>263</v>
      </c>
    </row>
    <row r="358">
      <c r="A358" t="s">
        <v>2605</v>
      </c>
      <c r="B358" t="s">
        <v>1372</v>
      </c>
      <c r="C358" t="s">
        <v>2652</v>
      </c>
      <c r="D358" t="s">
        <v>1489</v>
      </c>
    </row>
    <row r="359">
      <c r="A359" t="s">
        <v>2605</v>
      </c>
      <c r="B359" t="s">
        <v>1372</v>
      </c>
      <c r="C359" t="s">
        <v>2608</v>
      </c>
      <c r="D359" t="s">
        <v>1383</v>
      </c>
    </row>
    <row r="360">
      <c r="A360" t="s">
        <v>2608</v>
      </c>
      <c r="B360" t="s">
        <v>1383</v>
      </c>
      <c r="C360" t="s">
        <v>2081</v>
      </c>
      <c r="D360" t="s">
        <v>113</v>
      </c>
    </row>
    <row r="361">
      <c r="A361" t="s">
        <v>2608</v>
      </c>
      <c r="B361" t="s">
        <v>1383</v>
      </c>
      <c r="D361" t="s">
        <v>3860</v>
      </c>
    </row>
    <row r="362">
      <c r="A362" t="s">
        <v>2611</v>
      </c>
      <c r="B362" t="s">
        <v>1390</v>
      </c>
      <c r="D362" t="s">
        <v>3884</v>
      </c>
    </row>
    <row r="363">
      <c r="A363" t="s">
        <v>2611</v>
      </c>
      <c r="B363" t="s">
        <v>1390</v>
      </c>
      <c r="C363" t="s">
        <v>2081</v>
      </c>
      <c r="D363" t="s">
        <v>113</v>
      </c>
    </row>
    <row r="364">
      <c r="A364" t="s">
        <v>2614</v>
      </c>
      <c r="B364" t="s">
        <v>1396</v>
      </c>
      <c r="D364" t="s">
        <v>3889</v>
      </c>
    </row>
    <row r="365">
      <c r="A365" t="s">
        <v>2614</v>
      </c>
      <c r="B365" t="s">
        <v>1396</v>
      </c>
      <c r="C365" t="s">
        <v>2140</v>
      </c>
      <c r="D365" t="s">
        <v>263</v>
      </c>
    </row>
    <row r="366">
      <c r="A366" t="s">
        <v>2617</v>
      </c>
      <c r="B366" t="s">
        <v>1402</v>
      </c>
      <c r="D366" t="s">
        <v>3889</v>
      </c>
    </row>
    <row r="367">
      <c r="A367" t="s">
        <v>2617</v>
      </c>
      <c r="B367" t="s">
        <v>1402</v>
      </c>
      <c r="C367" t="s">
        <v>2652</v>
      </c>
      <c r="D367" t="s">
        <v>1489</v>
      </c>
    </row>
    <row r="368">
      <c r="A368" t="s">
        <v>2620</v>
      </c>
      <c r="B368" t="s">
        <v>1410</v>
      </c>
      <c r="D368" t="s">
        <v>3889</v>
      </c>
    </row>
    <row r="369">
      <c r="A369" t="s">
        <v>2620</v>
      </c>
      <c r="B369" t="s">
        <v>1410</v>
      </c>
      <c r="D369" t="s">
        <v>3877</v>
      </c>
    </row>
    <row r="370">
      <c r="A370" t="s">
        <v>2623</v>
      </c>
      <c r="B370" t="s">
        <v>1420</v>
      </c>
      <c r="C370" t="s">
        <v>2608</v>
      </c>
      <c r="D370" t="s">
        <v>1383</v>
      </c>
    </row>
    <row r="371">
      <c r="A371" t="s">
        <v>2623</v>
      </c>
      <c r="B371" t="s">
        <v>1420</v>
      </c>
      <c r="C371" t="s">
        <v>2081</v>
      </c>
      <c r="D371" t="s">
        <v>113</v>
      </c>
    </row>
    <row r="372">
      <c r="A372" t="s">
        <v>2626</v>
      </c>
      <c r="B372" t="s">
        <v>1428</v>
      </c>
      <c r="C372" t="s">
        <v>2170</v>
      </c>
      <c r="D372" t="s">
        <v>343</v>
      </c>
    </row>
    <row r="373">
      <c r="A373" t="s">
        <v>2626</v>
      </c>
      <c r="B373" t="s">
        <v>1428</v>
      </c>
      <c r="C373" t="s">
        <v>2188</v>
      </c>
      <c r="D373" t="s">
        <v>378</v>
      </c>
    </row>
    <row r="374">
      <c r="A374" t="s">
        <v>2628</v>
      </c>
      <c r="B374" t="s">
        <v>1435</v>
      </c>
      <c r="C374" t="s">
        <v>2623</v>
      </c>
      <c r="D374" t="s">
        <v>1420</v>
      </c>
    </row>
    <row r="375">
      <c r="A375" t="s">
        <v>2631</v>
      </c>
      <c r="B375" t="s">
        <v>1440</v>
      </c>
      <c r="C375" t="s">
        <v>2608</v>
      </c>
      <c r="D375" t="s">
        <v>1383</v>
      </c>
    </row>
    <row r="376">
      <c r="A376" t="s">
        <v>2634</v>
      </c>
      <c r="B376" t="s">
        <v>1445</v>
      </c>
      <c r="C376" t="s">
        <v>2623</v>
      </c>
      <c r="D376" t="s">
        <v>1420</v>
      </c>
    </row>
    <row r="377">
      <c r="A377" t="s">
        <v>2634</v>
      </c>
      <c r="B377" t="s">
        <v>1445</v>
      </c>
      <c r="D377" t="s">
        <v>3890</v>
      </c>
    </row>
    <row r="378">
      <c r="A378" t="s">
        <v>2637</v>
      </c>
      <c r="B378" t="s">
        <v>1455</v>
      </c>
      <c r="D378" t="s">
        <v>3855</v>
      </c>
    </row>
    <row r="379">
      <c r="A379" t="s">
        <v>2637</v>
      </c>
      <c r="B379" t="s">
        <v>1455</v>
      </c>
      <c r="C379" t="s">
        <v>2188</v>
      </c>
      <c r="D379" t="s">
        <v>378</v>
      </c>
    </row>
    <row r="380">
      <c r="A380" t="s">
        <v>2640</v>
      </c>
      <c r="B380" t="s">
        <v>1463</v>
      </c>
      <c r="C380" t="s">
        <v>2081</v>
      </c>
      <c r="D380" t="s">
        <v>113</v>
      </c>
    </row>
    <row r="381">
      <c r="A381" t="s">
        <v>2643</v>
      </c>
      <c r="B381" t="s">
        <v>1468</v>
      </c>
      <c r="C381" t="s">
        <v>2640</v>
      </c>
      <c r="D381" t="s">
        <v>1463</v>
      </c>
    </row>
    <row r="382">
      <c r="A382" t="s">
        <v>2646</v>
      </c>
      <c r="B382" t="s">
        <v>1473</v>
      </c>
      <c r="C382" t="s">
        <v>2599</v>
      </c>
      <c r="D382" t="s">
        <v>1359</v>
      </c>
    </row>
    <row r="383">
      <c r="A383" t="s">
        <v>2646</v>
      </c>
      <c r="B383" t="s">
        <v>1473</v>
      </c>
      <c r="C383" t="s">
        <v>2637</v>
      </c>
      <c r="D383" t="s">
        <v>1455</v>
      </c>
    </row>
    <row r="384">
      <c r="A384" t="s">
        <v>2649</v>
      </c>
      <c r="B384" t="s">
        <v>1481</v>
      </c>
      <c r="C384" t="s">
        <v>2637</v>
      </c>
      <c r="D384" t="s">
        <v>1455</v>
      </c>
    </row>
    <row r="385">
      <c r="A385" t="s">
        <v>2652</v>
      </c>
      <c r="B385" t="s">
        <v>1489</v>
      </c>
      <c r="D385" t="s">
        <v>1621</v>
      </c>
    </row>
    <row r="386">
      <c r="A386" t="s">
        <v>2652</v>
      </c>
      <c r="B386" t="s">
        <v>1489</v>
      </c>
      <c r="C386" t="s">
        <v>2084</v>
      </c>
      <c r="D386" t="s">
        <v>119</v>
      </c>
    </row>
    <row r="387">
      <c r="A387" t="s">
        <v>2655</v>
      </c>
      <c r="B387" t="s">
        <v>1497</v>
      </c>
      <c r="C387" t="s">
        <v>2652</v>
      </c>
      <c r="D387" t="s">
        <v>1489</v>
      </c>
    </row>
    <row r="388">
      <c r="A388" t="s">
        <v>2658</v>
      </c>
      <c r="B388" t="s">
        <v>1502</v>
      </c>
      <c r="C388" t="s">
        <v>2140</v>
      </c>
      <c r="D388" t="s">
        <v>263</v>
      </c>
    </row>
    <row r="389">
      <c r="A389" t="s">
        <v>2658</v>
      </c>
      <c r="B389" t="s">
        <v>1502</v>
      </c>
      <c r="C389" t="s">
        <v>2652</v>
      </c>
      <c r="D389" t="s">
        <v>1489</v>
      </c>
    </row>
    <row r="390">
      <c r="A390" t="s">
        <v>2661</v>
      </c>
      <c r="B390" t="s">
        <v>1509</v>
      </c>
      <c r="C390" t="s">
        <v>2655</v>
      </c>
      <c r="D390" t="s">
        <v>1497</v>
      </c>
    </row>
    <row r="391">
      <c r="A391" t="s">
        <v>2661</v>
      </c>
      <c r="B391" t="s">
        <v>1509</v>
      </c>
      <c r="D391" t="s">
        <v>642</v>
      </c>
    </row>
    <row r="392">
      <c r="A392" t="s">
        <v>2664</v>
      </c>
      <c r="B392" t="s">
        <v>1515</v>
      </c>
      <c r="C392" t="s">
        <v>2652</v>
      </c>
      <c r="D392" t="s">
        <v>1489</v>
      </c>
    </row>
    <row r="393">
      <c r="A393" t="s">
        <v>2664</v>
      </c>
      <c r="B393" t="s">
        <v>1515</v>
      </c>
      <c r="D393" t="s">
        <v>3891</v>
      </c>
    </row>
    <row r="394">
      <c r="A394" t="s">
        <v>2667</v>
      </c>
      <c r="B394" t="s">
        <v>1524</v>
      </c>
      <c r="C394" t="s">
        <v>2081</v>
      </c>
      <c r="D394" t="s">
        <v>113</v>
      </c>
    </row>
    <row r="395">
      <c r="A395" t="s">
        <v>2667</v>
      </c>
      <c r="B395" t="s">
        <v>1524</v>
      </c>
      <c r="C395" t="s">
        <v>2718</v>
      </c>
      <c r="D395" t="s">
        <v>1651</v>
      </c>
    </row>
    <row r="396">
      <c r="A396" t="s">
        <v>2671</v>
      </c>
      <c r="B396" t="s">
        <v>1532</v>
      </c>
      <c r="C396" t="s">
        <v>2667</v>
      </c>
      <c r="D396" t="s">
        <v>1524</v>
      </c>
    </row>
    <row r="397">
      <c r="A397" t="s">
        <v>2674</v>
      </c>
      <c r="B397" t="s">
        <v>1539</v>
      </c>
      <c r="C397" t="s">
        <v>2686</v>
      </c>
      <c r="D397" t="s">
        <v>1532</v>
      </c>
    </row>
    <row r="398">
      <c r="A398" t="s">
        <v>2674</v>
      </c>
      <c r="B398" t="s">
        <v>1539</v>
      </c>
      <c r="C398" t="s">
        <v>2136</v>
      </c>
      <c r="D398" t="s">
        <v>254</v>
      </c>
    </row>
    <row r="399">
      <c r="A399" t="s">
        <v>2677</v>
      </c>
      <c r="B399" t="s">
        <v>1547</v>
      </c>
      <c r="C399" t="s">
        <v>2199</v>
      </c>
      <c r="D399" t="s">
        <v>410</v>
      </c>
    </row>
    <row r="400">
      <c r="A400" t="s">
        <v>2677</v>
      </c>
      <c r="B400" t="s">
        <v>1547</v>
      </c>
      <c r="D400" t="s">
        <v>3892</v>
      </c>
    </row>
    <row r="401">
      <c r="A401" t="s">
        <v>2680</v>
      </c>
      <c r="B401" t="s">
        <v>1555</v>
      </c>
      <c r="C401" t="s">
        <v>2721</v>
      </c>
      <c r="D401" t="s">
        <v>1657</v>
      </c>
    </row>
    <row r="402">
      <c r="A402" t="s">
        <v>2680</v>
      </c>
      <c r="B402" t="s">
        <v>1555</v>
      </c>
      <c r="D402" t="s">
        <v>3882</v>
      </c>
    </row>
    <row r="403">
      <c r="A403" t="s">
        <v>2683</v>
      </c>
      <c r="B403" t="s">
        <v>1566</v>
      </c>
      <c r="D403" t="s">
        <v>1567</v>
      </c>
    </row>
    <row r="404">
      <c r="A404" t="s">
        <v>2686</v>
      </c>
      <c r="B404" t="s">
        <v>1532</v>
      </c>
      <c r="D404" t="s">
        <v>1567</v>
      </c>
    </row>
    <row r="405">
      <c r="A405" t="s">
        <v>2689</v>
      </c>
      <c r="B405" t="s">
        <v>1578</v>
      </c>
      <c r="D405" t="s">
        <v>1567</v>
      </c>
    </row>
    <row r="406">
      <c r="A406" t="s">
        <v>2689</v>
      </c>
      <c r="B406" t="s">
        <v>1578</v>
      </c>
      <c r="D406" t="s">
        <v>3877</v>
      </c>
    </row>
    <row r="407">
      <c r="A407" t="s">
        <v>2692</v>
      </c>
      <c r="B407" t="s">
        <v>1586</v>
      </c>
      <c r="C407" t="s">
        <v>2608</v>
      </c>
      <c r="D407" t="s">
        <v>1383</v>
      </c>
    </row>
    <row r="408">
      <c r="A408" t="s">
        <v>2695</v>
      </c>
      <c r="B408" t="s">
        <v>1596</v>
      </c>
      <c r="C408" t="s">
        <v>2707</v>
      </c>
      <c r="D408" t="s">
        <v>1632</v>
      </c>
    </row>
    <row r="409">
      <c r="A409" t="s">
        <v>2695</v>
      </c>
      <c r="B409" t="s">
        <v>1596</v>
      </c>
      <c r="C409" t="s">
        <v>2081</v>
      </c>
      <c r="D409" t="s">
        <v>113</v>
      </c>
    </row>
    <row r="410">
      <c r="A410" t="s">
        <v>2698</v>
      </c>
      <c r="B410" t="s">
        <v>1604</v>
      </c>
      <c r="C410" t="s">
        <v>2695</v>
      </c>
      <c r="D410" t="s">
        <v>1596</v>
      </c>
    </row>
    <row r="411">
      <c r="A411" t="s">
        <v>2698</v>
      </c>
      <c r="B411" t="s">
        <v>1604</v>
      </c>
      <c r="D411" t="s">
        <v>3877</v>
      </c>
    </row>
    <row r="412">
      <c r="A412" t="s">
        <v>2701</v>
      </c>
      <c r="B412" t="s">
        <v>1612</v>
      </c>
      <c r="C412" t="s">
        <v>2695</v>
      </c>
      <c r="D412" t="s">
        <v>1596</v>
      </c>
    </row>
    <row r="413">
      <c r="A413" t="s">
        <v>2701</v>
      </c>
      <c r="B413" t="s">
        <v>1612</v>
      </c>
      <c r="D413" t="s">
        <v>1621</v>
      </c>
    </row>
    <row r="414">
      <c r="A414" t="s">
        <v>2704</v>
      </c>
      <c r="B414" t="s">
        <v>1620</v>
      </c>
      <c r="D414" t="s">
        <v>1621</v>
      </c>
    </row>
    <row r="415">
      <c r="A415" t="s">
        <v>2707</v>
      </c>
      <c r="B415" t="s">
        <v>1632</v>
      </c>
      <c r="D415" t="s">
        <v>3849</v>
      </c>
    </row>
    <row r="416">
      <c r="A416" t="s">
        <v>2707</v>
      </c>
      <c r="B416" t="s">
        <v>1632</v>
      </c>
      <c r="C416" t="s">
        <v>2140</v>
      </c>
      <c r="D416" t="s">
        <v>263</v>
      </c>
    </row>
    <row r="417">
      <c r="A417" t="s">
        <v>2707</v>
      </c>
      <c r="B417" t="s">
        <v>1632</v>
      </c>
      <c r="C417" t="s">
        <v>2133</v>
      </c>
      <c r="D417" t="s">
        <v>248</v>
      </c>
    </row>
    <row r="418">
      <c r="A418" t="s">
        <v>2712</v>
      </c>
      <c r="B418" t="s">
        <v>1640</v>
      </c>
      <c r="C418" t="s">
        <v>2140</v>
      </c>
      <c r="D418" t="s">
        <v>263</v>
      </c>
    </row>
    <row r="419">
      <c r="A419" t="s">
        <v>2712</v>
      </c>
      <c r="B419" t="s">
        <v>1640</v>
      </c>
      <c r="C419" t="s">
        <v>2133</v>
      </c>
      <c r="D419" t="s">
        <v>248</v>
      </c>
    </row>
    <row r="420">
      <c r="A420" t="s">
        <v>2715</v>
      </c>
      <c r="B420" t="s">
        <v>1645</v>
      </c>
      <c r="C420" t="s">
        <v>2712</v>
      </c>
      <c r="D420" t="s">
        <v>1640</v>
      </c>
    </row>
    <row r="421">
      <c r="A421" t="s">
        <v>2715</v>
      </c>
      <c r="B421" t="s">
        <v>1645</v>
      </c>
      <c r="C421" t="s">
        <v>2140</v>
      </c>
      <c r="D421" t="s">
        <v>263</v>
      </c>
    </row>
    <row r="422">
      <c r="A422" t="s">
        <v>2718</v>
      </c>
      <c r="B422" t="s">
        <v>1651</v>
      </c>
      <c r="C422" t="s">
        <v>2140</v>
      </c>
      <c r="D422" t="s">
        <v>263</v>
      </c>
    </row>
    <row r="423">
      <c r="A423" t="s">
        <v>2718</v>
      </c>
      <c r="B423" t="s">
        <v>1651</v>
      </c>
      <c r="C423" t="s">
        <v>2087</v>
      </c>
      <c r="D423" t="s">
        <v>128</v>
      </c>
    </row>
    <row r="424">
      <c r="A424" t="s">
        <v>2718</v>
      </c>
      <c r="B424" t="s">
        <v>1651</v>
      </c>
      <c r="C424" t="s">
        <v>2133</v>
      </c>
      <c r="D424" t="s">
        <v>248</v>
      </c>
    </row>
    <row r="425">
      <c r="A425" t="s">
        <v>2721</v>
      </c>
      <c r="B425" t="s">
        <v>1657</v>
      </c>
      <c r="D425" t="s">
        <v>3882</v>
      </c>
    </row>
    <row r="426">
      <c r="A426" t="s">
        <v>2721</v>
      </c>
      <c r="B426" t="s">
        <v>1657</v>
      </c>
      <c r="C426" t="s">
        <v>2715</v>
      </c>
      <c r="D426" t="s">
        <v>1645</v>
      </c>
    </row>
    <row r="427">
      <c r="A427" t="s">
        <v>2724</v>
      </c>
      <c r="B427" t="s">
        <v>1663</v>
      </c>
      <c r="C427" t="s">
        <v>2140</v>
      </c>
      <c r="D427" t="s">
        <v>263</v>
      </c>
    </row>
    <row r="428">
      <c r="A428" t="s">
        <v>2724</v>
      </c>
      <c r="B428" t="s">
        <v>1663</v>
      </c>
      <c r="C428" t="s">
        <v>2133</v>
      </c>
      <c r="D428" t="s">
        <v>248</v>
      </c>
    </row>
    <row r="429">
      <c r="A429" t="s">
        <v>2727</v>
      </c>
      <c r="B429" t="s">
        <v>1671</v>
      </c>
      <c r="C429" t="s">
        <v>2087</v>
      </c>
      <c r="D429" t="s">
        <v>128</v>
      </c>
    </row>
    <row r="430">
      <c r="A430" t="s">
        <v>2727</v>
      </c>
      <c r="B430" t="s">
        <v>1671</v>
      </c>
      <c r="C430" t="s">
        <v>2140</v>
      </c>
      <c r="D430" t="s">
        <v>263</v>
      </c>
    </row>
    <row r="431">
      <c r="A431" t="s">
        <v>2727</v>
      </c>
      <c r="B431" t="s">
        <v>1671</v>
      </c>
      <c r="C431" t="s">
        <v>2133</v>
      </c>
      <c r="D431" t="s">
        <v>248</v>
      </c>
    </row>
    <row r="432">
      <c r="A432" t="s">
        <v>2730</v>
      </c>
      <c r="B432" t="s">
        <v>1678</v>
      </c>
      <c r="C432" t="s">
        <v>2727</v>
      </c>
      <c r="D432" t="s">
        <v>1671</v>
      </c>
    </row>
    <row r="433">
      <c r="A433" t="s">
        <v>2730</v>
      </c>
      <c r="B433" t="s">
        <v>1678</v>
      </c>
      <c r="C433" t="s">
        <v>2087</v>
      </c>
      <c r="D433" t="s">
        <v>128</v>
      </c>
    </row>
    <row r="434">
      <c r="A434" t="s">
        <v>2733</v>
      </c>
      <c r="B434" t="s">
        <v>1684</v>
      </c>
      <c r="C434" t="s">
        <v>2730</v>
      </c>
      <c r="D434" t="s">
        <v>1678</v>
      </c>
    </row>
    <row r="435">
      <c r="A435" t="s">
        <v>2733</v>
      </c>
      <c r="B435" t="s">
        <v>1684</v>
      </c>
      <c r="D435" t="s">
        <v>3874</v>
      </c>
    </row>
    <row r="436">
      <c r="A436" t="s">
        <v>2736</v>
      </c>
      <c r="B436" t="s">
        <v>1690</v>
      </c>
      <c r="C436" t="s">
        <v>2733</v>
      </c>
      <c r="D436" t="s">
        <v>1684</v>
      </c>
    </row>
    <row r="437">
      <c r="A437" t="s">
        <v>2736</v>
      </c>
      <c r="B437" t="s">
        <v>1690</v>
      </c>
      <c r="C437" t="s">
        <v>2140</v>
      </c>
      <c r="D437" t="s">
        <v>263</v>
      </c>
    </row>
    <row r="438">
      <c r="A438" t="s">
        <v>2739</v>
      </c>
      <c r="B438" t="s">
        <v>1696</v>
      </c>
      <c r="C438" t="s">
        <v>2730</v>
      </c>
      <c r="D438" t="s">
        <v>1678</v>
      </c>
    </row>
    <row r="439">
      <c r="A439" t="s">
        <v>2739</v>
      </c>
      <c r="B439" t="s">
        <v>1696</v>
      </c>
      <c r="D439" t="s">
        <v>3882</v>
      </c>
    </row>
    <row r="440">
      <c r="A440" t="s">
        <v>2739</v>
      </c>
      <c r="B440" t="s">
        <v>1696</v>
      </c>
      <c r="D440" t="s">
        <v>3893</v>
      </c>
    </row>
    <row r="441">
      <c r="A441" t="s">
        <v>2742</v>
      </c>
      <c r="B441" t="s">
        <v>1706</v>
      </c>
      <c r="D441" t="s">
        <v>3849</v>
      </c>
    </row>
    <row r="442">
      <c r="A442" t="s">
        <v>2742</v>
      </c>
      <c r="B442" t="s">
        <v>1706</v>
      </c>
      <c r="C442" t="s">
        <v>2140</v>
      </c>
      <c r="D442" t="s">
        <v>263</v>
      </c>
    </row>
    <row r="443">
      <c r="A443" t="s">
        <v>2742</v>
      </c>
      <c r="B443" t="s">
        <v>1706</v>
      </c>
      <c r="C443" t="s">
        <v>2133</v>
      </c>
      <c r="D443" t="s">
        <v>248</v>
      </c>
    </row>
    <row r="444">
      <c r="A444" t="s">
        <v>2745</v>
      </c>
      <c r="B444" t="s">
        <v>1713</v>
      </c>
      <c r="D444" t="s">
        <v>1714</v>
      </c>
    </row>
    <row r="445">
      <c r="A445" t="s">
        <v>2748</v>
      </c>
      <c r="B445" t="s">
        <v>1720</v>
      </c>
      <c r="D445" t="s">
        <v>1714</v>
      </c>
    </row>
    <row r="446">
      <c r="A446" t="s">
        <v>2748</v>
      </c>
      <c r="B446" t="s">
        <v>1720</v>
      </c>
      <c r="D446" t="s">
        <v>3887</v>
      </c>
    </row>
    <row r="447">
      <c r="A447" t="s">
        <v>2751</v>
      </c>
      <c r="B447" t="s">
        <v>1726</v>
      </c>
      <c r="D447" t="s">
        <v>1727</v>
      </c>
    </row>
    <row r="448">
      <c r="A448" t="s">
        <v>2754</v>
      </c>
      <c r="B448" t="s">
        <v>1735</v>
      </c>
      <c r="C448" t="s">
        <v>2199</v>
      </c>
      <c r="D448" t="s">
        <v>410</v>
      </c>
    </row>
    <row r="449">
      <c r="A449" t="s">
        <v>2754</v>
      </c>
      <c r="B449" t="s">
        <v>1735</v>
      </c>
      <c r="C449" t="s">
        <v>2140</v>
      </c>
      <c r="D449" t="s">
        <v>263</v>
      </c>
    </row>
    <row r="450">
      <c r="A450" t="s">
        <v>2754</v>
      </c>
      <c r="B450" t="s">
        <v>1735</v>
      </c>
      <c r="C450" t="s">
        <v>2133</v>
      </c>
      <c r="D450" t="s">
        <v>248</v>
      </c>
    </row>
    <row r="451">
      <c r="A451" t="s">
        <v>2757</v>
      </c>
      <c r="B451" t="s">
        <v>1743</v>
      </c>
      <c r="C451" t="s">
        <v>2769</v>
      </c>
      <c r="D451" t="s">
        <v>1768</v>
      </c>
    </row>
    <row r="452">
      <c r="A452" t="s">
        <v>2757</v>
      </c>
      <c r="B452" t="s">
        <v>1743</v>
      </c>
      <c r="C452" t="s">
        <v>2140</v>
      </c>
      <c r="D452" t="s">
        <v>263</v>
      </c>
    </row>
    <row r="453">
      <c r="A453" t="s">
        <v>2760</v>
      </c>
      <c r="B453" t="s">
        <v>1750</v>
      </c>
      <c r="C453" t="s">
        <v>2754</v>
      </c>
      <c r="D453" t="s">
        <v>1735</v>
      </c>
    </row>
    <row r="454">
      <c r="A454" t="s">
        <v>2760</v>
      </c>
      <c r="B454" t="s">
        <v>1750</v>
      </c>
      <c r="D454" t="s">
        <v>3874</v>
      </c>
    </row>
    <row r="455">
      <c r="A455" t="s">
        <v>2763</v>
      </c>
      <c r="B455" t="s">
        <v>1756</v>
      </c>
      <c r="C455" t="s">
        <v>2718</v>
      </c>
      <c r="D455" t="s">
        <v>1651</v>
      </c>
    </row>
    <row r="456">
      <c r="A456" t="s">
        <v>2763</v>
      </c>
      <c r="B456" t="s">
        <v>1756</v>
      </c>
      <c r="C456" t="s">
        <v>2140</v>
      </c>
      <c r="D456" t="s">
        <v>263</v>
      </c>
    </row>
    <row r="457">
      <c r="A457" t="s">
        <v>2763</v>
      </c>
      <c r="B457" t="s">
        <v>1756</v>
      </c>
      <c r="C457" t="s">
        <v>2133</v>
      </c>
      <c r="D457" t="s">
        <v>248</v>
      </c>
    </row>
    <row r="458">
      <c r="A458" t="s">
        <v>2766</v>
      </c>
      <c r="B458" t="s">
        <v>1762</v>
      </c>
      <c r="C458" t="s">
        <v>2769</v>
      </c>
      <c r="D458" t="s">
        <v>1768</v>
      </c>
    </row>
    <row r="459">
      <c r="A459" t="s">
        <v>2766</v>
      </c>
      <c r="B459" t="s">
        <v>1762</v>
      </c>
      <c r="C459" t="s">
        <v>2763</v>
      </c>
      <c r="D459" t="s">
        <v>1756</v>
      </c>
    </row>
    <row r="460">
      <c r="A460" t="s">
        <v>2769</v>
      </c>
      <c r="B460" t="s">
        <v>1768</v>
      </c>
      <c r="D460" t="s">
        <v>3894</v>
      </c>
    </row>
    <row r="461">
      <c r="A461" t="s">
        <v>2769</v>
      </c>
      <c r="B461" t="s">
        <v>1768</v>
      </c>
      <c r="C461" t="s">
        <v>2124</v>
      </c>
      <c r="D461" t="s">
        <v>226</v>
      </c>
    </row>
    <row r="462">
      <c r="A462" t="s">
        <v>2772</v>
      </c>
      <c r="B462" t="s">
        <v>1777</v>
      </c>
      <c r="C462" t="s">
        <v>2087</v>
      </c>
      <c r="D462" t="s">
        <v>128</v>
      </c>
    </row>
    <row r="463">
      <c r="A463" t="s">
        <v>2772</v>
      </c>
      <c r="B463" t="s">
        <v>1777</v>
      </c>
      <c r="D463" t="s">
        <v>3876</v>
      </c>
    </row>
    <row r="464">
      <c r="A464" t="s">
        <v>2772</v>
      </c>
      <c r="B464" t="s">
        <v>1777</v>
      </c>
      <c r="D464" t="s">
        <v>3881</v>
      </c>
    </row>
    <row r="465">
      <c r="A465" t="s">
        <v>2776</v>
      </c>
      <c r="B465" t="s">
        <v>1785</v>
      </c>
      <c r="C465" t="s">
        <v>2772</v>
      </c>
      <c r="D465" t="s">
        <v>1777</v>
      </c>
    </row>
    <row r="466">
      <c r="A466" t="s">
        <v>2776</v>
      </c>
      <c r="B466" t="s">
        <v>1785</v>
      </c>
      <c r="C466" t="s">
        <v>2170</v>
      </c>
      <c r="D466" t="s">
        <v>343</v>
      </c>
    </row>
    <row r="467">
      <c r="A467" t="s">
        <v>2776</v>
      </c>
      <c r="B467" t="s">
        <v>1785</v>
      </c>
      <c r="C467" t="s">
        <v>2133</v>
      </c>
      <c r="D467" t="s">
        <v>248</v>
      </c>
    </row>
    <row r="468">
      <c r="A468" t="s">
        <v>2779</v>
      </c>
      <c r="B468" t="s">
        <v>1792</v>
      </c>
      <c r="C468" t="s">
        <v>2776</v>
      </c>
      <c r="D468" t="s">
        <v>1785</v>
      </c>
    </row>
    <row r="469">
      <c r="A469" t="s">
        <v>2779</v>
      </c>
      <c r="B469" t="s">
        <v>1792</v>
      </c>
      <c r="D469" t="s">
        <v>3849</v>
      </c>
    </row>
    <row r="470">
      <c r="A470" t="s">
        <v>2782</v>
      </c>
      <c r="B470" t="s">
        <v>1802</v>
      </c>
      <c r="C470" t="s">
        <v>2140</v>
      </c>
      <c r="D470" t="s">
        <v>263</v>
      </c>
    </row>
    <row r="471">
      <c r="A471" t="s">
        <v>2782</v>
      </c>
      <c r="B471" t="s">
        <v>1802</v>
      </c>
      <c r="C471" t="s">
        <v>2133</v>
      </c>
      <c r="D471" t="s">
        <v>248</v>
      </c>
    </row>
    <row r="472">
      <c r="A472" t="s">
        <v>2782</v>
      </c>
      <c r="B472" t="s">
        <v>1802</v>
      </c>
      <c r="C472" t="s">
        <v>2127</v>
      </c>
      <c r="D472" t="s">
        <v>231</v>
      </c>
    </row>
    <row r="473">
      <c r="A473" t="s">
        <v>2785</v>
      </c>
      <c r="B473" t="s">
        <v>1810</v>
      </c>
      <c r="C473" t="s">
        <v>2782</v>
      </c>
      <c r="D473" t="s">
        <v>1802</v>
      </c>
    </row>
    <row r="474">
      <c r="A474" t="s">
        <v>2785</v>
      </c>
      <c r="B474" t="s">
        <v>1810</v>
      </c>
      <c r="D474" t="s">
        <v>3874</v>
      </c>
    </row>
    <row r="475">
      <c r="A475" t="s">
        <v>2788</v>
      </c>
      <c r="B475" t="s">
        <v>1816</v>
      </c>
      <c r="C475" t="s">
        <v>2785</v>
      </c>
      <c r="D475" t="s">
        <v>1810</v>
      </c>
    </row>
    <row r="476">
      <c r="A476" t="s">
        <v>2790</v>
      </c>
      <c r="B476" t="s">
        <v>1822</v>
      </c>
      <c r="C476" t="s">
        <v>2785</v>
      </c>
      <c r="D476" t="s">
        <v>1810</v>
      </c>
    </row>
    <row r="477">
      <c r="A477" t="s">
        <v>2790</v>
      </c>
      <c r="B477" t="s">
        <v>1822</v>
      </c>
      <c r="C477" t="s">
        <v>2164</v>
      </c>
      <c r="D477" t="s">
        <v>322</v>
      </c>
    </row>
    <row r="478">
      <c r="A478" t="s">
        <v>2790</v>
      </c>
      <c r="B478" t="s">
        <v>1822</v>
      </c>
      <c r="C478" t="s">
        <v>2136</v>
      </c>
      <c r="D478" t="s">
        <v>254</v>
      </c>
    </row>
    <row r="479">
      <c r="A479" t="s">
        <v>2790</v>
      </c>
      <c r="B479" t="s">
        <v>1822</v>
      </c>
      <c r="C479" t="s">
        <v>2988</v>
      </c>
      <c r="D479" t="s">
        <v>2989</v>
      </c>
    </row>
    <row r="480">
      <c r="A480" t="s">
        <v>2793</v>
      </c>
      <c r="B480" t="s">
        <v>1829</v>
      </c>
      <c r="D480" t="s">
        <v>3864</v>
      </c>
    </row>
    <row r="481">
      <c r="A481" t="s">
        <v>2793</v>
      </c>
      <c r="B481" t="s">
        <v>1829</v>
      </c>
      <c r="C481" t="s">
        <v>2084</v>
      </c>
      <c r="D481" t="s">
        <v>119</v>
      </c>
    </row>
    <row r="482">
      <c r="A482" t="s">
        <v>2796</v>
      </c>
      <c r="B482" t="s">
        <v>1836</v>
      </c>
      <c r="D482" t="s">
        <v>3895</v>
      </c>
    </row>
    <row r="483">
      <c r="A483" t="s">
        <v>2796</v>
      </c>
      <c r="B483" t="s">
        <v>1836</v>
      </c>
      <c r="C483" t="s">
        <v>2779</v>
      </c>
      <c r="D483" t="s">
        <v>1792</v>
      </c>
    </row>
    <row r="484">
      <c r="A484" t="s">
        <v>2799</v>
      </c>
      <c r="B484" t="s">
        <v>1847</v>
      </c>
      <c r="C484" t="s">
        <v>2707</v>
      </c>
      <c r="D484" t="s">
        <v>1632</v>
      </c>
    </row>
    <row r="485">
      <c r="A485" t="s">
        <v>2799</v>
      </c>
      <c r="B485" t="s">
        <v>1847</v>
      </c>
      <c r="D485" t="s">
        <v>1727</v>
      </c>
    </row>
    <row r="486">
      <c r="A486" t="s">
        <v>2802</v>
      </c>
      <c r="B486" t="s">
        <v>1855</v>
      </c>
      <c r="C486" t="s">
        <v>2799</v>
      </c>
      <c r="D486" t="s">
        <v>1847</v>
      </c>
    </row>
    <row r="487">
      <c r="A487" t="s">
        <v>2804</v>
      </c>
      <c r="B487" t="s">
        <v>1861</v>
      </c>
      <c r="C487" t="s">
        <v>2707</v>
      </c>
      <c r="D487" t="s">
        <v>1632</v>
      </c>
    </row>
    <row r="488">
      <c r="A488" t="s">
        <v>2804</v>
      </c>
      <c r="B488" t="s">
        <v>1861</v>
      </c>
      <c r="C488" t="s">
        <v>2140</v>
      </c>
      <c r="D488" t="s">
        <v>263</v>
      </c>
    </row>
    <row r="489">
      <c r="A489" t="s">
        <v>2804</v>
      </c>
      <c r="B489" t="s">
        <v>1861</v>
      </c>
      <c r="C489" t="s">
        <v>2136</v>
      </c>
      <c r="D489" t="s">
        <v>254</v>
      </c>
    </row>
    <row r="490">
      <c r="A490" t="s">
        <v>2806</v>
      </c>
      <c r="B490" t="s">
        <v>1868</v>
      </c>
      <c r="C490" t="s">
        <v>2799</v>
      </c>
      <c r="D490" t="s">
        <v>1847</v>
      </c>
    </row>
    <row r="491">
      <c r="A491" t="s">
        <v>2809</v>
      </c>
      <c r="B491" t="s">
        <v>1877</v>
      </c>
      <c r="C491" t="s">
        <v>2707</v>
      </c>
      <c r="D491" t="s">
        <v>1632</v>
      </c>
    </row>
    <row r="492">
      <c r="A492" t="s">
        <v>2809</v>
      </c>
      <c r="B492" t="s">
        <v>1877</v>
      </c>
      <c r="C492" t="s">
        <v>2140</v>
      </c>
      <c r="D492" t="s">
        <v>263</v>
      </c>
    </row>
    <row r="493">
      <c r="A493" t="s">
        <v>2812</v>
      </c>
      <c r="B493" t="s">
        <v>1885</v>
      </c>
      <c r="C493" t="s">
        <v>2809</v>
      </c>
      <c r="D493" t="s">
        <v>1877</v>
      </c>
    </row>
    <row r="494">
      <c r="A494" t="s">
        <v>2814</v>
      </c>
      <c r="B494" t="s">
        <v>1890</v>
      </c>
      <c r="C494" t="s">
        <v>2812</v>
      </c>
      <c r="D494" t="s">
        <v>1885</v>
      </c>
    </row>
    <row r="495">
      <c r="A495" t="s">
        <v>2814</v>
      </c>
      <c r="B495" t="s">
        <v>1890</v>
      </c>
      <c r="C495" t="s">
        <v>2140</v>
      </c>
      <c r="D495" t="s">
        <v>263</v>
      </c>
    </row>
    <row r="496">
      <c r="A496" t="s">
        <v>2816</v>
      </c>
      <c r="B496" t="s">
        <v>1897</v>
      </c>
      <c r="D496" t="s">
        <v>3849</v>
      </c>
    </row>
    <row r="497">
      <c r="A497" t="s">
        <v>2816</v>
      </c>
      <c r="B497" t="s">
        <v>1897</v>
      </c>
      <c r="D497" t="s">
        <v>1727</v>
      </c>
    </row>
    <row r="498">
      <c r="A498" t="s">
        <v>2816</v>
      </c>
      <c r="B498" t="s">
        <v>1897</v>
      </c>
      <c r="C498" t="s">
        <v>2170</v>
      </c>
      <c r="D498" t="s">
        <v>343</v>
      </c>
    </row>
    <row r="499">
      <c r="A499" t="s">
        <v>2819</v>
      </c>
      <c r="B499" t="s">
        <v>1905</v>
      </c>
      <c r="C499" t="s">
        <v>2782</v>
      </c>
      <c r="D499" t="s">
        <v>1802</v>
      </c>
    </row>
    <row r="500">
      <c r="A500" t="s">
        <v>2819</v>
      </c>
      <c r="B500" t="s">
        <v>1905</v>
      </c>
      <c r="C500" t="s">
        <v>2196</v>
      </c>
      <c r="D500" t="s">
        <v>400</v>
      </c>
    </row>
    <row r="501">
      <c r="A501" t="s">
        <v>2819</v>
      </c>
      <c r="B501" t="s">
        <v>1905</v>
      </c>
      <c r="C501" t="s">
        <v>2188</v>
      </c>
      <c r="D501" t="s">
        <v>378</v>
      </c>
    </row>
    <row r="502">
      <c r="A502" t="s">
        <v>2821</v>
      </c>
      <c r="B502" t="s">
        <v>1916</v>
      </c>
      <c r="C502" t="s">
        <v>2170</v>
      </c>
      <c r="D502" t="s">
        <v>343</v>
      </c>
    </row>
    <row r="503">
      <c r="A503" t="s">
        <v>2821</v>
      </c>
      <c r="B503" t="s">
        <v>1916</v>
      </c>
      <c r="C503" t="s">
        <v>2081</v>
      </c>
      <c r="D503" t="s">
        <v>113</v>
      </c>
    </row>
    <row r="504">
      <c r="A504" t="s">
        <v>2821</v>
      </c>
      <c r="B504" t="s">
        <v>1916</v>
      </c>
      <c r="C504" t="s">
        <v>2188</v>
      </c>
      <c r="D504" t="s">
        <v>378</v>
      </c>
    </row>
    <row r="505">
      <c r="A505" t="s">
        <v>2823</v>
      </c>
      <c r="B505" t="s">
        <v>1924</v>
      </c>
      <c r="C505" t="s">
        <v>2821</v>
      </c>
      <c r="D505" t="s">
        <v>1916</v>
      </c>
    </row>
    <row r="506">
      <c r="A506" t="s">
        <v>2823</v>
      </c>
      <c r="B506" t="s">
        <v>1924</v>
      </c>
      <c r="C506" t="s">
        <v>2180</v>
      </c>
      <c r="D506" t="s">
        <v>363</v>
      </c>
    </row>
    <row r="507">
      <c r="A507" t="s">
        <v>2826</v>
      </c>
      <c r="B507" t="s">
        <v>1932</v>
      </c>
      <c r="C507" t="s">
        <v>2821</v>
      </c>
      <c r="D507" t="s">
        <v>1916</v>
      </c>
    </row>
    <row r="508">
      <c r="A508" t="s">
        <v>2826</v>
      </c>
      <c r="B508" t="s">
        <v>1932</v>
      </c>
      <c r="C508" t="s">
        <v>2184</v>
      </c>
      <c r="D508" t="s">
        <v>369</v>
      </c>
    </row>
    <row r="509">
      <c r="A509" t="s">
        <v>2826</v>
      </c>
      <c r="B509" t="s">
        <v>1932</v>
      </c>
      <c r="C509" t="s">
        <v>2164</v>
      </c>
      <c r="D509" t="s">
        <v>322</v>
      </c>
    </row>
    <row r="510">
      <c r="A510" t="s">
        <v>2826</v>
      </c>
      <c r="B510" t="s">
        <v>1932</v>
      </c>
      <c r="C510" t="s">
        <v>2994</v>
      </c>
      <c r="D510" t="s">
        <v>2995</v>
      </c>
    </row>
    <row r="511">
      <c r="A511" t="s">
        <v>2830</v>
      </c>
      <c r="B511" t="s">
        <v>1942</v>
      </c>
      <c r="C511" t="s">
        <v>2707</v>
      </c>
      <c r="D511" t="s">
        <v>1632</v>
      </c>
    </row>
    <row r="512">
      <c r="A512" t="s">
        <v>2830</v>
      </c>
      <c r="B512" t="s">
        <v>1942</v>
      </c>
      <c r="C512" t="s">
        <v>2140</v>
      </c>
      <c r="D512" t="s">
        <v>263</v>
      </c>
    </row>
    <row r="513">
      <c r="A513" t="s">
        <v>2835</v>
      </c>
      <c r="B513" t="s">
        <v>1949</v>
      </c>
      <c r="D513" t="s">
        <v>3874</v>
      </c>
    </row>
    <row r="514">
      <c r="A514" t="s">
        <v>2835</v>
      </c>
      <c r="B514" t="s">
        <v>1949</v>
      </c>
      <c r="D514" t="s">
        <v>1727</v>
      </c>
    </row>
    <row r="515">
      <c r="A515" t="s">
        <v>2837</v>
      </c>
      <c r="B515" t="s">
        <v>1955</v>
      </c>
      <c r="C515" t="s">
        <v>2835</v>
      </c>
      <c r="D515" t="s">
        <v>1949</v>
      </c>
    </row>
    <row r="516">
      <c r="A516" t="s">
        <v>2837</v>
      </c>
      <c r="B516" t="s">
        <v>1955</v>
      </c>
      <c r="C516" t="s">
        <v>2779</v>
      </c>
      <c r="D516" t="s">
        <v>1792</v>
      </c>
    </row>
    <row r="517">
      <c r="A517" t="s">
        <v>3025</v>
      </c>
      <c r="B517" t="s">
        <v>3028</v>
      </c>
      <c r="C517" t="s">
        <v>2120</v>
      </c>
      <c r="D517" t="s">
        <v>219</v>
      </c>
    </row>
    <row r="518">
      <c r="A518" t="s">
        <v>3025</v>
      </c>
      <c r="B518" t="s">
        <v>3028</v>
      </c>
      <c r="C518" t="s">
        <v>2081</v>
      </c>
      <c r="D518" t="s">
        <v>113</v>
      </c>
    </row>
    <row r="519">
      <c r="A519" t="s">
        <v>3025</v>
      </c>
      <c r="B519" t="s">
        <v>3028</v>
      </c>
      <c r="C519" t="s">
        <v>2170</v>
      </c>
      <c r="D519" t="s">
        <v>343</v>
      </c>
    </row>
    <row r="520">
      <c r="A520" t="s">
        <v>3025</v>
      </c>
      <c r="B520" t="s">
        <v>3028</v>
      </c>
      <c r="C520" t="s">
        <v>2188</v>
      </c>
      <c r="D520" t="s">
        <v>378</v>
      </c>
    </row>
    <row r="521">
      <c r="A521" t="s">
        <v>3042</v>
      </c>
      <c r="B521" t="s">
        <v>3044</v>
      </c>
      <c r="C521" t="s">
        <v>2120</v>
      </c>
      <c r="D521" t="s">
        <v>219</v>
      </c>
    </row>
    <row r="522">
      <c r="A522" t="s">
        <v>3042</v>
      </c>
      <c r="B522" t="s">
        <v>3044</v>
      </c>
      <c r="C522" t="s">
        <v>2081</v>
      </c>
      <c r="D522" t="s">
        <v>113</v>
      </c>
    </row>
    <row r="523">
      <c r="A523" t="s">
        <v>3042</v>
      </c>
      <c r="B523" t="s">
        <v>3044</v>
      </c>
      <c r="C523" t="s">
        <v>2170</v>
      </c>
      <c r="D523" t="s">
        <v>343</v>
      </c>
    </row>
    <row r="524">
      <c r="A524" t="s">
        <v>3042</v>
      </c>
      <c r="B524" t="s">
        <v>3044</v>
      </c>
      <c r="C524" t="s">
        <v>2188</v>
      </c>
      <c r="D524" t="s">
        <v>378</v>
      </c>
    </row>
    <row r="525">
      <c r="A525" t="s">
        <v>3055</v>
      </c>
      <c r="B525" t="s">
        <v>3057</v>
      </c>
      <c r="C525" t="s">
        <v>2170</v>
      </c>
      <c r="D525" t="s">
        <v>343</v>
      </c>
    </row>
    <row r="526">
      <c r="A526" t="s">
        <v>3055</v>
      </c>
      <c r="B526" t="s">
        <v>3057</v>
      </c>
      <c r="C526" t="s">
        <v>2180</v>
      </c>
      <c r="D526" t="s">
        <v>363</v>
      </c>
    </row>
    <row r="527">
      <c r="A527" t="s">
        <v>3055</v>
      </c>
      <c r="B527" t="s">
        <v>3057</v>
      </c>
      <c r="C527" t="s">
        <v>2081</v>
      </c>
      <c r="D527" t="s">
        <v>113</v>
      </c>
    </row>
    <row r="528">
      <c r="A528" t="s">
        <v>3055</v>
      </c>
      <c r="B528" t="s">
        <v>3057</v>
      </c>
      <c r="C528" t="s">
        <v>2188</v>
      </c>
      <c r="D528" t="s">
        <v>378</v>
      </c>
    </row>
    <row r="529">
      <c r="A529" t="s">
        <v>3055</v>
      </c>
      <c r="B529" t="s">
        <v>3057</v>
      </c>
      <c r="C529" t="s">
        <v>2133</v>
      </c>
      <c r="D529" t="s">
        <v>248</v>
      </c>
    </row>
    <row r="530">
      <c r="A530" t="s">
        <v>3055</v>
      </c>
      <c r="B530" t="s">
        <v>3057</v>
      </c>
      <c r="C530" t="s">
        <v>2140</v>
      </c>
      <c r="D530" t="s">
        <v>263</v>
      </c>
    </row>
    <row r="531">
      <c r="A531" t="s">
        <v>3055</v>
      </c>
      <c r="B531" t="s">
        <v>3057</v>
      </c>
      <c r="C531" t="s">
        <v>2164</v>
      </c>
      <c r="D531" t="s">
        <v>322</v>
      </c>
    </row>
    <row r="532">
      <c r="A532" t="s">
        <v>3069</v>
      </c>
      <c r="B532" t="s">
        <v>3072</v>
      </c>
      <c r="C532" t="s">
        <v>2537</v>
      </c>
      <c r="D532" t="s">
        <v>1201</v>
      </c>
    </row>
    <row r="533">
      <c r="A533" t="s">
        <v>3069</v>
      </c>
      <c r="B533" t="s">
        <v>3072</v>
      </c>
      <c r="C533" t="s">
        <v>2140</v>
      </c>
      <c r="D533" t="s">
        <v>263</v>
      </c>
    </row>
    <row r="534">
      <c r="A534" t="s">
        <v>3069</v>
      </c>
      <c r="B534" t="s">
        <v>3072</v>
      </c>
      <c r="C534" t="s">
        <v>2156</v>
      </c>
      <c r="D534" t="s">
        <v>306</v>
      </c>
    </row>
    <row r="535">
      <c r="A535" t="s">
        <v>3069</v>
      </c>
      <c r="B535" t="s">
        <v>3072</v>
      </c>
      <c r="C535" t="s">
        <v>2133</v>
      </c>
      <c r="D535" t="s">
        <v>248</v>
      </c>
    </row>
    <row r="536">
      <c r="A536" t="s">
        <v>3069</v>
      </c>
      <c r="B536" t="s">
        <v>3072</v>
      </c>
      <c r="C536" t="s">
        <v>2196</v>
      </c>
      <c r="D536" t="s">
        <v>400</v>
      </c>
    </row>
    <row r="537">
      <c r="A537" t="s">
        <v>3086</v>
      </c>
      <c r="B537" t="s">
        <v>3088</v>
      </c>
      <c r="C537" t="s">
        <v>3069</v>
      </c>
      <c r="D537" t="s">
        <v>3072</v>
      </c>
    </row>
    <row r="538">
      <c r="A538" t="s">
        <v>3086</v>
      </c>
      <c r="B538" t="s">
        <v>3088</v>
      </c>
      <c r="C538" t="s">
        <v>2550</v>
      </c>
      <c r="D538" t="s">
        <v>1229</v>
      </c>
    </row>
    <row r="539">
      <c r="A539" t="s">
        <v>3086</v>
      </c>
      <c r="B539" t="s">
        <v>3088</v>
      </c>
      <c r="C539" t="s">
        <v>2156</v>
      </c>
      <c r="D539" t="s">
        <v>306</v>
      </c>
    </row>
    <row r="540">
      <c r="A540" t="s">
        <v>3086</v>
      </c>
      <c r="B540" t="s">
        <v>3088</v>
      </c>
      <c r="C540" t="s">
        <v>2161</v>
      </c>
      <c r="D540" t="s">
        <v>313</v>
      </c>
    </row>
    <row r="541">
      <c r="A541" t="s">
        <v>3086</v>
      </c>
      <c r="B541" t="s">
        <v>3088</v>
      </c>
      <c r="C541" t="s">
        <v>2140</v>
      </c>
      <c r="D541" t="s">
        <v>263</v>
      </c>
    </row>
    <row r="542">
      <c r="A542" t="s">
        <v>3086</v>
      </c>
      <c r="B542" t="s">
        <v>3088</v>
      </c>
      <c r="C542" t="s">
        <v>2133</v>
      </c>
      <c r="D542" t="s">
        <v>248</v>
      </c>
    </row>
    <row r="543">
      <c r="A543" t="s">
        <v>3099</v>
      </c>
      <c r="B543" t="s">
        <v>3101</v>
      </c>
      <c r="C543" t="s">
        <v>2558</v>
      </c>
      <c r="D543" t="s">
        <v>1250</v>
      </c>
    </row>
    <row r="544">
      <c r="A544" t="s">
        <v>3099</v>
      </c>
      <c r="B544" t="s">
        <v>3101</v>
      </c>
      <c r="C544" t="s">
        <v>2561</v>
      </c>
      <c r="D544" t="s">
        <v>1257</v>
      </c>
    </row>
    <row r="545">
      <c r="A545" t="s">
        <v>3099</v>
      </c>
      <c r="B545" t="s">
        <v>3101</v>
      </c>
      <c r="C545" t="s">
        <v>2087</v>
      </c>
      <c r="D545" t="s">
        <v>128</v>
      </c>
    </row>
    <row r="546">
      <c r="A546" t="s">
        <v>3099</v>
      </c>
      <c r="B546" t="s">
        <v>3101</v>
      </c>
      <c r="C546" t="s">
        <v>2140</v>
      </c>
      <c r="D546" t="s">
        <v>263</v>
      </c>
    </row>
    <row r="547">
      <c r="A547" t="s">
        <v>3099</v>
      </c>
      <c r="B547" t="s">
        <v>3101</v>
      </c>
      <c r="C547" t="s">
        <v>2133</v>
      </c>
      <c r="D547" t="s">
        <v>248</v>
      </c>
    </row>
    <row r="548">
      <c r="A548" t="s">
        <v>3099</v>
      </c>
      <c r="B548" t="s">
        <v>3101</v>
      </c>
      <c r="C548" t="s">
        <v>2156</v>
      </c>
      <c r="D548" t="s">
        <v>306</v>
      </c>
    </row>
    <row r="549">
      <c r="A549" t="s">
        <v>3055</v>
      </c>
      <c r="B549" t="s">
        <v>3057</v>
      </c>
      <c r="C549" t="s">
        <v>3025</v>
      </c>
      <c r="D549" t="s">
        <v>3028</v>
      </c>
    </row>
    <row r="550">
      <c r="A550" t="s">
        <v>3055</v>
      </c>
      <c r="B550" t="s">
        <v>3057</v>
      </c>
      <c r="C550" t="s">
        <v>3042</v>
      </c>
      <c r="D550" t="s">
        <v>3044</v>
      </c>
    </row>
    <row r="551">
      <c r="A551" t="s">
        <v>2439</v>
      </c>
      <c r="B551" t="s">
        <v>973</v>
      </c>
      <c r="C551" t="s">
        <v>2287</v>
      </c>
      <c r="D551" t="s">
        <v>617</v>
      </c>
    </row>
    <row r="552">
      <c r="A552" t="s">
        <v>2439</v>
      </c>
      <c r="B552" t="s">
        <v>973</v>
      </c>
      <c r="C552" t="s">
        <v>2290</v>
      </c>
      <c r="D552" t="s">
        <v>624</v>
      </c>
    </row>
    <row r="553">
      <c r="A553" t="s">
        <v>2439</v>
      </c>
      <c r="B553" t="s">
        <v>973</v>
      </c>
      <c r="C553" t="s">
        <v>2281</v>
      </c>
      <c r="D553" t="s">
        <v>602</v>
      </c>
    </row>
    <row r="554">
      <c r="A554" t="s">
        <v>2439</v>
      </c>
      <c r="B554" t="s">
        <v>973</v>
      </c>
      <c r="C554" t="s">
        <v>2284</v>
      </c>
      <c r="D554" t="s">
        <v>610</v>
      </c>
    </row>
    <row r="555">
      <c r="A555" t="s">
        <v>2439</v>
      </c>
      <c r="B555" t="s">
        <v>973</v>
      </c>
      <c r="C555" t="s">
        <v>2199</v>
      </c>
      <c r="D555" t="s">
        <v>410</v>
      </c>
    </row>
    <row r="556">
      <c r="A556" t="s">
        <v>2446</v>
      </c>
      <c r="B556" t="s">
        <v>981</v>
      </c>
      <c r="C556" t="s">
        <v>2287</v>
      </c>
      <c r="D556" t="s">
        <v>617</v>
      </c>
    </row>
    <row r="557">
      <c r="A557" t="s">
        <v>2446</v>
      </c>
      <c r="B557" t="s">
        <v>981</v>
      </c>
      <c r="C557" t="s">
        <v>2290</v>
      </c>
      <c r="D557" t="s">
        <v>624</v>
      </c>
    </row>
    <row r="558">
      <c r="A558" t="s">
        <v>2446</v>
      </c>
      <c r="B558" t="s">
        <v>981</v>
      </c>
      <c r="C558" t="s">
        <v>2281</v>
      </c>
      <c r="D558" t="s">
        <v>602</v>
      </c>
    </row>
    <row r="559">
      <c r="A559" t="s">
        <v>2446</v>
      </c>
      <c r="B559" t="s">
        <v>981</v>
      </c>
      <c r="C559" t="s">
        <v>2284</v>
      </c>
      <c r="D559" t="s">
        <v>610</v>
      </c>
    </row>
    <row r="560">
      <c r="A560" t="s">
        <v>2446</v>
      </c>
      <c r="B560" t="s">
        <v>981</v>
      </c>
      <c r="C560" t="s">
        <v>2199</v>
      </c>
      <c r="D560" t="s">
        <v>410</v>
      </c>
    </row>
    <row r="561">
      <c r="A561" t="s">
        <v>2449</v>
      </c>
      <c r="B561" t="s">
        <v>987</v>
      </c>
      <c r="C561" t="s">
        <v>2287</v>
      </c>
      <c r="D561" t="s">
        <v>617</v>
      </c>
    </row>
    <row r="562">
      <c r="A562" t="s">
        <v>2449</v>
      </c>
      <c r="B562" t="s">
        <v>987</v>
      </c>
      <c r="C562" t="s">
        <v>2290</v>
      </c>
      <c r="D562" t="s">
        <v>624</v>
      </c>
    </row>
    <row r="563">
      <c r="A563" t="s">
        <v>2449</v>
      </c>
      <c r="B563" t="s">
        <v>987</v>
      </c>
      <c r="C563" t="s">
        <v>2281</v>
      </c>
      <c r="D563" t="s">
        <v>602</v>
      </c>
    </row>
    <row r="564">
      <c r="A564" t="s">
        <v>2449</v>
      </c>
      <c r="B564" t="s">
        <v>987</v>
      </c>
      <c r="C564" t="s">
        <v>2284</v>
      </c>
      <c r="D564" t="s">
        <v>610</v>
      </c>
    </row>
    <row r="565">
      <c r="A565" t="s">
        <v>2449</v>
      </c>
      <c r="B565" t="s">
        <v>987</v>
      </c>
      <c r="C565" t="s">
        <v>2199</v>
      </c>
      <c r="D565" t="s">
        <v>410</v>
      </c>
    </row>
    <row r="566">
      <c r="A566" t="s">
        <v>2452</v>
      </c>
      <c r="B566" t="s">
        <v>993</v>
      </c>
      <c r="C566" t="s">
        <v>2287</v>
      </c>
      <c r="D566" t="s">
        <v>617</v>
      </c>
    </row>
    <row r="567">
      <c r="A567" t="s">
        <v>2452</v>
      </c>
      <c r="B567" t="s">
        <v>993</v>
      </c>
      <c r="C567" t="s">
        <v>2290</v>
      </c>
      <c r="D567" t="s">
        <v>624</v>
      </c>
    </row>
    <row r="568">
      <c r="A568" t="s">
        <v>2452</v>
      </c>
      <c r="B568" t="s">
        <v>993</v>
      </c>
      <c r="C568" t="s">
        <v>2281</v>
      </c>
      <c r="D568" t="s">
        <v>602</v>
      </c>
    </row>
    <row r="569">
      <c r="A569" t="s">
        <v>2452</v>
      </c>
      <c r="B569" t="s">
        <v>993</v>
      </c>
      <c r="C569" t="s">
        <v>2284</v>
      </c>
      <c r="D569" t="s">
        <v>610</v>
      </c>
    </row>
    <row r="570">
      <c r="A570" t="s">
        <v>2452</v>
      </c>
      <c r="B570" t="s">
        <v>993</v>
      </c>
      <c r="C570" t="s">
        <v>2199</v>
      </c>
      <c r="D570" t="s">
        <v>410</v>
      </c>
    </row>
    <row r="571">
      <c r="A571" t="s">
        <v>2455</v>
      </c>
      <c r="B571" t="s">
        <v>1001</v>
      </c>
      <c r="C571" t="s">
        <v>2287</v>
      </c>
      <c r="D571" t="s">
        <v>617</v>
      </c>
    </row>
    <row r="572">
      <c r="A572" t="s">
        <v>2455</v>
      </c>
      <c r="B572" t="s">
        <v>1001</v>
      </c>
      <c r="C572" t="s">
        <v>2290</v>
      </c>
      <c r="D572" t="s">
        <v>624</v>
      </c>
    </row>
    <row r="573">
      <c r="A573" t="s">
        <v>2455</v>
      </c>
      <c r="B573" t="s">
        <v>1001</v>
      </c>
      <c r="C573" t="s">
        <v>2281</v>
      </c>
      <c r="D573" t="s">
        <v>602</v>
      </c>
    </row>
    <row r="574">
      <c r="A574" t="s">
        <v>2455</v>
      </c>
      <c r="B574" t="s">
        <v>1001</v>
      </c>
      <c r="C574" t="s">
        <v>2284</v>
      </c>
      <c r="D574" t="s">
        <v>610</v>
      </c>
    </row>
    <row r="575">
      <c r="A575" t="s">
        <v>2455</v>
      </c>
      <c r="B575" t="s">
        <v>1001</v>
      </c>
      <c r="C575" t="s">
        <v>2199</v>
      </c>
      <c r="D575" t="s">
        <v>410</v>
      </c>
    </row>
    <row r="576">
      <c r="A576" t="s">
        <v>2458</v>
      </c>
      <c r="B576" t="s">
        <v>1007</v>
      </c>
      <c r="C576" t="s">
        <v>2287</v>
      </c>
      <c r="D576" t="s">
        <v>617</v>
      </c>
    </row>
    <row r="577">
      <c r="A577" t="s">
        <v>2458</v>
      </c>
      <c r="B577" t="s">
        <v>1007</v>
      </c>
      <c r="C577" t="s">
        <v>2290</v>
      </c>
      <c r="D577" t="s">
        <v>624</v>
      </c>
    </row>
    <row r="578">
      <c r="A578" t="s">
        <v>2458</v>
      </c>
      <c r="B578" t="s">
        <v>1007</v>
      </c>
      <c r="C578" t="s">
        <v>2281</v>
      </c>
      <c r="D578" t="s">
        <v>602</v>
      </c>
    </row>
    <row r="579">
      <c r="A579" t="s">
        <v>2458</v>
      </c>
      <c r="B579" t="s">
        <v>1007</v>
      </c>
      <c r="C579" t="s">
        <v>2284</v>
      </c>
      <c r="D579" t="s">
        <v>610</v>
      </c>
    </row>
    <row r="580">
      <c r="A580" t="s">
        <v>2458</v>
      </c>
      <c r="B580" t="s">
        <v>1007</v>
      </c>
      <c r="C580" t="s">
        <v>2199</v>
      </c>
      <c r="D580" t="s">
        <v>410</v>
      </c>
    </row>
    <row r="581">
      <c r="A581" t="s">
        <v>2461</v>
      </c>
      <c r="B581" t="s">
        <v>1015</v>
      </c>
      <c r="C581" t="s">
        <v>2287</v>
      </c>
      <c r="D581" t="s">
        <v>617</v>
      </c>
    </row>
    <row r="582">
      <c r="A582" t="s">
        <v>2461</v>
      </c>
      <c r="B582" t="s">
        <v>1015</v>
      </c>
      <c r="C582" t="s">
        <v>2290</v>
      </c>
      <c r="D582" t="s">
        <v>624</v>
      </c>
    </row>
    <row r="583">
      <c r="A583" t="s">
        <v>2461</v>
      </c>
      <c r="B583" t="s">
        <v>1015</v>
      </c>
      <c r="C583" t="s">
        <v>2281</v>
      </c>
      <c r="D583" t="s">
        <v>602</v>
      </c>
    </row>
    <row r="584">
      <c r="A584" t="s">
        <v>2461</v>
      </c>
      <c r="B584" t="s">
        <v>1015</v>
      </c>
      <c r="C584" t="s">
        <v>2284</v>
      </c>
      <c r="D584" t="s">
        <v>610</v>
      </c>
    </row>
    <row r="585">
      <c r="A585" t="s">
        <v>2461</v>
      </c>
      <c r="B585" t="s">
        <v>1015</v>
      </c>
      <c r="C585" t="s">
        <v>2199</v>
      </c>
      <c r="D585" t="s">
        <v>410</v>
      </c>
    </row>
    <row r="586">
      <c r="A586" t="s">
        <v>2464</v>
      </c>
      <c r="B586" t="s">
        <v>1022</v>
      </c>
      <c r="C586" t="s">
        <v>2287</v>
      </c>
      <c r="D586" t="s">
        <v>617</v>
      </c>
    </row>
    <row r="587">
      <c r="A587" t="s">
        <v>2464</v>
      </c>
      <c r="B587" t="s">
        <v>1022</v>
      </c>
      <c r="C587" t="s">
        <v>2290</v>
      </c>
      <c r="D587" t="s">
        <v>624</v>
      </c>
    </row>
    <row r="588">
      <c r="A588" t="s">
        <v>2464</v>
      </c>
      <c r="B588" t="s">
        <v>1022</v>
      </c>
      <c r="C588" t="s">
        <v>2281</v>
      </c>
      <c r="D588" t="s">
        <v>602</v>
      </c>
    </row>
    <row r="589">
      <c r="A589" t="s">
        <v>2464</v>
      </c>
      <c r="B589" t="s">
        <v>1022</v>
      </c>
      <c r="C589" t="s">
        <v>2284</v>
      </c>
      <c r="D589" t="s">
        <v>610</v>
      </c>
    </row>
    <row r="590">
      <c r="A590" t="s">
        <v>2464</v>
      </c>
      <c r="B590" t="s">
        <v>1022</v>
      </c>
      <c r="C590" t="s">
        <v>2199</v>
      </c>
      <c r="D590" t="s">
        <v>410</v>
      </c>
    </row>
    <row r="591">
      <c r="A591" t="s">
        <v>2467</v>
      </c>
      <c r="B591" t="s">
        <v>1029</v>
      </c>
      <c r="C591" t="s">
        <v>2287</v>
      </c>
      <c r="D591" t="s">
        <v>617</v>
      </c>
    </row>
    <row r="592">
      <c r="A592" t="s">
        <v>2467</v>
      </c>
      <c r="B592" t="s">
        <v>1029</v>
      </c>
      <c r="C592" t="s">
        <v>2290</v>
      </c>
      <c r="D592" t="s">
        <v>624</v>
      </c>
    </row>
    <row r="593">
      <c r="A593" t="s">
        <v>2467</v>
      </c>
      <c r="B593" t="s">
        <v>1029</v>
      </c>
      <c r="C593" t="s">
        <v>2281</v>
      </c>
      <c r="D593" t="s">
        <v>602</v>
      </c>
    </row>
    <row r="594">
      <c r="A594" t="s">
        <v>2467</v>
      </c>
      <c r="B594" t="s">
        <v>1029</v>
      </c>
      <c r="C594" t="s">
        <v>2284</v>
      </c>
      <c r="D594" t="s">
        <v>610</v>
      </c>
    </row>
    <row r="595">
      <c r="A595" t="s">
        <v>2467</v>
      </c>
      <c r="B595" t="s">
        <v>1029</v>
      </c>
      <c r="C595" t="s">
        <v>2199</v>
      </c>
      <c r="D595" t="s">
        <v>410</v>
      </c>
    </row>
    <row r="596">
      <c r="A596" t="s">
        <v>2471</v>
      </c>
      <c r="B596" t="s">
        <v>1035</v>
      </c>
      <c r="C596" t="s">
        <v>2287</v>
      </c>
      <c r="D596" t="s">
        <v>617</v>
      </c>
    </row>
    <row r="597">
      <c r="A597" t="s">
        <v>2471</v>
      </c>
      <c r="B597" t="s">
        <v>1035</v>
      </c>
      <c r="C597" t="s">
        <v>2290</v>
      </c>
      <c r="D597" t="s">
        <v>624</v>
      </c>
    </row>
    <row r="598">
      <c r="A598" t="s">
        <v>2471</v>
      </c>
      <c r="B598" t="s">
        <v>1035</v>
      </c>
      <c r="C598" t="s">
        <v>2281</v>
      </c>
      <c r="D598" t="s">
        <v>602</v>
      </c>
    </row>
    <row r="599">
      <c r="A599" t="s">
        <v>2471</v>
      </c>
      <c r="B599" t="s">
        <v>1035</v>
      </c>
      <c r="C599" t="s">
        <v>2284</v>
      </c>
      <c r="D599" t="s">
        <v>610</v>
      </c>
    </row>
    <row r="600">
      <c r="A600" t="s">
        <v>2471</v>
      </c>
      <c r="B600" t="s">
        <v>1035</v>
      </c>
      <c r="C600" t="s">
        <v>2199</v>
      </c>
      <c r="D600" t="s">
        <v>410</v>
      </c>
    </row>
    <row r="601">
      <c r="A601" t="s">
        <v>2474</v>
      </c>
      <c r="B601" t="s">
        <v>1043</v>
      </c>
      <c r="C601" t="s">
        <v>2287</v>
      </c>
      <c r="D601" t="s">
        <v>617</v>
      </c>
    </row>
    <row r="602">
      <c r="A602" t="s">
        <v>2474</v>
      </c>
      <c r="B602" t="s">
        <v>1043</v>
      </c>
      <c r="C602" t="s">
        <v>2290</v>
      </c>
      <c r="D602" t="s">
        <v>624</v>
      </c>
    </row>
    <row r="603">
      <c r="A603" t="s">
        <v>2474</v>
      </c>
      <c r="B603" t="s">
        <v>1043</v>
      </c>
      <c r="C603" t="s">
        <v>2281</v>
      </c>
      <c r="D603" t="s">
        <v>602</v>
      </c>
    </row>
    <row r="604">
      <c r="A604" t="s">
        <v>2474</v>
      </c>
      <c r="B604" t="s">
        <v>1043</v>
      </c>
      <c r="C604" t="s">
        <v>2284</v>
      </c>
      <c r="D604" t="s">
        <v>610</v>
      </c>
    </row>
    <row r="605">
      <c r="A605" t="s">
        <v>2474</v>
      </c>
      <c r="B605" t="s">
        <v>1043</v>
      </c>
      <c r="C605" t="s">
        <v>2199</v>
      </c>
      <c r="D605" t="s">
        <v>410</v>
      </c>
    </row>
    <row r="606">
      <c r="A606" t="s">
        <v>2477</v>
      </c>
      <c r="B606" t="s">
        <v>1050</v>
      </c>
      <c r="C606" t="s">
        <v>2287</v>
      </c>
      <c r="D606" t="s">
        <v>617</v>
      </c>
    </row>
    <row r="607">
      <c r="A607" t="s">
        <v>2477</v>
      </c>
      <c r="B607" t="s">
        <v>1050</v>
      </c>
      <c r="C607" t="s">
        <v>2290</v>
      </c>
      <c r="D607" t="s">
        <v>624</v>
      </c>
    </row>
    <row r="608">
      <c r="A608" t="s">
        <v>2477</v>
      </c>
      <c r="B608" t="s">
        <v>1050</v>
      </c>
      <c r="C608" t="s">
        <v>2281</v>
      </c>
      <c r="D608" t="s">
        <v>602</v>
      </c>
    </row>
    <row r="609">
      <c r="A609" t="s">
        <v>2477</v>
      </c>
      <c r="B609" t="s">
        <v>1050</v>
      </c>
      <c r="C609" t="s">
        <v>2284</v>
      </c>
      <c r="D609" t="s">
        <v>610</v>
      </c>
    </row>
    <row r="610">
      <c r="A610" t="s">
        <v>2477</v>
      </c>
      <c r="B610" t="s">
        <v>1050</v>
      </c>
      <c r="C610" t="s">
        <v>2199</v>
      </c>
      <c r="D610" t="s">
        <v>410</v>
      </c>
    </row>
    <row r="611">
      <c r="A611" t="s">
        <v>2480</v>
      </c>
      <c r="B611" t="s">
        <v>1058</v>
      </c>
      <c r="C611" t="s">
        <v>2287</v>
      </c>
      <c r="D611" t="s">
        <v>617</v>
      </c>
    </row>
    <row r="612">
      <c r="A612" t="s">
        <v>2480</v>
      </c>
      <c r="B612" t="s">
        <v>1058</v>
      </c>
      <c r="C612" t="s">
        <v>2290</v>
      </c>
      <c r="D612" t="s">
        <v>624</v>
      </c>
    </row>
    <row r="613">
      <c r="A613" t="s">
        <v>2480</v>
      </c>
      <c r="B613" t="s">
        <v>1058</v>
      </c>
      <c r="C613" t="s">
        <v>2281</v>
      </c>
      <c r="D613" t="s">
        <v>602</v>
      </c>
    </row>
    <row r="614">
      <c r="A614" t="s">
        <v>2480</v>
      </c>
      <c r="B614" t="s">
        <v>1058</v>
      </c>
      <c r="C614" t="s">
        <v>2284</v>
      </c>
      <c r="D614" t="s">
        <v>610</v>
      </c>
    </row>
    <row r="615">
      <c r="A615" t="s">
        <v>2480</v>
      </c>
      <c r="B615" t="s">
        <v>1058</v>
      </c>
      <c r="C615" t="s">
        <v>2199</v>
      </c>
      <c r="D615" t="s">
        <v>410</v>
      </c>
    </row>
    <row r="616">
      <c r="A616" t="s">
        <v>2483</v>
      </c>
      <c r="B616" t="s">
        <v>1064</v>
      </c>
      <c r="C616" t="s">
        <v>2287</v>
      </c>
      <c r="D616" t="s">
        <v>617</v>
      </c>
    </row>
    <row r="617">
      <c r="A617" t="s">
        <v>2483</v>
      </c>
      <c r="B617" t="s">
        <v>1064</v>
      </c>
      <c r="C617" t="s">
        <v>2290</v>
      </c>
      <c r="D617" t="s">
        <v>624</v>
      </c>
    </row>
    <row r="618">
      <c r="A618" t="s">
        <v>2483</v>
      </c>
      <c r="B618" t="s">
        <v>1064</v>
      </c>
      <c r="C618" t="s">
        <v>2281</v>
      </c>
      <c r="D618" t="s">
        <v>602</v>
      </c>
    </row>
    <row r="619">
      <c r="A619" t="s">
        <v>2483</v>
      </c>
      <c r="B619" t="s">
        <v>1064</v>
      </c>
      <c r="C619" t="s">
        <v>2284</v>
      </c>
      <c r="D619" t="s">
        <v>610</v>
      </c>
    </row>
    <row r="620">
      <c r="A620" t="s">
        <v>2483</v>
      </c>
      <c r="B620" t="s">
        <v>1064</v>
      </c>
      <c r="C620" t="s">
        <v>2199</v>
      </c>
      <c r="D620" t="s">
        <v>410</v>
      </c>
    </row>
    <row r="621">
      <c r="A621" t="s">
        <v>2486</v>
      </c>
      <c r="B621" t="s">
        <v>1074</v>
      </c>
      <c r="C621" t="s">
        <v>2287</v>
      </c>
      <c r="D621" t="s">
        <v>617</v>
      </c>
    </row>
    <row r="622">
      <c r="A622" t="s">
        <v>2486</v>
      </c>
      <c r="B622" t="s">
        <v>1074</v>
      </c>
      <c r="C622" t="s">
        <v>2290</v>
      </c>
      <c r="D622" t="s">
        <v>624</v>
      </c>
    </row>
    <row r="623">
      <c r="A623" t="s">
        <v>2486</v>
      </c>
      <c r="B623" t="s">
        <v>1074</v>
      </c>
      <c r="C623" t="s">
        <v>2281</v>
      </c>
      <c r="D623" t="s">
        <v>602</v>
      </c>
    </row>
    <row r="624">
      <c r="A624" t="s">
        <v>2486</v>
      </c>
      <c r="B624" t="s">
        <v>1074</v>
      </c>
      <c r="C624" t="s">
        <v>2284</v>
      </c>
      <c r="D624" t="s">
        <v>610</v>
      </c>
    </row>
    <row r="625">
      <c r="A625" t="s">
        <v>2486</v>
      </c>
      <c r="B625" t="s">
        <v>1074</v>
      </c>
      <c r="C625" t="s">
        <v>2199</v>
      </c>
      <c r="D625" t="s">
        <v>410</v>
      </c>
    </row>
    <row r="626">
      <c r="A626" t="s">
        <v>2489</v>
      </c>
      <c r="B626" t="s">
        <v>1081</v>
      </c>
      <c r="C626" t="s">
        <v>2287</v>
      </c>
      <c r="D626" t="s">
        <v>617</v>
      </c>
    </row>
    <row r="627">
      <c r="A627" t="s">
        <v>2489</v>
      </c>
      <c r="B627" t="s">
        <v>1081</v>
      </c>
      <c r="C627" t="s">
        <v>2290</v>
      </c>
      <c r="D627" t="s">
        <v>624</v>
      </c>
    </row>
    <row r="628">
      <c r="A628" t="s">
        <v>2489</v>
      </c>
      <c r="B628" t="s">
        <v>1081</v>
      </c>
      <c r="C628" t="s">
        <v>2281</v>
      </c>
      <c r="D628" t="s">
        <v>602</v>
      </c>
    </row>
    <row r="629">
      <c r="A629" t="s">
        <v>2489</v>
      </c>
      <c r="B629" t="s">
        <v>1081</v>
      </c>
      <c r="C629" t="s">
        <v>2284</v>
      </c>
      <c r="D629" t="s">
        <v>610</v>
      </c>
    </row>
    <row r="630">
      <c r="A630" t="s">
        <v>2489</v>
      </c>
      <c r="B630" t="s">
        <v>1081</v>
      </c>
      <c r="C630" t="s">
        <v>2199</v>
      </c>
      <c r="D630" t="s">
        <v>410</v>
      </c>
    </row>
    <row r="631">
      <c r="A631" t="s">
        <v>2492</v>
      </c>
      <c r="B631" t="s">
        <v>1087</v>
      </c>
      <c r="C631" t="s">
        <v>2287</v>
      </c>
      <c r="D631" t="s">
        <v>617</v>
      </c>
    </row>
    <row r="632">
      <c r="A632" t="s">
        <v>2492</v>
      </c>
      <c r="B632" t="s">
        <v>1087</v>
      </c>
      <c r="C632" t="s">
        <v>2290</v>
      </c>
      <c r="D632" t="s">
        <v>624</v>
      </c>
    </row>
    <row r="633">
      <c r="A633" t="s">
        <v>2492</v>
      </c>
      <c r="B633" t="s">
        <v>1087</v>
      </c>
      <c r="C633" t="s">
        <v>2281</v>
      </c>
      <c r="D633" t="s">
        <v>602</v>
      </c>
    </row>
    <row r="634">
      <c r="A634" t="s">
        <v>2492</v>
      </c>
      <c r="B634" t="s">
        <v>1087</v>
      </c>
      <c r="C634" t="s">
        <v>2284</v>
      </c>
      <c r="D634" t="s">
        <v>610</v>
      </c>
    </row>
    <row r="635">
      <c r="A635" t="s">
        <v>2492</v>
      </c>
      <c r="B635" t="s">
        <v>1087</v>
      </c>
      <c r="C635" t="s">
        <v>2199</v>
      </c>
      <c r="D635" t="s">
        <v>410</v>
      </c>
    </row>
    <row r="636">
      <c r="A636" t="s">
        <v>2495</v>
      </c>
      <c r="B636" t="s">
        <v>1094</v>
      </c>
      <c r="C636" t="s">
        <v>2287</v>
      </c>
      <c r="D636" t="s">
        <v>617</v>
      </c>
    </row>
    <row r="637">
      <c r="A637" t="s">
        <v>2495</v>
      </c>
      <c r="B637" t="s">
        <v>1094</v>
      </c>
      <c r="C637" t="s">
        <v>2290</v>
      </c>
      <c r="D637" t="s">
        <v>624</v>
      </c>
    </row>
    <row r="638">
      <c r="A638" t="s">
        <v>2495</v>
      </c>
      <c r="B638" t="s">
        <v>1094</v>
      </c>
      <c r="C638" t="s">
        <v>2281</v>
      </c>
      <c r="D638" t="s">
        <v>602</v>
      </c>
    </row>
    <row r="639">
      <c r="A639" t="s">
        <v>2495</v>
      </c>
      <c r="B639" t="s">
        <v>1094</v>
      </c>
      <c r="C639" t="s">
        <v>2284</v>
      </c>
      <c r="D639" t="s">
        <v>610</v>
      </c>
    </row>
    <row r="640">
      <c r="A640" t="s">
        <v>2495</v>
      </c>
      <c r="B640" t="s">
        <v>1094</v>
      </c>
      <c r="C640" t="s">
        <v>2199</v>
      </c>
      <c r="D640" t="s">
        <v>410</v>
      </c>
    </row>
    <row r="641">
      <c r="A641" t="s">
        <v>2498</v>
      </c>
      <c r="B641" t="s">
        <v>1101</v>
      </c>
      <c r="C641" t="s">
        <v>2287</v>
      </c>
      <c r="D641" t="s">
        <v>617</v>
      </c>
    </row>
    <row r="642">
      <c r="A642" t="s">
        <v>2498</v>
      </c>
      <c r="B642" t="s">
        <v>1101</v>
      </c>
      <c r="C642" t="s">
        <v>2290</v>
      </c>
      <c r="D642" t="s">
        <v>624</v>
      </c>
    </row>
    <row r="643">
      <c r="A643" t="s">
        <v>2498</v>
      </c>
      <c r="B643" t="s">
        <v>1101</v>
      </c>
      <c r="C643" t="s">
        <v>2281</v>
      </c>
      <c r="D643" t="s">
        <v>602</v>
      </c>
    </row>
    <row r="644">
      <c r="A644" t="s">
        <v>2498</v>
      </c>
      <c r="B644" t="s">
        <v>1101</v>
      </c>
      <c r="C644" t="s">
        <v>2284</v>
      </c>
      <c r="D644" t="s">
        <v>610</v>
      </c>
    </row>
    <row r="645">
      <c r="A645" t="s">
        <v>2498</v>
      </c>
      <c r="B645" t="s">
        <v>1101</v>
      </c>
      <c r="C645" t="s">
        <v>2199</v>
      </c>
      <c r="D645" t="s">
        <v>410</v>
      </c>
    </row>
    <row r="646">
      <c r="A646" t="s">
        <v>2501</v>
      </c>
      <c r="B646" t="s">
        <v>1109</v>
      </c>
      <c r="C646" t="s">
        <v>2287</v>
      </c>
      <c r="D646" t="s">
        <v>617</v>
      </c>
    </row>
    <row r="647">
      <c r="A647" t="s">
        <v>2501</v>
      </c>
      <c r="B647" t="s">
        <v>1109</v>
      </c>
      <c r="C647" t="s">
        <v>2290</v>
      </c>
      <c r="D647" t="s">
        <v>624</v>
      </c>
    </row>
    <row r="648">
      <c r="A648" t="s">
        <v>2501</v>
      </c>
      <c r="B648" t="s">
        <v>1109</v>
      </c>
      <c r="C648" t="s">
        <v>2281</v>
      </c>
      <c r="D648" t="s">
        <v>602</v>
      </c>
    </row>
    <row r="649">
      <c r="A649" t="s">
        <v>2501</v>
      </c>
      <c r="B649" t="s">
        <v>1109</v>
      </c>
      <c r="C649" t="s">
        <v>2284</v>
      </c>
      <c r="D649" t="s">
        <v>610</v>
      </c>
    </row>
    <row r="650">
      <c r="A650" t="s">
        <v>2501</v>
      </c>
      <c r="B650" t="s">
        <v>1109</v>
      </c>
      <c r="C650" t="s">
        <v>2199</v>
      </c>
      <c r="D650" t="s">
        <v>410</v>
      </c>
    </row>
    <row r="651">
      <c r="A651" t="s">
        <v>2504</v>
      </c>
      <c r="B651" t="s">
        <v>1114</v>
      </c>
      <c r="C651" t="s">
        <v>2287</v>
      </c>
      <c r="D651" t="s">
        <v>617</v>
      </c>
    </row>
    <row r="652">
      <c r="A652" t="s">
        <v>2504</v>
      </c>
      <c r="B652" t="s">
        <v>1114</v>
      </c>
      <c r="C652" t="s">
        <v>2290</v>
      </c>
      <c r="D652" t="s">
        <v>624</v>
      </c>
    </row>
    <row r="653">
      <c r="A653" t="s">
        <v>2504</v>
      </c>
      <c r="B653" t="s">
        <v>1114</v>
      </c>
      <c r="C653" t="s">
        <v>2281</v>
      </c>
      <c r="D653" t="s">
        <v>602</v>
      </c>
    </row>
    <row r="654">
      <c r="A654" t="s">
        <v>2504</v>
      </c>
      <c r="B654" t="s">
        <v>1114</v>
      </c>
      <c r="C654" t="s">
        <v>2284</v>
      </c>
      <c r="D654" t="s">
        <v>610</v>
      </c>
    </row>
    <row r="655">
      <c r="A655" t="s">
        <v>2504</v>
      </c>
      <c r="B655" t="s">
        <v>1114</v>
      </c>
      <c r="C655" t="s">
        <v>2199</v>
      </c>
      <c r="D655" t="s">
        <v>410</v>
      </c>
    </row>
    <row r="656">
      <c r="A656" t="s">
        <v>2505</v>
      </c>
      <c r="B656" t="s">
        <v>1121</v>
      </c>
      <c r="C656" t="s">
        <v>2287</v>
      </c>
      <c r="D656" t="s">
        <v>617</v>
      </c>
    </row>
    <row r="657">
      <c r="A657" t="s">
        <v>2505</v>
      </c>
      <c r="B657" t="s">
        <v>1121</v>
      </c>
      <c r="C657" t="s">
        <v>2290</v>
      </c>
      <c r="D657" t="s">
        <v>624</v>
      </c>
    </row>
    <row r="658">
      <c r="A658" t="s">
        <v>2505</v>
      </c>
      <c r="B658" t="s">
        <v>1121</v>
      </c>
      <c r="C658" t="s">
        <v>2281</v>
      </c>
      <c r="D658" t="s">
        <v>602</v>
      </c>
    </row>
    <row r="659">
      <c r="A659" t="s">
        <v>2505</v>
      </c>
      <c r="B659" t="s">
        <v>1121</v>
      </c>
      <c r="C659" t="s">
        <v>2284</v>
      </c>
      <c r="D659" t="s">
        <v>610</v>
      </c>
    </row>
    <row r="660">
      <c r="A660" t="s">
        <v>2505</v>
      </c>
      <c r="B660" t="s">
        <v>1121</v>
      </c>
      <c r="C660" t="s">
        <v>2199</v>
      </c>
      <c r="D660" t="s">
        <v>410</v>
      </c>
    </row>
    <row r="661">
      <c r="A661" t="s">
        <v>2508</v>
      </c>
      <c r="B661" t="s">
        <v>1131</v>
      </c>
      <c r="C661" t="s">
        <v>2287</v>
      </c>
      <c r="D661" t="s">
        <v>617</v>
      </c>
    </row>
    <row r="662">
      <c r="A662" t="s">
        <v>2508</v>
      </c>
      <c r="B662" t="s">
        <v>1131</v>
      </c>
      <c r="C662" t="s">
        <v>2290</v>
      </c>
      <c r="D662" t="s">
        <v>624</v>
      </c>
    </row>
    <row r="663">
      <c r="A663" t="s">
        <v>2508</v>
      </c>
      <c r="B663" t="s">
        <v>1131</v>
      </c>
      <c r="C663" t="s">
        <v>2281</v>
      </c>
      <c r="D663" t="s">
        <v>602</v>
      </c>
    </row>
    <row r="664">
      <c r="A664" t="s">
        <v>2508</v>
      </c>
      <c r="B664" t="s">
        <v>1131</v>
      </c>
      <c r="C664" t="s">
        <v>2284</v>
      </c>
      <c r="D664" t="s">
        <v>610</v>
      </c>
    </row>
    <row r="665">
      <c r="A665" t="s">
        <v>2508</v>
      </c>
      <c r="B665" t="s">
        <v>1131</v>
      </c>
      <c r="C665" t="s">
        <v>2199</v>
      </c>
      <c r="D665" t="s">
        <v>410</v>
      </c>
    </row>
    <row r="666">
      <c r="A666" t="s">
        <v>2510</v>
      </c>
      <c r="B666" t="s">
        <v>1139</v>
      </c>
      <c r="C666" t="s">
        <v>2287</v>
      </c>
      <c r="D666" t="s">
        <v>617</v>
      </c>
    </row>
    <row r="667">
      <c r="A667" t="s">
        <v>2510</v>
      </c>
      <c r="B667" t="s">
        <v>1139</v>
      </c>
      <c r="C667" t="s">
        <v>2290</v>
      </c>
      <c r="D667" t="s">
        <v>624</v>
      </c>
    </row>
    <row r="668">
      <c r="A668" t="s">
        <v>2510</v>
      </c>
      <c r="B668" t="s">
        <v>1139</v>
      </c>
      <c r="C668" t="s">
        <v>2281</v>
      </c>
      <c r="D668" t="s">
        <v>602</v>
      </c>
    </row>
    <row r="669">
      <c r="A669" t="s">
        <v>2510</v>
      </c>
      <c r="B669" t="s">
        <v>1139</v>
      </c>
      <c r="C669" t="s">
        <v>2284</v>
      </c>
      <c r="D669" t="s">
        <v>610</v>
      </c>
    </row>
    <row r="670">
      <c r="A670" t="s">
        <v>2510</v>
      </c>
      <c r="B670" t="s">
        <v>1139</v>
      </c>
      <c r="C670" t="s">
        <v>2199</v>
      </c>
      <c r="D670" t="s">
        <v>410</v>
      </c>
    </row>
    <row r="671">
      <c r="A671" t="s">
        <v>2514</v>
      </c>
      <c r="B671" t="s">
        <v>1145</v>
      </c>
      <c r="C671" t="s">
        <v>2287</v>
      </c>
      <c r="D671" t="s">
        <v>617</v>
      </c>
    </row>
    <row r="672">
      <c r="A672" t="s">
        <v>2514</v>
      </c>
      <c r="B672" t="s">
        <v>1145</v>
      </c>
      <c r="C672" t="s">
        <v>2290</v>
      </c>
      <c r="D672" t="s">
        <v>624</v>
      </c>
    </row>
    <row r="673">
      <c r="A673" t="s">
        <v>2514</v>
      </c>
      <c r="B673" t="s">
        <v>1145</v>
      </c>
      <c r="C673" t="s">
        <v>2281</v>
      </c>
      <c r="D673" t="s">
        <v>602</v>
      </c>
    </row>
    <row r="674">
      <c r="A674" t="s">
        <v>2514</v>
      </c>
      <c r="B674" t="s">
        <v>1145</v>
      </c>
      <c r="C674" t="s">
        <v>2284</v>
      </c>
      <c r="D674" t="s">
        <v>610</v>
      </c>
    </row>
    <row r="675">
      <c r="A675" t="s">
        <v>2514</v>
      </c>
      <c r="B675" t="s">
        <v>1145</v>
      </c>
      <c r="C675" t="s">
        <v>2199</v>
      </c>
      <c r="D675" t="s">
        <v>410</v>
      </c>
    </row>
    <row r="676">
      <c r="A676" t="s">
        <v>2519</v>
      </c>
      <c r="B676" t="s">
        <v>1152</v>
      </c>
      <c r="C676" t="s">
        <v>2287</v>
      </c>
      <c r="D676" t="s">
        <v>617</v>
      </c>
    </row>
    <row r="677">
      <c r="A677" t="s">
        <v>2519</v>
      </c>
      <c r="B677" t="s">
        <v>1152</v>
      </c>
      <c r="C677" t="s">
        <v>2290</v>
      </c>
      <c r="D677" t="s">
        <v>624</v>
      </c>
    </row>
    <row r="678">
      <c r="A678" t="s">
        <v>2519</v>
      </c>
      <c r="B678" t="s">
        <v>1152</v>
      </c>
      <c r="C678" t="s">
        <v>2281</v>
      </c>
      <c r="D678" t="s">
        <v>602</v>
      </c>
    </row>
    <row r="679">
      <c r="A679" t="s">
        <v>2519</v>
      </c>
      <c r="B679" t="s">
        <v>1152</v>
      </c>
      <c r="C679" t="s">
        <v>2284</v>
      </c>
      <c r="D679" t="s">
        <v>610</v>
      </c>
    </row>
    <row r="680">
      <c r="A680" t="s">
        <v>2519</v>
      </c>
      <c r="B680" t="s">
        <v>1152</v>
      </c>
      <c r="C680" t="s">
        <v>2199</v>
      </c>
      <c r="D680" t="s">
        <v>410</v>
      </c>
    </row>
    <row r="681">
      <c r="A681" t="s">
        <v>2522</v>
      </c>
      <c r="B681" t="s">
        <v>1160</v>
      </c>
      <c r="C681" t="s">
        <v>2287</v>
      </c>
      <c r="D681" t="s">
        <v>617</v>
      </c>
    </row>
    <row r="682">
      <c r="A682" t="s">
        <v>2522</v>
      </c>
      <c r="B682" t="s">
        <v>1160</v>
      </c>
      <c r="C682" t="s">
        <v>2290</v>
      </c>
      <c r="D682" t="s">
        <v>624</v>
      </c>
    </row>
    <row r="683">
      <c r="A683" t="s">
        <v>2522</v>
      </c>
      <c r="B683" t="s">
        <v>1160</v>
      </c>
      <c r="C683" t="s">
        <v>2281</v>
      </c>
      <c r="D683" t="s">
        <v>602</v>
      </c>
    </row>
    <row r="684">
      <c r="A684" t="s">
        <v>2522</v>
      </c>
      <c r="B684" t="s">
        <v>1160</v>
      </c>
      <c r="C684" t="s">
        <v>2284</v>
      </c>
      <c r="D684" t="s">
        <v>610</v>
      </c>
    </row>
    <row r="685">
      <c r="A685" t="s">
        <v>2522</v>
      </c>
      <c r="B685" t="s">
        <v>1160</v>
      </c>
      <c r="C685" t="s">
        <v>2199</v>
      </c>
      <c r="D685" t="s">
        <v>410</v>
      </c>
    </row>
    <row r="686">
      <c r="A686" t="s">
        <v>2525</v>
      </c>
      <c r="B686" t="s">
        <v>1168</v>
      </c>
      <c r="C686" t="s">
        <v>2287</v>
      </c>
      <c r="D686" t="s">
        <v>617</v>
      </c>
    </row>
    <row r="687">
      <c r="A687" t="s">
        <v>2525</v>
      </c>
      <c r="B687" t="s">
        <v>1168</v>
      </c>
      <c r="C687" t="s">
        <v>2290</v>
      </c>
      <c r="D687" t="s">
        <v>624</v>
      </c>
    </row>
    <row r="688">
      <c r="A688" t="s">
        <v>2525</v>
      </c>
      <c r="B688" t="s">
        <v>1168</v>
      </c>
      <c r="C688" t="s">
        <v>2281</v>
      </c>
      <c r="D688" t="s">
        <v>602</v>
      </c>
    </row>
    <row r="689">
      <c r="A689" t="s">
        <v>2525</v>
      </c>
      <c r="B689" t="s">
        <v>1168</v>
      </c>
      <c r="C689" t="s">
        <v>2284</v>
      </c>
      <c r="D689" t="s">
        <v>610</v>
      </c>
    </row>
    <row r="690">
      <c r="A690" t="s">
        <v>2525</v>
      </c>
      <c r="B690" t="s">
        <v>1168</v>
      </c>
      <c r="C690" t="s">
        <v>2199</v>
      </c>
      <c r="D690" t="s">
        <v>410</v>
      </c>
    </row>
    <row r="691">
      <c r="A691" t="s">
        <v>2528</v>
      </c>
      <c r="B691" t="s">
        <v>1174</v>
      </c>
      <c r="C691" t="s">
        <v>2287</v>
      </c>
      <c r="D691" t="s">
        <v>617</v>
      </c>
    </row>
    <row r="692">
      <c r="A692" t="s">
        <v>2528</v>
      </c>
      <c r="B692" t="s">
        <v>1174</v>
      </c>
      <c r="C692" t="s">
        <v>2290</v>
      </c>
      <c r="D692" t="s">
        <v>624</v>
      </c>
    </row>
    <row r="693">
      <c r="A693" t="s">
        <v>2528</v>
      </c>
      <c r="B693" t="s">
        <v>1174</v>
      </c>
      <c r="C693" t="s">
        <v>2281</v>
      </c>
      <c r="D693" t="s">
        <v>602</v>
      </c>
    </row>
    <row r="694">
      <c r="A694" t="s">
        <v>2528</v>
      </c>
      <c r="B694" t="s">
        <v>1174</v>
      </c>
      <c r="C694" t="s">
        <v>2284</v>
      </c>
      <c r="D694" t="s">
        <v>610</v>
      </c>
    </row>
    <row r="695">
      <c r="A695" t="s">
        <v>2528</v>
      </c>
      <c r="B695" t="s">
        <v>1174</v>
      </c>
      <c r="C695" t="s">
        <v>2199</v>
      </c>
      <c r="D695" t="s">
        <v>410</v>
      </c>
    </row>
    <row r="696">
      <c r="A696" t="s">
        <v>2531</v>
      </c>
      <c r="B696" t="s">
        <v>1182</v>
      </c>
      <c r="C696" t="s">
        <v>2287</v>
      </c>
      <c r="D696" t="s">
        <v>617</v>
      </c>
    </row>
    <row r="697">
      <c r="A697" t="s">
        <v>2531</v>
      </c>
      <c r="B697" t="s">
        <v>1182</v>
      </c>
      <c r="C697" t="s">
        <v>2290</v>
      </c>
      <c r="D697" t="s">
        <v>624</v>
      </c>
    </row>
    <row r="698">
      <c r="A698" t="s">
        <v>2531</v>
      </c>
      <c r="B698" t="s">
        <v>1182</v>
      </c>
      <c r="C698" t="s">
        <v>2281</v>
      </c>
      <c r="D698" t="s">
        <v>602</v>
      </c>
    </row>
    <row r="699">
      <c r="A699" t="s">
        <v>2531</v>
      </c>
      <c r="B699" t="s">
        <v>1182</v>
      </c>
      <c r="C699" t="s">
        <v>2284</v>
      </c>
      <c r="D699" t="s">
        <v>610</v>
      </c>
    </row>
    <row r="700">
      <c r="A700" t="s">
        <v>2531</v>
      </c>
      <c r="B700" t="s">
        <v>1182</v>
      </c>
      <c r="C700" t="s">
        <v>2199</v>
      </c>
      <c r="D700" t="s">
        <v>410</v>
      </c>
    </row>
    <row r="701">
      <c r="A701" t="s">
        <v>2534</v>
      </c>
      <c r="B701" t="s">
        <v>1190</v>
      </c>
      <c r="C701" t="s">
        <v>2287</v>
      </c>
      <c r="D701" t="s">
        <v>617</v>
      </c>
    </row>
    <row r="702">
      <c r="A702" t="s">
        <v>2534</v>
      </c>
      <c r="B702" t="s">
        <v>1190</v>
      </c>
      <c r="C702" t="s">
        <v>2290</v>
      </c>
      <c r="D702" t="s">
        <v>624</v>
      </c>
    </row>
    <row r="703">
      <c r="A703" t="s">
        <v>2534</v>
      </c>
      <c r="B703" t="s">
        <v>1190</v>
      </c>
      <c r="C703" t="s">
        <v>2281</v>
      </c>
      <c r="D703" t="s">
        <v>602</v>
      </c>
    </row>
    <row r="704">
      <c r="A704" t="s">
        <v>2534</v>
      </c>
      <c r="B704" t="s">
        <v>1190</v>
      </c>
      <c r="C704" t="s">
        <v>2284</v>
      </c>
      <c r="D704" t="s">
        <v>610</v>
      </c>
    </row>
    <row r="705">
      <c r="A705" t="s">
        <v>2534</v>
      </c>
      <c r="B705" t="s">
        <v>1190</v>
      </c>
      <c r="C705" t="s">
        <v>2199</v>
      </c>
      <c r="D705" t="s">
        <v>410</v>
      </c>
    </row>
    <row r="706">
      <c r="A706" t="s">
        <v>2537</v>
      </c>
      <c r="B706" t="s">
        <v>1201</v>
      </c>
      <c r="C706" t="s">
        <v>2287</v>
      </c>
      <c r="D706" t="s">
        <v>617</v>
      </c>
    </row>
    <row r="707">
      <c r="A707" t="s">
        <v>2537</v>
      </c>
      <c r="B707" t="s">
        <v>1201</v>
      </c>
      <c r="C707" t="s">
        <v>2290</v>
      </c>
      <c r="D707" t="s">
        <v>624</v>
      </c>
    </row>
    <row r="708">
      <c r="A708" t="s">
        <v>2537</v>
      </c>
      <c r="B708" t="s">
        <v>1201</v>
      </c>
      <c r="C708" t="s">
        <v>2281</v>
      </c>
      <c r="D708" t="s">
        <v>602</v>
      </c>
    </row>
    <row r="709">
      <c r="A709" t="s">
        <v>2537</v>
      </c>
      <c r="B709" t="s">
        <v>1201</v>
      </c>
      <c r="C709" t="s">
        <v>2284</v>
      </c>
      <c r="D709" t="s">
        <v>610</v>
      </c>
    </row>
    <row r="710">
      <c r="A710" t="s">
        <v>2537</v>
      </c>
      <c r="B710" t="s">
        <v>1201</v>
      </c>
      <c r="C710" t="s">
        <v>2199</v>
      </c>
      <c r="D710" t="s">
        <v>410</v>
      </c>
    </row>
    <row r="711">
      <c r="A711" t="s">
        <v>2541</v>
      </c>
      <c r="B711" t="s">
        <v>1209</v>
      </c>
      <c r="C711" t="s">
        <v>2287</v>
      </c>
      <c r="D711" t="s">
        <v>617</v>
      </c>
    </row>
    <row r="712">
      <c r="A712" t="s">
        <v>2541</v>
      </c>
      <c r="B712" t="s">
        <v>1209</v>
      </c>
      <c r="C712" t="s">
        <v>2290</v>
      </c>
      <c r="D712" t="s">
        <v>624</v>
      </c>
    </row>
    <row r="713">
      <c r="A713" t="s">
        <v>2541</v>
      </c>
      <c r="B713" t="s">
        <v>1209</v>
      </c>
      <c r="C713" t="s">
        <v>2281</v>
      </c>
      <c r="D713" t="s">
        <v>602</v>
      </c>
    </row>
    <row r="714">
      <c r="A714" t="s">
        <v>2541</v>
      </c>
      <c r="B714" t="s">
        <v>1209</v>
      </c>
      <c r="C714" t="s">
        <v>2284</v>
      </c>
      <c r="D714" t="s">
        <v>610</v>
      </c>
    </row>
    <row r="715">
      <c r="A715" t="s">
        <v>2541</v>
      </c>
      <c r="B715" t="s">
        <v>1209</v>
      </c>
      <c r="C715" t="s">
        <v>2199</v>
      </c>
      <c r="D715" t="s">
        <v>410</v>
      </c>
    </row>
    <row r="716">
      <c r="A716" t="s">
        <v>2544</v>
      </c>
      <c r="B716" t="s">
        <v>1215</v>
      </c>
      <c r="C716" t="s">
        <v>2287</v>
      </c>
      <c r="D716" t="s">
        <v>617</v>
      </c>
    </row>
    <row r="717">
      <c r="A717" t="s">
        <v>2544</v>
      </c>
      <c r="B717" t="s">
        <v>1215</v>
      </c>
      <c r="C717" t="s">
        <v>2290</v>
      </c>
      <c r="D717" t="s">
        <v>624</v>
      </c>
    </row>
    <row r="718">
      <c r="A718" t="s">
        <v>2544</v>
      </c>
      <c r="B718" t="s">
        <v>1215</v>
      </c>
      <c r="C718" t="s">
        <v>2281</v>
      </c>
      <c r="D718" t="s">
        <v>602</v>
      </c>
    </row>
    <row r="719">
      <c r="A719" t="s">
        <v>2544</v>
      </c>
      <c r="B719" t="s">
        <v>1215</v>
      </c>
      <c r="C719" t="s">
        <v>2284</v>
      </c>
      <c r="D719" t="s">
        <v>610</v>
      </c>
    </row>
    <row r="720">
      <c r="A720" t="s">
        <v>2544</v>
      </c>
      <c r="B720" t="s">
        <v>1215</v>
      </c>
      <c r="C720" t="s">
        <v>2199</v>
      </c>
      <c r="D720" t="s">
        <v>410</v>
      </c>
    </row>
    <row r="721">
      <c r="A721" t="s">
        <v>2547</v>
      </c>
      <c r="B721" t="s">
        <v>1223</v>
      </c>
      <c r="C721" t="s">
        <v>2287</v>
      </c>
      <c r="D721" t="s">
        <v>617</v>
      </c>
    </row>
    <row r="722">
      <c r="A722" t="s">
        <v>2547</v>
      </c>
      <c r="B722" t="s">
        <v>1223</v>
      </c>
      <c r="C722" t="s">
        <v>2290</v>
      </c>
      <c r="D722" t="s">
        <v>624</v>
      </c>
    </row>
    <row r="723">
      <c r="A723" t="s">
        <v>2547</v>
      </c>
      <c r="B723" t="s">
        <v>1223</v>
      </c>
      <c r="C723" t="s">
        <v>2281</v>
      </c>
      <c r="D723" t="s">
        <v>602</v>
      </c>
    </row>
    <row r="724">
      <c r="A724" t="s">
        <v>2547</v>
      </c>
      <c r="B724" t="s">
        <v>1223</v>
      </c>
      <c r="C724" t="s">
        <v>2284</v>
      </c>
      <c r="D724" t="s">
        <v>610</v>
      </c>
    </row>
    <row r="725">
      <c r="A725" t="s">
        <v>2547</v>
      </c>
      <c r="B725" t="s">
        <v>1223</v>
      </c>
      <c r="C725" t="s">
        <v>2199</v>
      </c>
      <c r="D725" t="s">
        <v>410</v>
      </c>
    </row>
    <row r="726">
      <c r="A726" t="s">
        <v>2550</v>
      </c>
      <c r="B726" t="s">
        <v>1229</v>
      </c>
      <c r="C726" t="s">
        <v>2287</v>
      </c>
      <c r="D726" t="s">
        <v>617</v>
      </c>
    </row>
    <row r="727">
      <c r="A727" t="s">
        <v>2550</v>
      </c>
      <c r="B727" t="s">
        <v>1229</v>
      </c>
      <c r="C727" t="s">
        <v>2290</v>
      </c>
      <c r="D727" t="s">
        <v>624</v>
      </c>
    </row>
    <row r="728">
      <c r="A728" t="s">
        <v>2550</v>
      </c>
      <c r="B728" t="s">
        <v>1229</v>
      </c>
      <c r="C728" t="s">
        <v>2281</v>
      </c>
      <c r="D728" t="s">
        <v>602</v>
      </c>
    </row>
    <row r="729">
      <c r="A729" t="s">
        <v>2550</v>
      </c>
      <c r="B729" t="s">
        <v>1229</v>
      </c>
      <c r="C729" t="s">
        <v>2284</v>
      </c>
      <c r="D729" t="s">
        <v>610</v>
      </c>
    </row>
    <row r="730">
      <c r="A730" t="s">
        <v>2550</v>
      </c>
      <c r="B730" t="s">
        <v>1229</v>
      </c>
      <c r="C730" t="s">
        <v>2199</v>
      </c>
      <c r="D730" t="s">
        <v>410</v>
      </c>
    </row>
    <row r="731">
      <c r="A731" t="s">
        <v>2553</v>
      </c>
      <c r="B731" t="s">
        <v>1235</v>
      </c>
      <c r="C731" t="s">
        <v>2287</v>
      </c>
      <c r="D731" t="s">
        <v>617</v>
      </c>
    </row>
    <row r="732">
      <c r="A732" t="s">
        <v>2553</v>
      </c>
      <c r="B732" t="s">
        <v>1235</v>
      </c>
      <c r="C732" t="s">
        <v>2290</v>
      </c>
      <c r="D732" t="s">
        <v>624</v>
      </c>
    </row>
    <row r="733">
      <c r="A733" t="s">
        <v>2553</v>
      </c>
      <c r="B733" t="s">
        <v>1235</v>
      </c>
      <c r="C733" t="s">
        <v>2281</v>
      </c>
      <c r="D733" t="s">
        <v>602</v>
      </c>
    </row>
    <row r="734">
      <c r="A734" t="s">
        <v>2553</v>
      </c>
      <c r="B734" t="s">
        <v>1235</v>
      </c>
      <c r="C734" t="s">
        <v>2284</v>
      </c>
      <c r="D734" t="s">
        <v>610</v>
      </c>
    </row>
    <row r="735">
      <c r="A735" t="s">
        <v>2553</v>
      </c>
      <c r="B735" t="s">
        <v>1235</v>
      </c>
      <c r="C735" t="s">
        <v>2199</v>
      </c>
      <c r="D735" t="s">
        <v>410</v>
      </c>
    </row>
    <row r="736">
      <c r="A736" t="s">
        <v>2555</v>
      </c>
      <c r="B736" t="s">
        <v>1242</v>
      </c>
      <c r="C736" t="s">
        <v>2287</v>
      </c>
      <c r="D736" t="s">
        <v>617</v>
      </c>
    </row>
    <row r="737">
      <c r="A737" t="s">
        <v>2555</v>
      </c>
      <c r="B737" t="s">
        <v>1242</v>
      </c>
      <c r="C737" t="s">
        <v>2290</v>
      </c>
      <c r="D737" t="s">
        <v>624</v>
      </c>
    </row>
    <row r="738">
      <c r="A738" t="s">
        <v>2555</v>
      </c>
      <c r="B738" t="s">
        <v>1242</v>
      </c>
      <c r="C738" t="s">
        <v>2281</v>
      </c>
      <c r="D738" t="s">
        <v>602</v>
      </c>
    </row>
    <row r="739">
      <c r="A739" t="s">
        <v>2555</v>
      </c>
      <c r="B739" t="s">
        <v>1242</v>
      </c>
      <c r="C739" t="s">
        <v>2284</v>
      </c>
      <c r="D739" t="s">
        <v>610</v>
      </c>
    </row>
    <row r="740">
      <c r="A740" t="s">
        <v>2555</v>
      </c>
      <c r="B740" t="s">
        <v>1242</v>
      </c>
      <c r="C740" t="s">
        <v>2199</v>
      </c>
      <c r="D740" t="s">
        <v>410</v>
      </c>
    </row>
    <row r="741">
      <c r="A741" t="s">
        <v>2558</v>
      </c>
      <c r="B741" t="s">
        <v>1250</v>
      </c>
      <c r="C741" t="s">
        <v>2287</v>
      </c>
      <c r="D741" t="s">
        <v>617</v>
      </c>
    </row>
    <row r="742">
      <c r="A742" t="s">
        <v>2558</v>
      </c>
      <c r="B742" t="s">
        <v>1250</v>
      </c>
      <c r="C742" t="s">
        <v>2290</v>
      </c>
      <c r="D742" t="s">
        <v>624</v>
      </c>
    </row>
    <row r="743">
      <c r="A743" t="s">
        <v>2558</v>
      </c>
      <c r="B743" t="s">
        <v>1250</v>
      </c>
      <c r="C743" t="s">
        <v>2281</v>
      </c>
      <c r="D743" t="s">
        <v>602</v>
      </c>
    </row>
    <row r="744">
      <c r="A744" t="s">
        <v>2558</v>
      </c>
      <c r="B744" t="s">
        <v>1250</v>
      </c>
      <c r="C744" t="s">
        <v>2284</v>
      </c>
      <c r="D744" t="s">
        <v>610</v>
      </c>
    </row>
    <row r="745">
      <c r="A745" t="s">
        <v>2558</v>
      </c>
      <c r="B745" t="s">
        <v>1250</v>
      </c>
      <c r="C745" t="s">
        <v>2199</v>
      </c>
      <c r="D745" t="s">
        <v>410</v>
      </c>
    </row>
    <row r="746">
      <c r="A746" t="s">
        <v>2561</v>
      </c>
      <c r="B746" t="s">
        <v>1257</v>
      </c>
      <c r="C746" t="s">
        <v>2287</v>
      </c>
      <c r="D746" t="s">
        <v>617</v>
      </c>
    </row>
    <row r="747">
      <c r="A747" t="s">
        <v>2561</v>
      </c>
      <c r="B747" t="s">
        <v>1257</v>
      </c>
      <c r="C747" t="s">
        <v>2290</v>
      </c>
      <c r="D747" t="s">
        <v>624</v>
      </c>
    </row>
    <row r="748">
      <c r="A748" t="s">
        <v>2561</v>
      </c>
      <c r="B748" t="s">
        <v>1257</v>
      </c>
      <c r="C748" t="s">
        <v>2281</v>
      </c>
      <c r="D748" t="s">
        <v>602</v>
      </c>
    </row>
    <row r="749">
      <c r="A749" t="s">
        <v>2561</v>
      </c>
      <c r="B749" t="s">
        <v>1257</v>
      </c>
      <c r="C749" t="s">
        <v>2284</v>
      </c>
      <c r="D749" t="s">
        <v>610</v>
      </c>
    </row>
    <row r="750">
      <c r="A750" t="s">
        <v>2561</v>
      </c>
      <c r="B750" t="s">
        <v>1257</v>
      </c>
      <c r="C750" t="s">
        <v>2199</v>
      </c>
      <c r="D750" t="s">
        <v>410</v>
      </c>
    </row>
    <row r="751">
      <c r="A751" t="s">
        <v>2564</v>
      </c>
      <c r="B751" t="s">
        <v>1263</v>
      </c>
      <c r="C751" t="s">
        <v>2287</v>
      </c>
      <c r="D751" t="s">
        <v>617</v>
      </c>
    </row>
    <row r="752">
      <c r="A752" t="s">
        <v>2564</v>
      </c>
      <c r="B752" t="s">
        <v>1263</v>
      </c>
      <c r="C752" t="s">
        <v>2290</v>
      </c>
      <c r="D752" t="s">
        <v>624</v>
      </c>
    </row>
    <row r="753">
      <c r="A753" t="s">
        <v>2564</v>
      </c>
      <c r="B753" t="s">
        <v>1263</v>
      </c>
      <c r="C753" t="s">
        <v>2281</v>
      </c>
      <c r="D753" t="s">
        <v>602</v>
      </c>
    </row>
    <row r="754">
      <c r="A754" t="s">
        <v>2564</v>
      </c>
      <c r="B754" t="s">
        <v>1263</v>
      </c>
      <c r="C754" t="s">
        <v>2284</v>
      </c>
      <c r="D754" t="s">
        <v>610</v>
      </c>
    </row>
    <row r="755">
      <c r="A755" t="s">
        <v>2564</v>
      </c>
      <c r="B755" t="s">
        <v>1263</v>
      </c>
      <c r="C755" t="s">
        <v>2199</v>
      </c>
      <c r="D755" t="s">
        <v>410</v>
      </c>
    </row>
    <row r="756">
      <c r="A756" t="s">
        <v>2567</v>
      </c>
      <c r="B756" t="s">
        <v>1271</v>
      </c>
      <c r="C756" t="s">
        <v>2287</v>
      </c>
      <c r="D756" t="s">
        <v>617</v>
      </c>
    </row>
    <row r="757">
      <c r="A757" t="s">
        <v>2567</v>
      </c>
      <c r="B757" t="s">
        <v>1271</v>
      </c>
      <c r="C757" t="s">
        <v>2290</v>
      </c>
      <c r="D757" t="s">
        <v>624</v>
      </c>
    </row>
    <row r="758">
      <c r="A758" t="s">
        <v>2567</v>
      </c>
      <c r="B758" t="s">
        <v>1271</v>
      </c>
      <c r="C758" t="s">
        <v>2281</v>
      </c>
      <c r="D758" t="s">
        <v>602</v>
      </c>
    </row>
    <row r="759">
      <c r="A759" t="s">
        <v>2567</v>
      </c>
      <c r="B759" t="s">
        <v>1271</v>
      </c>
      <c r="C759" t="s">
        <v>2284</v>
      </c>
      <c r="D759" t="s">
        <v>610</v>
      </c>
    </row>
    <row r="760">
      <c r="A760" t="s">
        <v>2567</v>
      </c>
      <c r="B760" t="s">
        <v>1271</v>
      </c>
      <c r="C760" t="s">
        <v>2199</v>
      </c>
      <c r="D760" t="s">
        <v>410</v>
      </c>
    </row>
    <row r="761">
      <c r="A761" t="s">
        <v>2570</v>
      </c>
      <c r="B761" t="s">
        <v>1279</v>
      </c>
      <c r="C761" t="s">
        <v>2287</v>
      </c>
      <c r="D761" t="s">
        <v>617</v>
      </c>
    </row>
    <row r="762">
      <c r="A762" t="s">
        <v>2570</v>
      </c>
      <c r="B762" t="s">
        <v>1279</v>
      </c>
      <c r="C762" t="s">
        <v>2290</v>
      </c>
      <c r="D762" t="s">
        <v>624</v>
      </c>
    </row>
    <row r="763">
      <c r="A763" t="s">
        <v>2570</v>
      </c>
      <c r="B763" t="s">
        <v>1279</v>
      </c>
      <c r="C763" t="s">
        <v>2281</v>
      </c>
      <c r="D763" t="s">
        <v>602</v>
      </c>
    </row>
    <row r="764">
      <c r="A764" t="s">
        <v>2570</v>
      </c>
      <c r="B764" t="s">
        <v>1279</v>
      </c>
      <c r="C764" t="s">
        <v>2284</v>
      </c>
      <c r="D764" t="s">
        <v>610</v>
      </c>
    </row>
    <row r="765">
      <c r="A765" t="s">
        <v>2570</v>
      </c>
      <c r="B765" t="s">
        <v>1279</v>
      </c>
      <c r="C765" t="s">
        <v>2199</v>
      </c>
      <c r="D765" t="s">
        <v>410</v>
      </c>
    </row>
    <row r="766">
      <c r="A766" t="s">
        <v>2573</v>
      </c>
      <c r="B766" t="s">
        <v>1287</v>
      </c>
      <c r="C766" t="s">
        <v>2287</v>
      </c>
      <c r="D766" t="s">
        <v>617</v>
      </c>
    </row>
    <row r="767">
      <c r="A767" t="s">
        <v>2573</v>
      </c>
      <c r="B767" t="s">
        <v>1287</v>
      </c>
      <c r="C767" t="s">
        <v>2290</v>
      </c>
      <c r="D767" t="s">
        <v>624</v>
      </c>
    </row>
    <row r="768">
      <c r="A768" t="s">
        <v>2573</v>
      </c>
      <c r="B768" t="s">
        <v>1287</v>
      </c>
      <c r="C768" t="s">
        <v>2281</v>
      </c>
      <c r="D768" t="s">
        <v>602</v>
      </c>
    </row>
    <row r="769">
      <c r="A769" t="s">
        <v>2573</v>
      </c>
      <c r="B769" t="s">
        <v>1287</v>
      </c>
      <c r="C769" t="s">
        <v>2284</v>
      </c>
      <c r="D769" t="s">
        <v>610</v>
      </c>
    </row>
    <row r="770">
      <c r="A770" t="s">
        <v>2573</v>
      </c>
      <c r="B770" t="s">
        <v>1287</v>
      </c>
      <c r="C770" t="s">
        <v>2199</v>
      </c>
      <c r="D770" t="s">
        <v>410</v>
      </c>
    </row>
    <row r="771">
      <c r="A771" t="s">
        <v>2576</v>
      </c>
      <c r="B771" t="s">
        <v>1294</v>
      </c>
      <c r="C771" t="s">
        <v>2287</v>
      </c>
      <c r="D771" t="s">
        <v>617</v>
      </c>
    </row>
    <row r="772">
      <c r="A772" t="s">
        <v>2576</v>
      </c>
      <c r="B772" t="s">
        <v>1294</v>
      </c>
      <c r="C772" t="s">
        <v>2290</v>
      </c>
      <c r="D772" t="s">
        <v>624</v>
      </c>
    </row>
    <row r="773">
      <c r="A773" t="s">
        <v>2576</v>
      </c>
      <c r="B773" t="s">
        <v>1294</v>
      </c>
      <c r="C773" t="s">
        <v>2281</v>
      </c>
      <c r="D773" t="s">
        <v>602</v>
      </c>
    </row>
    <row r="774">
      <c r="A774" t="s">
        <v>2576</v>
      </c>
      <c r="B774" t="s">
        <v>1294</v>
      </c>
      <c r="C774" t="s">
        <v>2284</v>
      </c>
      <c r="D774" t="s">
        <v>610</v>
      </c>
    </row>
    <row r="775">
      <c r="A775" t="s">
        <v>2576</v>
      </c>
      <c r="B775" t="s">
        <v>1294</v>
      </c>
      <c r="C775" t="s">
        <v>2199</v>
      </c>
      <c r="D775" t="s">
        <v>410</v>
      </c>
    </row>
    <row r="776">
      <c r="A776" t="s">
        <v>2579</v>
      </c>
      <c r="B776" t="s">
        <v>1302</v>
      </c>
      <c r="C776" t="s">
        <v>2287</v>
      </c>
      <c r="D776" t="s">
        <v>617</v>
      </c>
    </row>
    <row r="777">
      <c r="A777" t="s">
        <v>2579</v>
      </c>
      <c r="B777" t="s">
        <v>1302</v>
      </c>
      <c r="C777" t="s">
        <v>2290</v>
      </c>
      <c r="D777" t="s">
        <v>624</v>
      </c>
    </row>
    <row r="778">
      <c r="A778" t="s">
        <v>2579</v>
      </c>
      <c r="B778" t="s">
        <v>1302</v>
      </c>
      <c r="C778" t="s">
        <v>2281</v>
      </c>
      <c r="D778" t="s">
        <v>602</v>
      </c>
    </row>
    <row r="779">
      <c r="A779" t="s">
        <v>2579</v>
      </c>
      <c r="B779" t="s">
        <v>1302</v>
      </c>
      <c r="C779" t="s">
        <v>2284</v>
      </c>
      <c r="D779" t="s">
        <v>610</v>
      </c>
    </row>
    <row r="780">
      <c r="A780" t="s">
        <v>2579</v>
      </c>
      <c r="B780" t="s">
        <v>1302</v>
      </c>
      <c r="C780" t="s">
        <v>2199</v>
      </c>
      <c r="D780" t="s">
        <v>410</v>
      </c>
    </row>
    <row r="781">
      <c r="A781" t="s">
        <v>2582</v>
      </c>
      <c r="B781" t="s">
        <v>1312</v>
      </c>
      <c r="C781" t="s">
        <v>2287</v>
      </c>
      <c r="D781" t="s">
        <v>617</v>
      </c>
    </row>
    <row r="782">
      <c r="A782" t="s">
        <v>2582</v>
      </c>
      <c r="B782" t="s">
        <v>1312</v>
      </c>
      <c r="C782" t="s">
        <v>2290</v>
      </c>
      <c r="D782" t="s">
        <v>624</v>
      </c>
    </row>
    <row r="783">
      <c r="A783" t="s">
        <v>2582</v>
      </c>
      <c r="B783" t="s">
        <v>1312</v>
      </c>
      <c r="C783" t="s">
        <v>2281</v>
      </c>
      <c r="D783" t="s">
        <v>602</v>
      </c>
    </row>
    <row r="784">
      <c r="A784" t="s">
        <v>2582</v>
      </c>
      <c r="B784" t="s">
        <v>1312</v>
      </c>
      <c r="C784" t="s">
        <v>2284</v>
      </c>
      <c r="D784" t="s">
        <v>610</v>
      </c>
    </row>
    <row r="785">
      <c r="A785" t="s">
        <v>2582</v>
      </c>
      <c r="B785" t="s">
        <v>1312</v>
      </c>
      <c r="C785" t="s">
        <v>2199</v>
      </c>
      <c r="D785" t="s">
        <v>410</v>
      </c>
    </row>
    <row r="786">
      <c r="A786" t="s">
        <v>2585</v>
      </c>
      <c r="B786" t="s">
        <v>1320</v>
      </c>
      <c r="C786" t="s">
        <v>2287</v>
      </c>
      <c r="D786" t="s">
        <v>617</v>
      </c>
    </row>
    <row r="787">
      <c r="A787" t="s">
        <v>2585</v>
      </c>
      <c r="B787" t="s">
        <v>1320</v>
      </c>
      <c r="C787" t="s">
        <v>2290</v>
      </c>
      <c r="D787" t="s">
        <v>624</v>
      </c>
    </row>
    <row r="788">
      <c r="A788" t="s">
        <v>2585</v>
      </c>
      <c r="B788" t="s">
        <v>1320</v>
      </c>
      <c r="C788" t="s">
        <v>2281</v>
      </c>
      <c r="D788" t="s">
        <v>602</v>
      </c>
    </row>
    <row r="789">
      <c r="A789" t="s">
        <v>2585</v>
      </c>
      <c r="B789" t="s">
        <v>1320</v>
      </c>
      <c r="C789" t="s">
        <v>2284</v>
      </c>
      <c r="D789" t="s">
        <v>610</v>
      </c>
    </row>
    <row r="790">
      <c r="A790" t="s">
        <v>2585</v>
      </c>
      <c r="B790" t="s">
        <v>1320</v>
      </c>
      <c r="C790" t="s">
        <v>2199</v>
      </c>
      <c r="D790" t="s">
        <v>410</v>
      </c>
    </row>
    <row r="791">
      <c r="A791" t="s">
        <v>2588</v>
      </c>
      <c r="B791" t="s">
        <v>1328</v>
      </c>
      <c r="C791" t="s">
        <v>2287</v>
      </c>
      <c r="D791" t="s">
        <v>617</v>
      </c>
    </row>
    <row r="792">
      <c r="A792" t="s">
        <v>2588</v>
      </c>
      <c r="B792" t="s">
        <v>1328</v>
      </c>
      <c r="C792" t="s">
        <v>2290</v>
      </c>
      <c r="D792" t="s">
        <v>624</v>
      </c>
    </row>
    <row r="793">
      <c r="A793" t="s">
        <v>2588</v>
      </c>
      <c r="B793" t="s">
        <v>1328</v>
      </c>
      <c r="C793" t="s">
        <v>2281</v>
      </c>
      <c r="D793" t="s">
        <v>602</v>
      </c>
    </row>
    <row r="794">
      <c r="A794" t="s">
        <v>2588</v>
      </c>
      <c r="B794" t="s">
        <v>1328</v>
      </c>
      <c r="C794" t="s">
        <v>2284</v>
      </c>
      <c r="D794" t="s">
        <v>610</v>
      </c>
    </row>
    <row r="795">
      <c r="A795" t="s">
        <v>2588</v>
      </c>
      <c r="B795" t="s">
        <v>1328</v>
      </c>
      <c r="C795" t="s">
        <v>2199</v>
      </c>
      <c r="D795" t="s">
        <v>410</v>
      </c>
    </row>
    <row r="796">
      <c r="A796" t="s">
        <v>2590</v>
      </c>
      <c r="B796" t="s">
        <v>1334</v>
      </c>
      <c r="C796" t="s">
        <v>2287</v>
      </c>
      <c r="D796" t="s">
        <v>617</v>
      </c>
    </row>
    <row r="797">
      <c r="A797" t="s">
        <v>2590</v>
      </c>
      <c r="B797" t="s">
        <v>1334</v>
      </c>
      <c r="C797" t="s">
        <v>2290</v>
      </c>
      <c r="D797" t="s">
        <v>624</v>
      </c>
    </row>
    <row r="798">
      <c r="A798" t="s">
        <v>2590</v>
      </c>
      <c r="B798" t="s">
        <v>1334</v>
      </c>
      <c r="C798" t="s">
        <v>2281</v>
      </c>
      <c r="D798" t="s">
        <v>602</v>
      </c>
    </row>
    <row r="799">
      <c r="A799" t="s">
        <v>2590</v>
      </c>
      <c r="B799" t="s">
        <v>1334</v>
      </c>
      <c r="C799" t="s">
        <v>2284</v>
      </c>
      <c r="D799" t="s">
        <v>610</v>
      </c>
    </row>
    <row r="800">
      <c r="A800" t="s">
        <v>2590</v>
      </c>
      <c r="B800" t="s">
        <v>1334</v>
      </c>
      <c r="C800" t="s">
        <v>2199</v>
      </c>
      <c r="D800" t="s">
        <v>410</v>
      </c>
    </row>
    <row r="801">
      <c r="A801" t="s">
        <v>2593</v>
      </c>
      <c r="B801" t="s">
        <v>1344</v>
      </c>
      <c r="C801" t="s">
        <v>2287</v>
      </c>
      <c r="D801" t="s">
        <v>617</v>
      </c>
    </row>
    <row r="802">
      <c r="A802" t="s">
        <v>2593</v>
      </c>
      <c r="B802" t="s">
        <v>1344</v>
      </c>
      <c r="C802" t="s">
        <v>2290</v>
      </c>
      <c r="D802" t="s">
        <v>624</v>
      </c>
    </row>
    <row r="803">
      <c r="A803" t="s">
        <v>2593</v>
      </c>
      <c r="B803" t="s">
        <v>1344</v>
      </c>
      <c r="C803" t="s">
        <v>2281</v>
      </c>
      <c r="D803" t="s">
        <v>602</v>
      </c>
    </row>
    <row r="804">
      <c r="A804" t="s">
        <v>2593</v>
      </c>
      <c r="B804" t="s">
        <v>1344</v>
      </c>
      <c r="C804" t="s">
        <v>2284</v>
      </c>
      <c r="D804" t="s">
        <v>610</v>
      </c>
    </row>
    <row r="805">
      <c r="A805" t="s">
        <v>2593</v>
      </c>
      <c r="B805" t="s">
        <v>1344</v>
      </c>
      <c r="C805" t="s">
        <v>2199</v>
      </c>
      <c r="D805" t="s">
        <v>410</v>
      </c>
    </row>
    <row r="806">
      <c r="A806" t="s">
        <v>2596</v>
      </c>
      <c r="B806" t="s">
        <v>1352</v>
      </c>
      <c r="C806" t="s">
        <v>2287</v>
      </c>
      <c r="D806" t="s">
        <v>617</v>
      </c>
    </row>
    <row r="807">
      <c r="A807" t="s">
        <v>2596</v>
      </c>
      <c r="B807" t="s">
        <v>1352</v>
      </c>
      <c r="C807" t="s">
        <v>2290</v>
      </c>
      <c r="D807" t="s">
        <v>624</v>
      </c>
    </row>
    <row r="808">
      <c r="A808" t="s">
        <v>2596</v>
      </c>
      <c r="B808" t="s">
        <v>1352</v>
      </c>
      <c r="C808" t="s">
        <v>2281</v>
      </c>
      <c r="D808" t="s">
        <v>602</v>
      </c>
    </row>
    <row r="809">
      <c r="A809" t="s">
        <v>2596</v>
      </c>
      <c r="B809" t="s">
        <v>1352</v>
      </c>
      <c r="C809" t="s">
        <v>2284</v>
      </c>
      <c r="D809" t="s">
        <v>610</v>
      </c>
    </row>
    <row r="810">
      <c r="A810" t="s">
        <v>2596</v>
      </c>
      <c r="B810" t="s">
        <v>1352</v>
      </c>
      <c r="C810" t="s">
        <v>2199</v>
      </c>
      <c r="D810" t="s">
        <v>410</v>
      </c>
    </row>
    <row r="811">
      <c r="A811" t="s">
        <v>2599</v>
      </c>
      <c r="B811" t="s">
        <v>1359</v>
      </c>
      <c r="C811" t="s">
        <v>2287</v>
      </c>
      <c r="D811" t="s">
        <v>617</v>
      </c>
    </row>
    <row r="812">
      <c r="A812" t="s">
        <v>2599</v>
      </c>
      <c r="B812" t="s">
        <v>1359</v>
      </c>
      <c r="C812" t="s">
        <v>2290</v>
      </c>
      <c r="D812" t="s">
        <v>624</v>
      </c>
    </row>
    <row r="813">
      <c r="A813" t="s">
        <v>2599</v>
      </c>
      <c r="B813" t="s">
        <v>1359</v>
      </c>
      <c r="C813" t="s">
        <v>2281</v>
      </c>
      <c r="D813" t="s">
        <v>602</v>
      </c>
    </row>
    <row r="814">
      <c r="A814" t="s">
        <v>2599</v>
      </c>
      <c r="B814" t="s">
        <v>1359</v>
      </c>
      <c r="C814" t="s">
        <v>2284</v>
      </c>
      <c r="D814" t="s">
        <v>610</v>
      </c>
    </row>
    <row r="815">
      <c r="A815" t="s">
        <v>2599</v>
      </c>
      <c r="B815" t="s">
        <v>1359</v>
      </c>
      <c r="C815" t="s">
        <v>2199</v>
      </c>
      <c r="D815" t="s">
        <v>410</v>
      </c>
    </row>
    <row r="816">
      <c r="A816" t="s">
        <v>2602</v>
      </c>
      <c r="B816" t="s">
        <v>1366</v>
      </c>
      <c r="C816" t="s">
        <v>2287</v>
      </c>
      <c r="D816" t="s">
        <v>617</v>
      </c>
    </row>
    <row r="817">
      <c r="A817" t="s">
        <v>2602</v>
      </c>
      <c r="B817" t="s">
        <v>1366</v>
      </c>
      <c r="C817" t="s">
        <v>2290</v>
      </c>
      <c r="D817" t="s">
        <v>624</v>
      </c>
    </row>
    <row r="818">
      <c r="A818" t="s">
        <v>2602</v>
      </c>
      <c r="B818" t="s">
        <v>1366</v>
      </c>
      <c r="C818" t="s">
        <v>2281</v>
      </c>
      <c r="D818" t="s">
        <v>602</v>
      </c>
    </row>
    <row r="819">
      <c r="A819" t="s">
        <v>2602</v>
      </c>
      <c r="B819" t="s">
        <v>1366</v>
      </c>
      <c r="C819" t="s">
        <v>2284</v>
      </c>
      <c r="D819" t="s">
        <v>610</v>
      </c>
    </row>
    <row r="820">
      <c r="A820" t="s">
        <v>2602</v>
      </c>
      <c r="B820" t="s">
        <v>1366</v>
      </c>
      <c r="C820" t="s">
        <v>2199</v>
      </c>
      <c r="D820" t="s">
        <v>410</v>
      </c>
    </row>
    <row r="821">
      <c r="A821" t="s">
        <v>2605</v>
      </c>
      <c r="B821" t="s">
        <v>1372</v>
      </c>
      <c r="C821" t="s">
        <v>2287</v>
      </c>
      <c r="D821" t="s">
        <v>617</v>
      </c>
    </row>
    <row r="822">
      <c r="A822" t="s">
        <v>2605</v>
      </c>
      <c r="B822" t="s">
        <v>1372</v>
      </c>
      <c r="C822" t="s">
        <v>2290</v>
      </c>
      <c r="D822" t="s">
        <v>624</v>
      </c>
    </row>
    <row r="823">
      <c r="A823" t="s">
        <v>2605</v>
      </c>
      <c r="B823" t="s">
        <v>1372</v>
      </c>
      <c r="C823" t="s">
        <v>2281</v>
      </c>
      <c r="D823" t="s">
        <v>602</v>
      </c>
    </row>
    <row r="824">
      <c r="A824" t="s">
        <v>2605</v>
      </c>
      <c r="B824" t="s">
        <v>1372</v>
      </c>
      <c r="C824" t="s">
        <v>2284</v>
      </c>
      <c r="D824" t="s">
        <v>610</v>
      </c>
    </row>
    <row r="825">
      <c r="A825" t="s">
        <v>2605</v>
      </c>
      <c r="B825" t="s">
        <v>1372</v>
      </c>
      <c r="C825" t="s">
        <v>2199</v>
      </c>
      <c r="D825" t="s">
        <v>410</v>
      </c>
    </row>
    <row r="826">
      <c r="A826" t="s">
        <v>2608</v>
      </c>
      <c r="B826" t="s">
        <v>1383</v>
      </c>
      <c r="C826" t="s">
        <v>2287</v>
      </c>
      <c r="D826" t="s">
        <v>617</v>
      </c>
    </row>
    <row r="827">
      <c r="A827" t="s">
        <v>2608</v>
      </c>
      <c r="B827" t="s">
        <v>1383</v>
      </c>
      <c r="C827" t="s">
        <v>2290</v>
      </c>
      <c r="D827" t="s">
        <v>624</v>
      </c>
    </row>
    <row r="828">
      <c r="A828" t="s">
        <v>2608</v>
      </c>
      <c r="B828" t="s">
        <v>1383</v>
      </c>
      <c r="C828" t="s">
        <v>2281</v>
      </c>
      <c r="D828" t="s">
        <v>602</v>
      </c>
    </row>
    <row r="829">
      <c r="A829" t="s">
        <v>2608</v>
      </c>
      <c r="B829" t="s">
        <v>1383</v>
      </c>
      <c r="C829" t="s">
        <v>2284</v>
      </c>
      <c r="D829" t="s">
        <v>610</v>
      </c>
    </row>
    <row r="830">
      <c r="A830" t="s">
        <v>2608</v>
      </c>
      <c r="B830" t="s">
        <v>1383</v>
      </c>
      <c r="C830" t="s">
        <v>2199</v>
      </c>
      <c r="D830" t="s">
        <v>410</v>
      </c>
    </row>
    <row r="831">
      <c r="A831" t="s">
        <v>2611</v>
      </c>
      <c r="B831" t="s">
        <v>1390</v>
      </c>
      <c r="C831" t="s">
        <v>2287</v>
      </c>
      <c r="D831" t="s">
        <v>617</v>
      </c>
    </row>
    <row r="832">
      <c r="A832" t="s">
        <v>2611</v>
      </c>
      <c r="B832" t="s">
        <v>1390</v>
      </c>
      <c r="C832" t="s">
        <v>2290</v>
      </c>
      <c r="D832" t="s">
        <v>624</v>
      </c>
    </row>
    <row r="833">
      <c r="A833" t="s">
        <v>2611</v>
      </c>
      <c r="B833" t="s">
        <v>1390</v>
      </c>
      <c r="C833" t="s">
        <v>2281</v>
      </c>
      <c r="D833" t="s">
        <v>602</v>
      </c>
    </row>
    <row r="834">
      <c r="A834" t="s">
        <v>2611</v>
      </c>
      <c r="B834" t="s">
        <v>1390</v>
      </c>
      <c r="C834" t="s">
        <v>2284</v>
      </c>
      <c r="D834" t="s">
        <v>610</v>
      </c>
    </row>
    <row r="835">
      <c r="A835" t="s">
        <v>2611</v>
      </c>
      <c r="B835" t="s">
        <v>1390</v>
      </c>
      <c r="C835" t="s">
        <v>2199</v>
      </c>
      <c r="D835" t="s">
        <v>410</v>
      </c>
    </row>
    <row r="836">
      <c r="A836" t="s">
        <v>2614</v>
      </c>
      <c r="B836" t="s">
        <v>1396</v>
      </c>
      <c r="C836" t="s">
        <v>2287</v>
      </c>
      <c r="D836" t="s">
        <v>617</v>
      </c>
    </row>
    <row r="837">
      <c r="A837" t="s">
        <v>2614</v>
      </c>
      <c r="B837" t="s">
        <v>1396</v>
      </c>
      <c r="C837" t="s">
        <v>2290</v>
      </c>
      <c r="D837" t="s">
        <v>624</v>
      </c>
    </row>
    <row r="838">
      <c r="A838" t="s">
        <v>2614</v>
      </c>
      <c r="B838" t="s">
        <v>1396</v>
      </c>
      <c r="C838" t="s">
        <v>2281</v>
      </c>
      <c r="D838" t="s">
        <v>602</v>
      </c>
    </row>
    <row r="839">
      <c r="A839" t="s">
        <v>2614</v>
      </c>
      <c r="B839" t="s">
        <v>1396</v>
      </c>
      <c r="C839" t="s">
        <v>2284</v>
      </c>
      <c r="D839" t="s">
        <v>610</v>
      </c>
    </row>
    <row r="840">
      <c r="A840" t="s">
        <v>2614</v>
      </c>
      <c r="B840" t="s">
        <v>1396</v>
      </c>
      <c r="C840" t="s">
        <v>2199</v>
      </c>
      <c r="D840" t="s">
        <v>410</v>
      </c>
    </row>
    <row r="841">
      <c r="A841" t="s">
        <v>2617</v>
      </c>
      <c r="B841" t="s">
        <v>1402</v>
      </c>
      <c r="C841" t="s">
        <v>2287</v>
      </c>
      <c r="D841" t="s">
        <v>617</v>
      </c>
    </row>
    <row r="842">
      <c r="A842" t="s">
        <v>2617</v>
      </c>
      <c r="B842" t="s">
        <v>1402</v>
      </c>
      <c r="C842" t="s">
        <v>2290</v>
      </c>
      <c r="D842" t="s">
        <v>624</v>
      </c>
    </row>
    <row r="843">
      <c r="A843" t="s">
        <v>2617</v>
      </c>
      <c r="B843" t="s">
        <v>1402</v>
      </c>
      <c r="C843" t="s">
        <v>2281</v>
      </c>
      <c r="D843" t="s">
        <v>602</v>
      </c>
    </row>
    <row r="844">
      <c r="A844" t="s">
        <v>2617</v>
      </c>
      <c r="B844" t="s">
        <v>1402</v>
      </c>
      <c r="C844" t="s">
        <v>2284</v>
      </c>
      <c r="D844" t="s">
        <v>610</v>
      </c>
    </row>
    <row r="845">
      <c r="A845" t="s">
        <v>2617</v>
      </c>
      <c r="B845" t="s">
        <v>1402</v>
      </c>
      <c r="C845" t="s">
        <v>2199</v>
      </c>
      <c r="D845" t="s">
        <v>410</v>
      </c>
    </row>
    <row r="846">
      <c r="A846" t="s">
        <v>2620</v>
      </c>
      <c r="B846" t="s">
        <v>1410</v>
      </c>
      <c r="C846" t="s">
        <v>2287</v>
      </c>
      <c r="D846" t="s">
        <v>617</v>
      </c>
    </row>
    <row r="847">
      <c r="A847" t="s">
        <v>2620</v>
      </c>
      <c r="B847" t="s">
        <v>1410</v>
      </c>
      <c r="C847" t="s">
        <v>2290</v>
      </c>
      <c r="D847" t="s">
        <v>624</v>
      </c>
    </row>
    <row r="848">
      <c r="A848" t="s">
        <v>2620</v>
      </c>
      <c r="B848" t="s">
        <v>1410</v>
      </c>
      <c r="C848" t="s">
        <v>2281</v>
      </c>
      <c r="D848" t="s">
        <v>602</v>
      </c>
    </row>
    <row r="849">
      <c r="A849" t="s">
        <v>2620</v>
      </c>
      <c r="B849" t="s">
        <v>1410</v>
      </c>
      <c r="C849" t="s">
        <v>2284</v>
      </c>
      <c r="D849" t="s">
        <v>610</v>
      </c>
    </row>
    <row r="850">
      <c r="A850" t="s">
        <v>2620</v>
      </c>
      <c r="B850" t="s">
        <v>1410</v>
      </c>
      <c r="C850" t="s">
        <v>2199</v>
      </c>
      <c r="D850" t="s">
        <v>410</v>
      </c>
    </row>
    <row r="851">
      <c r="A851" t="s">
        <v>2623</v>
      </c>
      <c r="B851" t="s">
        <v>1420</v>
      </c>
      <c r="C851" t="s">
        <v>2287</v>
      </c>
      <c r="D851" t="s">
        <v>617</v>
      </c>
    </row>
    <row r="852">
      <c r="A852" t="s">
        <v>2623</v>
      </c>
      <c r="B852" t="s">
        <v>1420</v>
      </c>
      <c r="C852" t="s">
        <v>2290</v>
      </c>
      <c r="D852" t="s">
        <v>624</v>
      </c>
    </row>
    <row r="853">
      <c r="A853" t="s">
        <v>2623</v>
      </c>
      <c r="B853" t="s">
        <v>1420</v>
      </c>
      <c r="C853" t="s">
        <v>2281</v>
      </c>
      <c r="D853" t="s">
        <v>602</v>
      </c>
    </row>
    <row r="854">
      <c r="A854" t="s">
        <v>2623</v>
      </c>
      <c r="B854" t="s">
        <v>1420</v>
      </c>
      <c r="C854" t="s">
        <v>2284</v>
      </c>
      <c r="D854" t="s">
        <v>610</v>
      </c>
    </row>
    <row r="855">
      <c r="A855" t="s">
        <v>2623</v>
      </c>
      <c r="B855" t="s">
        <v>1420</v>
      </c>
      <c r="C855" t="s">
        <v>2199</v>
      </c>
      <c r="D855" t="s">
        <v>410</v>
      </c>
    </row>
    <row r="856">
      <c r="A856" t="s">
        <v>2626</v>
      </c>
      <c r="B856" t="s">
        <v>1428</v>
      </c>
      <c r="C856" t="s">
        <v>2287</v>
      </c>
      <c r="D856" t="s">
        <v>617</v>
      </c>
    </row>
    <row r="857">
      <c r="A857" t="s">
        <v>2626</v>
      </c>
      <c r="B857" t="s">
        <v>1428</v>
      </c>
      <c r="C857" t="s">
        <v>2290</v>
      </c>
      <c r="D857" t="s">
        <v>624</v>
      </c>
    </row>
    <row r="858">
      <c r="A858" t="s">
        <v>2626</v>
      </c>
      <c r="B858" t="s">
        <v>1428</v>
      </c>
      <c r="C858" t="s">
        <v>2281</v>
      </c>
      <c r="D858" t="s">
        <v>602</v>
      </c>
    </row>
    <row r="859">
      <c r="A859" t="s">
        <v>2626</v>
      </c>
      <c r="B859" t="s">
        <v>1428</v>
      </c>
      <c r="C859" t="s">
        <v>2284</v>
      </c>
      <c r="D859" t="s">
        <v>610</v>
      </c>
    </row>
    <row r="860">
      <c r="A860" t="s">
        <v>2626</v>
      </c>
      <c r="B860" t="s">
        <v>1428</v>
      </c>
      <c r="C860" t="s">
        <v>2199</v>
      </c>
      <c r="D860" t="s">
        <v>410</v>
      </c>
    </row>
    <row r="861">
      <c r="A861" t="s">
        <v>2628</v>
      </c>
      <c r="B861" t="s">
        <v>1435</v>
      </c>
      <c r="C861" t="s">
        <v>2287</v>
      </c>
      <c r="D861" t="s">
        <v>617</v>
      </c>
    </row>
    <row r="862">
      <c r="A862" t="s">
        <v>2628</v>
      </c>
      <c r="B862" t="s">
        <v>1435</v>
      </c>
      <c r="C862" t="s">
        <v>2290</v>
      </c>
      <c r="D862" t="s">
        <v>624</v>
      </c>
    </row>
    <row r="863">
      <c r="A863" t="s">
        <v>2628</v>
      </c>
      <c r="B863" t="s">
        <v>1435</v>
      </c>
      <c r="C863" t="s">
        <v>2281</v>
      </c>
      <c r="D863" t="s">
        <v>602</v>
      </c>
    </row>
    <row r="864">
      <c r="A864" t="s">
        <v>2628</v>
      </c>
      <c r="B864" t="s">
        <v>1435</v>
      </c>
      <c r="C864" t="s">
        <v>2284</v>
      </c>
      <c r="D864" t="s">
        <v>610</v>
      </c>
    </row>
    <row r="865">
      <c r="A865" t="s">
        <v>2628</v>
      </c>
      <c r="B865" t="s">
        <v>1435</v>
      </c>
      <c r="C865" t="s">
        <v>2199</v>
      </c>
      <c r="D865" t="s">
        <v>410</v>
      </c>
    </row>
    <row r="866">
      <c r="A866" t="s">
        <v>2631</v>
      </c>
      <c r="B866" t="s">
        <v>1440</v>
      </c>
      <c r="C866" t="s">
        <v>2287</v>
      </c>
      <c r="D866" t="s">
        <v>617</v>
      </c>
    </row>
    <row r="867">
      <c r="A867" t="s">
        <v>2631</v>
      </c>
      <c r="B867" t="s">
        <v>1440</v>
      </c>
      <c r="C867" t="s">
        <v>2290</v>
      </c>
      <c r="D867" t="s">
        <v>624</v>
      </c>
    </row>
    <row r="868">
      <c r="A868" t="s">
        <v>2631</v>
      </c>
      <c r="B868" t="s">
        <v>1440</v>
      </c>
      <c r="C868" t="s">
        <v>2281</v>
      </c>
      <c r="D868" t="s">
        <v>602</v>
      </c>
    </row>
    <row r="869">
      <c r="A869" t="s">
        <v>2631</v>
      </c>
      <c r="B869" t="s">
        <v>1440</v>
      </c>
      <c r="C869" t="s">
        <v>2284</v>
      </c>
      <c r="D869" t="s">
        <v>610</v>
      </c>
    </row>
    <row r="870">
      <c r="A870" t="s">
        <v>2631</v>
      </c>
      <c r="B870" t="s">
        <v>1440</v>
      </c>
      <c r="C870" t="s">
        <v>2199</v>
      </c>
      <c r="D870" t="s">
        <v>410</v>
      </c>
    </row>
    <row r="871">
      <c r="A871" t="s">
        <v>2634</v>
      </c>
      <c r="B871" t="s">
        <v>1445</v>
      </c>
      <c r="C871" t="s">
        <v>2287</v>
      </c>
      <c r="D871" t="s">
        <v>617</v>
      </c>
    </row>
    <row r="872">
      <c r="A872" t="s">
        <v>2634</v>
      </c>
      <c r="B872" t="s">
        <v>1445</v>
      </c>
      <c r="C872" t="s">
        <v>2290</v>
      </c>
      <c r="D872" t="s">
        <v>624</v>
      </c>
    </row>
    <row r="873">
      <c r="A873" t="s">
        <v>2634</v>
      </c>
      <c r="B873" t="s">
        <v>1445</v>
      </c>
      <c r="C873" t="s">
        <v>2281</v>
      </c>
      <c r="D873" t="s">
        <v>602</v>
      </c>
    </row>
    <row r="874">
      <c r="A874" t="s">
        <v>2634</v>
      </c>
      <c r="B874" t="s">
        <v>1445</v>
      </c>
      <c r="C874" t="s">
        <v>2284</v>
      </c>
      <c r="D874" t="s">
        <v>610</v>
      </c>
    </row>
    <row r="875">
      <c r="A875" t="s">
        <v>2634</v>
      </c>
      <c r="B875" t="s">
        <v>1445</v>
      </c>
      <c r="C875" t="s">
        <v>2199</v>
      </c>
      <c r="D875" t="s">
        <v>410</v>
      </c>
    </row>
    <row r="876">
      <c r="A876" t="s">
        <v>2637</v>
      </c>
      <c r="B876" t="s">
        <v>1455</v>
      </c>
      <c r="C876" t="s">
        <v>2287</v>
      </c>
      <c r="D876" t="s">
        <v>617</v>
      </c>
    </row>
    <row r="877">
      <c r="A877" t="s">
        <v>2637</v>
      </c>
      <c r="B877" t="s">
        <v>1455</v>
      </c>
      <c r="C877" t="s">
        <v>2290</v>
      </c>
      <c r="D877" t="s">
        <v>624</v>
      </c>
    </row>
    <row r="878">
      <c r="A878" t="s">
        <v>2637</v>
      </c>
      <c r="B878" t="s">
        <v>1455</v>
      </c>
      <c r="C878" t="s">
        <v>2281</v>
      </c>
      <c r="D878" t="s">
        <v>602</v>
      </c>
    </row>
    <row r="879">
      <c r="A879" t="s">
        <v>2637</v>
      </c>
      <c r="B879" t="s">
        <v>1455</v>
      </c>
      <c r="C879" t="s">
        <v>2284</v>
      </c>
      <c r="D879" t="s">
        <v>610</v>
      </c>
    </row>
    <row r="880">
      <c r="A880" t="s">
        <v>2637</v>
      </c>
      <c r="B880" t="s">
        <v>1455</v>
      </c>
      <c r="C880" t="s">
        <v>2199</v>
      </c>
      <c r="D880" t="s">
        <v>410</v>
      </c>
    </row>
    <row r="881">
      <c r="A881" t="s">
        <v>2640</v>
      </c>
      <c r="B881" t="s">
        <v>1463</v>
      </c>
      <c r="C881" t="s">
        <v>2287</v>
      </c>
      <c r="D881" t="s">
        <v>617</v>
      </c>
    </row>
    <row r="882">
      <c r="A882" t="s">
        <v>2640</v>
      </c>
      <c r="B882" t="s">
        <v>1463</v>
      </c>
      <c r="C882" t="s">
        <v>2290</v>
      </c>
      <c r="D882" t="s">
        <v>624</v>
      </c>
    </row>
    <row r="883">
      <c r="A883" t="s">
        <v>2640</v>
      </c>
      <c r="B883" t="s">
        <v>1463</v>
      </c>
      <c r="C883" t="s">
        <v>2281</v>
      </c>
      <c r="D883" t="s">
        <v>602</v>
      </c>
    </row>
    <row r="884">
      <c r="A884" t="s">
        <v>2640</v>
      </c>
      <c r="B884" t="s">
        <v>1463</v>
      </c>
      <c r="C884" t="s">
        <v>2284</v>
      </c>
      <c r="D884" t="s">
        <v>610</v>
      </c>
    </row>
    <row r="885">
      <c r="A885" t="s">
        <v>2640</v>
      </c>
      <c r="B885" t="s">
        <v>1463</v>
      </c>
      <c r="C885" t="s">
        <v>2199</v>
      </c>
      <c r="D885" t="s">
        <v>410</v>
      </c>
    </row>
    <row r="886">
      <c r="A886" t="s">
        <v>2643</v>
      </c>
      <c r="B886" t="s">
        <v>1468</v>
      </c>
      <c r="C886" t="s">
        <v>2287</v>
      </c>
      <c r="D886" t="s">
        <v>617</v>
      </c>
    </row>
    <row r="887">
      <c r="A887" t="s">
        <v>2643</v>
      </c>
      <c r="B887" t="s">
        <v>1468</v>
      </c>
      <c r="C887" t="s">
        <v>2290</v>
      </c>
      <c r="D887" t="s">
        <v>624</v>
      </c>
    </row>
    <row r="888">
      <c r="A888" t="s">
        <v>2643</v>
      </c>
      <c r="B888" t="s">
        <v>1468</v>
      </c>
      <c r="C888" t="s">
        <v>2281</v>
      </c>
      <c r="D888" t="s">
        <v>602</v>
      </c>
    </row>
    <row r="889">
      <c r="A889" t="s">
        <v>2643</v>
      </c>
      <c r="B889" t="s">
        <v>1468</v>
      </c>
      <c r="C889" t="s">
        <v>2284</v>
      </c>
      <c r="D889" t="s">
        <v>610</v>
      </c>
    </row>
    <row r="890">
      <c r="A890" t="s">
        <v>2643</v>
      </c>
      <c r="B890" t="s">
        <v>1468</v>
      </c>
      <c r="C890" t="s">
        <v>2199</v>
      </c>
      <c r="D890" t="s">
        <v>410</v>
      </c>
    </row>
    <row r="891">
      <c r="A891" t="s">
        <v>2646</v>
      </c>
      <c r="B891" t="s">
        <v>1473</v>
      </c>
      <c r="C891" t="s">
        <v>2287</v>
      </c>
      <c r="D891" t="s">
        <v>617</v>
      </c>
    </row>
    <row r="892">
      <c r="A892" t="s">
        <v>2646</v>
      </c>
      <c r="B892" t="s">
        <v>1473</v>
      </c>
      <c r="C892" t="s">
        <v>2290</v>
      </c>
      <c r="D892" t="s">
        <v>624</v>
      </c>
    </row>
    <row r="893">
      <c r="A893" t="s">
        <v>2646</v>
      </c>
      <c r="B893" t="s">
        <v>1473</v>
      </c>
      <c r="C893" t="s">
        <v>2281</v>
      </c>
      <c r="D893" t="s">
        <v>602</v>
      </c>
    </row>
    <row r="894">
      <c r="A894" t="s">
        <v>2646</v>
      </c>
      <c r="B894" t="s">
        <v>1473</v>
      </c>
      <c r="C894" t="s">
        <v>2284</v>
      </c>
      <c r="D894" t="s">
        <v>610</v>
      </c>
    </row>
    <row r="895">
      <c r="A895" t="s">
        <v>2646</v>
      </c>
      <c r="B895" t="s">
        <v>1473</v>
      </c>
      <c r="C895" t="s">
        <v>2199</v>
      </c>
      <c r="D895" t="s">
        <v>410</v>
      </c>
    </row>
    <row r="896">
      <c r="A896" t="s">
        <v>2649</v>
      </c>
      <c r="B896" t="s">
        <v>1481</v>
      </c>
      <c r="C896" t="s">
        <v>2287</v>
      </c>
      <c r="D896" t="s">
        <v>617</v>
      </c>
    </row>
    <row r="897">
      <c r="A897" t="s">
        <v>2649</v>
      </c>
      <c r="B897" t="s">
        <v>1481</v>
      </c>
      <c r="C897" t="s">
        <v>2290</v>
      </c>
      <c r="D897" t="s">
        <v>624</v>
      </c>
    </row>
    <row r="898">
      <c r="A898" t="s">
        <v>2649</v>
      </c>
      <c r="B898" t="s">
        <v>1481</v>
      </c>
      <c r="C898" t="s">
        <v>2281</v>
      </c>
      <c r="D898" t="s">
        <v>602</v>
      </c>
    </row>
    <row r="899">
      <c r="A899" t="s">
        <v>2649</v>
      </c>
      <c r="B899" t="s">
        <v>1481</v>
      </c>
      <c r="C899" t="s">
        <v>2284</v>
      </c>
      <c r="D899" t="s">
        <v>610</v>
      </c>
    </row>
    <row r="900">
      <c r="A900" t="s">
        <v>2649</v>
      </c>
      <c r="B900" t="s">
        <v>1481</v>
      </c>
      <c r="C900" t="s">
        <v>2199</v>
      </c>
      <c r="D900" t="s">
        <v>410</v>
      </c>
    </row>
    <row r="901">
      <c r="A901" t="s">
        <v>2652</v>
      </c>
      <c r="B901" t="s">
        <v>1489</v>
      </c>
      <c r="C901" t="s">
        <v>2287</v>
      </c>
      <c r="D901" t="s">
        <v>617</v>
      </c>
    </row>
    <row r="902">
      <c r="A902" t="s">
        <v>2652</v>
      </c>
      <c r="B902" t="s">
        <v>1489</v>
      </c>
      <c r="C902" t="s">
        <v>2290</v>
      </c>
      <c r="D902" t="s">
        <v>624</v>
      </c>
    </row>
    <row r="903">
      <c r="A903" t="s">
        <v>2652</v>
      </c>
      <c r="B903" t="s">
        <v>1489</v>
      </c>
      <c r="C903" t="s">
        <v>2281</v>
      </c>
      <c r="D903" t="s">
        <v>602</v>
      </c>
    </row>
    <row r="904">
      <c r="A904" t="s">
        <v>2652</v>
      </c>
      <c r="B904" t="s">
        <v>1489</v>
      </c>
      <c r="C904" t="s">
        <v>2284</v>
      </c>
      <c r="D904" t="s">
        <v>610</v>
      </c>
    </row>
    <row r="905">
      <c r="A905" t="s">
        <v>2652</v>
      </c>
      <c r="B905" t="s">
        <v>1489</v>
      </c>
      <c r="C905" t="s">
        <v>2199</v>
      </c>
      <c r="D905" t="s">
        <v>410</v>
      </c>
    </row>
    <row r="906">
      <c r="A906" t="s">
        <v>2655</v>
      </c>
      <c r="B906" t="s">
        <v>1497</v>
      </c>
      <c r="C906" t="s">
        <v>2287</v>
      </c>
      <c r="D906" t="s">
        <v>617</v>
      </c>
    </row>
    <row r="907">
      <c r="A907" t="s">
        <v>2655</v>
      </c>
      <c r="B907" t="s">
        <v>1497</v>
      </c>
      <c r="C907" t="s">
        <v>2290</v>
      </c>
      <c r="D907" t="s">
        <v>624</v>
      </c>
    </row>
    <row r="908">
      <c r="A908" t="s">
        <v>2655</v>
      </c>
      <c r="B908" t="s">
        <v>1497</v>
      </c>
      <c r="C908" t="s">
        <v>2281</v>
      </c>
      <c r="D908" t="s">
        <v>602</v>
      </c>
    </row>
    <row r="909">
      <c r="A909" t="s">
        <v>2655</v>
      </c>
      <c r="B909" t="s">
        <v>1497</v>
      </c>
      <c r="C909" t="s">
        <v>2284</v>
      </c>
      <c r="D909" t="s">
        <v>610</v>
      </c>
    </row>
    <row r="910">
      <c r="A910" t="s">
        <v>2655</v>
      </c>
      <c r="B910" t="s">
        <v>1497</v>
      </c>
      <c r="C910" t="s">
        <v>2199</v>
      </c>
      <c r="D910" t="s">
        <v>410</v>
      </c>
    </row>
    <row r="911">
      <c r="A911" t="s">
        <v>2658</v>
      </c>
      <c r="B911" t="s">
        <v>1502</v>
      </c>
      <c r="C911" t="s">
        <v>2287</v>
      </c>
      <c r="D911" t="s">
        <v>617</v>
      </c>
    </row>
    <row r="912">
      <c r="A912" t="s">
        <v>2658</v>
      </c>
      <c r="B912" t="s">
        <v>1502</v>
      </c>
      <c r="C912" t="s">
        <v>2290</v>
      </c>
      <c r="D912" t="s">
        <v>624</v>
      </c>
    </row>
    <row r="913">
      <c r="A913" t="s">
        <v>2658</v>
      </c>
      <c r="B913" t="s">
        <v>1502</v>
      </c>
      <c r="C913" t="s">
        <v>2281</v>
      </c>
      <c r="D913" t="s">
        <v>602</v>
      </c>
    </row>
    <row r="914">
      <c r="A914" t="s">
        <v>2658</v>
      </c>
      <c r="B914" t="s">
        <v>1502</v>
      </c>
      <c r="C914" t="s">
        <v>2284</v>
      </c>
      <c r="D914" t="s">
        <v>610</v>
      </c>
    </row>
    <row r="915">
      <c r="A915" t="s">
        <v>2658</v>
      </c>
      <c r="B915" t="s">
        <v>1502</v>
      </c>
      <c r="C915" t="s">
        <v>2199</v>
      </c>
      <c r="D915" t="s">
        <v>410</v>
      </c>
    </row>
    <row r="916">
      <c r="A916" t="s">
        <v>2661</v>
      </c>
      <c r="B916" t="s">
        <v>1509</v>
      </c>
      <c r="C916" t="s">
        <v>2287</v>
      </c>
      <c r="D916" t="s">
        <v>617</v>
      </c>
    </row>
    <row r="917">
      <c r="A917" t="s">
        <v>2661</v>
      </c>
      <c r="B917" t="s">
        <v>1509</v>
      </c>
      <c r="C917" t="s">
        <v>2290</v>
      </c>
      <c r="D917" t="s">
        <v>624</v>
      </c>
    </row>
    <row r="918">
      <c r="A918" t="s">
        <v>2661</v>
      </c>
      <c r="B918" t="s">
        <v>1509</v>
      </c>
      <c r="C918" t="s">
        <v>2281</v>
      </c>
      <c r="D918" t="s">
        <v>602</v>
      </c>
    </row>
    <row r="919">
      <c r="A919" t="s">
        <v>2661</v>
      </c>
      <c r="B919" t="s">
        <v>1509</v>
      </c>
      <c r="C919" t="s">
        <v>2284</v>
      </c>
      <c r="D919" t="s">
        <v>610</v>
      </c>
    </row>
    <row r="920">
      <c r="A920" t="s">
        <v>2661</v>
      </c>
      <c r="B920" t="s">
        <v>1509</v>
      </c>
      <c r="C920" t="s">
        <v>2199</v>
      </c>
      <c r="D920" t="s">
        <v>410</v>
      </c>
    </row>
    <row r="921">
      <c r="A921" t="s">
        <v>2664</v>
      </c>
      <c r="B921" t="s">
        <v>1515</v>
      </c>
      <c r="C921" t="s">
        <v>2287</v>
      </c>
      <c r="D921" t="s">
        <v>617</v>
      </c>
    </row>
    <row r="922">
      <c r="A922" t="s">
        <v>2664</v>
      </c>
      <c r="B922" t="s">
        <v>1515</v>
      </c>
      <c r="C922" t="s">
        <v>2290</v>
      </c>
      <c r="D922" t="s">
        <v>624</v>
      </c>
    </row>
    <row r="923">
      <c r="A923" t="s">
        <v>2664</v>
      </c>
      <c r="B923" t="s">
        <v>1515</v>
      </c>
      <c r="C923" t="s">
        <v>2281</v>
      </c>
      <c r="D923" t="s">
        <v>602</v>
      </c>
    </row>
    <row r="924">
      <c r="A924" t="s">
        <v>2664</v>
      </c>
      <c r="B924" t="s">
        <v>1515</v>
      </c>
      <c r="C924" t="s">
        <v>2284</v>
      </c>
      <c r="D924" t="s">
        <v>610</v>
      </c>
    </row>
    <row r="925">
      <c r="A925" t="s">
        <v>2664</v>
      </c>
      <c r="B925" t="s">
        <v>1515</v>
      </c>
      <c r="C925" t="s">
        <v>2199</v>
      </c>
      <c r="D925" t="s">
        <v>410</v>
      </c>
    </row>
    <row r="926">
      <c r="A926" t="s">
        <v>2667</v>
      </c>
      <c r="B926" t="s">
        <v>1524</v>
      </c>
      <c r="C926" t="s">
        <v>2287</v>
      </c>
      <c r="D926" t="s">
        <v>617</v>
      </c>
    </row>
    <row r="927">
      <c r="A927" t="s">
        <v>2667</v>
      </c>
      <c r="B927" t="s">
        <v>1524</v>
      </c>
      <c r="C927" t="s">
        <v>2290</v>
      </c>
      <c r="D927" t="s">
        <v>624</v>
      </c>
    </row>
    <row r="928">
      <c r="A928" t="s">
        <v>2667</v>
      </c>
      <c r="B928" t="s">
        <v>1524</v>
      </c>
      <c r="C928" t="s">
        <v>2281</v>
      </c>
      <c r="D928" t="s">
        <v>602</v>
      </c>
    </row>
    <row r="929">
      <c r="A929" t="s">
        <v>2667</v>
      </c>
      <c r="B929" t="s">
        <v>1524</v>
      </c>
      <c r="C929" t="s">
        <v>2284</v>
      </c>
      <c r="D929" t="s">
        <v>610</v>
      </c>
    </row>
    <row r="930">
      <c r="A930" t="s">
        <v>2667</v>
      </c>
      <c r="B930" t="s">
        <v>1524</v>
      </c>
      <c r="C930" t="s">
        <v>2199</v>
      </c>
      <c r="D930" t="s">
        <v>410</v>
      </c>
    </row>
    <row r="931">
      <c r="A931" t="s">
        <v>2671</v>
      </c>
      <c r="B931" t="s">
        <v>1532</v>
      </c>
      <c r="C931" t="s">
        <v>2287</v>
      </c>
      <c r="D931" t="s">
        <v>617</v>
      </c>
    </row>
    <row r="932">
      <c r="A932" t="s">
        <v>2671</v>
      </c>
      <c r="B932" t="s">
        <v>1532</v>
      </c>
      <c r="C932" t="s">
        <v>2290</v>
      </c>
      <c r="D932" t="s">
        <v>624</v>
      </c>
    </row>
    <row r="933">
      <c r="A933" t="s">
        <v>2671</v>
      </c>
      <c r="B933" t="s">
        <v>1532</v>
      </c>
      <c r="C933" t="s">
        <v>2281</v>
      </c>
      <c r="D933" t="s">
        <v>602</v>
      </c>
    </row>
    <row r="934">
      <c r="A934" t="s">
        <v>2671</v>
      </c>
      <c r="B934" t="s">
        <v>1532</v>
      </c>
      <c r="C934" t="s">
        <v>2284</v>
      </c>
      <c r="D934" t="s">
        <v>610</v>
      </c>
    </row>
    <row r="935">
      <c r="A935" t="s">
        <v>2671</v>
      </c>
      <c r="B935" t="s">
        <v>1532</v>
      </c>
      <c r="C935" t="s">
        <v>2199</v>
      </c>
      <c r="D935" t="s">
        <v>410</v>
      </c>
    </row>
    <row r="936">
      <c r="A936" t="s">
        <v>2674</v>
      </c>
      <c r="B936" t="s">
        <v>1539</v>
      </c>
      <c r="C936" t="s">
        <v>2287</v>
      </c>
      <c r="D936" t="s">
        <v>617</v>
      </c>
    </row>
    <row r="937">
      <c r="A937" t="s">
        <v>2674</v>
      </c>
      <c r="B937" t="s">
        <v>1539</v>
      </c>
      <c r="C937" t="s">
        <v>2290</v>
      </c>
      <c r="D937" t="s">
        <v>624</v>
      </c>
    </row>
    <row r="938">
      <c r="A938" t="s">
        <v>2674</v>
      </c>
      <c r="B938" t="s">
        <v>1539</v>
      </c>
      <c r="C938" t="s">
        <v>2281</v>
      </c>
      <c r="D938" t="s">
        <v>602</v>
      </c>
    </row>
    <row r="939">
      <c r="A939" t="s">
        <v>2674</v>
      </c>
      <c r="B939" t="s">
        <v>1539</v>
      </c>
      <c r="C939" t="s">
        <v>2284</v>
      </c>
      <c r="D939" t="s">
        <v>610</v>
      </c>
    </row>
    <row r="940">
      <c r="A940" t="s">
        <v>2674</v>
      </c>
      <c r="B940" t="s">
        <v>1539</v>
      </c>
      <c r="C940" t="s">
        <v>2199</v>
      </c>
      <c r="D940" t="s">
        <v>410</v>
      </c>
    </row>
    <row r="941">
      <c r="A941" t="s">
        <v>2677</v>
      </c>
      <c r="B941" t="s">
        <v>1547</v>
      </c>
      <c r="C941" t="s">
        <v>2287</v>
      </c>
      <c r="D941" t="s">
        <v>617</v>
      </c>
    </row>
    <row r="942">
      <c r="A942" t="s">
        <v>2677</v>
      </c>
      <c r="B942" t="s">
        <v>1547</v>
      </c>
      <c r="C942" t="s">
        <v>2290</v>
      </c>
      <c r="D942" t="s">
        <v>624</v>
      </c>
    </row>
    <row r="943">
      <c r="A943" t="s">
        <v>2677</v>
      </c>
      <c r="B943" t="s">
        <v>1547</v>
      </c>
      <c r="C943" t="s">
        <v>2281</v>
      </c>
      <c r="D943" t="s">
        <v>602</v>
      </c>
    </row>
    <row r="944">
      <c r="A944" t="s">
        <v>2677</v>
      </c>
      <c r="B944" t="s">
        <v>1547</v>
      </c>
      <c r="C944" t="s">
        <v>2284</v>
      </c>
      <c r="D944" t="s">
        <v>610</v>
      </c>
    </row>
    <row r="945">
      <c r="A945" t="s">
        <v>2680</v>
      </c>
      <c r="B945" t="s">
        <v>1555</v>
      </c>
      <c r="C945" t="s">
        <v>2287</v>
      </c>
      <c r="D945" t="s">
        <v>617</v>
      </c>
    </row>
    <row r="946">
      <c r="A946" t="s">
        <v>2680</v>
      </c>
      <c r="B946" t="s">
        <v>1555</v>
      </c>
      <c r="C946" t="s">
        <v>2290</v>
      </c>
      <c r="D946" t="s">
        <v>624</v>
      </c>
    </row>
    <row r="947">
      <c r="A947" t="s">
        <v>2680</v>
      </c>
      <c r="B947" t="s">
        <v>1555</v>
      </c>
      <c r="C947" t="s">
        <v>2281</v>
      </c>
      <c r="D947" t="s">
        <v>602</v>
      </c>
    </row>
    <row r="948">
      <c r="A948" t="s">
        <v>2680</v>
      </c>
      <c r="B948" t="s">
        <v>1555</v>
      </c>
      <c r="C948" t="s">
        <v>2284</v>
      </c>
      <c r="D948" t="s">
        <v>610</v>
      </c>
    </row>
    <row r="949">
      <c r="A949" t="s">
        <v>2680</v>
      </c>
      <c r="B949" t="s">
        <v>1555</v>
      </c>
      <c r="C949" t="s">
        <v>2199</v>
      </c>
      <c r="D949" t="s">
        <v>410</v>
      </c>
    </row>
    <row r="950">
      <c r="A950" t="s">
        <v>2683</v>
      </c>
      <c r="B950" t="s">
        <v>1566</v>
      </c>
      <c r="C950" t="s">
        <v>2287</v>
      </c>
      <c r="D950" t="s">
        <v>617</v>
      </c>
    </row>
    <row r="951">
      <c r="A951" t="s">
        <v>2683</v>
      </c>
      <c r="B951" t="s">
        <v>1566</v>
      </c>
      <c r="C951" t="s">
        <v>2290</v>
      </c>
      <c r="D951" t="s">
        <v>624</v>
      </c>
    </row>
    <row r="952">
      <c r="A952" t="s">
        <v>2683</v>
      </c>
      <c r="B952" t="s">
        <v>1566</v>
      </c>
      <c r="C952" t="s">
        <v>2281</v>
      </c>
      <c r="D952" t="s">
        <v>602</v>
      </c>
    </row>
    <row r="953">
      <c r="A953" t="s">
        <v>2683</v>
      </c>
      <c r="B953" t="s">
        <v>1566</v>
      </c>
      <c r="C953" t="s">
        <v>2284</v>
      </c>
      <c r="D953" t="s">
        <v>610</v>
      </c>
    </row>
    <row r="954">
      <c r="A954" t="s">
        <v>2683</v>
      </c>
      <c r="B954" t="s">
        <v>1566</v>
      </c>
      <c r="C954" t="s">
        <v>2199</v>
      </c>
      <c r="D954" t="s">
        <v>410</v>
      </c>
    </row>
    <row r="955">
      <c r="A955" t="s">
        <v>2686</v>
      </c>
      <c r="B955" t="s">
        <v>1532</v>
      </c>
      <c r="C955" t="s">
        <v>2287</v>
      </c>
      <c r="D955" t="s">
        <v>617</v>
      </c>
    </row>
    <row r="956">
      <c r="A956" t="s">
        <v>2686</v>
      </c>
      <c r="B956" t="s">
        <v>1532</v>
      </c>
      <c r="C956" t="s">
        <v>2290</v>
      </c>
      <c r="D956" t="s">
        <v>624</v>
      </c>
    </row>
    <row r="957">
      <c r="A957" t="s">
        <v>2686</v>
      </c>
      <c r="B957" t="s">
        <v>1532</v>
      </c>
      <c r="C957" t="s">
        <v>2281</v>
      </c>
      <c r="D957" t="s">
        <v>602</v>
      </c>
    </row>
    <row r="958">
      <c r="A958" t="s">
        <v>2686</v>
      </c>
      <c r="B958" t="s">
        <v>1532</v>
      </c>
      <c r="C958" t="s">
        <v>2284</v>
      </c>
      <c r="D958" t="s">
        <v>610</v>
      </c>
    </row>
    <row r="959">
      <c r="A959" t="s">
        <v>2686</v>
      </c>
      <c r="B959" t="s">
        <v>1532</v>
      </c>
      <c r="C959" t="s">
        <v>2199</v>
      </c>
      <c r="D959" t="s">
        <v>410</v>
      </c>
    </row>
    <row r="960">
      <c r="A960" t="s">
        <v>2689</v>
      </c>
      <c r="B960" t="s">
        <v>1578</v>
      </c>
      <c r="C960" t="s">
        <v>2287</v>
      </c>
      <c r="D960" t="s">
        <v>617</v>
      </c>
    </row>
    <row r="961">
      <c r="A961" t="s">
        <v>2689</v>
      </c>
      <c r="B961" t="s">
        <v>1578</v>
      </c>
      <c r="C961" t="s">
        <v>2290</v>
      </c>
      <c r="D961" t="s">
        <v>624</v>
      </c>
    </row>
    <row r="962">
      <c r="A962" t="s">
        <v>2689</v>
      </c>
      <c r="B962" t="s">
        <v>1578</v>
      </c>
      <c r="C962" t="s">
        <v>2281</v>
      </c>
      <c r="D962" t="s">
        <v>602</v>
      </c>
    </row>
    <row r="963">
      <c r="A963" t="s">
        <v>2689</v>
      </c>
      <c r="B963" t="s">
        <v>1578</v>
      </c>
      <c r="C963" t="s">
        <v>2284</v>
      </c>
      <c r="D963" t="s">
        <v>610</v>
      </c>
    </row>
    <row r="964">
      <c r="A964" t="s">
        <v>2689</v>
      </c>
      <c r="B964" t="s">
        <v>1578</v>
      </c>
      <c r="C964" t="s">
        <v>2199</v>
      </c>
      <c r="D964" t="s">
        <v>410</v>
      </c>
    </row>
    <row r="965">
      <c r="A965" t="s">
        <v>2692</v>
      </c>
      <c r="B965" t="s">
        <v>1586</v>
      </c>
      <c r="C965" t="s">
        <v>2287</v>
      </c>
      <c r="D965" t="s">
        <v>617</v>
      </c>
    </row>
    <row r="966">
      <c r="A966" t="s">
        <v>2692</v>
      </c>
      <c r="B966" t="s">
        <v>1586</v>
      </c>
      <c r="C966" t="s">
        <v>2290</v>
      </c>
      <c r="D966" t="s">
        <v>624</v>
      </c>
    </row>
    <row r="967">
      <c r="A967" t="s">
        <v>2692</v>
      </c>
      <c r="B967" t="s">
        <v>1586</v>
      </c>
      <c r="C967" t="s">
        <v>2281</v>
      </c>
      <c r="D967" t="s">
        <v>602</v>
      </c>
    </row>
    <row r="968">
      <c r="A968" t="s">
        <v>2692</v>
      </c>
      <c r="B968" t="s">
        <v>1586</v>
      </c>
      <c r="C968" t="s">
        <v>2284</v>
      </c>
      <c r="D968" t="s">
        <v>610</v>
      </c>
    </row>
    <row r="969">
      <c r="A969" t="s">
        <v>2692</v>
      </c>
      <c r="B969" t="s">
        <v>1586</v>
      </c>
      <c r="C969" t="s">
        <v>2199</v>
      </c>
      <c r="D969" t="s">
        <v>410</v>
      </c>
    </row>
    <row r="970">
      <c r="A970" t="s">
        <v>2695</v>
      </c>
      <c r="B970" t="s">
        <v>1596</v>
      </c>
      <c r="C970" t="s">
        <v>2287</v>
      </c>
      <c r="D970" t="s">
        <v>617</v>
      </c>
    </row>
    <row r="971">
      <c r="A971" t="s">
        <v>2695</v>
      </c>
      <c r="B971" t="s">
        <v>1596</v>
      </c>
      <c r="C971" t="s">
        <v>2290</v>
      </c>
      <c r="D971" t="s">
        <v>624</v>
      </c>
    </row>
    <row r="972">
      <c r="A972" t="s">
        <v>2695</v>
      </c>
      <c r="B972" t="s">
        <v>1596</v>
      </c>
      <c r="C972" t="s">
        <v>2281</v>
      </c>
      <c r="D972" t="s">
        <v>602</v>
      </c>
    </row>
    <row r="973">
      <c r="A973" t="s">
        <v>2695</v>
      </c>
      <c r="B973" t="s">
        <v>1596</v>
      </c>
      <c r="C973" t="s">
        <v>2284</v>
      </c>
      <c r="D973" t="s">
        <v>610</v>
      </c>
    </row>
    <row r="974">
      <c r="A974" t="s">
        <v>2695</v>
      </c>
      <c r="B974" t="s">
        <v>1596</v>
      </c>
      <c r="C974" t="s">
        <v>2199</v>
      </c>
      <c r="D974" t="s">
        <v>410</v>
      </c>
    </row>
    <row r="975">
      <c r="A975" t="s">
        <v>2698</v>
      </c>
      <c r="B975" t="s">
        <v>1604</v>
      </c>
      <c r="C975" t="s">
        <v>2287</v>
      </c>
      <c r="D975" t="s">
        <v>617</v>
      </c>
    </row>
    <row r="976">
      <c r="A976" t="s">
        <v>2698</v>
      </c>
      <c r="B976" t="s">
        <v>1604</v>
      </c>
      <c r="C976" t="s">
        <v>2290</v>
      </c>
      <c r="D976" t="s">
        <v>624</v>
      </c>
    </row>
    <row r="977">
      <c r="A977" t="s">
        <v>2698</v>
      </c>
      <c r="B977" t="s">
        <v>1604</v>
      </c>
      <c r="C977" t="s">
        <v>2281</v>
      </c>
      <c r="D977" t="s">
        <v>602</v>
      </c>
    </row>
    <row r="978">
      <c r="A978" t="s">
        <v>2698</v>
      </c>
      <c r="B978" t="s">
        <v>1604</v>
      </c>
      <c r="C978" t="s">
        <v>2284</v>
      </c>
      <c r="D978" t="s">
        <v>610</v>
      </c>
    </row>
    <row r="979">
      <c r="A979" t="s">
        <v>2698</v>
      </c>
      <c r="B979" t="s">
        <v>1604</v>
      </c>
      <c r="C979" t="s">
        <v>2199</v>
      </c>
      <c r="D979" t="s">
        <v>410</v>
      </c>
    </row>
    <row r="980">
      <c r="A980" t="s">
        <v>2701</v>
      </c>
      <c r="B980" t="s">
        <v>1612</v>
      </c>
      <c r="C980" t="s">
        <v>2287</v>
      </c>
      <c r="D980" t="s">
        <v>617</v>
      </c>
    </row>
    <row r="981">
      <c r="A981" t="s">
        <v>2701</v>
      </c>
      <c r="B981" t="s">
        <v>1612</v>
      </c>
      <c r="C981" t="s">
        <v>2290</v>
      </c>
      <c r="D981" t="s">
        <v>624</v>
      </c>
    </row>
    <row r="982">
      <c r="A982" t="s">
        <v>2701</v>
      </c>
      <c r="B982" t="s">
        <v>1612</v>
      </c>
      <c r="C982" t="s">
        <v>2281</v>
      </c>
      <c r="D982" t="s">
        <v>602</v>
      </c>
    </row>
    <row r="983">
      <c r="A983" t="s">
        <v>2701</v>
      </c>
      <c r="B983" t="s">
        <v>1612</v>
      </c>
      <c r="C983" t="s">
        <v>2284</v>
      </c>
      <c r="D983" t="s">
        <v>610</v>
      </c>
    </row>
    <row r="984">
      <c r="A984" t="s">
        <v>2701</v>
      </c>
      <c r="B984" t="s">
        <v>1612</v>
      </c>
      <c r="C984" t="s">
        <v>2199</v>
      </c>
      <c r="D984" t="s">
        <v>410</v>
      </c>
    </row>
    <row r="985">
      <c r="A985" t="s">
        <v>2704</v>
      </c>
      <c r="B985" t="s">
        <v>1620</v>
      </c>
      <c r="C985" t="s">
        <v>2287</v>
      </c>
      <c r="D985" t="s">
        <v>617</v>
      </c>
    </row>
    <row r="986">
      <c r="A986" t="s">
        <v>2704</v>
      </c>
      <c r="B986" t="s">
        <v>1620</v>
      </c>
      <c r="C986" t="s">
        <v>2290</v>
      </c>
      <c r="D986" t="s">
        <v>624</v>
      </c>
    </row>
    <row r="987">
      <c r="A987" t="s">
        <v>2704</v>
      </c>
      <c r="B987" t="s">
        <v>1620</v>
      </c>
      <c r="C987" t="s">
        <v>2281</v>
      </c>
      <c r="D987" t="s">
        <v>602</v>
      </c>
    </row>
    <row r="988">
      <c r="A988" t="s">
        <v>2704</v>
      </c>
      <c r="B988" t="s">
        <v>1620</v>
      </c>
      <c r="C988" t="s">
        <v>2284</v>
      </c>
      <c r="D988" t="s">
        <v>610</v>
      </c>
    </row>
    <row r="989">
      <c r="A989" t="s">
        <v>2704</v>
      </c>
      <c r="B989" t="s">
        <v>1620</v>
      </c>
      <c r="C989" t="s">
        <v>2199</v>
      </c>
      <c r="D989" t="s">
        <v>410</v>
      </c>
    </row>
    <row r="990">
      <c r="A990" t="s">
        <v>2707</v>
      </c>
      <c r="B990" t="s">
        <v>1632</v>
      </c>
      <c r="C990" t="s">
        <v>2287</v>
      </c>
      <c r="D990" t="s">
        <v>617</v>
      </c>
    </row>
    <row r="991">
      <c r="A991" t="s">
        <v>2707</v>
      </c>
      <c r="B991" t="s">
        <v>1632</v>
      </c>
      <c r="C991" t="s">
        <v>2290</v>
      </c>
      <c r="D991" t="s">
        <v>624</v>
      </c>
    </row>
    <row r="992">
      <c r="A992" t="s">
        <v>2707</v>
      </c>
      <c r="B992" t="s">
        <v>1632</v>
      </c>
      <c r="C992" t="s">
        <v>2281</v>
      </c>
      <c r="D992" t="s">
        <v>602</v>
      </c>
    </row>
    <row r="993">
      <c r="A993" t="s">
        <v>2707</v>
      </c>
      <c r="B993" t="s">
        <v>1632</v>
      </c>
      <c r="C993" t="s">
        <v>2284</v>
      </c>
      <c r="D993" t="s">
        <v>610</v>
      </c>
    </row>
    <row r="994">
      <c r="A994" t="s">
        <v>2707</v>
      </c>
      <c r="B994" t="s">
        <v>1632</v>
      </c>
      <c r="C994" t="s">
        <v>2199</v>
      </c>
      <c r="D994" t="s">
        <v>410</v>
      </c>
    </row>
    <row r="995">
      <c r="A995" t="s">
        <v>2712</v>
      </c>
      <c r="B995" t="s">
        <v>1640</v>
      </c>
      <c r="C995" t="s">
        <v>2287</v>
      </c>
      <c r="D995" t="s">
        <v>617</v>
      </c>
    </row>
    <row r="996">
      <c r="A996" t="s">
        <v>2712</v>
      </c>
      <c r="B996" t="s">
        <v>1640</v>
      </c>
      <c r="C996" t="s">
        <v>2290</v>
      </c>
      <c r="D996" t="s">
        <v>624</v>
      </c>
    </row>
    <row r="997">
      <c r="A997" t="s">
        <v>2712</v>
      </c>
      <c r="B997" t="s">
        <v>1640</v>
      </c>
      <c r="C997" t="s">
        <v>2281</v>
      </c>
      <c r="D997" t="s">
        <v>602</v>
      </c>
    </row>
    <row r="998">
      <c r="A998" t="s">
        <v>2712</v>
      </c>
      <c r="B998" t="s">
        <v>1640</v>
      </c>
      <c r="C998" t="s">
        <v>2284</v>
      </c>
      <c r="D998" t="s">
        <v>610</v>
      </c>
    </row>
    <row r="999">
      <c r="A999" t="s">
        <v>2712</v>
      </c>
      <c r="B999" t="s">
        <v>1640</v>
      </c>
      <c r="C999" t="s">
        <v>2199</v>
      </c>
      <c r="D999" t="s">
        <v>410</v>
      </c>
    </row>
    <row r="1000">
      <c r="A1000" t="s">
        <v>2715</v>
      </c>
      <c r="B1000" t="s">
        <v>1645</v>
      </c>
      <c r="C1000" t="s">
        <v>2287</v>
      </c>
      <c r="D1000" t="s">
        <v>617</v>
      </c>
    </row>
    <row r="1001">
      <c r="A1001" t="s">
        <v>2715</v>
      </c>
      <c r="B1001" t="s">
        <v>1645</v>
      </c>
      <c r="C1001" t="s">
        <v>2290</v>
      </c>
      <c r="D1001" t="s">
        <v>624</v>
      </c>
    </row>
    <row r="1002">
      <c r="A1002" t="s">
        <v>2715</v>
      </c>
      <c r="B1002" t="s">
        <v>1645</v>
      </c>
      <c r="C1002" t="s">
        <v>2281</v>
      </c>
      <c r="D1002" t="s">
        <v>602</v>
      </c>
    </row>
    <row r="1003">
      <c r="A1003" t="s">
        <v>2715</v>
      </c>
      <c r="B1003" t="s">
        <v>1645</v>
      </c>
      <c r="C1003" t="s">
        <v>2284</v>
      </c>
      <c r="D1003" t="s">
        <v>610</v>
      </c>
    </row>
    <row r="1004">
      <c r="A1004" t="s">
        <v>2715</v>
      </c>
      <c r="B1004" t="s">
        <v>1645</v>
      </c>
      <c r="C1004" t="s">
        <v>2199</v>
      </c>
      <c r="D1004" t="s">
        <v>410</v>
      </c>
    </row>
    <row r="1005">
      <c r="A1005" t="s">
        <v>2718</v>
      </c>
      <c r="B1005" t="s">
        <v>1651</v>
      </c>
      <c r="C1005" t="s">
        <v>2287</v>
      </c>
      <c r="D1005" t="s">
        <v>617</v>
      </c>
    </row>
    <row r="1006">
      <c r="A1006" t="s">
        <v>2718</v>
      </c>
      <c r="B1006" t="s">
        <v>1651</v>
      </c>
      <c r="C1006" t="s">
        <v>2290</v>
      </c>
      <c r="D1006" t="s">
        <v>624</v>
      </c>
    </row>
    <row r="1007">
      <c r="A1007" t="s">
        <v>2718</v>
      </c>
      <c r="B1007" t="s">
        <v>1651</v>
      </c>
      <c r="C1007" t="s">
        <v>2281</v>
      </c>
      <c r="D1007" t="s">
        <v>602</v>
      </c>
    </row>
    <row r="1008">
      <c r="A1008" t="s">
        <v>2718</v>
      </c>
      <c r="B1008" t="s">
        <v>1651</v>
      </c>
      <c r="C1008" t="s">
        <v>2284</v>
      </c>
      <c r="D1008" t="s">
        <v>610</v>
      </c>
    </row>
    <row r="1009">
      <c r="A1009" t="s">
        <v>2718</v>
      </c>
      <c r="B1009" t="s">
        <v>1651</v>
      </c>
      <c r="C1009" t="s">
        <v>2199</v>
      </c>
      <c r="D1009" t="s">
        <v>410</v>
      </c>
    </row>
    <row r="1010">
      <c r="A1010" t="s">
        <v>2721</v>
      </c>
      <c r="B1010" t="s">
        <v>1657</v>
      </c>
      <c r="C1010" t="s">
        <v>2287</v>
      </c>
      <c r="D1010" t="s">
        <v>617</v>
      </c>
    </row>
    <row r="1011">
      <c r="A1011" t="s">
        <v>2721</v>
      </c>
      <c r="B1011" t="s">
        <v>1657</v>
      </c>
      <c r="C1011" t="s">
        <v>2290</v>
      </c>
      <c r="D1011" t="s">
        <v>624</v>
      </c>
    </row>
    <row r="1012">
      <c r="A1012" t="s">
        <v>2721</v>
      </c>
      <c r="B1012" t="s">
        <v>1657</v>
      </c>
      <c r="C1012" t="s">
        <v>2281</v>
      </c>
      <c r="D1012" t="s">
        <v>602</v>
      </c>
    </row>
    <row r="1013">
      <c r="A1013" t="s">
        <v>2721</v>
      </c>
      <c r="B1013" t="s">
        <v>1657</v>
      </c>
      <c r="C1013" t="s">
        <v>2284</v>
      </c>
      <c r="D1013" t="s">
        <v>610</v>
      </c>
    </row>
    <row r="1014">
      <c r="A1014" t="s">
        <v>2721</v>
      </c>
      <c r="B1014" t="s">
        <v>1657</v>
      </c>
      <c r="C1014" t="s">
        <v>2199</v>
      </c>
      <c r="D1014" t="s">
        <v>410</v>
      </c>
    </row>
    <row r="1015">
      <c r="A1015" t="s">
        <v>2724</v>
      </c>
      <c r="B1015" t="s">
        <v>1663</v>
      </c>
      <c r="C1015" t="s">
        <v>2287</v>
      </c>
      <c r="D1015" t="s">
        <v>617</v>
      </c>
    </row>
    <row r="1016">
      <c r="A1016" t="s">
        <v>2724</v>
      </c>
      <c r="B1016" t="s">
        <v>1663</v>
      </c>
      <c r="C1016" t="s">
        <v>2290</v>
      </c>
      <c r="D1016" t="s">
        <v>624</v>
      </c>
    </row>
    <row r="1017">
      <c r="A1017" t="s">
        <v>2724</v>
      </c>
      <c r="B1017" t="s">
        <v>1663</v>
      </c>
      <c r="C1017" t="s">
        <v>2281</v>
      </c>
      <c r="D1017" t="s">
        <v>602</v>
      </c>
    </row>
    <row r="1018">
      <c r="A1018" t="s">
        <v>2724</v>
      </c>
      <c r="B1018" t="s">
        <v>1663</v>
      </c>
      <c r="C1018" t="s">
        <v>2284</v>
      </c>
      <c r="D1018" t="s">
        <v>610</v>
      </c>
    </row>
    <row r="1019">
      <c r="A1019" t="s">
        <v>2724</v>
      </c>
      <c r="B1019" t="s">
        <v>1663</v>
      </c>
      <c r="C1019" t="s">
        <v>2199</v>
      </c>
      <c r="D1019" t="s">
        <v>410</v>
      </c>
    </row>
    <row r="1020">
      <c r="A1020" t="s">
        <v>2727</v>
      </c>
      <c r="B1020" t="s">
        <v>1671</v>
      </c>
      <c r="C1020" t="s">
        <v>2287</v>
      </c>
      <c r="D1020" t="s">
        <v>617</v>
      </c>
    </row>
    <row r="1021">
      <c r="A1021" t="s">
        <v>2727</v>
      </c>
      <c r="B1021" t="s">
        <v>1671</v>
      </c>
      <c r="C1021" t="s">
        <v>2290</v>
      </c>
      <c r="D1021" t="s">
        <v>624</v>
      </c>
    </row>
    <row r="1022">
      <c r="A1022" t="s">
        <v>2727</v>
      </c>
      <c r="B1022" t="s">
        <v>1671</v>
      </c>
      <c r="C1022" t="s">
        <v>2281</v>
      </c>
      <c r="D1022" t="s">
        <v>602</v>
      </c>
    </row>
    <row r="1023">
      <c r="A1023" t="s">
        <v>2727</v>
      </c>
      <c r="B1023" t="s">
        <v>1671</v>
      </c>
      <c r="C1023" t="s">
        <v>2284</v>
      </c>
      <c r="D1023" t="s">
        <v>610</v>
      </c>
    </row>
    <row r="1024">
      <c r="A1024" t="s">
        <v>2727</v>
      </c>
      <c r="B1024" t="s">
        <v>1671</v>
      </c>
      <c r="C1024" t="s">
        <v>2199</v>
      </c>
      <c r="D1024" t="s">
        <v>410</v>
      </c>
    </row>
    <row r="1025">
      <c r="A1025" t="s">
        <v>2730</v>
      </c>
      <c r="B1025" t="s">
        <v>1678</v>
      </c>
      <c r="C1025" t="s">
        <v>2287</v>
      </c>
      <c r="D1025" t="s">
        <v>617</v>
      </c>
    </row>
    <row r="1026">
      <c r="A1026" t="s">
        <v>2730</v>
      </c>
      <c r="B1026" t="s">
        <v>1678</v>
      </c>
      <c r="C1026" t="s">
        <v>2290</v>
      </c>
      <c r="D1026" t="s">
        <v>624</v>
      </c>
    </row>
    <row r="1027">
      <c r="A1027" t="s">
        <v>2730</v>
      </c>
      <c r="B1027" t="s">
        <v>1678</v>
      </c>
      <c r="C1027" t="s">
        <v>2281</v>
      </c>
      <c r="D1027" t="s">
        <v>602</v>
      </c>
    </row>
    <row r="1028">
      <c r="A1028" t="s">
        <v>2730</v>
      </c>
      <c r="B1028" t="s">
        <v>1678</v>
      </c>
      <c r="C1028" t="s">
        <v>2284</v>
      </c>
      <c r="D1028" t="s">
        <v>610</v>
      </c>
    </row>
    <row r="1029">
      <c r="A1029" t="s">
        <v>2730</v>
      </c>
      <c r="B1029" t="s">
        <v>1678</v>
      </c>
      <c r="C1029" t="s">
        <v>2199</v>
      </c>
      <c r="D1029" t="s">
        <v>410</v>
      </c>
    </row>
    <row r="1030">
      <c r="A1030" t="s">
        <v>2733</v>
      </c>
      <c r="B1030" t="s">
        <v>1684</v>
      </c>
      <c r="C1030" t="s">
        <v>2287</v>
      </c>
      <c r="D1030" t="s">
        <v>617</v>
      </c>
    </row>
    <row r="1031">
      <c r="A1031" t="s">
        <v>2733</v>
      </c>
      <c r="B1031" t="s">
        <v>1684</v>
      </c>
      <c r="C1031" t="s">
        <v>2290</v>
      </c>
      <c r="D1031" t="s">
        <v>624</v>
      </c>
    </row>
    <row r="1032">
      <c r="A1032" t="s">
        <v>2733</v>
      </c>
      <c r="B1032" t="s">
        <v>1684</v>
      </c>
      <c r="C1032" t="s">
        <v>2281</v>
      </c>
      <c r="D1032" t="s">
        <v>602</v>
      </c>
    </row>
    <row r="1033">
      <c r="A1033" t="s">
        <v>2733</v>
      </c>
      <c r="B1033" t="s">
        <v>1684</v>
      </c>
      <c r="C1033" t="s">
        <v>2284</v>
      </c>
      <c r="D1033" t="s">
        <v>610</v>
      </c>
    </row>
    <row r="1034">
      <c r="A1034" t="s">
        <v>2733</v>
      </c>
      <c r="B1034" t="s">
        <v>1684</v>
      </c>
      <c r="C1034" t="s">
        <v>2199</v>
      </c>
      <c r="D1034" t="s">
        <v>410</v>
      </c>
    </row>
    <row r="1035">
      <c r="A1035" t="s">
        <v>2736</v>
      </c>
      <c r="B1035" t="s">
        <v>1690</v>
      </c>
      <c r="C1035" t="s">
        <v>2287</v>
      </c>
      <c r="D1035" t="s">
        <v>617</v>
      </c>
    </row>
    <row r="1036">
      <c r="A1036" t="s">
        <v>2736</v>
      </c>
      <c r="B1036" t="s">
        <v>1690</v>
      </c>
      <c r="C1036" t="s">
        <v>2290</v>
      </c>
      <c r="D1036" t="s">
        <v>624</v>
      </c>
    </row>
    <row r="1037">
      <c r="A1037" t="s">
        <v>2736</v>
      </c>
      <c r="B1037" t="s">
        <v>1690</v>
      </c>
      <c r="C1037" t="s">
        <v>2281</v>
      </c>
      <c r="D1037" t="s">
        <v>602</v>
      </c>
    </row>
    <row r="1038">
      <c r="A1038" t="s">
        <v>2736</v>
      </c>
      <c r="B1038" t="s">
        <v>1690</v>
      </c>
      <c r="C1038" t="s">
        <v>2284</v>
      </c>
      <c r="D1038" t="s">
        <v>610</v>
      </c>
    </row>
    <row r="1039">
      <c r="A1039" t="s">
        <v>2736</v>
      </c>
      <c r="B1039" t="s">
        <v>1690</v>
      </c>
      <c r="C1039" t="s">
        <v>2199</v>
      </c>
      <c r="D1039" t="s">
        <v>410</v>
      </c>
    </row>
    <row r="1040">
      <c r="A1040" t="s">
        <v>2739</v>
      </c>
      <c r="B1040" t="s">
        <v>1696</v>
      </c>
      <c r="C1040" t="s">
        <v>2287</v>
      </c>
      <c r="D1040" t="s">
        <v>617</v>
      </c>
    </row>
    <row r="1041">
      <c r="A1041" t="s">
        <v>2739</v>
      </c>
      <c r="B1041" t="s">
        <v>1696</v>
      </c>
      <c r="C1041" t="s">
        <v>2290</v>
      </c>
      <c r="D1041" t="s">
        <v>624</v>
      </c>
    </row>
    <row r="1042">
      <c r="A1042" t="s">
        <v>2739</v>
      </c>
      <c r="B1042" t="s">
        <v>1696</v>
      </c>
      <c r="C1042" t="s">
        <v>2281</v>
      </c>
      <c r="D1042" t="s">
        <v>602</v>
      </c>
    </row>
    <row r="1043">
      <c r="A1043" t="s">
        <v>2739</v>
      </c>
      <c r="B1043" t="s">
        <v>1696</v>
      </c>
      <c r="C1043" t="s">
        <v>2284</v>
      </c>
      <c r="D1043" t="s">
        <v>610</v>
      </c>
    </row>
    <row r="1044">
      <c r="A1044" t="s">
        <v>2739</v>
      </c>
      <c r="B1044" t="s">
        <v>1696</v>
      </c>
      <c r="C1044" t="s">
        <v>2199</v>
      </c>
      <c r="D1044" t="s">
        <v>410</v>
      </c>
    </row>
    <row r="1045">
      <c r="A1045" t="s">
        <v>2742</v>
      </c>
      <c r="B1045" t="s">
        <v>1706</v>
      </c>
      <c r="C1045" t="s">
        <v>2287</v>
      </c>
      <c r="D1045" t="s">
        <v>617</v>
      </c>
    </row>
    <row r="1046">
      <c r="A1046" t="s">
        <v>2742</v>
      </c>
      <c r="B1046" t="s">
        <v>1706</v>
      </c>
      <c r="C1046" t="s">
        <v>2290</v>
      </c>
      <c r="D1046" t="s">
        <v>624</v>
      </c>
    </row>
    <row r="1047">
      <c r="A1047" t="s">
        <v>2742</v>
      </c>
      <c r="B1047" t="s">
        <v>1706</v>
      </c>
      <c r="C1047" t="s">
        <v>2281</v>
      </c>
      <c r="D1047" t="s">
        <v>602</v>
      </c>
    </row>
    <row r="1048">
      <c r="A1048" t="s">
        <v>2742</v>
      </c>
      <c r="B1048" t="s">
        <v>1706</v>
      </c>
      <c r="C1048" t="s">
        <v>2284</v>
      </c>
      <c r="D1048" t="s">
        <v>610</v>
      </c>
    </row>
    <row r="1049">
      <c r="A1049" t="s">
        <v>2742</v>
      </c>
      <c r="B1049" t="s">
        <v>1706</v>
      </c>
      <c r="C1049" t="s">
        <v>2199</v>
      </c>
      <c r="D1049" t="s">
        <v>410</v>
      </c>
    </row>
    <row r="1050">
      <c r="A1050" t="s">
        <v>2745</v>
      </c>
      <c r="B1050" t="s">
        <v>1713</v>
      </c>
      <c r="C1050" t="s">
        <v>2287</v>
      </c>
      <c r="D1050" t="s">
        <v>617</v>
      </c>
    </row>
    <row r="1051">
      <c r="A1051" t="s">
        <v>2745</v>
      </c>
      <c r="B1051" t="s">
        <v>1713</v>
      </c>
      <c r="C1051" t="s">
        <v>2290</v>
      </c>
      <c r="D1051" t="s">
        <v>624</v>
      </c>
    </row>
    <row r="1052">
      <c r="A1052" t="s">
        <v>2745</v>
      </c>
      <c r="B1052" t="s">
        <v>1713</v>
      </c>
      <c r="C1052" t="s">
        <v>2281</v>
      </c>
      <c r="D1052" t="s">
        <v>602</v>
      </c>
    </row>
    <row r="1053">
      <c r="A1053" t="s">
        <v>2745</v>
      </c>
      <c r="B1053" t="s">
        <v>1713</v>
      </c>
      <c r="C1053" t="s">
        <v>2284</v>
      </c>
      <c r="D1053" t="s">
        <v>610</v>
      </c>
    </row>
    <row r="1054">
      <c r="A1054" t="s">
        <v>2745</v>
      </c>
      <c r="B1054" t="s">
        <v>1713</v>
      </c>
      <c r="C1054" t="s">
        <v>2199</v>
      </c>
      <c r="D1054" t="s">
        <v>410</v>
      </c>
    </row>
    <row r="1055">
      <c r="A1055" t="s">
        <v>2748</v>
      </c>
      <c r="B1055" t="s">
        <v>1720</v>
      </c>
      <c r="C1055" t="s">
        <v>2287</v>
      </c>
      <c r="D1055" t="s">
        <v>617</v>
      </c>
    </row>
    <row r="1056">
      <c r="A1056" t="s">
        <v>2748</v>
      </c>
      <c r="B1056" t="s">
        <v>1720</v>
      </c>
      <c r="C1056" t="s">
        <v>2290</v>
      </c>
      <c r="D1056" t="s">
        <v>624</v>
      </c>
    </row>
    <row r="1057">
      <c r="A1057" t="s">
        <v>2748</v>
      </c>
      <c r="B1057" t="s">
        <v>1720</v>
      </c>
      <c r="C1057" t="s">
        <v>2281</v>
      </c>
      <c r="D1057" t="s">
        <v>602</v>
      </c>
    </row>
    <row r="1058">
      <c r="A1058" t="s">
        <v>2748</v>
      </c>
      <c r="B1058" t="s">
        <v>1720</v>
      </c>
      <c r="C1058" t="s">
        <v>2284</v>
      </c>
      <c r="D1058" t="s">
        <v>610</v>
      </c>
    </row>
    <row r="1059">
      <c r="A1059" t="s">
        <v>2748</v>
      </c>
      <c r="B1059" t="s">
        <v>1720</v>
      </c>
      <c r="C1059" t="s">
        <v>2199</v>
      </c>
      <c r="D1059" t="s">
        <v>410</v>
      </c>
    </row>
    <row r="1060">
      <c r="A1060" t="s">
        <v>2751</v>
      </c>
      <c r="B1060" t="s">
        <v>1726</v>
      </c>
      <c r="C1060" t="s">
        <v>2287</v>
      </c>
      <c r="D1060" t="s">
        <v>617</v>
      </c>
    </row>
    <row r="1061">
      <c r="A1061" t="s">
        <v>2751</v>
      </c>
      <c r="B1061" t="s">
        <v>1726</v>
      </c>
      <c r="C1061" t="s">
        <v>2290</v>
      </c>
      <c r="D1061" t="s">
        <v>624</v>
      </c>
    </row>
    <row r="1062">
      <c r="A1062" t="s">
        <v>2751</v>
      </c>
      <c r="B1062" t="s">
        <v>1726</v>
      </c>
      <c r="C1062" t="s">
        <v>2281</v>
      </c>
      <c r="D1062" t="s">
        <v>602</v>
      </c>
    </row>
    <row r="1063">
      <c r="A1063" t="s">
        <v>2751</v>
      </c>
      <c r="B1063" t="s">
        <v>1726</v>
      </c>
      <c r="C1063" t="s">
        <v>2284</v>
      </c>
      <c r="D1063" t="s">
        <v>610</v>
      </c>
    </row>
    <row r="1064">
      <c r="A1064" t="s">
        <v>2751</v>
      </c>
      <c r="B1064" t="s">
        <v>1726</v>
      </c>
      <c r="C1064" t="s">
        <v>2199</v>
      </c>
      <c r="D1064" t="s">
        <v>410</v>
      </c>
    </row>
    <row r="1065">
      <c r="A1065" t="s">
        <v>2754</v>
      </c>
      <c r="B1065" t="s">
        <v>1735</v>
      </c>
      <c r="C1065" t="s">
        <v>2287</v>
      </c>
      <c r="D1065" t="s">
        <v>617</v>
      </c>
    </row>
    <row r="1066">
      <c r="A1066" t="s">
        <v>2754</v>
      </c>
      <c r="B1066" t="s">
        <v>1735</v>
      </c>
      <c r="C1066" t="s">
        <v>2290</v>
      </c>
      <c r="D1066" t="s">
        <v>624</v>
      </c>
    </row>
    <row r="1067">
      <c r="A1067" t="s">
        <v>2754</v>
      </c>
      <c r="B1067" t="s">
        <v>1735</v>
      </c>
      <c r="C1067" t="s">
        <v>2281</v>
      </c>
      <c r="D1067" t="s">
        <v>602</v>
      </c>
    </row>
    <row r="1068">
      <c r="A1068" t="s">
        <v>2754</v>
      </c>
      <c r="B1068" t="s">
        <v>1735</v>
      </c>
      <c r="C1068" t="s">
        <v>2284</v>
      </c>
      <c r="D1068" t="s">
        <v>610</v>
      </c>
    </row>
    <row r="1069">
      <c r="A1069" t="s">
        <v>2757</v>
      </c>
      <c r="B1069" t="s">
        <v>1743</v>
      </c>
      <c r="C1069" t="s">
        <v>2287</v>
      </c>
      <c r="D1069" t="s">
        <v>617</v>
      </c>
    </row>
    <row r="1070">
      <c r="A1070" t="s">
        <v>2757</v>
      </c>
      <c r="B1070" t="s">
        <v>1743</v>
      </c>
      <c r="C1070" t="s">
        <v>2290</v>
      </c>
      <c r="D1070" t="s">
        <v>624</v>
      </c>
    </row>
    <row r="1071">
      <c r="A1071" t="s">
        <v>2757</v>
      </c>
      <c r="B1071" t="s">
        <v>1743</v>
      </c>
      <c r="C1071" t="s">
        <v>2281</v>
      </c>
      <c r="D1071" t="s">
        <v>602</v>
      </c>
    </row>
    <row r="1072">
      <c r="A1072" t="s">
        <v>2757</v>
      </c>
      <c r="B1072" t="s">
        <v>1743</v>
      </c>
      <c r="C1072" t="s">
        <v>2284</v>
      </c>
      <c r="D1072" t="s">
        <v>610</v>
      </c>
    </row>
    <row r="1073">
      <c r="A1073" t="s">
        <v>2757</v>
      </c>
      <c r="B1073" t="s">
        <v>1743</v>
      </c>
      <c r="C1073" t="s">
        <v>2199</v>
      </c>
      <c r="D1073" t="s">
        <v>410</v>
      </c>
    </row>
    <row r="1074">
      <c r="A1074" t="s">
        <v>2760</v>
      </c>
      <c r="B1074" t="s">
        <v>1750</v>
      </c>
      <c r="C1074" t="s">
        <v>2287</v>
      </c>
      <c r="D1074" t="s">
        <v>617</v>
      </c>
    </row>
    <row r="1075">
      <c r="A1075" t="s">
        <v>2760</v>
      </c>
      <c r="B1075" t="s">
        <v>1750</v>
      </c>
      <c r="C1075" t="s">
        <v>2290</v>
      </c>
      <c r="D1075" t="s">
        <v>624</v>
      </c>
    </row>
    <row r="1076">
      <c r="A1076" t="s">
        <v>2760</v>
      </c>
      <c r="B1076" t="s">
        <v>1750</v>
      </c>
      <c r="C1076" t="s">
        <v>2281</v>
      </c>
      <c r="D1076" t="s">
        <v>602</v>
      </c>
    </row>
    <row r="1077">
      <c r="A1077" t="s">
        <v>2760</v>
      </c>
      <c r="B1077" t="s">
        <v>1750</v>
      </c>
      <c r="C1077" t="s">
        <v>2284</v>
      </c>
      <c r="D1077" t="s">
        <v>610</v>
      </c>
    </row>
    <row r="1078">
      <c r="A1078" t="s">
        <v>2760</v>
      </c>
      <c r="B1078" t="s">
        <v>1750</v>
      </c>
      <c r="C1078" t="s">
        <v>2199</v>
      </c>
      <c r="D1078" t="s">
        <v>410</v>
      </c>
    </row>
    <row r="1079">
      <c r="A1079" t="s">
        <v>2763</v>
      </c>
      <c r="B1079" t="s">
        <v>1756</v>
      </c>
      <c r="C1079" t="s">
        <v>2287</v>
      </c>
      <c r="D1079" t="s">
        <v>617</v>
      </c>
    </row>
    <row r="1080">
      <c r="A1080" t="s">
        <v>2763</v>
      </c>
      <c r="B1080" t="s">
        <v>1756</v>
      </c>
      <c r="C1080" t="s">
        <v>2290</v>
      </c>
      <c r="D1080" t="s">
        <v>624</v>
      </c>
    </row>
    <row r="1081">
      <c r="A1081" t="s">
        <v>2763</v>
      </c>
      <c r="B1081" t="s">
        <v>1756</v>
      </c>
      <c r="C1081" t="s">
        <v>2281</v>
      </c>
      <c r="D1081" t="s">
        <v>602</v>
      </c>
    </row>
    <row r="1082">
      <c r="A1082" t="s">
        <v>2763</v>
      </c>
      <c r="B1082" t="s">
        <v>1756</v>
      </c>
      <c r="C1082" t="s">
        <v>2284</v>
      </c>
      <c r="D1082" t="s">
        <v>610</v>
      </c>
    </row>
    <row r="1083">
      <c r="A1083" t="s">
        <v>2763</v>
      </c>
      <c r="B1083" t="s">
        <v>1756</v>
      </c>
      <c r="C1083" t="s">
        <v>2199</v>
      </c>
      <c r="D1083" t="s">
        <v>410</v>
      </c>
    </row>
    <row r="1084">
      <c r="A1084" t="s">
        <v>2766</v>
      </c>
      <c r="B1084" t="s">
        <v>1762</v>
      </c>
      <c r="C1084" t="s">
        <v>2287</v>
      </c>
      <c r="D1084" t="s">
        <v>617</v>
      </c>
    </row>
    <row r="1085">
      <c r="A1085" t="s">
        <v>2766</v>
      </c>
      <c r="B1085" t="s">
        <v>1762</v>
      </c>
      <c r="C1085" t="s">
        <v>2290</v>
      </c>
      <c r="D1085" t="s">
        <v>624</v>
      </c>
    </row>
    <row r="1086">
      <c r="A1086" t="s">
        <v>2766</v>
      </c>
      <c r="B1086" t="s">
        <v>1762</v>
      </c>
      <c r="C1086" t="s">
        <v>2281</v>
      </c>
      <c r="D1086" t="s">
        <v>602</v>
      </c>
    </row>
    <row r="1087">
      <c r="A1087" t="s">
        <v>2766</v>
      </c>
      <c r="B1087" t="s">
        <v>1762</v>
      </c>
      <c r="C1087" t="s">
        <v>2284</v>
      </c>
      <c r="D1087" t="s">
        <v>610</v>
      </c>
    </row>
    <row r="1088">
      <c r="A1088" t="s">
        <v>2766</v>
      </c>
      <c r="B1088" t="s">
        <v>1762</v>
      </c>
      <c r="C1088" t="s">
        <v>2199</v>
      </c>
      <c r="D1088" t="s">
        <v>410</v>
      </c>
    </row>
    <row r="1089">
      <c r="A1089" t="s">
        <v>2769</v>
      </c>
      <c r="B1089" t="s">
        <v>1768</v>
      </c>
      <c r="C1089" t="s">
        <v>2287</v>
      </c>
      <c r="D1089" t="s">
        <v>617</v>
      </c>
    </row>
    <row r="1090">
      <c r="A1090" t="s">
        <v>2769</v>
      </c>
      <c r="B1090" t="s">
        <v>1768</v>
      </c>
      <c r="C1090" t="s">
        <v>2290</v>
      </c>
      <c r="D1090" t="s">
        <v>624</v>
      </c>
    </row>
    <row r="1091">
      <c r="A1091" t="s">
        <v>2769</v>
      </c>
      <c r="B1091" t="s">
        <v>1768</v>
      </c>
      <c r="C1091" t="s">
        <v>2281</v>
      </c>
      <c r="D1091" t="s">
        <v>602</v>
      </c>
    </row>
    <row r="1092">
      <c r="A1092" t="s">
        <v>2769</v>
      </c>
      <c r="B1092" t="s">
        <v>1768</v>
      </c>
      <c r="C1092" t="s">
        <v>2284</v>
      </c>
      <c r="D1092" t="s">
        <v>610</v>
      </c>
    </row>
    <row r="1093">
      <c r="A1093" t="s">
        <v>2769</v>
      </c>
      <c r="B1093" t="s">
        <v>1768</v>
      </c>
      <c r="C1093" t="s">
        <v>2199</v>
      </c>
      <c r="D1093" t="s">
        <v>410</v>
      </c>
    </row>
    <row r="1094">
      <c r="A1094" t="s">
        <v>2772</v>
      </c>
      <c r="B1094" t="s">
        <v>1777</v>
      </c>
      <c r="C1094" t="s">
        <v>2287</v>
      </c>
      <c r="D1094" t="s">
        <v>617</v>
      </c>
    </row>
    <row r="1095">
      <c r="A1095" t="s">
        <v>2772</v>
      </c>
      <c r="B1095" t="s">
        <v>1777</v>
      </c>
      <c r="C1095" t="s">
        <v>2290</v>
      </c>
      <c r="D1095" t="s">
        <v>624</v>
      </c>
    </row>
    <row r="1096">
      <c r="A1096" t="s">
        <v>2772</v>
      </c>
      <c r="B1096" t="s">
        <v>1777</v>
      </c>
      <c r="C1096" t="s">
        <v>2281</v>
      </c>
      <c r="D1096" t="s">
        <v>602</v>
      </c>
    </row>
    <row r="1097">
      <c r="A1097" t="s">
        <v>2772</v>
      </c>
      <c r="B1097" t="s">
        <v>1777</v>
      </c>
      <c r="C1097" t="s">
        <v>2284</v>
      </c>
      <c r="D1097" t="s">
        <v>610</v>
      </c>
    </row>
    <row r="1098">
      <c r="A1098" t="s">
        <v>2772</v>
      </c>
      <c r="B1098" t="s">
        <v>1777</v>
      </c>
      <c r="C1098" t="s">
        <v>2199</v>
      </c>
      <c r="D1098" t="s">
        <v>410</v>
      </c>
    </row>
    <row r="1099">
      <c r="A1099" t="s">
        <v>2776</v>
      </c>
      <c r="B1099" t="s">
        <v>1785</v>
      </c>
      <c r="C1099" t="s">
        <v>2287</v>
      </c>
      <c r="D1099" t="s">
        <v>617</v>
      </c>
    </row>
    <row r="1100">
      <c r="A1100" t="s">
        <v>2776</v>
      </c>
      <c r="B1100" t="s">
        <v>1785</v>
      </c>
      <c r="C1100" t="s">
        <v>2290</v>
      </c>
      <c r="D1100" t="s">
        <v>624</v>
      </c>
    </row>
    <row r="1101">
      <c r="A1101" t="s">
        <v>2776</v>
      </c>
      <c r="B1101" t="s">
        <v>1785</v>
      </c>
      <c r="C1101" t="s">
        <v>2281</v>
      </c>
      <c r="D1101" t="s">
        <v>602</v>
      </c>
    </row>
    <row r="1102">
      <c r="A1102" t="s">
        <v>2776</v>
      </c>
      <c r="B1102" t="s">
        <v>1785</v>
      </c>
      <c r="C1102" t="s">
        <v>2284</v>
      </c>
      <c r="D1102" t="s">
        <v>610</v>
      </c>
    </row>
    <row r="1103">
      <c r="A1103" t="s">
        <v>2776</v>
      </c>
      <c r="B1103" t="s">
        <v>1785</v>
      </c>
      <c r="C1103" t="s">
        <v>2199</v>
      </c>
      <c r="D1103" t="s">
        <v>410</v>
      </c>
    </row>
    <row r="1104">
      <c r="A1104" t="s">
        <v>2779</v>
      </c>
      <c r="B1104" t="s">
        <v>1792</v>
      </c>
      <c r="C1104" t="s">
        <v>2287</v>
      </c>
      <c r="D1104" t="s">
        <v>617</v>
      </c>
    </row>
    <row r="1105">
      <c r="A1105" t="s">
        <v>2779</v>
      </c>
      <c r="B1105" t="s">
        <v>1792</v>
      </c>
      <c r="C1105" t="s">
        <v>2290</v>
      </c>
      <c r="D1105" t="s">
        <v>624</v>
      </c>
    </row>
    <row r="1106">
      <c r="A1106" t="s">
        <v>2779</v>
      </c>
      <c r="B1106" t="s">
        <v>1792</v>
      </c>
      <c r="C1106" t="s">
        <v>2281</v>
      </c>
      <c r="D1106" t="s">
        <v>602</v>
      </c>
    </row>
    <row r="1107">
      <c r="A1107" t="s">
        <v>2779</v>
      </c>
      <c r="B1107" t="s">
        <v>1792</v>
      </c>
      <c r="C1107" t="s">
        <v>2284</v>
      </c>
      <c r="D1107" t="s">
        <v>610</v>
      </c>
    </row>
    <row r="1108">
      <c r="A1108" t="s">
        <v>2779</v>
      </c>
      <c r="B1108" t="s">
        <v>1792</v>
      </c>
      <c r="C1108" t="s">
        <v>2199</v>
      </c>
      <c r="D1108" t="s">
        <v>410</v>
      </c>
    </row>
    <row r="1109">
      <c r="A1109" t="s">
        <v>2782</v>
      </c>
      <c r="B1109" t="s">
        <v>1802</v>
      </c>
      <c r="C1109" t="s">
        <v>2287</v>
      </c>
      <c r="D1109" t="s">
        <v>617</v>
      </c>
    </row>
    <row r="1110">
      <c r="A1110" t="s">
        <v>2782</v>
      </c>
      <c r="B1110" t="s">
        <v>1802</v>
      </c>
      <c r="C1110" t="s">
        <v>2290</v>
      </c>
      <c r="D1110" t="s">
        <v>624</v>
      </c>
    </row>
    <row r="1111">
      <c r="A1111" t="s">
        <v>2782</v>
      </c>
      <c r="B1111" t="s">
        <v>1802</v>
      </c>
      <c r="C1111" t="s">
        <v>2281</v>
      </c>
      <c r="D1111" t="s">
        <v>602</v>
      </c>
    </row>
    <row r="1112">
      <c r="A1112" t="s">
        <v>2782</v>
      </c>
      <c r="B1112" t="s">
        <v>1802</v>
      </c>
      <c r="C1112" t="s">
        <v>2284</v>
      </c>
      <c r="D1112" t="s">
        <v>610</v>
      </c>
    </row>
    <row r="1113">
      <c r="A1113" t="s">
        <v>2782</v>
      </c>
      <c r="B1113" t="s">
        <v>1802</v>
      </c>
      <c r="C1113" t="s">
        <v>2199</v>
      </c>
      <c r="D1113" t="s">
        <v>410</v>
      </c>
    </row>
    <row r="1114">
      <c r="A1114" t="s">
        <v>2785</v>
      </c>
      <c r="B1114" t="s">
        <v>1810</v>
      </c>
      <c r="C1114" t="s">
        <v>2287</v>
      </c>
      <c r="D1114" t="s">
        <v>617</v>
      </c>
    </row>
    <row r="1115">
      <c r="A1115" t="s">
        <v>2785</v>
      </c>
      <c r="B1115" t="s">
        <v>1810</v>
      </c>
      <c r="C1115" t="s">
        <v>2290</v>
      </c>
      <c r="D1115" t="s">
        <v>624</v>
      </c>
    </row>
    <row r="1116">
      <c r="A1116" t="s">
        <v>2785</v>
      </c>
      <c r="B1116" t="s">
        <v>1810</v>
      </c>
      <c r="C1116" t="s">
        <v>2281</v>
      </c>
      <c r="D1116" t="s">
        <v>602</v>
      </c>
    </row>
    <row r="1117">
      <c r="A1117" t="s">
        <v>2785</v>
      </c>
      <c r="B1117" t="s">
        <v>1810</v>
      </c>
      <c r="C1117" t="s">
        <v>2284</v>
      </c>
      <c r="D1117" t="s">
        <v>610</v>
      </c>
    </row>
    <row r="1118">
      <c r="A1118" t="s">
        <v>2785</v>
      </c>
      <c r="B1118" t="s">
        <v>1810</v>
      </c>
      <c r="C1118" t="s">
        <v>2199</v>
      </c>
      <c r="D1118" t="s">
        <v>410</v>
      </c>
    </row>
    <row r="1119">
      <c r="A1119" t="s">
        <v>2788</v>
      </c>
      <c r="B1119" t="s">
        <v>1816</v>
      </c>
      <c r="C1119" t="s">
        <v>2287</v>
      </c>
      <c r="D1119" t="s">
        <v>617</v>
      </c>
    </row>
    <row r="1120">
      <c r="A1120" t="s">
        <v>2788</v>
      </c>
      <c r="B1120" t="s">
        <v>1816</v>
      </c>
      <c r="C1120" t="s">
        <v>2290</v>
      </c>
      <c r="D1120" t="s">
        <v>624</v>
      </c>
    </row>
    <row r="1121">
      <c r="A1121" t="s">
        <v>2788</v>
      </c>
      <c r="B1121" t="s">
        <v>1816</v>
      </c>
      <c r="C1121" t="s">
        <v>2281</v>
      </c>
      <c r="D1121" t="s">
        <v>602</v>
      </c>
    </row>
    <row r="1122">
      <c r="A1122" t="s">
        <v>2788</v>
      </c>
      <c r="B1122" t="s">
        <v>1816</v>
      </c>
      <c r="C1122" t="s">
        <v>2284</v>
      </c>
      <c r="D1122" t="s">
        <v>610</v>
      </c>
    </row>
    <row r="1123">
      <c r="A1123" t="s">
        <v>2788</v>
      </c>
      <c r="B1123" t="s">
        <v>1816</v>
      </c>
      <c r="C1123" t="s">
        <v>2199</v>
      </c>
      <c r="D1123" t="s">
        <v>410</v>
      </c>
    </row>
    <row r="1124">
      <c r="A1124" t="s">
        <v>2790</v>
      </c>
      <c r="B1124" t="s">
        <v>1822</v>
      </c>
      <c r="C1124" t="s">
        <v>2287</v>
      </c>
      <c r="D1124" t="s">
        <v>617</v>
      </c>
    </row>
    <row r="1125">
      <c r="A1125" t="s">
        <v>2790</v>
      </c>
      <c r="B1125" t="s">
        <v>1822</v>
      </c>
      <c r="C1125" t="s">
        <v>2290</v>
      </c>
      <c r="D1125" t="s">
        <v>624</v>
      </c>
    </row>
    <row r="1126">
      <c r="A1126" t="s">
        <v>2790</v>
      </c>
      <c r="B1126" t="s">
        <v>1822</v>
      </c>
      <c r="C1126" t="s">
        <v>2281</v>
      </c>
      <c r="D1126" t="s">
        <v>602</v>
      </c>
    </row>
    <row r="1127">
      <c r="A1127" t="s">
        <v>2790</v>
      </c>
      <c r="B1127" t="s">
        <v>1822</v>
      </c>
      <c r="C1127" t="s">
        <v>2284</v>
      </c>
      <c r="D1127" t="s">
        <v>610</v>
      </c>
    </row>
    <row r="1128">
      <c r="A1128" t="s">
        <v>2790</v>
      </c>
      <c r="B1128" t="s">
        <v>1822</v>
      </c>
      <c r="C1128" t="s">
        <v>2199</v>
      </c>
      <c r="D1128" t="s">
        <v>410</v>
      </c>
    </row>
    <row r="1129">
      <c r="A1129" t="s">
        <v>2793</v>
      </c>
      <c r="B1129" t="s">
        <v>1829</v>
      </c>
      <c r="C1129" t="s">
        <v>2287</v>
      </c>
      <c r="D1129" t="s">
        <v>617</v>
      </c>
    </row>
    <row r="1130">
      <c r="A1130" t="s">
        <v>2793</v>
      </c>
      <c r="B1130" t="s">
        <v>1829</v>
      </c>
      <c r="C1130" t="s">
        <v>2290</v>
      </c>
      <c r="D1130" t="s">
        <v>624</v>
      </c>
    </row>
    <row r="1131">
      <c r="A1131" t="s">
        <v>2793</v>
      </c>
      <c r="B1131" t="s">
        <v>1829</v>
      </c>
      <c r="C1131" t="s">
        <v>2281</v>
      </c>
      <c r="D1131" t="s">
        <v>602</v>
      </c>
    </row>
    <row r="1132">
      <c r="A1132" t="s">
        <v>2793</v>
      </c>
      <c r="B1132" t="s">
        <v>1829</v>
      </c>
      <c r="C1132" t="s">
        <v>2284</v>
      </c>
      <c r="D1132" t="s">
        <v>610</v>
      </c>
    </row>
    <row r="1133">
      <c r="A1133" t="s">
        <v>2793</v>
      </c>
      <c r="B1133" t="s">
        <v>1829</v>
      </c>
      <c r="C1133" t="s">
        <v>2199</v>
      </c>
      <c r="D1133" t="s">
        <v>410</v>
      </c>
    </row>
    <row r="1134">
      <c r="A1134" t="s">
        <v>2796</v>
      </c>
      <c r="B1134" t="s">
        <v>1836</v>
      </c>
      <c r="C1134" t="s">
        <v>2287</v>
      </c>
      <c r="D1134" t="s">
        <v>617</v>
      </c>
    </row>
    <row r="1135">
      <c r="A1135" t="s">
        <v>2796</v>
      </c>
      <c r="B1135" t="s">
        <v>1836</v>
      </c>
      <c r="C1135" t="s">
        <v>2290</v>
      </c>
      <c r="D1135" t="s">
        <v>624</v>
      </c>
    </row>
    <row r="1136">
      <c r="A1136" t="s">
        <v>2796</v>
      </c>
      <c r="B1136" t="s">
        <v>1836</v>
      </c>
      <c r="C1136" t="s">
        <v>2281</v>
      </c>
      <c r="D1136" t="s">
        <v>602</v>
      </c>
    </row>
    <row r="1137">
      <c r="A1137" t="s">
        <v>2796</v>
      </c>
      <c r="B1137" t="s">
        <v>1836</v>
      </c>
      <c r="C1137" t="s">
        <v>2284</v>
      </c>
      <c r="D1137" t="s">
        <v>610</v>
      </c>
    </row>
    <row r="1138">
      <c r="A1138" t="s">
        <v>2796</v>
      </c>
      <c r="B1138" t="s">
        <v>1836</v>
      </c>
      <c r="C1138" t="s">
        <v>2199</v>
      </c>
      <c r="D1138" t="s">
        <v>410</v>
      </c>
    </row>
    <row r="1139">
      <c r="A1139" t="s">
        <v>2799</v>
      </c>
      <c r="B1139" t="s">
        <v>1847</v>
      </c>
      <c r="C1139" t="s">
        <v>2287</v>
      </c>
      <c r="D1139" t="s">
        <v>617</v>
      </c>
    </row>
    <row r="1140">
      <c r="A1140" t="s">
        <v>2799</v>
      </c>
      <c r="B1140" t="s">
        <v>1847</v>
      </c>
      <c r="C1140" t="s">
        <v>2290</v>
      </c>
      <c r="D1140" t="s">
        <v>624</v>
      </c>
    </row>
    <row r="1141">
      <c r="A1141" t="s">
        <v>2799</v>
      </c>
      <c r="B1141" t="s">
        <v>1847</v>
      </c>
      <c r="C1141" t="s">
        <v>2281</v>
      </c>
      <c r="D1141" t="s">
        <v>602</v>
      </c>
    </row>
    <row r="1142">
      <c r="A1142" t="s">
        <v>2799</v>
      </c>
      <c r="B1142" t="s">
        <v>1847</v>
      </c>
      <c r="C1142" t="s">
        <v>2284</v>
      </c>
      <c r="D1142" t="s">
        <v>610</v>
      </c>
    </row>
    <row r="1143">
      <c r="A1143" t="s">
        <v>2799</v>
      </c>
      <c r="B1143" t="s">
        <v>1847</v>
      </c>
      <c r="C1143" t="s">
        <v>2199</v>
      </c>
      <c r="D1143" t="s">
        <v>410</v>
      </c>
    </row>
    <row r="1144">
      <c r="A1144" t="s">
        <v>2802</v>
      </c>
      <c r="B1144" t="s">
        <v>1855</v>
      </c>
      <c r="C1144" t="s">
        <v>2287</v>
      </c>
      <c r="D1144" t="s">
        <v>617</v>
      </c>
    </row>
    <row r="1145">
      <c r="A1145" t="s">
        <v>2802</v>
      </c>
      <c r="B1145" t="s">
        <v>1855</v>
      </c>
      <c r="C1145" t="s">
        <v>2290</v>
      </c>
      <c r="D1145" t="s">
        <v>624</v>
      </c>
    </row>
    <row r="1146">
      <c r="A1146" t="s">
        <v>2802</v>
      </c>
      <c r="B1146" t="s">
        <v>1855</v>
      </c>
      <c r="C1146" t="s">
        <v>2281</v>
      </c>
      <c r="D1146" t="s">
        <v>602</v>
      </c>
    </row>
    <row r="1147">
      <c r="A1147" t="s">
        <v>2802</v>
      </c>
      <c r="B1147" t="s">
        <v>1855</v>
      </c>
      <c r="C1147" t="s">
        <v>2284</v>
      </c>
      <c r="D1147" t="s">
        <v>610</v>
      </c>
    </row>
    <row r="1148">
      <c r="A1148" t="s">
        <v>2802</v>
      </c>
      <c r="B1148" t="s">
        <v>1855</v>
      </c>
      <c r="C1148" t="s">
        <v>2199</v>
      </c>
      <c r="D1148" t="s">
        <v>410</v>
      </c>
    </row>
    <row r="1149">
      <c r="A1149" t="s">
        <v>2804</v>
      </c>
      <c r="B1149" t="s">
        <v>1861</v>
      </c>
      <c r="C1149" t="s">
        <v>2287</v>
      </c>
      <c r="D1149" t="s">
        <v>617</v>
      </c>
    </row>
    <row r="1150">
      <c r="A1150" t="s">
        <v>2804</v>
      </c>
      <c r="B1150" t="s">
        <v>1861</v>
      </c>
      <c r="C1150" t="s">
        <v>2290</v>
      </c>
      <c r="D1150" t="s">
        <v>624</v>
      </c>
    </row>
    <row r="1151">
      <c r="A1151" t="s">
        <v>2804</v>
      </c>
      <c r="B1151" t="s">
        <v>1861</v>
      </c>
      <c r="C1151" t="s">
        <v>2281</v>
      </c>
      <c r="D1151" t="s">
        <v>602</v>
      </c>
    </row>
    <row r="1152">
      <c r="A1152" t="s">
        <v>2804</v>
      </c>
      <c r="B1152" t="s">
        <v>1861</v>
      </c>
      <c r="C1152" t="s">
        <v>2284</v>
      </c>
      <c r="D1152" t="s">
        <v>610</v>
      </c>
    </row>
    <row r="1153">
      <c r="A1153" t="s">
        <v>2804</v>
      </c>
      <c r="B1153" t="s">
        <v>1861</v>
      </c>
      <c r="C1153" t="s">
        <v>2199</v>
      </c>
      <c r="D1153" t="s">
        <v>410</v>
      </c>
    </row>
    <row r="1154">
      <c r="A1154" t="s">
        <v>2806</v>
      </c>
      <c r="B1154" t="s">
        <v>1868</v>
      </c>
      <c r="C1154" t="s">
        <v>2287</v>
      </c>
      <c r="D1154" t="s">
        <v>617</v>
      </c>
    </row>
    <row r="1155">
      <c r="A1155" t="s">
        <v>2806</v>
      </c>
      <c r="B1155" t="s">
        <v>1868</v>
      </c>
      <c r="C1155" t="s">
        <v>2290</v>
      </c>
      <c r="D1155" t="s">
        <v>624</v>
      </c>
    </row>
    <row r="1156">
      <c r="A1156" t="s">
        <v>2806</v>
      </c>
      <c r="B1156" t="s">
        <v>1868</v>
      </c>
      <c r="C1156" t="s">
        <v>2281</v>
      </c>
      <c r="D1156" t="s">
        <v>602</v>
      </c>
    </row>
    <row r="1157">
      <c r="A1157" t="s">
        <v>2806</v>
      </c>
      <c r="B1157" t="s">
        <v>1868</v>
      </c>
      <c r="C1157" t="s">
        <v>2284</v>
      </c>
      <c r="D1157" t="s">
        <v>610</v>
      </c>
    </row>
    <row r="1158">
      <c r="A1158" t="s">
        <v>2806</v>
      </c>
      <c r="B1158" t="s">
        <v>1868</v>
      </c>
      <c r="C1158" t="s">
        <v>2199</v>
      </c>
      <c r="D1158" t="s">
        <v>410</v>
      </c>
    </row>
    <row r="1159">
      <c r="A1159" t="s">
        <v>2809</v>
      </c>
      <c r="B1159" t="s">
        <v>1877</v>
      </c>
      <c r="C1159" t="s">
        <v>2287</v>
      </c>
      <c r="D1159" t="s">
        <v>617</v>
      </c>
    </row>
    <row r="1160">
      <c r="A1160" t="s">
        <v>2809</v>
      </c>
      <c r="B1160" t="s">
        <v>1877</v>
      </c>
      <c r="C1160" t="s">
        <v>2290</v>
      </c>
      <c r="D1160" t="s">
        <v>624</v>
      </c>
    </row>
    <row r="1161">
      <c r="A1161" t="s">
        <v>2809</v>
      </c>
      <c r="B1161" t="s">
        <v>1877</v>
      </c>
      <c r="C1161" t="s">
        <v>2281</v>
      </c>
      <c r="D1161" t="s">
        <v>602</v>
      </c>
    </row>
    <row r="1162">
      <c r="A1162" t="s">
        <v>2809</v>
      </c>
      <c r="B1162" t="s">
        <v>1877</v>
      </c>
      <c r="C1162" t="s">
        <v>2284</v>
      </c>
      <c r="D1162" t="s">
        <v>610</v>
      </c>
    </row>
    <row r="1163">
      <c r="A1163" t="s">
        <v>2809</v>
      </c>
      <c r="B1163" t="s">
        <v>1877</v>
      </c>
      <c r="C1163" t="s">
        <v>2199</v>
      </c>
      <c r="D1163" t="s">
        <v>410</v>
      </c>
    </row>
    <row r="1164">
      <c r="A1164" t="s">
        <v>2812</v>
      </c>
      <c r="B1164" t="s">
        <v>1885</v>
      </c>
      <c r="C1164" t="s">
        <v>2287</v>
      </c>
      <c r="D1164" t="s">
        <v>617</v>
      </c>
    </row>
    <row r="1165">
      <c r="A1165" t="s">
        <v>2812</v>
      </c>
      <c r="B1165" t="s">
        <v>1885</v>
      </c>
      <c r="C1165" t="s">
        <v>2290</v>
      </c>
      <c r="D1165" t="s">
        <v>624</v>
      </c>
    </row>
    <row r="1166">
      <c r="A1166" t="s">
        <v>2812</v>
      </c>
      <c r="B1166" t="s">
        <v>1885</v>
      </c>
      <c r="C1166" t="s">
        <v>2281</v>
      </c>
      <c r="D1166" t="s">
        <v>602</v>
      </c>
    </row>
    <row r="1167">
      <c r="A1167" t="s">
        <v>2812</v>
      </c>
      <c r="B1167" t="s">
        <v>1885</v>
      </c>
      <c r="C1167" t="s">
        <v>2284</v>
      </c>
      <c r="D1167" t="s">
        <v>610</v>
      </c>
    </row>
    <row r="1168">
      <c r="A1168" t="s">
        <v>2812</v>
      </c>
      <c r="B1168" t="s">
        <v>1885</v>
      </c>
      <c r="C1168" t="s">
        <v>2199</v>
      </c>
      <c r="D1168" t="s">
        <v>410</v>
      </c>
    </row>
    <row r="1169">
      <c r="A1169" t="s">
        <v>2814</v>
      </c>
      <c r="B1169" t="s">
        <v>1890</v>
      </c>
      <c r="C1169" t="s">
        <v>2287</v>
      </c>
      <c r="D1169" t="s">
        <v>617</v>
      </c>
    </row>
    <row r="1170">
      <c r="A1170" t="s">
        <v>2814</v>
      </c>
      <c r="B1170" t="s">
        <v>1890</v>
      </c>
      <c r="C1170" t="s">
        <v>2290</v>
      </c>
      <c r="D1170" t="s">
        <v>624</v>
      </c>
    </row>
    <row r="1171">
      <c r="A1171" t="s">
        <v>2814</v>
      </c>
      <c r="B1171" t="s">
        <v>1890</v>
      </c>
      <c r="C1171" t="s">
        <v>2281</v>
      </c>
      <c r="D1171" t="s">
        <v>602</v>
      </c>
    </row>
    <row r="1172">
      <c r="A1172" t="s">
        <v>2814</v>
      </c>
      <c r="B1172" t="s">
        <v>1890</v>
      </c>
      <c r="C1172" t="s">
        <v>2284</v>
      </c>
      <c r="D1172" t="s">
        <v>610</v>
      </c>
    </row>
    <row r="1173">
      <c r="A1173" t="s">
        <v>2814</v>
      </c>
      <c r="B1173" t="s">
        <v>1890</v>
      </c>
      <c r="C1173" t="s">
        <v>2199</v>
      </c>
      <c r="D1173" t="s">
        <v>410</v>
      </c>
    </row>
    <row r="1174">
      <c r="A1174" t="s">
        <v>2816</v>
      </c>
      <c r="B1174" t="s">
        <v>1897</v>
      </c>
      <c r="C1174" t="s">
        <v>2287</v>
      </c>
      <c r="D1174" t="s">
        <v>617</v>
      </c>
    </row>
    <row r="1175">
      <c r="A1175" t="s">
        <v>2816</v>
      </c>
      <c r="B1175" t="s">
        <v>1897</v>
      </c>
      <c r="C1175" t="s">
        <v>2290</v>
      </c>
      <c r="D1175" t="s">
        <v>624</v>
      </c>
    </row>
    <row r="1176">
      <c r="A1176" t="s">
        <v>2816</v>
      </c>
      <c r="B1176" t="s">
        <v>1897</v>
      </c>
      <c r="C1176" t="s">
        <v>2281</v>
      </c>
      <c r="D1176" t="s">
        <v>602</v>
      </c>
    </row>
    <row r="1177">
      <c r="A1177" t="s">
        <v>2816</v>
      </c>
      <c r="B1177" t="s">
        <v>1897</v>
      </c>
      <c r="C1177" t="s">
        <v>2284</v>
      </c>
      <c r="D1177" t="s">
        <v>610</v>
      </c>
    </row>
    <row r="1178">
      <c r="A1178" t="s">
        <v>2816</v>
      </c>
      <c r="B1178" t="s">
        <v>1897</v>
      </c>
      <c r="C1178" t="s">
        <v>2199</v>
      </c>
      <c r="D1178" t="s">
        <v>410</v>
      </c>
    </row>
    <row r="1179">
      <c r="A1179" t="s">
        <v>2819</v>
      </c>
      <c r="B1179" t="s">
        <v>1905</v>
      </c>
      <c r="C1179" t="s">
        <v>2287</v>
      </c>
      <c r="D1179" t="s">
        <v>617</v>
      </c>
    </row>
    <row r="1180">
      <c r="A1180" t="s">
        <v>2819</v>
      </c>
      <c r="B1180" t="s">
        <v>1905</v>
      </c>
      <c r="C1180" t="s">
        <v>2290</v>
      </c>
      <c r="D1180" t="s">
        <v>624</v>
      </c>
    </row>
    <row r="1181">
      <c r="A1181" t="s">
        <v>2819</v>
      </c>
      <c r="B1181" t="s">
        <v>1905</v>
      </c>
      <c r="C1181" t="s">
        <v>2281</v>
      </c>
      <c r="D1181" t="s">
        <v>602</v>
      </c>
    </row>
    <row r="1182">
      <c r="A1182" t="s">
        <v>2819</v>
      </c>
      <c r="B1182" t="s">
        <v>1905</v>
      </c>
      <c r="C1182" t="s">
        <v>2284</v>
      </c>
      <c r="D1182" t="s">
        <v>610</v>
      </c>
    </row>
    <row r="1183">
      <c r="A1183" t="s">
        <v>2819</v>
      </c>
      <c r="B1183" t="s">
        <v>1905</v>
      </c>
      <c r="C1183" t="s">
        <v>2199</v>
      </c>
      <c r="D1183" t="s">
        <v>410</v>
      </c>
    </row>
    <row r="1184">
      <c r="A1184" t="s">
        <v>2821</v>
      </c>
      <c r="B1184" t="s">
        <v>1916</v>
      </c>
      <c r="C1184" t="s">
        <v>2287</v>
      </c>
      <c r="D1184" t="s">
        <v>617</v>
      </c>
    </row>
    <row r="1185">
      <c r="A1185" t="s">
        <v>2821</v>
      </c>
      <c r="B1185" t="s">
        <v>1916</v>
      </c>
      <c r="C1185" t="s">
        <v>2290</v>
      </c>
      <c r="D1185" t="s">
        <v>624</v>
      </c>
    </row>
    <row r="1186">
      <c r="A1186" t="s">
        <v>2821</v>
      </c>
      <c r="B1186" t="s">
        <v>1916</v>
      </c>
      <c r="C1186" t="s">
        <v>2281</v>
      </c>
      <c r="D1186" t="s">
        <v>602</v>
      </c>
    </row>
    <row r="1187">
      <c r="A1187" t="s">
        <v>2821</v>
      </c>
      <c r="B1187" t="s">
        <v>1916</v>
      </c>
      <c r="C1187" t="s">
        <v>2284</v>
      </c>
      <c r="D1187" t="s">
        <v>610</v>
      </c>
    </row>
    <row r="1188">
      <c r="A1188" t="s">
        <v>2821</v>
      </c>
      <c r="B1188" t="s">
        <v>1916</v>
      </c>
      <c r="C1188" t="s">
        <v>2199</v>
      </c>
      <c r="D1188" t="s">
        <v>410</v>
      </c>
    </row>
    <row r="1189">
      <c r="A1189" t="s">
        <v>2823</v>
      </c>
      <c r="B1189" t="s">
        <v>1924</v>
      </c>
      <c r="C1189" t="s">
        <v>2287</v>
      </c>
      <c r="D1189" t="s">
        <v>617</v>
      </c>
    </row>
    <row r="1190">
      <c r="A1190" t="s">
        <v>2823</v>
      </c>
      <c r="B1190" t="s">
        <v>1924</v>
      </c>
      <c r="C1190" t="s">
        <v>2290</v>
      </c>
      <c r="D1190" t="s">
        <v>624</v>
      </c>
    </row>
    <row r="1191">
      <c r="A1191" t="s">
        <v>2823</v>
      </c>
      <c r="B1191" t="s">
        <v>1924</v>
      </c>
      <c r="C1191" t="s">
        <v>2281</v>
      </c>
      <c r="D1191" t="s">
        <v>602</v>
      </c>
    </row>
    <row r="1192">
      <c r="A1192" t="s">
        <v>2823</v>
      </c>
      <c r="B1192" t="s">
        <v>1924</v>
      </c>
      <c r="C1192" t="s">
        <v>2284</v>
      </c>
      <c r="D1192" t="s">
        <v>610</v>
      </c>
    </row>
    <row r="1193">
      <c r="A1193" t="s">
        <v>2823</v>
      </c>
      <c r="B1193" t="s">
        <v>1924</v>
      </c>
      <c r="C1193" t="s">
        <v>2199</v>
      </c>
      <c r="D1193" t="s">
        <v>410</v>
      </c>
    </row>
    <row r="1194">
      <c r="A1194" t="s">
        <v>2826</v>
      </c>
      <c r="B1194" t="s">
        <v>1932</v>
      </c>
      <c r="C1194" t="s">
        <v>2287</v>
      </c>
      <c r="D1194" t="s">
        <v>617</v>
      </c>
    </row>
    <row r="1195">
      <c r="A1195" t="s">
        <v>2826</v>
      </c>
      <c r="B1195" t="s">
        <v>1932</v>
      </c>
      <c r="C1195" t="s">
        <v>2290</v>
      </c>
      <c r="D1195" t="s">
        <v>624</v>
      </c>
    </row>
    <row r="1196">
      <c r="A1196" t="s">
        <v>2826</v>
      </c>
      <c r="B1196" t="s">
        <v>1932</v>
      </c>
      <c r="C1196" t="s">
        <v>2281</v>
      </c>
      <c r="D1196" t="s">
        <v>602</v>
      </c>
    </row>
    <row r="1197">
      <c r="A1197" t="s">
        <v>2826</v>
      </c>
      <c r="B1197" t="s">
        <v>1932</v>
      </c>
      <c r="C1197" t="s">
        <v>2284</v>
      </c>
      <c r="D1197" t="s">
        <v>610</v>
      </c>
    </row>
    <row r="1198">
      <c r="A1198" t="s">
        <v>2826</v>
      </c>
      <c r="B1198" t="s">
        <v>1932</v>
      </c>
      <c r="C1198" t="s">
        <v>2199</v>
      </c>
      <c r="D1198" t="s">
        <v>410</v>
      </c>
    </row>
    <row r="1199">
      <c r="A1199" t="s">
        <v>2830</v>
      </c>
      <c r="B1199" t="s">
        <v>1942</v>
      </c>
      <c r="C1199" t="s">
        <v>2287</v>
      </c>
      <c r="D1199" t="s">
        <v>617</v>
      </c>
    </row>
    <row r="1200">
      <c r="A1200" t="s">
        <v>2830</v>
      </c>
      <c r="B1200" t="s">
        <v>1942</v>
      </c>
      <c r="C1200" t="s">
        <v>2290</v>
      </c>
      <c r="D1200" t="s">
        <v>624</v>
      </c>
    </row>
    <row r="1201">
      <c r="A1201" t="s">
        <v>2830</v>
      </c>
      <c r="B1201" t="s">
        <v>1942</v>
      </c>
      <c r="C1201" t="s">
        <v>2281</v>
      </c>
      <c r="D1201" t="s">
        <v>602</v>
      </c>
    </row>
    <row r="1202">
      <c r="A1202" t="s">
        <v>2830</v>
      </c>
      <c r="B1202" t="s">
        <v>1942</v>
      </c>
      <c r="C1202" t="s">
        <v>2284</v>
      </c>
      <c r="D1202" t="s">
        <v>610</v>
      </c>
    </row>
    <row r="1203">
      <c r="A1203" t="s">
        <v>2830</v>
      </c>
      <c r="B1203" t="s">
        <v>1942</v>
      </c>
      <c r="C1203" t="s">
        <v>2199</v>
      </c>
      <c r="D1203" t="s">
        <v>410</v>
      </c>
    </row>
    <row r="1204">
      <c r="A1204" t="s">
        <v>2835</v>
      </c>
      <c r="B1204" t="s">
        <v>1949</v>
      </c>
      <c r="C1204" t="s">
        <v>2287</v>
      </c>
      <c r="D1204" t="s">
        <v>617</v>
      </c>
    </row>
    <row r="1205">
      <c r="A1205" t="s">
        <v>2835</v>
      </c>
      <c r="B1205" t="s">
        <v>1949</v>
      </c>
      <c r="C1205" t="s">
        <v>2290</v>
      </c>
      <c r="D1205" t="s">
        <v>624</v>
      </c>
    </row>
    <row r="1206">
      <c r="A1206" t="s">
        <v>2835</v>
      </c>
      <c r="B1206" t="s">
        <v>1949</v>
      </c>
      <c r="C1206" t="s">
        <v>2281</v>
      </c>
      <c r="D1206" t="s">
        <v>602</v>
      </c>
    </row>
    <row r="1207">
      <c r="A1207" t="s">
        <v>2835</v>
      </c>
      <c r="B1207" t="s">
        <v>1949</v>
      </c>
      <c r="C1207" t="s">
        <v>2284</v>
      </c>
      <c r="D1207" t="s">
        <v>610</v>
      </c>
    </row>
    <row r="1208">
      <c r="A1208" t="s">
        <v>2835</v>
      </c>
      <c r="B1208" t="s">
        <v>1949</v>
      </c>
      <c r="C1208" t="s">
        <v>2199</v>
      </c>
      <c r="D1208" t="s">
        <v>410</v>
      </c>
    </row>
    <row r="1209">
      <c r="A1209" t="s">
        <v>2837</v>
      </c>
      <c r="B1209" t="s">
        <v>1955</v>
      </c>
      <c r="C1209" t="s">
        <v>2287</v>
      </c>
      <c r="D1209" t="s">
        <v>617</v>
      </c>
    </row>
    <row r="1210">
      <c r="A1210" t="s">
        <v>2837</v>
      </c>
      <c r="B1210" t="s">
        <v>1955</v>
      </c>
      <c r="C1210" t="s">
        <v>2290</v>
      </c>
      <c r="D1210" t="s">
        <v>624</v>
      </c>
    </row>
    <row r="1211">
      <c r="A1211" t="s">
        <v>2837</v>
      </c>
      <c r="B1211" t="s">
        <v>1955</v>
      </c>
      <c r="C1211" t="s">
        <v>2281</v>
      </c>
      <c r="D1211" t="s">
        <v>602</v>
      </c>
    </row>
    <row r="1212">
      <c r="A1212" t="s">
        <v>2837</v>
      </c>
      <c r="B1212" t="s">
        <v>1955</v>
      </c>
      <c r="C1212" t="s">
        <v>2284</v>
      </c>
      <c r="D1212" t="s">
        <v>610</v>
      </c>
    </row>
    <row r="1213">
      <c r="A1213" t="s">
        <v>2837</v>
      </c>
      <c r="B1213" t="s">
        <v>1955</v>
      </c>
      <c r="C1213" t="s">
        <v>2199</v>
      </c>
      <c r="D1213" t="s">
        <v>410</v>
      </c>
    </row>
    <row r="1214">
      <c r="A1214" t="s">
        <v>3069</v>
      </c>
      <c r="B1214" t="s">
        <v>3072</v>
      </c>
      <c r="C1214" t="s">
        <v>2287</v>
      </c>
      <c r="D1214" t="s">
        <v>617</v>
      </c>
    </row>
    <row r="1215">
      <c r="A1215" t="s">
        <v>3069</v>
      </c>
      <c r="B1215" t="s">
        <v>3072</v>
      </c>
      <c r="C1215" t="s">
        <v>2290</v>
      </c>
      <c r="D1215" t="s">
        <v>624</v>
      </c>
    </row>
    <row r="1216">
      <c r="A1216" t="s">
        <v>3069</v>
      </c>
      <c r="B1216" t="s">
        <v>3072</v>
      </c>
      <c r="C1216" t="s">
        <v>2281</v>
      </c>
      <c r="D1216" t="s">
        <v>602</v>
      </c>
    </row>
    <row r="1217">
      <c r="A1217" t="s">
        <v>3069</v>
      </c>
      <c r="B1217" t="s">
        <v>3072</v>
      </c>
      <c r="C1217" t="s">
        <v>2284</v>
      </c>
      <c r="D1217" t="s">
        <v>610</v>
      </c>
    </row>
    <row r="1218">
      <c r="A1218" t="s">
        <v>3069</v>
      </c>
      <c r="B1218" t="s">
        <v>3072</v>
      </c>
      <c r="C1218" t="s">
        <v>2199</v>
      </c>
      <c r="D1218" t="s">
        <v>410</v>
      </c>
    </row>
    <row r="1219">
      <c r="A1219" t="s">
        <v>3086</v>
      </c>
      <c r="B1219" t="s">
        <v>3088</v>
      </c>
      <c r="C1219" t="s">
        <v>2287</v>
      </c>
      <c r="D1219" t="s">
        <v>617</v>
      </c>
    </row>
    <row r="1220">
      <c r="A1220" t="s">
        <v>3086</v>
      </c>
      <c r="B1220" t="s">
        <v>3088</v>
      </c>
      <c r="C1220" t="s">
        <v>2290</v>
      </c>
      <c r="D1220" t="s">
        <v>624</v>
      </c>
    </row>
    <row r="1221">
      <c r="A1221" t="s">
        <v>3086</v>
      </c>
      <c r="B1221" t="s">
        <v>3088</v>
      </c>
      <c r="C1221" t="s">
        <v>2281</v>
      </c>
      <c r="D1221" t="s">
        <v>602</v>
      </c>
    </row>
    <row r="1222">
      <c r="A1222" t="s">
        <v>3086</v>
      </c>
      <c r="B1222" t="s">
        <v>3088</v>
      </c>
      <c r="C1222" t="s">
        <v>2284</v>
      </c>
      <c r="D1222" t="s">
        <v>610</v>
      </c>
    </row>
    <row r="1223">
      <c r="A1223" t="s">
        <v>3086</v>
      </c>
      <c r="B1223" t="s">
        <v>3088</v>
      </c>
      <c r="C1223" t="s">
        <v>2199</v>
      </c>
      <c r="D1223" t="s">
        <v>410</v>
      </c>
    </row>
    <row r="1224">
      <c r="A1224" t="s">
        <v>3099</v>
      </c>
      <c r="B1224" t="s">
        <v>3101</v>
      </c>
      <c r="C1224" t="s">
        <v>2287</v>
      </c>
      <c r="D1224" t="s">
        <v>617</v>
      </c>
    </row>
    <row r="1225">
      <c r="A1225" t="s">
        <v>3099</v>
      </c>
      <c r="B1225" t="s">
        <v>3101</v>
      </c>
      <c r="C1225" t="s">
        <v>2290</v>
      </c>
      <c r="D1225" t="s">
        <v>624</v>
      </c>
    </row>
    <row r="1226">
      <c r="A1226" t="s">
        <v>3099</v>
      </c>
      <c r="B1226" t="s">
        <v>3101</v>
      </c>
      <c r="C1226" t="s">
        <v>2281</v>
      </c>
      <c r="D1226" t="s">
        <v>602</v>
      </c>
    </row>
    <row r="1227">
      <c r="A1227" t="s">
        <v>3099</v>
      </c>
      <c r="B1227" t="s">
        <v>3101</v>
      </c>
      <c r="C1227" t="s">
        <v>2284</v>
      </c>
      <c r="D1227" t="s">
        <v>610</v>
      </c>
    </row>
    <row r="1228">
      <c r="A1228" t="s">
        <v>3099</v>
      </c>
      <c r="B1228" t="s">
        <v>3101</v>
      </c>
      <c r="C1228" t="s">
        <v>2199</v>
      </c>
      <c r="D1228" t="s">
        <v>410</v>
      </c>
    </row>
    <row r="1250" ht="14">
      <c r="A1250" s="10" t="s">
        <v>3112</v>
      </c>
      <c r="B1250" s="10" t="s">
        <v>3115</v>
      </c>
      <c r="C1250" s="10" t="s">
        <v>2110</v>
      </c>
      <c r="D1250" s="10" t="s">
        <v>192</v>
      </c>
    </row>
    <row r="1251" ht="14">
      <c r="A1251" s="10" t="s">
        <v>3112</v>
      </c>
      <c r="B1251" s="10" t="s">
        <v>3115</v>
      </c>
      <c r="C1251" s="10" t="s">
        <v>2112</v>
      </c>
      <c r="D1251" s="10" t="s">
        <v>198</v>
      </c>
    </row>
    <row r="1252" ht="14">
      <c r="A1252" s="10" t="s">
        <v>3112</v>
      </c>
      <c r="B1252" s="10" t="s">
        <v>3115</v>
      </c>
      <c r="C1252" s="10" t="s">
        <v>2120</v>
      </c>
      <c r="D1252" s="10" t="s">
        <v>219</v>
      </c>
    </row>
    <row r="1253" ht="14">
      <c r="A1253" s="10" t="s">
        <v>3112</v>
      </c>
      <c r="B1253" s="10" t="s">
        <v>3115</v>
      </c>
      <c r="C1253" s="10" t="s">
        <v>2124</v>
      </c>
      <c r="D1253" s="10" t="s">
        <v>226</v>
      </c>
    </row>
    <row r="1254" ht="14">
      <c r="A1254" s="10" t="s">
        <v>3112</v>
      </c>
      <c r="B1254" s="10" t="s">
        <v>3115</v>
      </c>
      <c r="C1254" s="10" t="s">
        <v>2133</v>
      </c>
      <c r="D1254" s="10" t="s">
        <v>248</v>
      </c>
    </row>
    <row r="1255" ht="28">
      <c r="A1255" s="10" t="s">
        <v>3112</v>
      </c>
      <c r="B1255" s="10" t="s">
        <v>3115</v>
      </c>
      <c r="C1255" s="10" t="s">
        <v>2104</v>
      </c>
      <c r="D1255" s="10" t="s">
        <v>177</v>
      </c>
    </row>
    <row r="1256">
      <c r="A1256" t="s">
        <v>3124</v>
      </c>
      <c r="B1256" t="s">
        <v>3125</v>
      </c>
      <c r="C1256" t="s">
        <v>2110</v>
      </c>
      <c r="D1256" t="s">
        <v>192</v>
      </c>
    </row>
    <row r="1257">
      <c r="A1257" t="s">
        <v>3124</v>
      </c>
      <c r="B1257" t="s">
        <v>3125</v>
      </c>
      <c r="C1257" t="s">
        <v>2112</v>
      </c>
      <c r="D1257" t="s">
        <v>198</v>
      </c>
    </row>
    <row r="1258">
      <c r="A1258" t="s">
        <v>3124</v>
      </c>
      <c r="B1258" t="s">
        <v>3125</v>
      </c>
      <c r="C1258" t="s">
        <v>2124</v>
      </c>
      <c r="D1258" t="s">
        <v>226</v>
      </c>
    </row>
    <row r="1259">
      <c r="A1259" t="s">
        <v>3124</v>
      </c>
      <c r="B1259" t="s">
        <v>3125</v>
      </c>
      <c r="C1259" t="s">
        <v>2133</v>
      </c>
      <c r="D1259" t="s">
        <v>248</v>
      </c>
    </row>
    <row r="1260">
      <c r="A1260" t="s">
        <v>3124</v>
      </c>
      <c r="B1260" t="s">
        <v>3125</v>
      </c>
      <c r="C1260" t="s">
        <v>2156</v>
      </c>
      <c r="D1260" t="s">
        <v>306</v>
      </c>
    </row>
    <row r="1261">
      <c r="A1261" t="s">
        <v>3135</v>
      </c>
      <c r="B1261" t="s">
        <v>3138</v>
      </c>
      <c r="C1261" t="s">
        <v>2120</v>
      </c>
      <c r="D1261" t="s">
        <v>219</v>
      </c>
    </row>
    <row r="1262">
      <c r="A1262" t="s">
        <v>3135</v>
      </c>
      <c r="B1262" t="s">
        <v>3138</v>
      </c>
      <c r="C1262" t="s">
        <v>2124</v>
      </c>
      <c r="D1262" t="s">
        <v>226</v>
      </c>
    </row>
    <row r="1263">
      <c r="A1263" t="s">
        <v>3135</v>
      </c>
      <c r="B1263" t="s">
        <v>3138</v>
      </c>
      <c r="C1263" t="s">
        <v>2104</v>
      </c>
      <c r="D1263" t="s">
        <v>177</v>
      </c>
    </row>
    <row r="1264">
      <c r="A1264" t="s">
        <v>3135</v>
      </c>
      <c r="B1264" t="s">
        <v>3138</v>
      </c>
      <c r="C1264" t="s">
        <v>2133</v>
      </c>
      <c r="D1264" t="s">
        <v>248</v>
      </c>
    </row>
    <row r="1265">
      <c r="A1265" t="s">
        <v>3135</v>
      </c>
      <c r="B1265" t="s">
        <v>3138</v>
      </c>
      <c r="C1265" t="s">
        <v>3112</v>
      </c>
      <c r="D1265" t="s">
        <v>3115</v>
      </c>
    </row>
    <row r="1266">
      <c r="A1266" t="s">
        <v>3147</v>
      </c>
      <c r="B1266" t="s">
        <v>3148</v>
      </c>
      <c r="C1266" t="s">
        <v>2120</v>
      </c>
      <c r="D1266" t="s">
        <v>219</v>
      </c>
    </row>
    <row r="1267">
      <c r="A1267" t="s">
        <v>3147</v>
      </c>
      <c r="B1267" t="s">
        <v>3148</v>
      </c>
      <c r="C1267" t="s">
        <v>2124</v>
      </c>
      <c r="D1267" t="s">
        <v>226</v>
      </c>
    </row>
    <row r="1268">
      <c r="A1268" t="s">
        <v>3147</v>
      </c>
      <c r="B1268" t="s">
        <v>3148</v>
      </c>
      <c r="C1268" t="s">
        <v>2081</v>
      </c>
      <c r="D1268" t="s">
        <v>113</v>
      </c>
    </row>
    <row r="1269">
      <c r="A1269" t="s">
        <v>3147</v>
      </c>
      <c r="B1269" t="s">
        <v>3148</v>
      </c>
      <c r="C1269" t="s">
        <v>2170</v>
      </c>
      <c r="D1269" t="s">
        <v>343</v>
      </c>
    </row>
    <row r="1270">
      <c r="A1270" t="s">
        <v>3147</v>
      </c>
      <c r="B1270" t="s">
        <v>3148</v>
      </c>
      <c r="C1270" t="s">
        <v>2188</v>
      </c>
      <c r="D1270" t="s">
        <v>378</v>
      </c>
    </row>
    <row r="1271">
      <c r="A1271" t="s">
        <v>3147</v>
      </c>
      <c r="B1271" t="s">
        <v>3148</v>
      </c>
      <c r="C1271" t="s">
        <v>2133</v>
      </c>
      <c r="D1271" t="s">
        <v>248</v>
      </c>
    </row>
    <row r="1272">
      <c r="A1272" t="s">
        <v>3147</v>
      </c>
      <c r="B1272" t="s">
        <v>3148</v>
      </c>
      <c r="C1272" t="s">
        <v>2839</v>
      </c>
      <c r="D1272" t="s">
        <v>2843</v>
      </c>
    </row>
    <row r="1273">
      <c r="A1273" t="s">
        <v>3162</v>
      </c>
      <c r="B1273" t="s">
        <v>3164</v>
      </c>
      <c r="C1273" t="s">
        <v>2081</v>
      </c>
      <c r="D1273" t="s">
        <v>113</v>
      </c>
    </row>
    <row r="1274">
      <c r="A1274" t="s">
        <v>3162</v>
      </c>
      <c r="B1274" t="s">
        <v>3164</v>
      </c>
      <c r="C1274" t="s">
        <v>2124</v>
      </c>
      <c r="D1274" t="s">
        <v>226</v>
      </c>
    </row>
    <row r="1275">
      <c r="A1275" t="s">
        <v>3162</v>
      </c>
      <c r="B1275" t="s">
        <v>3164</v>
      </c>
      <c r="C1275" t="s">
        <v>2133</v>
      </c>
      <c r="D1275" t="s">
        <v>248</v>
      </c>
    </row>
    <row r="1276">
      <c r="A1276" t="s">
        <v>3162</v>
      </c>
      <c r="B1276" t="s">
        <v>3164</v>
      </c>
      <c r="C1276" t="s">
        <v>2140</v>
      </c>
      <c r="D1276" t="s">
        <v>263</v>
      </c>
    </row>
    <row r="1277">
      <c r="A1277" t="s">
        <v>3162</v>
      </c>
      <c r="B1277" t="s">
        <v>3164</v>
      </c>
      <c r="C1277" t="s">
        <v>2467</v>
      </c>
      <c r="D1277" t="s">
        <v>1029</v>
      </c>
    </row>
    <row r="1278">
      <c r="A1278" t="s">
        <v>3162</v>
      </c>
      <c r="B1278" t="s">
        <v>3164</v>
      </c>
      <c r="C1278" t="s">
        <v>2751</v>
      </c>
      <c r="D1278" t="s">
        <v>1726</v>
      </c>
    </row>
    <row r="1279">
      <c r="A1279" t="s">
        <v>3162</v>
      </c>
      <c r="B1279" t="s">
        <v>3164</v>
      </c>
      <c r="C1279" t="s">
        <v>2508</v>
      </c>
      <c r="D1279" t="s">
        <v>1131</v>
      </c>
    </row>
    <row r="1280">
      <c r="A1280" t="s">
        <v>3162</v>
      </c>
      <c r="B1280" t="s">
        <v>3164</v>
      </c>
      <c r="C1280" t="s">
        <v>2970</v>
      </c>
      <c r="D1280" t="s">
        <v>2971</v>
      </c>
    </row>
    <row r="1281">
      <c r="A1281" t="s">
        <v>3179</v>
      </c>
      <c r="B1281" t="s">
        <v>3183</v>
      </c>
      <c r="C1281" t="s">
        <v>2081</v>
      </c>
      <c r="D1281" t="s">
        <v>113</v>
      </c>
    </row>
    <row r="1282">
      <c r="A1282" t="s">
        <v>3179</v>
      </c>
      <c r="B1282" t="s">
        <v>3183</v>
      </c>
      <c r="C1282" t="s">
        <v>2196</v>
      </c>
      <c r="D1282" t="s">
        <v>400</v>
      </c>
    </row>
    <row r="1283">
      <c r="A1283" t="s">
        <v>3179</v>
      </c>
      <c r="B1283" t="s">
        <v>3183</v>
      </c>
      <c r="C1283" t="s">
        <v>2133</v>
      </c>
      <c r="D1283" t="s">
        <v>248</v>
      </c>
    </row>
    <row r="1284">
      <c r="A1284" t="s">
        <v>3179</v>
      </c>
      <c r="B1284" t="s">
        <v>3183</v>
      </c>
      <c r="C1284" t="s">
        <v>2857</v>
      </c>
      <c r="D1284" t="s">
        <v>2861</v>
      </c>
    </row>
    <row r="1285">
      <c r="A1285" t="s">
        <v>3179</v>
      </c>
      <c r="B1285" t="s">
        <v>3183</v>
      </c>
      <c r="C1285" t="s">
        <v>2871</v>
      </c>
      <c r="D1285" t="s">
        <v>2872</v>
      </c>
    </row>
    <row r="1286">
      <c r="A1286" t="s">
        <v>3200</v>
      </c>
      <c r="B1286" t="s">
        <v>3202</v>
      </c>
      <c r="C1286" t="s">
        <v>2081</v>
      </c>
      <c r="D1286" t="s">
        <v>113</v>
      </c>
    </row>
    <row r="1287">
      <c r="A1287" t="s">
        <v>3200</v>
      </c>
      <c r="B1287" t="s">
        <v>3202</v>
      </c>
      <c r="C1287" t="s">
        <v>2224</v>
      </c>
      <c r="D1287" t="s">
        <v>467</v>
      </c>
    </row>
    <row r="1288">
      <c r="A1288" t="s">
        <v>3200</v>
      </c>
      <c r="B1288" t="s">
        <v>3202</v>
      </c>
      <c r="C1288" t="s">
        <v>2124</v>
      </c>
      <c r="D1288" t="s">
        <v>226</v>
      </c>
    </row>
    <row r="1289">
      <c r="A1289" t="s">
        <v>3200</v>
      </c>
      <c r="B1289" t="s">
        <v>3202</v>
      </c>
      <c r="C1289" t="s">
        <v>2133</v>
      </c>
      <c r="D1289" t="s">
        <v>248</v>
      </c>
    </row>
    <row r="1290">
      <c r="A1290" t="s">
        <v>3200</v>
      </c>
      <c r="B1290" t="s">
        <v>3202</v>
      </c>
      <c r="C1290" t="s">
        <v>2140</v>
      </c>
      <c r="D1290" t="s">
        <v>263</v>
      </c>
    </row>
    <row r="1291">
      <c r="A1291" t="s">
        <v>3200</v>
      </c>
      <c r="B1291" t="s">
        <v>3202</v>
      </c>
      <c r="C1291" t="s">
        <v>2439</v>
      </c>
      <c r="D1291" t="s">
        <v>973</v>
      </c>
    </row>
    <row r="1292">
      <c r="A1292" t="s">
        <v>3200</v>
      </c>
      <c r="B1292" t="s">
        <v>3202</v>
      </c>
      <c r="C1292" t="s">
        <v>2751</v>
      </c>
      <c r="D1292" t="s">
        <v>1726</v>
      </c>
    </row>
    <row r="1293">
      <c r="A1293" t="s">
        <v>3216</v>
      </c>
      <c r="B1293" t="s">
        <v>3219</v>
      </c>
      <c r="C1293" t="s">
        <v>2110</v>
      </c>
      <c r="D1293" t="s">
        <v>192</v>
      </c>
    </row>
    <row r="1294">
      <c r="A1294" t="s">
        <v>3216</v>
      </c>
      <c r="B1294" t="s">
        <v>3219</v>
      </c>
      <c r="C1294" t="s">
        <v>2112</v>
      </c>
      <c r="D1294" t="s">
        <v>198</v>
      </c>
    </row>
    <row r="1295">
      <c r="A1295" t="s">
        <v>3216</v>
      </c>
      <c r="B1295" t="s">
        <v>3219</v>
      </c>
      <c r="C1295" t="s">
        <v>2124</v>
      </c>
      <c r="D1295" t="s">
        <v>226</v>
      </c>
    </row>
    <row r="1296">
      <c r="A1296" t="s">
        <v>3216</v>
      </c>
      <c r="B1296" t="s">
        <v>3219</v>
      </c>
      <c r="C1296" t="s">
        <v>2133</v>
      </c>
      <c r="D1296" t="s">
        <v>248</v>
      </c>
    </row>
    <row r="1297">
      <c r="A1297" t="s">
        <v>3216</v>
      </c>
      <c r="B1297" t="s">
        <v>3219</v>
      </c>
      <c r="C1297" t="s">
        <v>2281</v>
      </c>
      <c r="D1297" t="s">
        <v>602</v>
      </c>
    </row>
    <row r="1298">
      <c r="A1298" t="s">
        <v>3216</v>
      </c>
      <c r="B1298" t="s">
        <v>3219</v>
      </c>
      <c r="C1298" t="s">
        <v>2287</v>
      </c>
      <c r="D1298" t="s">
        <v>617</v>
      </c>
    </row>
    <row r="1299">
      <c r="A1299" t="s">
        <v>3234</v>
      </c>
      <c r="B1299" t="s">
        <v>3236</v>
      </c>
      <c r="C1299" t="s">
        <v>3216</v>
      </c>
      <c r="D1299" t="s">
        <v>3219</v>
      </c>
    </row>
    <row r="1300">
      <c r="A1300" t="s">
        <v>3234</v>
      </c>
      <c r="B1300" t="s">
        <v>3236</v>
      </c>
      <c r="C1300" t="s">
        <v>3280</v>
      </c>
      <c r="D1300" t="s">
        <v>3282</v>
      </c>
    </row>
    <row r="1301">
      <c r="A1301" t="s">
        <v>3234</v>
      </c>
      <c r="B1301" t="s">
        <v>3236</v>
      </c>
      <c r="C1301" t="s">
        <v>2133</v>
      </c>
      <c r="D1301" t="s">
        <v>248</v>
      </c>
    </row>
    <row r="1302">
      <c r="A1302" t="s">
        <v>3234</v>
      </c>
      <c r="B1302" t="s">
        <v>3236</v>
      </c>
      <c r="C1302" t="s">
        <v>2140</v>
      </c>
      <c r="D1302" t="s">
        <v>263</v>
      </c>
    </row>
    <row r="1303">
      <c r="A1303" t="s">
        <v>3234</v>
      </c>
      <c r="B1303" t="s">
        <v>3236</v>
      </c>
      <c r="C1303" t="s">
        <v>2284</v>
      </c>
      <c r="D1303" t="s">
        <v>610</v>
      </c>
    </row>
    <row r="1304">
      <c r="A1304" t="s">
        <v>3234</v>
      </c>
      <c r="B1304" t="s">
        <v>3236</v>
      </c>
      <c r="C1304" t="s">
        <v>2290</v>
      </c>
      <c r="D1304" t="s">
        <v>624</v>
      </c>
    </row>
    <row r="1305">
      <c r="A1305" t="s">
        <v>3234</v>
      </c>
      <c r="B1305" t="s">
        <v>3236</v>
      </c>
      <c r="C1305" t="s">
        <v>2196</v>
      </c>
      <c r="D1305" t="s">
        <v>400</v>
      </c>
    </row>
    <row r="1306">
      <c r="A1306" t="s">
        <v>3234</v>
      </c>
      <c r="B1306" t="s">
        <v>3236</v>
      </c>
      <c r="C1306" t="s">
        <v>2203</v>
      </c>
      <c r="D1306" t="s">
        <v>417</v>
      </c>
    </row>
    <row r="1307">
      <c r="A1307" t="s">
        <v>3248</v>
      </c>
      <c r="B1307" t="s">
        <v>3250</v>
      </c>
      <c r="C1307" t="s">
        <v>3216</v>
      </c>
      <c r="D1307" t="s">
        <v>3219</v>
      </c>
    </row>
    <row r="1308">
      <c r="A1308" t="s">
        <v>3248</v>
      </c>
      <c r="B1308" t="s">
        <v>3250</v>
      </c>
      <c r="C1308" t="s">
        <v>3280</v>
      </c>
      <c r="D1308" t="s">
        <v>3282</v>
      </c>
    </row>
    <row r="1309">
      <c r="A1309" t="s">
        <v>3248</v>
      </c>
      <c r="B1309" t="s">
        <v>3250</v>
      </c>
      <c r="C1309" t="s">
        <v>2170</v>
      </c>
      <c r="D1309" t="s">
        <v>343</v>
      </c>
    </row>
    <row r="1310">
      <c r="A1310" t="s">
        <v>3248</v>
      </c>
      <c r="B1310" t="s">
        <v>3250</v>
      </c>
      <c r="C1310" t="s">
        <v>2174</v>
      </c>
      <c r="D1310" t="s">
        <v>351</v>
      </c>
    </row>
    <row r="1311">
      <c r="A1311" t="s">
        <v>3248</v>
      </c>
      <c r="B1311" t="s">
        <v>3250</v>
      </c>
      <c r="C1311" t="s">
        <v>2107</v>
      </c>
      <c r="D1311" t="s">
        <v>184</v>
      </c>
    </row>
    <row r="1312">
      <c r="A1312" t="s">
        <v>3248</v>
      </c>
      <c r="B1312" t="s">
        <v>3250</v>
      </c>
      <c r="C1312" t="s">
        <v>2133</v>
      </c>
      <c r="D1312" t="s">
        <v>248</v>
      </c>
    </row>
    <row r="1313">
      <c r="A1313" t="s">
        <v>3248</v>
      </c>
      <c r="B1313" t="s">
        <v>3250</v>
      </c>
      <c r="C1313" t="s">
        <v>2196</v>
      </c>
      <c r="D1313" t="s">
        <v>400</v>
      </c>
    </row>
    <row r="1314">
      <c r="A1314" t="s">
        <v>3264</v>
      </c>
      <c r="B1314" t="s">
        <v>3266</v>
      </c>
      <c r="C1314" t="s">
        <v>3216</v>
      </c>
      <c r="D1314" t="s">
        <v>3219</v>
      </c>
    </row>
    <row r="1315">
      <c r="A1315" t="s">
        <v>3264</v>
      </c>
      <c r="B1315" t="s">
        <v>3266</v>
      </c>
      <c r="C1315" t="s">
        <v>3234</v>
      </c>
      <c r="D1315" t="s">
        <v>3236</v>
      </c>
    </row>
    <row r="1316">
      <c r="A1316" t="s">
        <v>3264</v>
      </c>
      <c r="B1316" t="s">
        <v>3266</v>
      </c>
      <c r="C1316" t="s">
        <v>3280</v>
      </c>
      <c r="D1316" t="s">
        <v>3282</v>
      </c>
    </row>
    <row r="1317">
      <c r="A1317" t="s">
        <v>3264</v>
      </c>
      <c r="B1317" t="s">
        <v>3266</v>
      </c>
      <c r="C1317" t="s">
        <v>3112</v>
      </c>
      <c r="D1317" t="s">
        <v>3115</v>
      </c>
    </row>
    <row r="1318">
      <c r="A1318" t="s">
        <v>3264</v>
      </c>
      <c r="B1318" t="s">
        <v>3266</v>
      </c>
      <c r="C1318" t="s">
        <v>3124</v>
      </c>
      <c r="D1318" t="s">
        <v>3125</v>
      </c>
    </row>
    <row r="1319">
      <c r="A1319" t="s">
        <v>3264</v>
      </c>
      <c r="B1319" t="s">
        <v>3266</v>
      </c>
      <c r="C1319" t="s">
        <v>3135</v>
      </c>
      <c r="D1319" t="s">
        <v>3138</v>
      </c>
    </row>
    <row r="1320">
      <c r="A1320" t="s">
        <v>3264</v>
      </c>
      <c r="B1320" t="s">
        <v>3266</v>
      </c>
      <c r="C1320" t="s">
        <v>2124</v>
      </c>
      <c r="D1320" t="s">
        <v>226</v>
      </c>
    </row>
    <row r="1321">
      <c r="A1321" t="s">
        <v>3264</v>
      </c>
      <c r="B1321" t="s">
        <v>3266</v>
      </c>
      <c r="C1321" t="s">
        <v>2133</v>
      </c>
      <c r="D1321" t="s">
        <v>248</v>
      </c>
    </row>
    <row r="1322">
      <c r="A1322" t="s">
        <v>3280</v>
      </c>
      <c r="B1322" t="s">
        <v>3282</v>
      </c>
      <c r="C1322" t="s">
        <v>3216</v>
      </c>
      <c r="D1322" t="s">
        <v>3219</v>
      </c>
    </row>
    <row r="1323">
      <c r="A1323" t="s">
        <v>3280</v>
      </c>
      <c r="B1323" t="s">
        <v>3282</v>
      </c>
      <c r="C1323" t="s">
        <v>2124</v>
      </c>
      <c r="D1323" t="s">
        <v>226</v>
      </c>
    </row>
    <row r="1324">
      <c r="A1324" t="s">
        <v>3280</v>
      </c>
      <c r="B1324" t="s">
        <v>3282</v>
      </c>
      <c r="C1324" t="s">
        <v>2133</v>
      </c>
      <c r="D1324" t="s">
        <v>248</v>
      </c>
    </row>
    <row r="1325">
      <c r="A1325" t="s">
        <v>3280</v>
      </c>
      <c r="B1325" t="s">
        <v>3282</v>
      </c>
      <c r="C1325" t="s">
        <v>2140</v>
      </c>
      <c r="D1325" t="s">
        <v>263</v>
      </c>
    </row>
    <row r="1326">
      <c r="A1326" t="s">
        <v>3280</v>
      </c>
      <c r="B1326" t="s">
        <v>3282</v>
      </c>
      <c r="C1326" t="s">
        <v>2146</v>
      </c>
      <c r="D1326" t="s">
        <v>279</v>
      </c>
    </row>
    <row r="1327">
      <c r="A1327" t="s">
        <v>3280</v>
      </c>
      <c r="B1327" t="s">
        <v>3282</v>
      </c>
      <c r="C1327" t="s">
        <v>2287</v>
      </c>
      <c r="D1327" t="s">
        <v>617</v>
      </c>
    </row>
    <row r="1328">
      <c r="A1328" t="s">
        <v>3280</v>
      </c>
      <c r="B1328" t="s">
        <v>3282</v>
      </c>
      <c r="C1328" t="s">
        <v>2290</v>
      </c>
      <c r="D1328" t="s">
        <v>624</v>
      </c>
    </row>
    <row r="1329">
      <c r="A1329" t="s">
        <v>3295</v>
      </c>
      <c r="B1329" t="s">
        <v>3298</v>
      </c>
      <c r="C1329" t="s">
        <v>3112</v>
      </c>
      <c r="D1329" t="s">
        <v>3115</v>
      </c>
    </row>
    <row r="1330">
      <c r="A1330" t="s">
        <v>3295</v>
      </c>
      <c r="B1330" t="s">
        <v>3298</v>
      </c>
      <c r="C1330" t="s">
        <v>3124</v>
      </c>
      <c r="D1330" t="s">
        <v>3125</v>
      </c>
    </row>
    <row r="1331">
      <c r="A1331" t="s">
        <v>3295</v>
      </c>
      <c r="B1331" t="s">
        <v>3298</v>
      </c>
      <c r="C1331" t="s">
        <v>2124</v>
      </c>
      <c r="D1331" t="s">
        <v>226</v>
      </c>
    </row>
    <row r="1332">
      <c r="A1332" t="s">
        <v>3308</v>
      </c>
      <c r="B1332" t="s">
        <v>3310</v>
      </c>
      <c r="C1332" t="s">
        <v>2839</v>
      </c>
      <c r="D1332" t="s">
        <v>2843</v>
      </c>
    </row>
    <row r="1333">
      <c r="A1333" t="s">
        <v>3308</v>
      </c>
      <c r="B1333" t="s">
        <v>3310</v>
      </c>
      <c r="C1333" t="s">
        <v>3147</v>
      </c>
      <c r="D1333" t="s">
        <v>3148</v>
      </c>
    </row>
    <row r="1334">
      <c r="A1334" t="s">
        <v>3308</v>
      </c>
      <c r="B1334" t="s">
        <v>3310</v>
      </c>
      <c r="C1334" t="s">
        <v>2124</v>
      </c>
      <c r="D1334" t="s">
        <v>226</v>
      </c>
    </row>
    <row r="1335">
      <c r="A1335" t="s">
        <v>3308</v>
      </c>
      <c r="B1335" t="s">
        <v>3310</v>
      </c>
      <c r="C1335" t="s">
        <v>2133</v>
      </c>
      <c r="D1335" t="s">
        <v>248</v>
      </c>
    </row>
    <row r="1336">
      <c r="A1336" t="s">
        <v>3319</v>
      </c>
      <c r="B1336" t="s">
        <v>3320</v>
      </c>
      <c r="C1336" t="s">
        <v>3147</v>
      </c>
      <c r="D1336" t="s">
        <v>3148</v>
      </c>
    </row>
    <row r="1337">
      <c r="A1337" t="s">
        <v>3319</v>
      </c>
      <c r="B1337" t="s">
        <v>3320</v>
      </c>
      <c r="C1337" t="s">
        <v>2839</v>
      </c>
      <c r="D1337" t="s">
        <v>2843</v>
      </c>
    </row>
    <row r="1338">
      <c r="A1338" t="s">
        <v>3319</v>
      </c>
      <c r="B1338" t="s">
        <v>3320</v>
      </c>
      <c r="C1338" t="s">
        <v>2133</v>
      </c>
      <c r="D1338" t="s">
        <v>248</v>
      </c>
    </row>
    <row r="1339">
      <c r="A1339" t="s">
        <v>3329</v>
      </c>
      <c r="B1339" t="s">
        <v>3332</v>
      </c>
      <c r="C1339" t="s">
        <v>3308</v>
      </c>
      <c r="D1339" t="s">
        <v>3310</v>
      </c>
    </row>
    <row r="1340">
      <c r="A1340" t="s">
        <v>3329</v>
      </c>
      <c r="B1340" t="s">
        <v>3332</v>
      </c>
      <c r="C1340" t="s">
        <v>2140</v>
      </c>
      <c r="D1340" t="s">
        <v>263</v>
      </c>
    </row>
    <row r="1341">
      <c r="A1341" t="s">
        <v>3329</v>
      </c>
      <c r="B1341" t="s">
        <v>3332</v>
      </c>
      <c r="C1341" t="s">
        <v>2156</v>
      </c>
      <c r="D1341" t="s">
        <v>2157</v>
      </c>
    </row>
    <row r="1342">
      <c r="A1342" t="s">
        <v>3344</v>
      </c>
      <c r="B1342" t="s">
        <v>3345</v>
      </c>
      <c r="C1342" t="s">
        <v>3329</v>
      </c>
      <c r="D1342" t="s">
        <v>3332</v>
      </c>
    </row>
    <row r="1343">
      <c r="A1343" t="s">
        <v>3344</v>
      </c>
      <c r="B1343" t="s">
        <v>3345</v>
      </c>
      <c r="C1343" t="s">
        <v>2140</v>
      </c>
      <c r="D1343" t="s">
        <v>263</v>
      </c>
    </row>
    <row r="1344">
      <c r="A1344" t="s">
        <v>3344</v>
      </c>
      <c r="B1344" t="s">
        <v>3345</v>
      </c>
      <c r="C1344" t="s">
        <v>2133</v>
      </c>
      <c r="D1344" t="s">
        <v>248</v>
      </c>
    </row>
    <row r="1345">
      <c r="A1345" t="s">
        <v>3356</v>
      </c>
      <c r="B1345" t="s">
        <v>3357</v>
      </c>
      <c r="C1345" t="s">
        <v>3344</v>
      </c>
      <c r="D1345" t="s">
        <v>3345</v>
      </c>
    </row>
    <row r="1346">
      <c r="A1346" t="s">
        <v>3356</v>
      </c>
      <c r="B1346" t="s">
        <v>3357</v>
      </c>
      <c r="C1346" t="s">
        <v>2156</v>
      </c>
      <c r="D1346" t="s">
        <v>2157</v>
      </c>
    </row>
    <row r="1347">
      <c r="A1347" t="s">
        <v>3356</v>
      </c>
      <c r="B1347" t="s">
        <v>3357</v>
      </c>
      <c r="C1347" t="s">
        <v>2140</v>
      </c>
      <c r="D1347" t="s">
        <v>263</v>
      </c>
    </row>
    <row r="1348">
      <c r="A1348" t="s">
        <v>3366</v>
      </c>
      <c r="B1348" t="s">
        <v>3367</v>
      </c>
      <c r="C1348" t="s">
        <v>3308</v>
      </c>
      <c r="D1348" t="s">
        <v>3310</v>
      </c>
    </row>
    <row r="1349">
      <c r="A1349" t="s">
        <v>3366</v>
      </c>
      <c r="B1349" t="s">
        <v>3367</v>
      </c>
      <c r="C1349" t="s">
        <v>3319</v>
      </c>
      <c r="D1349" t="s">
        <v>3320</v>
      </c>
    </row>
    <row r="1350">
      <c r="A1350" t="s">
        <v>3366</v>
      </c>
      <c r="B1350" t="s">
        <v>3367</v>
      </c>
      <c r="C1350" t="s">
        <v>2140</v>
      </c>
      <c r="D1350" t="s">
        <v>263</v>
      </c>
    </row>
    <row r="1351">
      <c r="A1351" t="s">
        <v>3366</v>
      </c>
      <c r="B1351" t="s">
        <v>3367</v>
      </c>
      <c r="C1351" t="s">
        <v>2156</v>
      </c>
      <c r="D1351" t="s">
        <v>2157</v>
      </c>
    </row>
    <row r="1352">
      <c r="A1352" t="s">
        <v>3379</v>
      </c>
      <c r="B1352" t="s">
        <v>3382</v>
      </c>
      <c r="C1352" t="s">
        <v>3308</v>
      </c>
      <c r="D1352" t="s">
        <v>3310</v>
      </c>
    </row>
    <row r="1353">
      <c r="A1353" t="s">
        <v>3379</v>
      </c>
      <c r="B1353" t="s">
        <v>3382</v>
      </c>
      <c r="C1353" t="s">
        <v>3319</v>
      </c>
      <c r="D1353" t="s">
        <v>3320</v>
      </c>
    </row>
    <row r="1354">
      <c r="A1354" t="s">
        <v>3379</v>
      </c>
      <c r="B1354" t="s">
        <v>3382</v>
      </c>
      <c r="C1354" t="s">
        <v>2140</v>
      </c>
      <c r="D1354" t="s">
        <v>263</v>
      </c>
    </row>
    <row r="1355">
      <c r="A1355" t="s">
        <v>3391</v>
      </c>
      <c r="B1355" t="s">
        <v>3392</v>
      </c>
      <c r="C1355" t="s">
        <v>3308</v>
      </c>
      <c r="D1355" t="s">
        <v>3310</v>
      </c>
    </row>
    <row r="1356">
      <c r="A1356" t="s">
        <v>3391</v>
      </c>
      <c r="B1356" t="s">
        <v>3392</v>
      </c>
      <c r="C1356" t="s">
        <v>3319</v>
      </c>
      <c r="D1356" t="s">
        <v>3320</v>
      </c>
    </row>
    <row r="1357">
      <c r="A1357" t="s">
        <v>3391</v>
      </c>
      <c r="B1357" t="s">
        <v>3392</v>
      </c>
      <c r="C1357" t="s">
        <v>2140</v>
      </c>
      <c r="D1357" t="s">
        <v>263</v>
      </c>
    </row>
    <row r="1358">
      <c r="A1358" t="s">
        <v>3391</v>
      </c>
      <c r="B1358" t="s">
        <v>3392</v>
      </c>
      <c r="C1358" t="s">
        <v>2167</v>
      </c>
      <c r="D1358" t="s">
        <v>332</v>
      </c>
    </row>
    <row r="1359">
      <c r="A1359" t="s">
        <v>3403</v>
      </c>
      <c r="B1359" t="s">
        <v>3406</v>
      </c>
      <c r="C1359" t="s">
        <v>3308</v>
      </c>
      <c r="D1359" t="s">
        <v>3310</v>
      </c>
    </row>
    <row r="1360">
      <c r="A1360" t="s">
        <v>3403</v>
      </c>
      <c r="B1360" t="s">
        <v>3406</v>
      </c>
      <c r="C1360" t="s">
        <v>3319</v>
      </c>
      <c r="D1360" t="s">
        <v>3320</v>
      </c>
    </row>
    <row r="1361">
      <c r="A1361" t="s">
        <v>3403</v>
      </c>
      <c r="B1361" t="s">
        <v>3406</v>
      </c>
      <c r="C1361" t="s">
        <v>2140</v>
      </c>
      <c r="D1361" t="s">
        <v>263</v>
      </c>
    </row>
    <row r="1362">
      <c r="A1362" t="s">
        <v>3403</v>
      </c>
      <c r="B1362" t="s">
        <v>3406</v>
      </c>
      <c r="C1362" t="s">
        <v>2260</v>
      </c>
      <c r="D1362" t="s">
        <v>548</v>
      </c>
    </row>
    <row r="1363">
      <c r="A1363" t="s">
        <v>3417</v>
      </c>
      <c r="B1363" t="s">
        <v>3418</v>
      </c>
      <c r="C1363" t="s">
        <v>3308</v>
      </c>
      <c r="D1363" t="s">
        <v>3310</v>
      </c>
    </row>
    <row r="1364">
      <c r="A1364" t="s">
        <v>3417</v>
      </c>
      <c r="B1364" t="s">
        <v>3418</v>
      </c>
      <c r="C1364" t="s">
        <v>3319</v>
      </c>
      <c r="D1364" t="s">
        <v>3320</v>
      </c>
    </row>
    <row r="1365">
      <c r="A1365" t="s">
        <v>3417</v>
      </c>
      <c r="B1365" t="s">
        <v>3418</v>
      </c>
      <c r="C1365" t="s">
        <v>2254</v>
      </c>
      <c r="D1365" t="s">
        <v>532</v>
      </c>
    </row>
    <row r="1366">
      <c r="A1366" t="s">
        <v>3417</v>
      </c>
      <c r="B1366" t="s">
        <v>3418</v>
      </c>
      <c r="C1366" t="s">
        <v>2224</v>
      </c>
      <c r="D1366" t="s">
        <v>467</v>
      </c>
    </row>
    <row r="1367">
      <c r="A1367" t="s">
        <v>3429</v>
      </c>
      <c r="B1367" t="s">
        <v>3430</v>
      </c>
      <c r="C1367" t="s">
        <v>3403</v>
      </c>
      <c r="D1367" t="s">
        <v>3406</v>
      </c>
    </row>
    <row r="1368">
      <c r="A1368" t="s">
        <v>3429</v>
      </c>
      <c r="B1368" t="s">
        <v>3430</v>
      </c>
      <c r="C1368" t="s">
        <v>3417</v>
      </c>
      <c r="D1368" t="s">
        <v>3418</v>
      </c>
    </row>
    <row r="1369">
      <c r="A1369" t="s">
        <v>3429</v>
      </c>
      <c r="B1369" t="s">
        <v>3430</v>
      </c>
      <c r="C1369" t="s">
        <v>2140</v>
      </c>
      <c r="D1369" t="s">
        <v>263</v>
      </c>
    </row>
    <row r="1370">
      <c r="A1370" t="s">
        <v>3440</v>
      </c>
      <c r="B1370" t="s">
        <v>3441</v>
      </c>
      <c r="C1370" t="s">
        <v>3429</v>
      </c>
      <c r="D1370" t="s">
        <v>3430</v>
      </c>
    </row>
    <row r="1371">
      <c r="A1371" t="s">
        <v>3440</v>
      </c>
      <c r="B1371" t="s">
        <v>3441</v>
      </c>
      <c r="C1371" t="s">
        <v>2156</v>
      </c>
      <c r="D1371" t="s">
        <v>2157</v>
      </c>
    </row>
    <row r="1372">
      <c r="A1372" t="s">
        <v>3440</v>
      </c>
      <c r="B1372" t="s">
        <v>3441</v>
      </c>
      <c r="C1372" t="s">
        <v>2164</v>
      </c>
      <c r="D1372" t="s">
        <v>322</v>
      </c>
    </row>
    <row r="1373">
      <c r="A1373" t="s">
        <v>3451</v>
      </c>
      <c r="B1373" t="s">
        <v>3452</v>
      </c>
      <c r="C1373" t="s">
        <v>3308</v>
      </c>
      <c r="D1373" t="s">
        <v>3310</v>
      </c>
    </row>
    <row r="1374">
      <c r="A1374" t="s">
        <v>3451</v>
      </c>
      <c r="B1374" t="s">
        <v>3452</v>
      </c>
      <c r="C1374" t="s">
        <v>3319</v>
      </c>
      <c r="D1374" t="s">
        <v>3320</v>
      </c>
    </row>
    <row r="1375">
      <c r="A1375" t="s">
        <v>3451</v>
      </c>
      <c r="B1375" t="s">
        <v>3452</v>
      </c>
      <c r="C1375" t="s">
        <v>2260</v>
      </c>
      <c r="D1375" t="s">
        <v>548</v>
      </c>
    </row>
    <row r="1376">
      <c r="A1376" t="s">
        <v>3451</v>
      </c>
      <c r="B1376" t="s">
        <v>3452</v>
      </c>
      <c r="C1376" t="s">
        <v>2266</v>
      </c>
      <c r="D1376" t="s">
        <v>561</v>
      </c>
    </row>
    <row r="1377">
      <c r="A1377" t="s">
        <v>3465</v>
      </c>
      <c r="B1377" t="s">
        <v>3466</v>
      </c>
      <c r="C1377" t="s">
        <v>3319</v>
      </c>
      <c r="D1377" t="s">
        <v>3320</v>
      </c>
    </row>
    <row r="1378">
      <c r="A1378" t="s">
        <v>3465</v>
      </c>
      <c r="B1378" t="s">
        <v>3466</v>
      </c>
      <c r="C1378" t="s">
        <v>3451</v>
      </c>
      <c r="D1378" t="s">
        <v>3452</v>
      </c>
    </row>
    <row r="1379">
      <c r="A1379" t="s">
        <v>3477</v>
      </c>
      <c r="B1379" t="s">
        <v>3480</v>
      </c>
      <c r="C1379" t="s">
        <v>2084</v>
      </c>
      <c r="D1379" t="s">
        <v>119</v>
      </c>
    </row>
    <row r="1380">
      <c r="A1380" t="s">
        <v>3477</v>
      </c>
      <c r="B1380" t="s">
        <v>3480</v>
      </c>
      <c r="C1380" t="s">
        <v>2260</v>
      </c>
      <c r="D1380" t="s">
        <v>548</v>
      </c>
    </row>
    <row r="1381">
      <c r="A1381" t="s">
        <v>3477</v>
      </c>
      <c r="B1381" t="s">
        <v>3480</v>
      </c>
      <c r="C1381" t="s">
        <v>2263</v>
      </c>
      <c r="D1381" t="s">
        <v>556</v>
      </c>
    </row>
    <row r="1382">
      <c r="A1382" t="s">
        <v>3477</v>
      </c>
      <c r="B1382" t="s">
        <v>3480</v>
      </c>
      <c r="C1382" t="s">
        <v>2266</v>
      </c>
      <c r="D1382" t="s">
        <v>561</v>
      </c>
    </row>
    <row r="1383">
      <c r="A1383" t="s">
        <v>3477</v>
      </c>
      <c r="B1383" t="s">
        <v>3480</v>
      </c>
      <c r="C1383" t="s">
        <v>2272</v>
      </c>
      <c r="D1383" t="s">
        <v>580</v>
      </c>
    </row>
    <row r="1384">
      <c r="A1384" t="s">
        <v>3477</v>
      </c>
      <c r="B1384" t="s">
        <v>3480</v>
      </c>
      <c r="C1384" t="s">
        <v>2275</v>
      </c>
      <c r="D1384" t="s">
        <v>587</v>
      </c>
    </row>
    <row r="1385">
      <c r="A1385" t="s">
        <v>3492</v>
      </c>
      <c r="B1385" t="s">
        <v>3493</v>
      </c>
      <c r="C1385" t="s">
        <v>2156</v>
      </c>
      <c r="D1385" t="s">
        <v>2157</v>
      </c>
    </row>
    <row r="1386">
      <c r="A1386" t="s">
        <v>3492</v>
      </c>
      <c r="B1386" t="s">
        <v>3493</v>
      </c>
      <c r="C1386" t="s">
        <v>2161</v>
      </c>
      <c r="D1386" t="s">
        <v>3896</v>
      </c>
    </row>
    <row r="1387">
      <c r="A1387" t="s">
        <v>3492</v>
      </c>
      <c r="B1387" t="s">
        <v>3493</v>
      </c>
      <c r="C1387" t="s">
        <v>2164</v>
      </c>
      <c r="D1387" t="s">
        <v>322</v>
      </c>
    </row>
    <row r="1388">
      <c r="A1388" t="s">
        <v>3492</v>
      </c>
      <c r="B1388" t="s">
        <v>3493</v>
      </c>
      <c r="C1388" t="s">
        <v>2167</v>
      </c>
      <c r="D1388" t="s">
        <v>332</v>
      </c>
    </row>
    <row r="1389">
      <c r="A1389" t="s">
        <v>3492</v>
      </c>
      <c r="B1389" t="s">
        <v>3493</v>
      </c>
      <c r="C1389" t="s">
        <v>2925</v>
      </c>
      <c r="D1389" t="s">
        <v>2929</v>
      </c>
    </row>
    <row r="1390">
      <c r="A1390" t="s">
        <v>3505</v>
      </c>
      <c r="B1390" t="s">
        <v>3506</v>
      </c>
      <c r="C1390" t="s">
        <v>2124</v>
      </c>
      <c r="D1390" t="s">
        <v>226</v>
      </c>
    </row>
    <row r="1391">
      <c r="A1391" t="s">
        <v>3505</v>
      </c>
      <c r="B1391" t="s">
        <v>3506</v>
      </c>
      <c r="C1391" t="s">
        <v>2127</v>
      </c>
      <c r="D1391" t="s">
        <v>231</v>
      </c>
    </row>
    <row r="1392">
      <c r="A1392" t="s">
        <v>3505</v>
      </c>
      <c r="B1392" t="s">
        <v>3506</v>
      </c>
      <c r="C1392" t="s">
        <v>2133</v>
      </c>
      <c r="D1392" t="s">
        <v>248</v>
      </c>
    </row>
    <row r="1393">
      <c r="A1393" t="s">
        <v>3505</v>
      </c>
      <c r="B1393" t="s">
        <v>3506</v>
      </c>
      <c r="C1393" t="s">
        <v>2140</v>
      </c>
      <c r="D1393" t="s">
        <v>263</v>
      </c>
    </row>
    <row r="1394">
      <c r="A1394" t="s">
        <v>3505</v>
      </c>
      <c r="B1394" t="s">
        <v>3506</v>
      </c>
      <c r="C1394" t="s">
        <v>2164</v>
      </c>
      <c r="D1394" t="s">
        <v>322</v>
      </c>
    </row>
    <row r="1395">
      <c r="A1395" t="s">
        <v>3516</v>
      </c>
      <c r="B1395" t="s">
        <v>3518</v>
      </c>
      <c r="C1395" t="s">
        <v>3042</v>
      </c>
      <c r="D1395" t="s">
        <v>3044</v>
      </c>
    </row>
    <row r="1396">
      <c r="A1396" t="s">
        <v>3516</v>
      </c>
      <c r="B1396" t="s">
        <v>3518</v>
      </c>
      <c r="C1396" t="s">
        <v>3308</v>
      </c>
      <c r="D1396" t="s">
        <v>3310</v>
      </c>
    </row>
    <row r="1397">
      <c r="A1397" t="s">
        <v>3516</v>
      </c>
      <c r="B1397" t="s">
        <v>3518</v>
      </c>
      <c r="C1397" t="s">
        <v>3505</v>
      </c>
      <c r="D1397" t="s">
        <v>3506</v>
      </c>
    </row>
    <row r="1398">
      <c r="A1398" t="s">
        <v>3530</v>
      </c>
      <c r="B1398" t="s">
        <v>3532</v>
      </c>
      <c r="C1398" t="s">
        <v>3025</v>
      </c>
      <c r="D1398" t="s">
        <v>3028</v>
      </c>
    </row>
    <row r="1399">
      <c r="A1399" t="s">
        <v>3530</v>
      </c>
      <c r="B1399" t="s">
        <v>3532</v>
      </c>
      <c r="C1399" t="s">
        <v>3055</v>
      </c>
      <c r="D1399" t="s">
        <v>3057</v>
      </c>
    </row>
    <row r="1400">
      <c r="A1400" t="s">
        <v>3530</v>
      </c>
      <c r="B1400" t="s">
        <v>3532</v>
      </c>
      <c r="C1400" t="s">
        <v>2839</v>
      </c>
      <c r="D1400" t="s">
        <v>2843</v>
      </c>
    </row>
    <row r="1401">
      <c r="A1401" t="s">
        <v>3530</v>
      </c>
      <c r="B1401" t="s">
        <v>3532</v>
      </c>
      <c r="C1401" t="s">
        <v>3505</v>
      </c>
      <c r="D1401" t="s">
        <v>3506</v>
      </c>
    </row>
    <row r="1402">
      <c r="A1402" t="s">
        <v>3544</v>
      </c>
      <c r="B1402" t="s">
        <v>3547</v>
      </c>
      <c r="C1402" t="s">
        <v>3505</v>
      </c>
      <c r="D1402" t="s">
        <v>3506</v>
      </c>
    </row>
    <row r="1403">
      <c r="A1403" t="s">
        <v>3544</v>
      </c>
      <c r="B1403" t="s">
        <v>3547</v>
      </c>
      <c r="C1403" t="s">
        <v>2156</v>
      </c>
      <c r="D1403" t="s">
        <v>2157</v>
      </c>
    </row>
    <row r="1404">
      <c r="A1404" t="s">
        <v>3544</v>
      </c>
      <c r="B1404" t="s">
        <v>3547</v>
      </c>
      <c r="C1404" t="s">
        <v>2167</v>
      </c>
      <c r="D1404" t="s">
        <v>332</v>
      </c>
    </row>
    <row r="1405">
      <c r="A1405" t="s">
        <v>3544</v>
      </c>
      <c r="B1405" t="s">
        <v>3547</v>
      </c>
      <c r="C1405" t="s">
        <v>2140</v>
      </c>
      <c r="D1405" t="s">
        <v>263</v>
      </c>
    </row>
    <row r="1406">
      <c r="A1406" t="s">
        <v>3560</v>
      </c>
      <c r="B1406" t="s">
        <v>3561</v>
      </c>
      <c r="C1406" t="s">
        <v>3477</v>
      </c>
      <c r="D1406" t="s">
        <v>3480</v>
      </c>
    </row>
    <row r="1407">
      <c r="A1407" t="s">
        <v>3560</v>
      </c>
      <c r="B1407" t="s">
        <v>3561</v>
      </c>
      <c r="C1407" t="s">
        <v>3492</v>
      </c>
      <c r="D1407" t="s">
        <v>3493</v>
      </c>
    </row>
    <row r="1408">
      <c r="A1408" t="s">
        <v>3560</v>
      </c>
      <c r="B1408" t="s">
        <v>3561</v>
      </c>
      <c r="C1408" t="s">
        <v>3505</v>
      </c>
      <c r="D1408" t="s">
        <v>3506</v>
      </c>
    </row>
    <row r="1409">
      <c r="A1409" t="s">
        <v>3573</v>
      </c>
      <c r="B1409" t="s">
        <v>3576</v>
      </c>
      <c r="C1409" t="s">
        <v>3295</v>
      </c>
      <c r="D1409" t="s">
        <v>3298</v>
      </c>
    </row>
    <row r="1410">
      <c r="A1410" t="s">
        <v>3573</v>
      </c>
      <c r="B1410" t="s">
        <v>3576</v>
      </c>
      <c r="C1410" t="s">
        <v>3308</v>
      </c>
      <c r="D1410" t="s">
        <v>3310</v>
      </c>
    </row>
    <row r="1411">
      <c r="A1411" t="s">
        <v>3573</v>
      </c>
      <c r="B1411" t="s">
        <v>3576</v>
      </c>
      <c r="C1411" t="s">
        <v>2140</v>
      </c>
      <c r="D1411" t="s">
        <v>263</v>
      </c>
    </row>
    <row r="1412">
      <c r="A1412" t="s">
        <v>3573</v>
      </c>
      <c r="B1412" t="s">
        <v>3576</v>
      </c>
      <c r="C1412" t="s">
        <v>2124</v>
      </c>
      <c r="D1412" t="s">
        <v>226</v>
      </c>
    </row>
    <row r="1413">
      <c r="A1413" t="s">
        <v>3587</v>
      </c>
      <c r="B1413" t="s">
        <v>3588</v>
      </c>
      <c r="C1413" t="s">
        <v>3403</v>
      </c>
      <c r="D1413" t="s">
        <v>3406</v>
      </c>
    </row>
    <row r="1414">
      <c r="A1414" t="s">
        <v>3587</v>
      </c>
      <c r="B1414" t="s">
        <v>3588</v>
      </c>
      <c r="C1414" t="s">
        <v>3417</v>
      </c>
      <c r="D1414" t="s">
        <v>3418</v>
      </c>
    </row>
    <row r="1415">
      <c r="A1415" t="s">
        <v>3587</v>
      </c>
      <c r="B1415" t="s">
        <v>3588</v>
      </c>
      <c r="C1415" t="s">
        <v>3451</v>
      </c>
      <c r="D1415" t="s">
        <v>3452</v>
      </c>
    </row>
    <row r="1416">
      <c r="A1416" t="s">
        <v>3587</v>
      </c>
      <c r="B1416" t="s">
        <v>3588</v>
      </c>
      <c r="C1416" t="s">
        <v>3505</v>
      </c>
      <c r="D1416" t="s">
        <v>3506</v>
      </c>
    </row>
    <row r="1417">
      <c r="A1417" t="s">
        <v>3598</v>
      </c>
      <c r="B1417" t="s">
        <v>3602</v>
      </c>
      <c r="C1417" t="s">
        <v>3897</v>
      </c>
      <c r="D1417" t="s">
        <v>3897</v>
      </c>
    </row>
    <row r="1418">
      <c r="A1418" t="s">
        <v>3598</v>
      </c>
      <c r="B1418" t="s">
        <v>3602</v>
      </c>
      <c r="C1418" t="s">
        <v>3898</v>
      </c>
      <c r="D1418" t="s">
        <v>3898</v>
      </c>
    </row>
    <row r="1419">
      <c r="A1419" t="s">
        <v>3598</v>
      </c>
      <c r="B1419" t="s">
        <v>3602</v>
      </c>
      <c r="C1419" t="s">
        <v>3899</v>
      </c>
      <c r="D1419" t="s">
        <v>3899</v>
      </c>
    </row>
    <row r="1420">
      <c r="A1420" t="s">
        <v>3619</v>
      </c>
      <c r="B1420" t="s">
        <v>3620</v>
      </c>
      <c r="C1420" t="s">
        <v>3308</v>
      </c>
      <c r="D1420" t="s">
        <v>3308</v>
      </c>
    </row>
    <row r="1421">
      <c r="A1421" t="s">
        <v>3619</v>
      </c>
      <c r="B1421" t="s">
        <v>3620</v>
      </c>
      <c r="C1421" t="s">
        <v>3147</v>
      </c>
      <c r="D1421" t="s">
        <v>3147</v>
      </c>
    </row>
    <row r="1422">
      <c r="A1422" t="s">
        <v>3619</v>
      </c>
      <c r="B1422" t="s">
        <v>3620</v>
      </c>
      <c r="C1422" t="s">
        <v>3900</v>
      </c>
      <c r="D1422" t="s">
        <v>3900</v>
      </c>
    </row>
    <row r="1423">
      <c r="A1423" t="s">
        <v>3626</v>
      </c>
      <c r="B1423" t="s">
        <v>3627</v>
      </c>
      <c r="C1423" t="s">
        <v>3633</v>
      </c>
      <c r="D1423" t="s">
        <v>3633</v>
      </c>
    </row>
    <row r="1424">
      <c r="A1424" t="s">
        <v>3626</v>
      </c>
      <c r="B1424" t="s">
        <v>3627</v>
      </c>
      <c r="C1424" t="s">
        <v>3898</v>
      </c>
      <c r="D1424" t="s">
        <v>3898</v>
      </c>
    </row>
    <row r="1425">
      <c r="A1425" t="s">
        <v>3633</v>
      </c>
      <c r="B1425" t="s">
        <v>3634</v>
      </c>
      <c r="C1425" t="s">
        <v>2124</v>
      </c>
      <c r="D1425" t="s">
        <v>2124</v>
      </c>
    </row>
    <row r="1426">
      <c r="A1426" t="s">
        <v>3633</v>
      </c>
      <c r="B1426" t="s">
        <v>3634</v>
      </c>
      <c r="C1426" t="s">
        <v>2133</v>
      </c>
      <c r="D1426" t="s">
        <v>2133</v>
      </c>
    </row>
    <row r="1427">
      <c r="A1427" t="s">
        <v>3633</v>
      </c>
      <c r="B1427" t="s">
        <v>3634</v>
      </c>
      <c r="C1427" t="s">
        <v>3147</v>
      </c>
      <c r="D1427" t="s">
        <v>3147</v>
      </c>
    </row>
    <row r="1428">
      <c r="A1428" t="s">
        <v>3640</v>
      </c>
      <c r="B1428" t="s">
        <v>3641</v>
      </c>
      <c r="C1428" t="s">
        <v>3898</v>
      </c>
      <c r="D1428" t="s">
        <v>3898</v>
      </c>
    </row>
    <row r="1429">
      <c r="A1429" t="s">
        <v>3640</v>
      </c>
      <c r="B1429" t="s">
        <v>3641</v>
      </c>
      <c r="C1429" t="s">
        <v>3901</v>
      </c>
      <c r="D1429" t="s">
        <v>3901</v>
      </c>
    </row>
    <row r="1430">
      <c r="A1430" t="s">
        <v>3640</v>
      </c>
      <c r="B1430" t="s">
        <v>3641</v>
      </c>
      <c r="C1430" t="s">
        <v>3902</v>
      </c>
      <c r="D1430" t="s">
        <v>3902</v>
      </c>
    </row>
    <row r="1431">
      <c r="A1431" t="s">
        <v>3647</v>
      </c>
      <c r="B1431" t="s">
        <v>3648</v>
      </c>
      <c r="C1431" t="s">
        <v>3903</v>
      </c>
      <c r="D1431" t="s">
        <v>3903</v>
      </c>
    </row>
    <row r="1432">
      <c r="A1432" t="s">
        <v>3647</v>
      </c>
      <c r="B1432" t="s">
        <v>3648</v>
      </c>
      <c r="C1432" t="s">
        <v>3901</v>
      </c>
      <c r="D1432" t="s">
        <v>3901</v>
      </c>
    </row>
    <row r="1433">
      <c r="A1433" t="s">
        <v>3647</v>
      </c>
      <c r="B1433" t="s">
        <v>3648</v>
      </c>
      <c r="C1433" t="s">
        <v>3904</v>
      </c>
      <c r="D1433" t="s">
        <v>3904</v>
      </c>
    </row>
    <row r="1434">
      <c r="A1434" t="s">
        <v>3654</v>
      </c>
      <c r="B1434" t="s">
        <v>3657</v>
      </c>
      <c r="C1434" t="s">
        <v>3391</v>
      </c>
      <c r="D1434" t="s">
        <v>3391</v>
      </c>
    </row>
    <row r="1435">
      <c r="A1435" t="s">
        <v>3654</v>
      </c>
      <c r="B1435" t="s">
        <v>3657</v>
      </c>
      <c r="C1435" t="s">
        <v>3492</v>
      </c>
      <c r="D1435" t="s">
        <v>3492</v>
      </c>
    </row>
    <row r="1436">
      <c r="A1436" t="s">
        <v>3654</v>
      </c>
      <c r="B1436" t="s">
        <v>3657</v>
      </c>
      <c r="C1436" t="s">
        <v>3505</v>
      </c>
      <c r="D1436" t="s">
        <v>3505</v>
      </c>
    </row>
    <row r="1437">
      <c r="A1437" t="s">
        <v>3664</v>
      </c>
      <c r="B1437" t="s">
        <v>3665</v>
      </c>
      <c r="C1437" t="s">
        <v>3654</v>
      </c>
      <c r="D1437" t="s">
        <v>3654</v>
      </c>
    </row>
    <row r="1438">
      <c r="A1438" t="s">
        <v>3664</v>
      </c>
      <c r="B1438" t="s">
        <v>3665</v>
      </c>
      <c r="C1438" t="s">
        <v>3903</v>
      </c>
      <c r="D1438" t="s">
        <v>3903</v>
      </c>
    </row>
    <row r="1439">
      <c r="A1439" t="s">
        <v>3664</v>
      </c>
      <c r="B1439" t="s">
        <v>3665</v>
      </c>
      <c r="C1439" t="s">
        <v>3902</v>
      </c>
      <c r="D1439" t="s">
        <v>3902</v>
      </c>
    </row>
    <row r="1440">
      <c r="A1440" t="s">
        <v>3671</v>
      </c>
      <c r="B1440" t="s">
        <v>3672</v>
      </c>
      <c r="C1440" t="s">
        <v>3654</v>
      </c>
      <c r="D1440" t="s">
        <v>3654</v>
      </c>
    </row>
    <row r="1441">
      <c r="A1441" t="s">
        <v>3671</v>
      </c>
      <c r="B1441" t="s">
        <v>3672</v>
      </c>
      <c r="C1441" t="s">
        <v>3678</v>
      </c>
      <c r="D1441" t="s">
        <v>3678</v>
      </c>
    </row>
    <row r="1442">
      <c r="A1442" t="s">
        <v>3678</v>
      </c>
      <c r="B1442" t="s">
        <v>3679</v>
      </c>
      <c r="C1442" t="s">
        <v>3904</v>
      </c>
      <c r="D1442" t="s">
        <v>3904</v>
      </c>
    </row>
    <row r="1443">
      <c r="A1443" t="s">
        <v>3678</v>
      </c>
      <c r="B1443" t="s">
        <v>3679</v>
      </c>
      <c r="C1443" t="s">
        <v>3903</v>
      </c>
      <c r="D1443" t="s">
        <v>3903</v>
      </c>
    </row>
    <row r="1444">
      <c r="A1444" t="s">
        <v>3678</v>
      </c>
      <c r="B1444" t="s">
        <v>3679</v>
      </c>
      <c r="C1444" t="s">
        <v>3901</v>
      </c>
      <c r="D1444" t="s">
        <v>3901</v>
      </c>
    </row>
    <row r="1445">
      <c r="A1445" t="s">
        <v>3685</v>
      </c>
      <c r="B1445" t="s">
        <v>3686</v>
      </c>
      <c r="C1445" t="s">
        <v>3619</v>
      </c>
      <c r="D1445" t="s">
        <v>3619</v>
      </c>
    </row>
    <row r="1446">
      <c r="A1446" t="s">
        <v>3685</v>
      </c>
      <c r="B1446" t="s">
        <v>3686</v>
      </c>
      <c r="C1446" t="s">
        <v>3654</v>
      </c>
      <c r="D1446" t="s">
        <v>3654</v>
      </c>
    </row>
    <row r="1447">
      <c r="A1447" t="s">
        <v>3685</v>
      </c>
      <c r="B1447" t="s">
        <v>3686</v>
      </c>
      <c r="C1447" t="s">
        <v>3647</v>
      </c>
      <c r="D1447" t="s">
        <v>3647</v>
      </c>
    </row>
    <row r="1448">
      <c r="A1448" t="s">
        <v>3692</v>
      </c>
      <c r="B1448" t="s">
        <v>3693</v>
      </c>
      <c r="C1448" t="s">
        <v>3654</v>
      </c>
      <c r="D1448" t="s">
        <v>3654</v>
      </c>
    </row>
    <row r="1449">
      <c r="A1449" t="s">
        <v>3692</v>
      </c>
      <c r="B1449" t="s">
        <v>3693</v>
      </c>
      <c r="C1449" t="s">
        <v>3685</v>
      </c>
      <c r="D1449" t="s">
        <v>3685</v>
      </c>
    </row>
    <row r="1450">
      <c r="A1450" t="s">
        <v>3692</v>
      </c>
      <c r="B1450" t="s">
        <v>3693</v>
      </c>
      <c r="C1450" t="s">
        <v>3706</v>
      </c>
      <c r="D1450" t="s">
        <v>3706</v>
      </c>
    </row>
    <row r="1451">
      <c r="A1451" t="s">
        <v>3699</v>
      </c>
      <c r="B1451" t="s">
        <v>3700</v>
      </c>
      <c r="C1451" t="s">
        <v>3692</v>
      </c>
      <c r="D1451" t="s">
        <v>3692</v>
      </c>
    </row>
    <row r="1452">
      <c r="A1452" t="s">
        <v>3699</v>
      </c>
      <c r="B1452" t="s">
        <v>3700</v>
      </c>
      <c r="C1452" t="s">
        <v>3905</v>
      </c>
      <c r="D1452" t="s">
        <v>3905</v>
      </c>
    </row>
    <row r="1453">
      <c r="A1453" t="s">
        <v>3706</v>
      </c>
      <c r="B1453" t="s">
        <v>3707</v>
      </c>
      <c r="C1453" t="s">
        <v>3647</v>
      </c>
      <c r="D1453" t="s">
        <v>3647</v>
      </c>
    </row>
    <row r="1454">
      <c r="A1454" t="s">
        <v>3706</v>
      </c>
      <c r="B1454" t="s">
        <v>3707</v>
      </c>
      <c r="C1454" t="s">
        <v>3904</v>
      </c>
      <c r="D1454" t="s">
        <v>3904</v>
      </c>
    </row>
    <row r="1455">
      <c r="A1455" t="s">
        <v>3706</v>
      </c>
      <c r="B1455" t="s">
        <v>3707</v>
      </c>
      <c r="C1455" t="s">
        <v>3901</v>
      </c>
      <c r="D1455" t="s">
        <v>3901</v>
      </c>
    </row>
    <row r="1456">
      <c r="A1456" t="s">
        <v>3713</v>
      </c>
      <c r="B1456" t="s">
        <v>3714</v>
      </c>
      <c r="C1456" t="s">
        <v>3403</v>
      </c>
      <c r="D1456" t="s">
        <v>3403</v>
      </c>
    </row>
    <row r="1457">
      <c r="A1457" t="s">
        <v>3713</v>
      </c>
      <c r="B1457" t="s">
        <v>3714</v>
      </c>
      <c r="C1457" t="s">
        <v>3417</v>
      </c>
      <c r="D1457" t="s">
        <v>3417</v>
      </c>
    </row>
    <row r="1458">
      <c r="A1458" t="s">
        <v>3713</v>
      </c>
      <c r="B1458" t="s">
        <v>3714</v>
      </c>
      <c r="C1458" t="s">
        <v>3654</v>
      </c>
      <c r="D1458" t="s">
        <v>3654</v>
      </c>
    </row>
    <row r="1459">
      <c r="A1459" t="s">
        <v>3720</v>
      </c>
      <c r="B1459" t="s">
        <v>3721</v>
      </c>
      <c r="C1459" t="s">
        <v>3403</v>
      </c>
      <c r="D1459" t="s">
        <v>3403</v>
      </c>
    </row>
    <row r="1460">
      <c r="A1460" t="s">
        <v>3720</v>
      </c>
      <c r="B1460" t="s">
        <v>3721</v>
      </c>
      <c r="C1460" t="s">
        <v>3417</v>
      </c>
      <c r="D1460" t="s">
        <v>3417</v>
      </c>
    </row>
    <row r="1461">
      <c r="A1461" t="s">
        <v>3720</v>
      </c>
      <c r="B1461" t="s">
        <v>3721</v>
      </c>
      <c r="C1461" t="s">
        <v>3619</v>
      </c>
      <c r="D1461" t="s">
        <v>3619</v>
      </c>
    </row>
    <row r="1462">
      <c r="A1462" t="s">
        <v>3727</v>
      </c>
      <c r="B1462" t="s">
        <v>3730</v>
      </c>
      <c r="C1462" t="s">
        <v>3619</v>
      </c>
      <c r="D1462" t="s">
        <v>3619</v>
      </c>
    </row>
    <row r="1463">
      <c r="A1463" t="s">
        <v>3727</v>
      </c>
      <c r="B1463" t="s">
        <v>3730</v>
      </c>
      <c r="C1463" t="s">
        <v>3713</v>
      </c>
      <c r="D1463" t="s">
        <v>3713</v>
      </c>
    </row>
    <row r="1464">
      <c r="A1464" t="s">
        <v>3727</v>
      </c>
      <c r="B1464" t="s">
        <v>3730</v>
      </c>
      <c r="C1464" t="s">
        <v>3720</v>
      </c>
      <c r="D1464" t="s">
        <v>3720</v>
      </c>
    </row>
    <row r="1465">
      <c r="A1465" t="s">
        <v>3737</v>
      </c>
      <c r="B1465" t="s">
        <v>3738</v>
      </c>
      <c r="C1465" t="s">
        <v>3417</v>
      </c>
      <c r="D1465" t="s">
        <v>3417</v>
      </c>
    </row>
    <row r="1466">
      <c r="A1466" t="s">
        <v>3737</v>
      </c>
      <c r="B1466" t="s">
        <v>3738</v>
      </c>
      <c r="C1466" t="s">
        <v>3720</v>
      </c>
      <c r="D1466" t="s">
        <v>3720</v>
      </c>
    </row>
    <row r="1467">
      <c r="A1467" t="s">
        <v>3744</v>
      </c>
      <c r="B1467" t="s">
        <v>3745</v>
      </c>
      <c r="C1467" t="s">
        <v>3619</v>
      </c>
      <c r="D1467" t="s">
        <v>3619</v>
      </c>
    </row>
    <row r="1468">
      <c r="A1468" t="s">
        <v>3744</v>
      </c>
      <c r="B1468" t="s">
        <v>3745</v>
      </c>
      <c r="C1468" t="s">
        <v>3737</v>
      </c>
      <c r="D1468" t="s">
        <v>3737</v>
      </c>
    </row>
    <row r="1469">
      <c r="A1469" t="s">
        <v>3744</v>
      </c>
      <c r="B1469" t="s">
        <v>3745</v>
      </c>
      <c r="C1469" t="s">
        <v>3765</v>
      </c>
      <c r="D1469" t="s">
        <v>3765</v>
      </c>
    </row>
    <row r="1470">
      <c r="A1470" t="s">
        <v>3751</v>
      </c>
      <c r="B1470" t="s">
        <v>3752</v>
      </c>
      <c r="C1470" t="s">
        <v>3429</v>
      </c>
      <c r="D1470" t="s">
        <v>3429</v>
      </c>
    </row>
    <row r="1471">
      <c r="A1471" t="s">
        <v>3751</v>
      </c>
      <c r="B1471" t="s">
        <v>3752</v>
      </c>
      <c r="C1471" t="s">
        <v>3440</v>
      </c>
      <c r="D1471" t="s">
        <v>3440</v>
      </c>
    </row>
    <row r="1472">
      <c r="A1472" t="s">
        <v>3751</v>
      </c>
      <c r="B1472" t="s">
        <v>3752</v>
      </c>
      <c r="C1472" t="s">
        <v>3737</v>
      </c>
      <c r="D1472" t="s">
        <v>3737</v>
      </c>
    </row>
    <row r="1473">
      <c r="A1473" t="s">
        <v>3758</v>
      </c>
      <c r="B1473" t="s">
        <v>3759</v>
      </c>
      <c r="C1473" t="s">
        <v>3587</v>
      </c>
      <c r="D1473" t="s">
        <v>3587</v>
      </c>
    </row>
    <row r="1474">
      <c r="A1474" t="s">
        <v>3758</v>
      </c>
      <c r="B1474" t="s">
        <v>3759</v>
      </c>
      <c r="C1474" t="s">
        <v>3727</v>
      </c>
      <c r="D1474" t="s">
        <v>3727</v>
      </c>
    </row>
    <row r="1475">
      <c r="A1475" t="s">
        <v>3765</v>
      </c>
      <c r="B1475" t="s">
        <v>3766</v>
      </c>
      <c r="C1475" t="s">
        <v>3906</v>
      </c>
      <c r="D1475" t="s">
        <v>3906</v>
      </c>
    </row>
    <row r="1476">
      <c r="A1476" t="s">
        <v>3765</v>
      </c>
      <c r="B1476" t="s">
        <v>3766</v>
      </c>
      <c r="C1476" t="s">
        <v>3907</v>
      </c>
      <c r="D1476" t="s">
        <v>3907</v>
      </c>
    </row>
    <row r="1477">
      <c r="A1477" t="s">
        <v>3772</v>
      </c>
      <c r="B1477" t="s">
        <v>3773</v>
      </c>
      <c r="C1477" t="s">
        <v>3713</v>
      </c>
      <c r="D1477" t="s">
        <v>3713</v>
      </c>
    </row>
    <row r="1478">
      <c r="A1478" t="s">
        <v>3772</v>
      </c>
      <c r="B1478" t="s">
        <v>3773</v>
      </c>
      <c r="C1478" t="s">
        <v>3751</v>
      </c>
      <c r="D1478" t="s">
        <v>3751</v>
      </c>
    </row>
    <row r="1479">
      <c r="A1479" t="s">
        <v>3779</v>
      </c>
      <c r="B1479" t="s">
        <v>3782</v>
      </c>
      <c r="C1479" t="s">
        <v>3530</v>
      </c>
      <c r="D1479" t="s">
        <v>3530</v>
      </c>
    </row>
    <row r="1480">
      <c r="A1480" t="s">
        <v>3779</v>
      </c>
      <c r="B1480" t="s">
        <v>3782</v>
      </c>
      <c r="C1480" t="s">
        <v>3905</v>
      </c>
      <c r="D1480" t="s">
        <v>3905</v>
      </c>
    </row>
    <row r="1481">
      <c r="A1481" t="s">
        <v>3779</v>
      </c>
      <c r="B1481" t="s">
        <v>3782</v>
      </c>
      <c r="C1481" t="s">
        <v>3908</v>
      </c>
      <c r="D1481" t="s">
        <v>3908</v>
      </c>
    </row>
    <row r="1482">
      <c r="A1482" t="s">
        <v>3792</v>
      </c>
      <c r="B1482" t="s">
        <v>3793</v>
      </c>
      <c r="C1482" t="s">
        <v>3477</v>
      </c>
      <c r="D1482" t="s">
        <v>3477</v>
      </c>
    </row>
    <row r="1483">
      <c r="A1483" t="s">
        <v>3792</v>
      </c>
      <c r="B1483" t="s">
        <v>3793</v>
      </c>
      <c r="C1483" t="s">
        <v>3909</v>
      </c>
      <c r="D1483" t="s">
        <v>3909</v>
      </c>
    </row>
    <row r="1484">
      <c r="A1484" t="s">
        <v>3799</v>
      </c>
      <c r="B1484" t="s">
        <v>3800</v>
      </c>
      <c r="C1484" t="s">
        <v>3905</v>
      </c>
      <c r="D1484" t="s">
        <v>3905</v>
      </c>
    </row>
    <row r="1485">
      <c r="A1485" t="s">
        <v>3799</v>
      </c>
      <c r="B1485" t="s">
        <v>3800</v>
      </c>
      <c r="C1485" t="s">
        <v>3910</v>
      </c>
      <c r="D1485" t="s">
        <v>3910</v>
      </c>
    </row>
    <row r="1486">
      <c r="A1486" t="s">
        <v>3806</v>
      </c>
      <c r="B1486" t="s">
        <v>3807</v>
      </c>
      <c r="C1486" t="s">
        <v>3451</v>
      </c>
      <c r="D1486" t="s">
        <v>3451</v>
      </c>
    </row>
    <row r="1487">
      <c r="A1487" t="s">
        <v>3806</v>
      </c>
      <c r="B1487" t="s">
        <v>3807</v>
      </c>
      <c r="C1487" t="s">
        <v>3792</v>
      </c>
      <c r="D1487" t="s">
        <v>3792</v>
      </c>
    </row>
    <row r="1488">
      <c r="A1488" t="s">
        <v>3813</v>
      </c>
      <c r="B1488" t="s">
        <v>3814</v>
      </c>
      <c r="C1488" t="s">
        <v>3737</v>
      </c>
      <c r="D1488" t="s">
        <v>3737</v>
      </c>
    </row>
    <row r="1489">
      <c r="A1489" t="s">
        <v>3813</v>
      </c>
      <c r="B1489" t="s">
        <v>3814</v>
      </c>
      <c r="C1489" t="s">
        <v>3792</v>
      </c>
      <c r="D1489" t="s">
        <v>3792</v>
      </c>
    </row>
    <row r="1490">
      <c r="A1490" t="s">
        <v>3820</v>
      </c>
      <c r="B1490" t="s">
        <v>3821</v>
      </c>
      <c r="C1490" t="s">
        <v>3619</v>
      </c>
      <c r="D1490" t="s">
        <v>3619</v>
      </c>
    </row>
    <row r="1491">
      <c r="A1491" t="s">
        <v>3820</v>
      </c>
      <c r="B1491" t="s">
        <v>3821</v>
      </c>
      <c r="C1491" t="s">
        <v>3727</v>
      </c>
      <c r="D1491" t="s">
        <v>3727</v>
      </c>
    </row>
    <row r="1492">
      <c r="A1492" t="s">
        <v>3820</v>
      </c>
      <c r="B1492" t="s">
        <v>3821</v>
      </c>
      <c r="C1492" t="s">
        <v>3905</v>
      </c>
      <c r="D1492" t="s">
        <v>3905</v>
      </c>
    </row>
    <row r="1493">
      <c r="A1493" t="s">
        <v>3827</v>
      </c>
      <c r="B1493" t="s">
        <v>3830</v>
      </c>
      <c r="C1493" t="s">
        <v>3626</v>
      </c>
      <c r="D1493" t="s">
        <v>3626</v>
      </c>
    </row>
    <row r="1494">
      <c r="A1494" t="s">
        <v>3827</v>
      </c>
      <c r="B1494" t="s">
        <v>3830</v>
      </c>
      <c r="C1494" t="s">
        <v>3647</v>
      </c>
      <c r="D1494" t="s">
        <v>3647</v>
      </c>
    </row>
    <row r="1495">
      <c r="A1495" t="s">
        <v>3837</v>
      </c>
      <c r="B1495" t="s">
        <v>3838</v>
      </c>
      <c r="C1495" t="s">
        <v>3911</v>
      </c>
      <c r="D1495" t="s">
        <v>3911</v>
      </c>
    </row>
    <row r="1496">
      <c r="A1496" t="s">
        <v>3837</v>
      </c>
      <c r="B1496" t="s">
        <v>3838</v>
      </c>
      <c r="C1496" t="s">
        <v>3912</v>
      </c>
      <c r="D1496" t="s">
        <v>3912</v>
      </c>
    </row>
    <row r="1497">
      <c r="A1497" t="s">
        <v>3837</v>
      </c>
      <c r="B1497" t="s">
        <v>3838</v>
      </c>
      <c r="C1497" t="s">
        <v>3913</v>
      </c>
      <c r="D1497" t="s">
        <v>3913</v>
      </c>
    </row>
    <row r="1498">
      <c r="A1498" s="74" t="s">
        <v>7286</v>
      </c>
      <c r="B1498" s="74" t="s">
        <v>7291</v>
      </c>
      <c r="C1498" s="74" t="s">
        <v>2071</v>
      </c>
      <c r="D1498" s="74" t="s">
        <v>96</v>
      </c>
    </row>
    <row r="1499">
      <c r="A1499" s="74" t="s">
        <v>7286</v>
      </c>
      <c r="B1499" s="74" t="s">
        <v>7291</v>
      </c>
      <c r="C1499" s="74" t="s">
        <v>2079</v>
      </c>
      <c r="D1499" s="74" t="s">
        <v>106</v>
      </c>
    </row>
    <row r="1500">
      <c r="A1500" s="74" t="s">
        <v>7286</v>
      </c>
      <c r="B1500" s="74" t="s">
        <v>7291</v>
      </c>
      <c r="C1500" s="74" t="s">
        <v>2081</v>
      </c>
      <c r="D1500" s="74" t="s">
        <v>113</v>
      </c>
    </row>
    <row r="1501">
      <c r="A1501" s="74" t="s">
        <v>7286</v>
      </c>
      <c r="B1501" s="74" t="s">
        <v>7291</v>
      </c>
      <c r="C1501" s="74" t="s">
        <v>2084</v>
      </c>
      <c r="D1501" s="74" t="s">
        <v>119</v>
      </c>
    </row>
    <row r="1502">
      <c r="A1502" s="74" t="s">
        <v>7286</v>
      </c>
      <c r="B1502" s="74" t="s">
        <v>7291</v>
      </c>
      <c r="C1502" s="74" t="s">
        <v>2124</v>
      </c>
      <c r="D1502" s="74" t="s">
        <v>226</v>
      </c>
    </row>
    <row r="1503">
      <c r="A1503" s="74" t="s">
        <v>7286</v>
      </c>
      <c r="B1503" s="74" t="s">
        <v>7291</v>
      </c>
      <c r="C1503" s="74" t="s">
        <v>2133</v>
      </c>
      <c r="D1503" s="74" t="s">
        <v>248</v>
      </c>
    </row>
    <row r="1504">
      <c r="A1504" s="74" t="s">
        <v>7286</v>
      </c>
      <c r="B1504" s="74" t="s">
        <v>7291</v>
      </c>
      <c r="C1504" s="74" t="s">
        <v>2140</v>
      </c>
      <c r="D1504" s="74" t="s">
        <v>263</v>
      </c>
    </row>
    <row r="1505">
      <c r="A1505" s="74" t="s">
        <v>7286</v>
      </c>
      <c r="B1505" s="74" t="s">
        <v>7291</v>
      </c>
      <c r="C1505" s="74" t="s">
        <v>2156</v>
      </c>
      <c r="D1505" s="74" t="s">
        <v>2157</v>
      </c>
    </row>
    <row r="1506">
      <c r="A1506" s="74" t="s">
        <v>7286</v>
      </c>
      <c r="B1506" s="74" t="s">
        <v>7291</v>
      </c>
      <c r="C1506" s="74" t="s">
        <v>2167</v>
      </c>
      <c r="D1506" s="74" t="s">
        <v>332</v>
      </c>
    </row>
    <row r="1507">
      <c r="A1507" s="74" t="s">
        <v>7286</v>
      </c>
      <c r="B1507" s="74" t="s">
        <v>7291</v>
      </c>
      <c r="C1507" s="74" t="s">
        <v>2196</v>
      </c>
      <c r="D1507" s="74" t="s">
        <v>400</v>
      </c>
    </row>
    <row r="1508">
      <c r="A1508" s="74" t="s">
        <v>7286</v>
      </c>
      <c r="B1508" s="74" t="s">
        <v>7291</v>
      </c>
      <c r="C1508" s="74" t="s">
        <v>2224</v>
      </c>
      <c r="D1508" s="74" t="s">
        <v>467</v>
      </c>
    </row>
    <row r="1509">
      <c r="A1509" s="74" t="s">
        <v>7286</v>
      </c>
      <c r="B1509" s="74" t="s">
        <v>7291</v>
      </c>
      <c r="C1509" s="74" t="s">
        <v>2260</v>
      </c>
      <c r="D1509" s="74" t="s">
        <v>548</v>
      </c>
    </row>
    <row r="1510">
      <c r="A1510" s="74" t="s">
        <v>7286</v>
      </c>
      <c r="B1510" s="74" t="s">
        <v>7291</v>
      </c>
      <c r="C1510" s="74" t="s">
        <v>2263</v>
      </c>
      <c r="D1510" s="74" t="s">
        <v>556</v>
      </c>
    </row>
    <row r="1511">
      <c r="A1511" s="74" t="s">
        <v>7286</v>
      </c>
      <c r="B1511" s="74" t="s">
        <v>7291</v>
      </c>
      <c r="C1511" s="74" t="s">
        <v>2266</v>
      </c>
      <c r="D1511" s="74" t="s">
        <v>561</v>
      </c>
    </row>
    <row r="1512">
      <c r="A1512" s="74" t="s">
        <v>7286</v>
      </c>
      <c r="B1512" s="74" t="s">
        <v>7291</v>
      </c>
      <c r="C1512" s="74" t="s">
        <v>2431</v>
      </c>
      <c r="D1512" s="74" t="s">
        <v>962</v>
      </c>
    </row>
    <row r="1513">
      <c r="A1513" s="74" t="s">
        <v>7286</v>
      </c>
      <c r="B1513" s="74" t="s">
        <v>7291</v>
      </c>
      <c r="C1513" s="74" t="s">
        <v>2505</v>
      </c>
      <c r="D1513" s="74" t="s">
        <v>1121</v>
      </c>
    </row>
    <row r="1514">
      <c r="A1514" s="74" t="s">
        <v>7286</v>
      </c>
      <c r="B1514" s="74" t="s">
        <v>7291</v>
      </c>
      <c r="C1514" s="74" t="s">
        <v>3147</v>
      </c>
      <c r="D1514" s="74" t="s">
        <v>3148</v>
      </c>
    </row>
    <row r="1515">
      <c r="A1515" s="74" t="s">
        <v>7308</v>
      </c>
      <c r="B1515" s="74" t="s">
        <v>7311</v>
      </c>
      <c r="C1515" s="74" t="s">
        <v>2071</v>
      </c>
      <c r="D1515" s="74" t="s">
        <v>96</v>
      </c>
    </row>
    <row r="1516">
      <c r="A1516" s="74" t="s">
        <v>7308</v>
      </c>
      <c r="B1516" s="74" t="s">
        <v>7311</v>
      </c>
      <c r="C1516" s="74" t="s">
        <v>2079</v>
      </c>
      <c r="D1516" s="74" t="s">
        <v>106</v>
      </c>
    </row>
    <row r="1517">
      <c r="A1517" s="74" t="s">
        <v>7308</v>
      </c>
      <c r="B1517" s="74" t="s">
        <v>7311</v>
      </c>
      <c r="C1517" s="74" t="s">
        <v>2081</v>
      </c>
      <c r="D1517" s="74" t="s">
        <v>113</v>
      </c>
    </row>
    <row r="1518">
      <c r="A1518" s="74" t="s">
        <v>7308</v>
      </c>
      <c r="B1518" s="74" t="s">
        <v>7311</v>
      </c>
      <c r="C1518" s="74" t="s">
        <v>2124</v>
      </c>
      <c r="D1518" s="74" t="s">
        <v>226</v>
      </c>
    </row>
    <row r="1519">
      <c r="A1519" s="74" t="s">
        <v>7308</v>
      </c>
      <c r="B1519" s="74" t="s">
        <v>7311</v>
      </c>
      <c r="C1519" s="74" t="s">
        <v>2133</v>
      </c>
      <c r="D1519" s="74" t="s">
        <v>248</v>
      </c>
    </row>
    <row r="1520">
      <c r="A1520" s="74" t="s">
        <v>7308</v>
      </c>
      <c r="B1520" s="74" t="s">
        <v>7311</v>
      </c>
      <c r="C1520" s="74" t="s">
        <v>2140</v>
      </c>
      <c r="D1520" s="74" t="s">
        <v>263</v>
      </c>
    </row>
    <row r="1521">
      <c r="A1521" s="74" t="s">
        <v>7308</v>
      </c>
      <c r="B1521" s="74" t="s">
        <v>7311</v>
      </c>
      <c r="C1521" s="74" t="s">
        <v>2143</v>
      </c>
      <c r="D1521" s="74" t="s">
        <v>271</v>
      </c>
    </row>
    <row r="1522">
      <c r="A1522" s="74" t="s">
        <v>7308</v>
      </c>
      <c r="B1522" s="74" t="s">
        <v>7311</v>
      </c>
      <c r="C1522" s="74" t="s">
        <v>2196</v>
      </c>
      <c r="D1522" s="74" t="s">
        <v>400</v>
      </c>
    </row>
    <row r="1523">
      <c r="A1523" s="74" t="s">
        <v>7308</v>
      </c>
      <c r="B1523" s="74" t="s">
        <v>7311</v>
      </c>
      <c r="C1523" s="74" t="s">
        <v>2224</v>
      </c>
      <c r="D1523" s="74" t="s">
        <v>467</v>
      </c>
    </row>
    <row r="1524">
      <c r="A1524" s="74" t="s">
        <v>7308</v>
      </c>
      <c r="B1524" s="74" t="s">
        <v>7311</v>
      </c>
      <c r="C1524" s="74" t="s">
        <v>3147</v>
      </c>
      <c r="D1524" s="74" t="s">
        <v>3148</v>
      </c>
    </row>
    <row r="1525">
      <c r="A1525" s="74" t="s">
        <v>7321</v>
      </c>
      <c r="B1525" s="74" t="s">
        <v>7324</v>
      </c>
      <c r="C1525" s="74" t="s">
        <v>2071</v>
      </c>
      <c r="D1525" s="74" t="s">
        <v>96</v>
      </c>
    </row>
    <row r="1526">
      <c r="A1526" s="74" t="s">
        <v>7321</v>
      </c>
      <c r="B1526" s="74" t="s">
        <v>7324</v>
      </c>
      <c r="C1526" s="74" t="s">
        <v>2079</v>
      </c>
      <c r="D1526" s="74" t="s">
        <v>106</v>
      </c>
    </row>
    <row r="1527">
      <c r="A1527" s="74" t="s">
        <v>7321</v>
      </c>
      <c r="B1527" s="74" t="s">
        <v>7324</v>
      </c>
      <c r="C1527" s="74" t="s">
        <v>2081</v>
      </c>
      <c r="D1527" s="74" t="s">
        <v>113</v>
      </c>
    </row>
    <row r="1528">
      <c r="A1528" s="74" t="s">
        <v>7321</v>
      </c>
      <c r="B1528" s="74" t="s">
        <v>7324</v>
      </c>
      <c r="C1528" s="74" t="s">
        <v>2084</v>
      </c>
      <c r="D1528" s="74" t="s">
        <v>119</v>
      </c>
    </row>
    <row r="1529">
      <c r="A1529" s="74" t="s">
        <v>7321</v>
      </c>
      <c r="B1529" s="74" t="s">
        <v>7324</v>
      </c>
      <c r="C1529" s="74" t="s">
        <v>2092</v>
      </c>
      <c r="D1529" s="74" t="s">
        <v>145</v>
      </c>
    </row>
    <row r="1530">
      <c r="A1530" s="74" t="s">
        <v>7321</v>
      </c>
      <c r="B1530" s="74" t="s">
        <v>7324</v>
      </c>
      <c r="C1530" s="74" t="s">
        <v>2124</v>
      </c>
      <c r="D1530" s="74" t="s">
        <v>226</v>
      </c>
    </row>
    <row r="1531">
      <c r="A1531" s="74" t="s">
        <v>7321</v>
      </c>
      <c r="B1531" s="74" t="s">
        <v>7324</v>
      </c>
      <c r="C1531" s="74" t="s">
        <v>2133</v>
      </c>
      <c r="D1531" s="74" t="s">
        <v>248</v>
      </c>
    </row>
    <row r="1532">
      <c r="A1532" s="74" t="s">
        <v>7321</v>
      </c>
      <c r="B1532" s="74" t="s">
        <v>7324</v>
      </c>
      <c r="C1532" s="74" t="s">
        <v>2140</v>
      </c>
      <c r="D1532" s="74" t="s">
        <v>263</v>
      </c>
    </row>
    <row r="1533">
      <c r="A1533" s="74" t="s">
        <v>7321</v>
      </c>
      <c r="B1533" s="74" t="s">
        <v>7324</v>
      </c>
      <c r="C1533" s="74" t="s">
        <v>2143</v>
      </c>
      <c r="D1533" s="74" t="s">
        <v>271</v>
      </c>
    </row>
    <row r="1534">
      <c r="A1534" s="74" t="s">
        <v>7321</v>
      </c>
      <c r="B1534" s="74" t="s">
        <v>7324</v>
      </c>
      <c r="C1534" s="74" t="s">
        <v>2146</v>
      </c>
      <c r="D1534" s="74" t="s">
        <v>279</v>
      </c>
    </row>
    <row r="1535">
      <c r="A1535" s="74" t="s">
        <v>7321</v>
      </c>
      <c r="B1535" s="74" t="s">
        <v>7324</v>
      </c>
      <c r="C1535" s="74" t="s">
        <v>2161</v>
      </c>
      <c r="D1535" s="74" t="s">
        <v>313</v>
      </c>
    </row>
    <row r="1536">
      <c r="A1536" s="74" t="s">
        <v>7321</v>
      </c>
      <c r="B1536" s="74" t="s">
        <v>7324</v>
      </c>
      <c r="C1536" s="74" t="s">
        <v>2167</v>
      </c>
      <c r="D1536" s="74" t="s">
        <v>332</v>
      </c>
    </row>
    <row r="1537">
      <c r="A1537" s="74" t="s">
        <v>7321</v>
      </c>
      <c r="B1537" s="74" t="s">
        <v>7324</v>
      </c>
      <c r="C1537" s="74" t="s">
        <v>2196</v>
      </c>
      <c r="D1537" s="74" t="s">
        <v>400</v>
      </c>
    </row>
    <row r="1538">
      <c r="A1538" s="74" t="s">
        <v>7321</v>
      </c>
      <c r="B1538" s="74" t="s">
        <v>7324</v>
      </c>
      <c r="C1538" s="74" t="s">
        <v>2224</v>
      </c>
      <c r="D1538" s="74" t="s">
        <v>467</v>
      </c>
    </row>
    <row r="1539">
      <c r="A1539" s="74" t="s">
        <v>7321</v>
      </c>
      <c r="B1539" s="74" t="s">
        <v>7324</v>
      </c>
      <c r="C1539" s="74" t="s">
        <v>2260</v>
      </c>
      <c r="D1539" s="74" t="s">
        <v>548</v>
      </c>
    </row>
    <row r="1540">
      <c r="A1540" s="74" t="s">
        <v>7321</v>
      </c>
      <c r="B1540" s="74" t="s">
        <v>7324</v>
      </c>
      <c r="C1540" s="74" t="s">
        <v>2263</v>
      </c>
      <c r="D1540" s="74" t="s">
        <v>556</v>
      </c>
    </row>
    <row r="1541">
      <c r="A1541" s="74" t="s">
        <v>7321</v>
      </c>
      <c r="B1541" s="74" t="s">
        <v>7324</v>
      </c>
      <c r="C1541" s="74" t="s">
        <v>2266</v>
      </c>
      <c r="D1541" s="74" t="s">
        <v>561</v>
      </c>
    </row>
    <row r="1542">
      <c r="A1542" s="74" t="s">
        <v>7321</v>
      </c>
      <c r="B1542" s="74" t="s">
        <v>7324</v>
      </c>
      <c r="C1542" s="74" t="s">
        <v>2299</v>
      </c>
      <c r="D1542" s="74" t="s">
        <v>647</v>
      </c>
    </row>
    <row r="1543">
      <c r="A1543" s="74" t="s">
        <v>7321</v>
      </c>
      <c r="B1543" s="74" t="s">
        <v>7324</v>
      </c>
      <c r="C1543" s="74" t="s">
        <v>2431</v>
      </c>
      <c r="D1543" s="74" t="s">
        <v>962</v>
      </c>
    </row>
    <row r="1544">
      <c r="A1544" s="74" t="s">
        <v>7321</v>
      </c>
      <c r="B1544" s="74" t="s">
        <v>7324</v>
      </c>
      <c r="C1544" s="74" t="s">
        <v>3147</v>
      </c>
      <c r="D1544" s="74" t="s">
        <v>3148</v>
      </c>
    </row>
    <row r="1545">
      <c r="A1545" s="74" t="s">
        <v>7321</v>
      </c>
      <c r="B1545" s="74" t="s">
        <v>7324</v>
      </c>
      <c r="C1545" s="74" t="s">
        <v>7308</v>
      </c>
      <c r="D1545" s="74" t="s">
        <v>7311</v>
      </c>
    </row>
    <row r="1546">
      <c r="A1546" s="74" t="s">
        <v>7334</v>
      </c>
      <c r="B1546" s="74" t="s">
        <v>7337</v>
      </c>
      <c r="C1546" s="74" t="s">
        <v>2092</v>
      </c>
      <c r="D1546" s="74" t="s">
        <v>145</v>
      </c>
    </row>
    <row r="1547">
      <c r="A1547" s="74" t="s">
        <v>7334</v>
      </c>
      <c r="B1547" s="74" t="s">
        <v>7337</v>
      </c>
      <c r="C1547" s="74" t="s">
        <v>2124</v>
      </c>
      <c r="D1547" s="74" t="s">
        <v>226</v>
      </c>
    </row>
    <row r="1548">
      <c r="A1548" s="74" t="s">
        <v>7334</v>
      </c>
      <c r="B1548" s="74" t="s">
        <v>7337</v>
      </c>
      <c r="C1548" s="74" t="s">
        <v>2133</v>
      </c>
      <c r="D1548" s="74" t="s">
        <v>248</v>
      </c>
    </row>
    <row r="1549">
      <c r="A1549" s="74" t="s">
        <v>7334</v>
      </c>
      <c r="B1549" s="74" t="s">
        <v>7337</v>
      </c>
      <c r="C1549" s="74" t="s">
        <v>2140</v>
      </c>
      <c r="D1549" s="74" t="s">
        <v>263</v>
      </c>
    </row>
    <row r="1550">
      <c r="A1550" s="74" t="s">
        <v>7334</v>
      </c>
      <c r="B1550" s="74" t="s">
        <v>7337</v>
      </c>
      <c r="C1550" s="74" t="s">
        <v>2143</v>
      </c>
      <c r="D1550" s="74" t="s">
        <v>271</v>
      </c>
    </row>
    <row r="1551">
      <c r="A1551" s="74" t="s">
        <v>7334</v>
      </c>
      <c r="B1551" s="74" t="s">
        <v>7337</v>
      </c>
      <c r="C1551" s="74" t="s">
        <v>2149</v>
      </c>
      <c r="D1551" s="74" t="s">
        <v>287</v>
      </c>
    </row>
    <row r="1552">
      <c r="A1552" s="74" t="s">
        <v>7334</v>
      </c>
      <c r="B1552" s="74" t="s">
        <v>7337</v>
      </c>
      <c r="C1552" s="74" t="s">
        <v>2156</v>
      </c>
      <c r="D1552" s="74" t="s">
        <v>2157</v>
      </c>
    </row>
    <row r="1553">
      <c r="A1553" s="74" t="s">
        <v>7334</v>
      </c>
      <c r="B1553" s="74" t="s">
        <v>7337</v>
      </c>
      <c r="C1553" s="74" t="s">
        <v>2167</v>
      </c>
      <c r="D1553" s="74" t="s">
        <v>332</v>
      </c>
    </row>
    <row r="1554">
      <c r="A1554" s="74" t="s">
        <v>7334</v>
      </c>
      <c r="B1554" s="74" t="s">
        <v>7337</v>
      </c>
      <c r="C1554" s="74" t="s">
        <v>2505</v>
      </c>
      <c r="D1554" s="74" t="s">
        <v>1121</v>
      </c>
    </row>
    <row r="1555">
      <c r="A1555" s="74" t="s">
        <v>7334</v>
      </c>
      <c r="B1555" s="74" t="s">
        <v>7337</v>
      </c>
      <c r="C1555" s="74" t="s">
        <v>3147</v>
      </c>
      <c r="D1555" s="74" t="s">
        <v>3148</v>
      </c>
    </row>
    <row r="1556">
      <c r="A1556" s="74" t="s">
        <v>7334</v>
      </c>
      <c r="B1556" s="74" t="s">
        <v>7337</v>
      </c>
      <c r="C1556" s="74" t="s">
        <v>7358</v>
      </c>
      <c r="D1556" s="74" t="s">
        <v>7360</v>
      </c>
    </row>
    <row r="1557">
      <c r="A1557" s="74" t="s">
        <v>7346</v>
      </c>
      <c r="B1557" s="74" t="s">
        <v>7349</v>
      </c>
      <c r="C1557" s="74" t="s">
        <v>2071</v>
      </c>
      <c r="D1557" s="74" t="s">
        <v>96</v>
      </c>
    </row>
    <row r="1558">
      <c r="A1558" s="74" t="s">
        <v>7346</v>
      </c>
      <c r="B1558" s="74" t="s">
        <v>7349</v>
      </c>
      <c r="C1558" s="74" t="s">
        <v>2079</v>
      </c>
      <c r="D1558" s="74" t="s">
        <v>106</v>
      </c>
    </row>
    <row r="1559">
      <c r="A1559" s="74" t="s">
        <v>7346</v>
      </c>
      <c r="B1559" s="74" t="s">
        <v>7349</v>
      </c>
      <c r="C1559" s="74" t="s">
        <v>2081</v>
      </c>
      <c r="D1559" s="74" t="s">
        <v>113</v>
      </c>
    </row>
    <row r="1560">
      <c r="A1560" s="74" t="s">
        <v>7346</v>
      </c>
      <c r="B1560" s="74" t="s">
        <v>7349</v>
      </c>
      <c r="C1560" s="74" t="s">
        <v>2087</v>
      </c>
      <c r="D1560" s="74" t="s">
        <v>128</v>
      </c>
    </row>
    <row r="1561">
      <c r="A1561" s="74" t="s">
        <v>7346</v>
      </c>
      <c r="B1561" s="74" t="s">
        <v>7349</v>
      </c>
      <c r="C1561" s="74" t="s">
        <v>2124</v>
      </c>
      <c r="D1561" s="74" t="s">
        <v>226</v>
      </c>
    </row>
    <row r="1562">
      <c r="A1562" s="74" t="s">
        <v>7346</v>
      </c>
      <c r="B1562" s="74" t="s">
        <v>7349</v>
      </c>
      <c r="C1562" s="74" t="s">
        <v>2130</v>
      </c>
      <c r="D1562" s="74" t="s">
        <v>240</v>
      </c>
    </row>
    <row r="1563">
      <c r="A1563" s="74" t="s">
        <v>7346</v>
      </c>
      <c r="B1563" s="74" t="s">
        <v>7349</v>
      </c>
      <c r="C1563" s="74" t="s">
        <v>2133</v>
      </c>
      <c r="D1563" s="74" t="s">
        <v>248</v>
      </c>
    </row>
    <row r="1564">
      <c r="A1564" s="74" t="s">
        <v>7346</v>
      </c>
      <c r="B1564" s="74" t="s">
        <v>7349</v>
      </c>
      <c r="C1564" s="74" t="s">
        <v>2136</v>
      </c>
      <c r="D1564" s="74" t="s">
        <v>254</v>
      </c>
    </row>
    <row r="1565">
      <c r="A1565" s="74" t="s">
        <v>7346</v>
      </c>
      <c r="B1565" s="74" t="s">
        <v>7349</v>
      </c>
      <c r="C1565" s="74" t="s">
        <v>2140</v>
      </c>
      <c r="D1565" s="74" t="s">
        <v>263</v>
      </c>
    </row>
    <row r="1566">
      <c r="A1566" s="74" t="s">
        <v>7346</v>
      </c>
      <c r="B1566" s="74" t="s">
        <v>7349</v>
      </c>
      <c r="C1566" s="74" t="s">
        <v>2146</v>
      </c>
      <c r="D1566" s="74" t="s">
        <v>279</v>
      </c>
    </row>
    <row r="1567">
      <c r="A1567" s="74" t="s">
        <v>7346</v>
      </c>
      <c r="B1567" s="74" t="s">
        <v>7349</v>
      </c>
      <c r="C1567" s="74" t="s">
        <v>3147</v>
      </c>
      <c r="D1567" s="74" t="s">
        <v>3148</v>
      </c>
    </row>
    <row r="1568">
      <c r="A1568" s="74" t="s">
        <v>7358</v>
      </c>
      <c r="B1568" s="74" t="s">
        <v>7360</v>
      </c>
      <c r="C1568" s="74" t="s">
        <v>2071</v>
      </c>
      <c r="D1568" s="74" t="s">
        <v>96</v>
      </c>
    </row>
    <row r="1569">
      <c r="A1569" s="74" t="s">
        <v>7358</v>
      </c>
      <c r="B1569" s="74" t="s">
        <v>7360</v>
      </c>
      <c r="C1569" s="74" t="s">
        <v>2087</v>
      </c>
      <c r="D1569" s="74" t="s">
        <v>128</v>
      </c>
    </row>
    <row r="1570">
      <c r="A1570" s="74" t="s">
        <v>7358</v>
      </c>
      <c r="B1570" s="74" t="s">
        <v>7360</v>
      </c>
      <c r="C1570" s="74" t="s">
        <v>2092</v>
      </c>
      <c r="D1570" s="74" t="s">
        <v>145</v>
      </c>
    </row>
    <row r="1571">
      <c r="A1571" s="74" t="s">
        <v>7358</v>
      </c>
      <c r="B1571" s="74" t="s">
        <v>7360</v>
      </c>
      <c r="C1571" s="74" t="s">
        <v>2124</v>
      </c>
      <c r="D1571" s="74" t="s">
        <v>226</v>
      </c>
    </row>
    <row r="1572">
      <c r="A1572" s="74" t="s">
        <v>7358</v>
      </c>
      <c r="B1572" s="74" t="s">
        <v>7360</v>
      </c>
      <c r="C1572" s="74" t="s">
        <v>2133</v>
      </c>
      <c r="D1572" s="74" t="s">
        <v>248</v>
      </c>
    </row>
    <row r="1573">
      <c r="A1573" s="74" t="s">
        <v>7358</v>
      </c>
      <c r="B1573" s="74" t="s">
        <v>7360</v>
      </c>
      <c r="C1573" s="74" t="s">
        <v>2140</v>
      </c>
      <c r="D1573" s="74" t="s">
        <v>263</v>
      </c>
    </row>
    <row r="1574">
      <c r="A1574" s="74" t="s">
        <v>7358</v>
      </c>
      <c r="B1574" s="74" t="s">
        <v>7360</v>
      </c>
      <c r="C1574" s="74" t="s">
        <v>2156</v>
      </c>
      <c r="D1574" s="74" t="s">
        <v>2157</v>
      </c>
    </row>
    <row r="1575">
      <c r="A1575" s="74" t="s">
        <v>7358</v>
      </c>
      <c r="B1575" s="74" t="s">
        <v>7360</v>
      </c>
      <c r="C1575" s="74" t="s">
        <v>2164</v>
      </c>
      <c r="D1575" s="74" t="s">
        <v>322</v>
      </c>
    </row>
    <row r="1576">
      <c r="A1576" s="74" t="s">
        <v>7358</v>
      </c>
      <c r="B1576" s="74" t="s">
        <v>7360</v>
      </c>
      <c r="C1576" s="74" t="s">
        <v>3147</v>
      </c>
      <c r="D1576" s="74" t="s">
        <v>3148</v>
      </c>
    </row>
  </sheetData>
  <pageMargins left="0.7" right="0.7" top="0.75" bottom="0.75" header="0.3" footer="0.3"/>
</worksheet>
</file>

<file path=xl/worksheets/sheet8.xml><?xml version="1.0" encoding="utf-8"?>
<worksheet xmlns="http://schemas.openxmlformats.org/spreadsheetml/2006/main">
  <sheetFormatPr baseColWidth="10" defaultColWidth="8.83203125" defaultRowHeight="13"/>
  <cols>
    <col min="1" max="5" width="32" customWidth="1"/>
  </cols>
  <sheetData>
    <row r="1">
      <c r="A1" t="s">
        <v>2058</v>
      </c>
      <c r="B1" t="s">
        <v>61</v>
      </c>
      <c r="C1" t="s">
        <v>63</v>
      </c>
      <c r="D1" t="s">
        <v>3914</v>
      </c>
      <c r="E1" t="s">
        <v>3915</v>
      </c>
      <c r="F1" t="s">
        <v>3916</v>
      </c>
      <c r="G1" t="s">
        <v>3917</v>
      </c>
      <c r="H1" t="s">
        <v>3918</v>
      </c>
      <c r="I1" t="s">
        <v>3919</v>
      </c>
      <c r="J1" t="s">
        <v>3920</v>
      </c>
      <c r="K1" t="s">
        <v>3921</v>
      </c>
      <c r="L1" t="s">
        <v>64</v>
      </c>
    </row>
    <row r="2">
      <c r="A2" t="s">
        <v>2071</v>
      </c>
      <c r="B2" t="s">
        <v>96</v>
      </c>
      <c r="C2" t="s">
        <v>129</v>
      </c>
      <c r="D2">
        <v>0</v>
      </c>
      <c r="F2">
        <v>0</v>
      </c>
      <c r="H2" t="s">
        <v>77</v>
      </c>
      <c r="J2">
        <v>0</v>
      </c>
      <c r="L2" t="s">
        <v>2077</v>
      </c>
    </row>
    <row r="3">
      <c r="A3" t="s">
        <v>2079</v>
      </c>
      <c r="B3" t="s">
        <v>106</v>
      </c>
      <c r="C3" t="s">
        <v>97</v>
      </c>
      <c r="D3">
        <v>0</v>
      </c>
      <c r="F3">
        <v>0</v>
      </c>
      <c r="H3" t="s">
        <v>77</v>
      </c>
      <c r="J3">
        <v>0</v>
      </c>
    </row>
    <row r="4">
      <c r="A4" t="s">
        <v>2081</v>
      </c>
      <c r="B4" t="s">
        <v>113</v>
      </c>
      <c r="C4" t="s">
        <v>97</v>
      </c>
      <c r="D4">
        <v>0</v>
      </c>
      <c r="F4">
        <v>0</v>
      </c>
      <c r="H4" t="s">
        <v>77</v>
      </c>
      <c r="J4">
        <v>0</v>
      </c>
    </row>
    <row r="5">
      <c r="A5" t="s">
        <v>2084</v>
      </c>
      <c r="B5" t="s">
        <v>119</v>
      </c>
      <c r="C5" t="s">
        <v>120</v>
      </c>
      <c r="D5">
        <v>0</v>
      </c>
      <c r="F5">
        <v>0</v>
      </c>
      <c r="H5" t="s">
        <v>80</v>
      </c>
      <c r="I5" t="s">
        <v>556</v>
      </c>
      <c r="J5">
        <v>0</v>
      </c>
    </row>
    <row r="6">
      <c r="A6" t="s">
        <v>2087</v>
      </c>
      <c r="B6" t="s">
        <v>128</v>
      </c>
      <c r="C6" t="s">
        <v>129</v>
      </c>
      <c r="D6">
        <v>0</v>
      </c>
      <c r="F6">
        <v>0</v>
      </c>
      <c r="H6" t="s">
        <v>77</v>
      </c>
      <c r="J6">
        <v>0</v>
      </c>
    </row>
    <row r="7">
      <c r="A7" t="s">
        <v>2089</v>
      </c>
      <c r="B7" t="s">
        <v>137</v>
      </c>
      <c r="C7" t="s">
        <v>97</v>
      </c>
      <c r="D7">
        <v>0</v>
      </c>
      <c r="F7">
        <v>0</v>
      </c>
      <c r="H7" t="s">
        <v>77</v>
      </c>
      <c r="J7">
        <v>0</v>
      </c>
    </row>
    <row r="8">
      <c r="A8" t="s">
        <v>2092</v>
      </c>
      <c r="B8" t="s">
        <v>145</v>
      </c>
      <c r="C8" t="s">
        <v>129</v>
      </c>
      <c r="D8">
        <v>0</v>
      </c>
      <c r="F8">
        <v>0</v>
      </c>
      <c r="H8" t="s">
        <v>77</v>
      </c>
      <c r="J8">
        <v>0</v>
      </c>
      <c r="L8" t="s">
        <v>2077</v>
      </c>
    </row>
    <row r="9">
      <c r="A9" t="s">
        <v>2095</v>
      </c>
      <c r="B9" t="s">
        <v>153</v>
      </c>
      <c r="C9" t="s">
        <v>154</v>
      </c>
      <c r="D9">
        <v>0</v>
      </c>
      <c r="F9">
        <v>0</v>
      </c>
      <c r="H9" t="s">
        <v>77</v>
      </c>
      <c r="J9">
        <v>0</v>
      </c>
    </row>
    <row r="10">
      <c r="A10" t="s">
        <v>2097</v>
      </c>
      <c r="B10" t="s">
        <v>164</v>
      </c>
      <c r="C10" t="s">
        <v>129</v>
      </c>
      <c r="D10">
        <v>0</v>
      </c>
      <c r="F10">
        <v>0</v>
      </c>
      <c r="H10" t="s">
        <v>77</v>
      </c>
      <c r="J10">
        <v>0</v>
      </c>
      <c r="L10" t="s">
        <v>2077</v>
      </c>
    </row>
    <row r="11">
      <c r="A11" t="s">
        <v>2100</v>
      </c>
      <c r="B11" t="s">
        <v>172</v>
      </c>
      <c r="C11" t="s">
        <v>129</v>
      </c>
      <c r="D11">
        <v>0</v>
      </c>
      <c r="F11">
        <v>0</v>
      </c>
      <c r="H11" t="s">
        <v>77</v>
      </c>
      <c r="J11">
        <v>0</v>
      </c>
    </row>
    <row r="12">
      <c r="A12" t="s">
        <v>2104</v>
      </c>
      <c r="B12" t="s">
        <v>177</v>
      </c>
      <c r="C12" t="s">
        <v>154</v>
      </c>
      <c r="D12">
        <v>1</v>
      </c>
      <c r="E12" t="s">
        <v>3847</v>
      </c>
      <c r="F12">
        <v>0</v>
      </c>
      <c r="H12" t="s">
        <v>77</v>
      </c>
      <c r="J12">
        <v>0</v>
      </c>
    </row>
    <row r="13">
      <c r="A13" t="s">
        <v>2107</v>
      </c>
      <c r="B13" t="s">
        <v>184</v>
      </c>
      <c r="C13" t="s">
        <v>129</v>
      </c>
      <c r="D13">
        <v>0</v>
      </c>
      <c r="F13">
        <v>0</v>
      </c>
      <c r="H13" t="s">
        <v>77</v>
      </c>
      <c r="J13">
        <v>0</v>
      </c>
    </row>
    <row r="14">
      <c r="A14" t="s">
        <v>2110</v>
      </c>
      <c r="B14" t="s">
        <v>192</v>
      </c>
      <c r="C14" t="s">
        <v>129</v>
      </c>
      <c r="D14">
        <v>0</v>
      </c>
      <c r="F14">
        <v>0</v>
      </c>
      <c r="H14" t="s">
        <v>77</v>
      </c>
      <c r="J14">
        <v>0</v>
      </c>
    </row>
    <row r="15">
      <c r="A15" t="s">
        <v>2112</v>
      </c>
      <c r="B15" t="s">
        <v>198</v>
      </c>
      <c r="C15" t="s">
        <v>129</v>
      </c>
      <c r="D15">
        <v>0</v>
      </c>
      <c r="F15">
        <v>0</v>
      </c>
      <c r="H15" t="s">
        <v>77</v>
      </c>
      <c r="J15">
        <v>0</v>
      </c>
      <c r="L15" t="s">
        <v>2077</v>
      </c>
    </row>
    <row r="16">
      <c r="A16" t="s">
        <v>2114</v>
      </c>
      <c r="B16" t="s">
        <v>204</v>
      </c>
      <c r="C16" t="s">
        <v>154</v>
      </c>
      <c r="D16">
        <v>0</v>
      </c>
      <c r="F16">
        <v>0</v>
      </c>
      <c r="H16" t="s">
        <v>77</v>
      </c>
      <c r="J16">
        <v>0</v>
      </c>
    </row>
    <row r="17">
      <c r="A17" t="s">
        <v>2117</v>
      </c>
      <c r="B17" t="s">
        <v>211</v>
      </c>
      <c r="C17" t="s">
        <v>120</v>
      </c>
      <c r="D17">
        <v>0</v>
      </c>
      <c r="F17">
        <v>0</v>
      </c>
      <c r="H17" t="s">
        <v>77</v>
      </c>
      <c r="J17">
        <v>0</v>
      </c>
    </row>
    <row r="18">
      <c r="A18" t="s">
        <v>2120</v>
      </c>
      <c r="B18" t="s">
        <v>219</v>
      </c>
      <c r="C18" t="s">
        <v>129</v>
      </c>
      <c r="D18">
        <v>0</v>
      </c>
      <c r="F18">
        <v>0</v>
      </c>
      <c r="H18" t="s">
        <v>77</v>
      </c>
      <c r="J18">
        <v>0</v>
      </c>
      <c r="L18" t="s">
        <v>2077</v>
      </c>
    </row>
    <row r="19">
      <c r="A19" t="s">
        <v>2124</v>
      </c>
      <c r="B19" t="s">
        <v>226</v>
      </c>
      <c r="C19" t="s">
        <v>129</v>
      </c>
      <c r="D19">
        <v>0</v>
      </c>
      <c r="F19">
        <v>0</v>
      </c>
      <c r="H19" t="s">
        <v>77</v>
      </c>
      <c r="J19">
        <v>0</v>
      </c>
      <c r="L19" t="s">
        <v>2077</v>
      </c>
    </row>
    <row r="20">
      <c r="A20" t="s">
        <v>2127</v>
      </c>
      <c r="B20" t="s">
        <v>231</v>
      </c>
      <c r="C20" t="s">
        <v>154</v>
      </c>
      <c r="D20">
        <v>1</v>
      </c>
      <c r="E20" t="s">
        <v>3848</v>
      </c>
      <c r="F20">
        <v>0</v>
      </c>
      <c r="H20" t="s">
        <v>77</v>
      </c>
      <c r="J20">
        <v>0</v>
      </c>
    </row>
    <row r="21">
      <c r="A21" t="s">
        <v>2130</v>
      </c>
      <c r="B21" t="s">
        <v>240</v>
      </c>
      <c r="C21" t="s">
        <v>154</v>
      </c>
      <c r="D21">
        <v>0</v>
      </c>
      <c r="F21">
        <v>0</v>
      </c>
      <c r="H21" t="s">
        <v>77</v>
      </c>
      <c r="J21">
        <v>0</v>
      </c>
    </row>
    <row r="22">
      <c r="A22" t="s">
        <v>2133</v>
      </c>
      <c r="B22" t="s">
        <v>248</v>
      </c>
      <c r="C22" t="s">
        <v>129</v>
      </c>
      <c r="D22">
        <v>0</v>
      </c>
      <c r="F22">
        <v>0</v>
      </c>
      <c r="H22" t="s">
        <v>77</v>
      </c>
      <c r="J22">
        <v>0</v>
      </c>
      <c r="L22" t="s">
        <v>2077</v>
      </c>
    </row>
    <row r="23">
      <c r="A23" t="s">
        <v>2136</v>
      </c>
      <c r="B23" t="s">
        <v>254</v>
      </c>
      <c r="C23" t="s">
        <v>120</v>
      </c>
      <c r="D23">
        <v>0</v>
      </c>
      <c r="F23">
        <v>0</v>
      </c>
      <c r="H23" t="s">
        <v>77</v>
      </c>
      <c r="J23">
        <v>0</v>
      </c>
    </row>
    <row r="24">
      <c r="A24" t="s">
        <v>2140</v>
      </c>
      <c r="B24" t="s">
        <v>263</v>
      </c>
      <c r="C24" t="s">
        <v>129</v>
      </c>
      <c r="D24">
        <v>0</v>
      </c>
      <c r="F24">
        <v>0</v>
      </c>
      <c r="H24" t="s">
        <v>77</v>
      </c>
      <c r="J24">
        <v>0</v>
      </c>
      <c r="L24" t="s">
        <v>2077</v>
      </c>
    </row>
    <row r="25">
      <c r="A25" t="s">
        <v>2143</v>
      </c>
      <c r="B25" t="s">
        <v>271</v>
      </c>
      <c r="C25" t="s">
        <v>97</v>
      </c>
      <c r="D25">
        <v>0</v>
      </c>
      <c r="F25">
        <v>0</v>
      </c>
      <c r="H25" t="s">
        <v>77</v>
      </c>
      <c r="J25">
        <v>0</v>
      </c>
    </row>
    <row r="26">
      <c r="A26" t="s">
        <v>2146</v>
      </c>
      <c r="B26" t="s">
        <v>279</v>
      </c>
      <c r="C26" t="s">
        <v>97</v>
      </c>
      <c r="D26">
        <v>0</v>
      </c>
      <c r="F26">
        <v>0</v>
      </c>
      <c r="H26" t="s">
        <v>77</v>
      </c>
      <c r="J26">
        <v>0</v>
      </c>
    </row>
    <row r="27">
      <c r="A27" t="s">
        <v>2149</v>
      </c>
      <c r="B27" t="s">
        <v>287</v>
      </c>
      <c r="C27" t="s">
        <v>97</v>
      </c>
      <c r="D27">
        <v>0</v>
      </c>
      <c r="F27">
        <v>0</v>
      </c>
      <c r="H27" t="s">
        <v>77</v>
      </c>
      <c r="J27">
        <v>0</v>
      </c>
    </row>
    <row r="28">
      <c r="A28" t="s">
        <v>2152</v>
      </c>
      <c r="B28" t="s">
        <v>295</v>
      </c>
      <c r="C28" t="s">
        <v>97</v>
      </c>
      <c r="D28">
        <v>0</v>
      </c>
      <c r="F28">
        <v>0</v>
      </c>
      <c r="H28" t="s">
        <v>77</v>
      </c>
      <c r="J28">
        <v>0</v>
      </c>
    </row>
    <row r="29">
      <c r="A29" t="s">
        <v>2156</v>
      </c>
      <c r="B29" t="s">
        <v>306</v>
      </c>
      <c r="C29" t="s">
        <v>129</v>
      </c>
      <c r="D29">
        <v>0</v>
      </c>
      <c r="F29">
        <v>0</v>
      </c>
      <c r="H29" t="s">
        <v>77</v>
      </c>
      <c r="J29">
        <v>0</v>
      </c>
      <c r="L29" t="s">
        <v>2077</v>
      </c>
    </row>
    <row r="30">
      <c r="A30" t="s">
        <v>2161</v>
      </c>
      <c r="B30" t="s">
        <v>313</v>
      </c>
      <c r="C30" t="s">
        <v>154</v>
      </c>
      <c r="D30">
        <v>1</v>
      </c>
      <c r="E30" t="s">
        <v>3849</v>
      </c>
      <c r="F30">
        <v>0</v>
      </c>
      <c r="H30" t="s">
        <v>77</v>
      </c>
      <c r="J30">
        <v>0</v>
      </c>
    </row>
    <row r="31">
      <c r="A31" t="s">
        <v>2164</v>
      </c>
      <c r="B31" t="s">
        <v>322</v>
      </c>
      <c r="C31" t="s">
        <v>120</v>
      </c>
      <c r="D31">
        <v>1</v>
      </c>
      <c r="E31" t="s">
        <v>3849</v>
      </c>
      <c r="F31">
        <v>0</v>
      </c>
      <c r="H31" t="s">
        <v>77</v>
      </c>
      <c r="J31">
        <v>0</v>
      </c>
    </row>
    <row r="32">
      <c r="A32" t="s">
        <v>2167</v>
      </c>
      <c r="B32" t="s">
        <v>332</v>
      </c>
      <c r="C32" t="s">
        <v>120</v>
      </c>
      <c r="D32">
        <v>1</v>
      </c>
      <c r="E32" t="s">
        <v>1727</v>
      </c>
      <c r="F32">
        <v>0</v>
      </c>
      <c r="H32" t="s">
        <v>77</v>
      </c>
      <c r="J32">
        <v>0</v>
      </c>
    </row>
    <row r="33">
      <c r="A33" t="s">
        <v>2170</v>
      </c>
      <c r="B33" t="s">
        <v>343</v>
      </c>
      <c r="C33" t="s">
        <v>129</v>
      </c>
      <c r="D33">
        <v>0</v>
      </c>
      <c r="F33">
        <v>1</v>
      </c>
      <c r="G33" t="s">
        <v>106</v>
      </c>
      <c r="H33" t="s">
        <v>77</v>
      </c>
      <c r="J33">
        <v>0</v>
      </c>
    </row>
    <row r="34">
      <c r="A34" t="s">
        <v>2174</v>
      </c>
      <c r="B34" t="s">
        <v>351</v>
      </c>
      <c r="C34" t="s">
        <v>97</v>
      </c>
      <c r="D34">
        <v>2</v>
      </c>
      <c r="E34" t="s">
        <v>3922</v>
      </c>
      <c r="F34">
        <v>0</v>
      </c>
      <c r="H34" t="s">
        <v>77</v>
      </c>
      <c r="J34">
        <v>0</v>
      </c>
    </row>
    <row r="35">
      <c r="A35" t="s">
        <v>2177</v>
      </c>
      <c r="B35" t="s">
        <v>357</v>
      </c>
      <c r="C35" t="s">
        <v>97</v>
      </c>
      <c r="D35">
        <v>0</v>
      </c>
      <c r="F35">
        <v>0</v>
      </c>
      <c r="H35" t="s">
        <v>77</v>
      </c>
      <c r="J35">
        <v>0</v>
      </c>
    </row>
    <row r="36">
      <c r="A36" t="s">
        <v>2180</v>
      </c>
      <c r="B36" t="s">
        <v>363</v>
      </c>
      <c r="C36" t="s">
        <v>97</v>
      </c>
      <c r="D36">
        <v>2</v>
      </c>
      <c r="E36" t="s">
        <v>3923</v>
      </c>
      <c r="F36">
        <v>0</v>
      </c>
      <c r="H36" t="s">
        <v>77</v>
      </c>
      <c r="J36">
        <v>0</v>
      </c>
    </row>
    <row r="37">
      <c r="A37" t="s">
        <v>2184</v>
      </c>
      <c r="B37" t="s">
        <v>369</v>
      </c>
      <c r="C37" t="s">
        <v>120</v>
      </c>
      <c r="D37">
        <v>1</v>
      </c>
      <c r="E37" t="s">
        <v>3854</v>
      </c>
      <c r="F37">
        <v>0</v>
      </c>
      <c r="H37" t="s">
        <v>77</v>
      </c>
      <c r="J37">
        <v>0</v>
      </c>
    </row>
    <row r="38">
      <c r="A38" t="s">
        <v>2188</v>
      </c>
      <c r="B38" t="s">
        <v>378</v>
      </c>
      <c r="C38" t="s">
        <v>97</v>
      </c>
      <c r="D38">
        <v>1</v>
      </c>
      <c r="E38" t="s">
        <v>3855</v>
      </c>
      <c r="F38">
        <v>0</v>
      </c>
      <c r="H38" t="s">
        <v>77</v>
      </c>
      <c r="J38">
        <v>0</v>
      </c>
    </row>
    <row r="39">
      <c r="A39" t="s">
        <v>2191</v>
      </c>
      <c r="B39" t="s">
        <v>387</v>
      </c>
      <c r="C39" t="s">
        <v>97</v>
      </c>
      <c r="D39">
        <v>0</v>
      </c>
      <c r="F39">
        <v>0</v>
      </c>
      <c r="H39" t="s">
        <v>77</v>
      </c>
      <c r="J39">
        <v>0</v>
      </c>
    </row>
    <row r="40">
      <c r="A40" t="s">
        <v>2193</v>
      </c>
      <c r="B40" t="s">
        <v>394</v>
      </c>
      <c r="C40" t="s">
        <v>97</v>
      </c>
      <c r="D40">
        <v>0</v>
      </c>
      <c r="F40">
        <v>0</v>
      </c>
      <c r="H40" t="s">
        <v>77</v>
      </c>
      <c r="J40">
        <v>0</v>
      </c>
    </row>
    <row r="41">
      <c r="A41" t="s">
        <v>2196</v>
      </c>
      <c r="B41" t="s">
        <v>400</v>
      </c>
      <c r="C41" t="s">
        <v>97</v>
      </c>
      <c r="D41">
        <v>0</v>
      </c>
      <c r="F41">
        <v>0</v>
      </c>
      <c r="H41" t="s">
        <v>77</v>
      </c>
      <c r="J41">
        <v>0</v>
      </c>
    </row>
    <row r="42">
      <c r="A42" t="s">
        <v>2199</v>
      </c>
      <c r="B42" t="s">
        <v>410</v>
      </c>
      <c r="C42" t="s">
        <v>129</v>
      </c>
      <c r="D42">
        <v>0</v>
      </c>
      <c r="F42">
        <v>0</v>
      </c>
      <c r="H42" t="s">
        <v>77</v>
      </c>
      <c r="J42">
        <v>0</v>
      </c>
    </row>
    <row r="43">
      <c r="A43" t="s">
        <v>2203</v>
      </c>
      <c r="B43" t="s">
        <v>417</v>
      </c>
      <c r="C43" t="s">
        <v>97</v>
      </c>
      <c r="D43">
        <v>0</v>
      </c>
      <c r="F43">
        <v>0</v>
      </c>
      <c r="H43" t="s">
        <v>77</v>
      </c>
      <c r="J43">
        <v>0</v>
      </c>
    </row>
    <row r="44">
      <c r="A44" t="s">
        <v>2206</v>
      </c>
      <c r="B44" t="s">
        <v>423</v>
      </c>
      <c r="C44" t="s">
        <v>154</v>
      </c>
      <c r="D44">
        <v>0</v>
      </c>
      <c r="F44">
        <v>0</v>
      </c>
      <c r="H44" t="s">
        <v>77</v>
      </c>
      <c r="J44">
        <v>0</v>
      </c>
    </row>
    <row r="45">
      <c r="A45" t="s">
        <v>2209</v>
      </c>
      <c r="B45" t="s">
        <v>432</v>
      </c>
      <c r="C45" t="s">
        <v>154</v>
      </c>
      <c r="D45">
        <v>1</v>
      </c>
      <c r="E45" t="s">
        <v>3856</v>
      </c>
      <c r="F45">
        <v>0</v>
      </c>
      <c r="H45" t="s">
        <v>77</v>
      </c>
      <c r="J45">
        <v>0</v>
      </c>
    </row>
    <row r="46">
      <c r="A46" t="s">
        <v>2212</v>
      </c>
      <c r="B46" t="s">
        <v>439</v>
      </c>
      <c r="C46" t="s">
        <v>120</v>
      </c>
      <c r="D46">
        <v>1</v>
      </c>
      <c r="E46" t="s">
        <v>3857</v>
      </c>
      <c r="F46">
        <v>0</v>
      </c>
      <c r="H46" t="s">
        <v>77</v>
      </c>
      <c r="J46">
        <v>0</v>
      </c>
    </row>
    <row r="47">
      <c r="A47" t="s">
        <v>2215</v>
      </c>
      <c r="B47" t="s">
        <v>447</v>
      </c>
      <c r="C47" t="s">
        <v>120</v>
      </c>
      <c r="D47">
        <v>1</v>
      </c>
      <c r="E47" t="s">
        <v>3858</v>
      </c>
      <c r="F47">
        <v>0</v>
      </c>
      <c r="H47" t="s">
        <v>77</v>
      </c>
      <c r="J47">
        <v>0</v>
      </c>
    </row>
    <row r="48">
      <c r="A48" t="s">
        <v>2218</v>
      </c>
      <c r="B48" t="s">
        <v>455</v>
      </c>
      <c r="C48" t="s">
        <v>120</v>
      </c>
      <c r="D48">
        <v>1</v>
      </c>
      <c r="E48" t="s">
        <v>3859</v>
      </c>
      <c r="F48">
        <v>0</v>
      </c>
      <c r="H48" t="s">
        <v>77</v>
      </c>
      <c r="J48">
        <v>0</v>
      </c>
    </row>
    <row r="49">
      <c r="A49" t="s">
        <v>2224</v>
      </c>
      <c r="B49" t="s">
        <v>467</v>
      </c>
      <c r="C49" t="s">
        <v>154</v>
      </c>
      <c r="D49">
        <v>0</v>
      </c>
      <c r="F49">
        <v>0</v>
      </c>
      <c r="H49" t="s">
        <v>77</v>
      </c>
      <c r="J49">
        <v>0</v>
      </c>
    </row>
    <row r="50">
      <c r="A50" t="s">
        <v>2230</v>
      </c>
      <c r="B50" t="s">
        <v>475</v>
      </c>
      <c r="C50" t="s">
        <v>120</v>
      </c>
      <c r="D50">
        <v>1</v>
      </c>
      <c r="E50" t="s">
        <v>3860</v>
      </c>
      <c r="F50">
        <v>0</v>
      </c>
      <c r="H50" t="s">
        <v>77</v>
      </c>
      <c r="J50">
        <v>0</v>
      </c>
    </row>
    <row r="51">
      <c r="A51" t="s">
        <v>2233</v>
      </c>
      <c r="B51" t="s">
        <v>481</v>
      </c>
      <c r="C51" t="s">
        <v>120</v>
      </c>
      <c r="D51">
        <v>1</v>
      </c>
      <c r="E51" t="s">
        <v>3861</v>
      </c>
      <c r="F51">
        <v>0</v>
      </c>
      <c r="H51" t="s">
        <v>77</v>
      </c>
      <c r="J51">
        <v>0</v>
      </c>
    </row>
    <row r="52">
      <c r="A52" t="s">
        <v>2236</v>
      </c>
      <c r="B52" t="s">
        <v>488</v>
      </c>
      <c r="C52" t="s">
        <v>120</v>
      </c>
      <c r="D52">
        <v>1</v>
      </c>
      <c r="E52" t="s">
        <v>3861</v>
      </c>
      <c r="F52">
        <v>0</v>
      </c>
      <c r="H52" t="s">
        <v>77</v>
      </c>
      <c r="J52">
        <v>0</v>
      </c>
    </row>
    <row r="53">
      <c r="A53" t="s">
        <v>2239</v>
      </c>
      <c r="B53" t="s">
        <v>496</v>
      </c>
      <c r="C53" t="s">
        <v>154</v>
      </c>
      <c r="D53">
        <v>1</v>
      </c>
      <c r="E53" t="s">
        <v>3860</v>
      </c>
      <c r="F53">
        <v>0</v>
      </c>
      <c r="H53" t="s">
        <v>77</v>
      </c>
      <c r="J53">
        <v>0</v>
      </c>
    </row>
    <row r="54">
      <c r="A54" t="s">
        <v>2242</v>
      </c>
      <c r="B54" t="s">
        <v>502</v>
      </c>
      <c r="C54" t="s">
        <v>154</v>
      </c>
      <c r="D54">
        <v>0</v>
      </c>
      <c r="F54">
        <v>0</v>
      </c>
      <c r="H54" t="s">
        <v>77</v>
      </c>
      <c r="J54">
        <v>0</v>
      </c>
    </row>
    <row r="55">
      <c r="A55" t="s">
        <v>2245</v>
      </c>
      <c r="B55" t="s">
        <v>508</v>
      </c>
      <c r="C55" t="s">
        <v>154</v>
      </c>
      <c r="D55">
        <v>1</v>
      </c>
      <c r="E55" t="s">
        <v>3860</v>
      </c>
      <c r="F55">
        <v>0</v>
      </c>
      <c r="H55" t="s">
        <v>77</v>
      </c>
      <c r="J55">
        <v>0</v>
      </c>
    </row>
    <row r="56">
      <c r="A56" t="s">
        <v>2248</v>
      </c>
      <c r="B56" t="s">
        <v>515</v>
      </c>
      <c r="C56" t="s">
        <v>120</v>
      </c>
      <c r="D56">
        <v>0</v>
      </c>
      <c r="F56">
        <v>0</v>
      </c>
      <c r="H56" t="s">
        <v>77</v>
      </c>
      <c r="J56">
        <v>0</v>
      </c>
    </row>
    <row r="57">
      <c r="A57" t="s">
        <v>2251</v>
      </c>
      <c r="B57" t="s">
        <v>524</v>
      </c>
      <c r="C57" t="s">
        <v>120</v>
      </c>
      <c r="D57">
        <v>1</v>
      </c>
      <c r="E57" t="s">
        <v>3849</v>
      </c>
      <c r="F57">
        <v>0</v>
      </c>
      <c r="H57" t="s">
        <v>77</v>
      </c>
      <c r="J57">
        <v>0</v>
      </c>
    </row>
    <row r="58">
      <c r="A58" t="s">
        <v>2254</v>
      </c>
      <c r="B58" t="s">
        <v>532</v>
      </c>
      <c r="C58" t="s">
        <v>120</v>
      </c>
      <c r="D58">
        <v>1</v>
      </c>
      <c r="E58" t="s">
        <v>3862</v>
      </c>
      <c r="F58">
        <v>0</v>
      </c>
      <c r="H58" t="s">
        <v>77</v>
      </c>
      <c r="J58">
        <v>0</v>
      </c>
    </row>
    <row r="59">
      <c r="A59" t="s">
        <v>2257</v>
      </c>
      <c r="B59" t="s">
        <v>538</v>
      </c>
      <c r="C59" t="s">
        <v>120</v>
      </c>
      <c r="D59">
        <v>1</v>
      </c>
      <c r="E59" t="s">
        <v>3863</v>
      </c>
      <c r="F59">
        <v>0</v>
      </c>
      <c r="H59" t="s">
        <v>77</v>
      </c>
      <c r="J59">
        <v>0</v>
      </c>
    </row>
    <row r="60">
      <c r="A60" t="s">
        <v>2260</v>
      </c>
      <c r="B60" t="s">
        <v>548</v>
      </c>
      <c r="C60" t="s">
        <v>120</v>
      </c>
      <c r="D60">
        <v>0</v>
      </c>
      <c r="F60">
        <v>0</v>
      </c>
      <c r="H60" t="s">
        <v>77</v>
      </c>
      <c r="J60">
        <v>0</v>
      </c>
    </row>
    <row r="61">
      <c r="A61" t="s">
        <v>2263</v>
      </c>
      <c r="B61" t="s">
        <v>556</v>
      </c>
      <c r="C61" t="s">
        <v>120</v>
      </c>
      <c r="D61">
        <v>0</v>
      </c>
      <c r="F61">
        <v>0</v>
      </c>
      <c r="H61" t="s">
        <v>80</v>
      </c>
      <c r="I61" t="s">
        <v>119</v>
      </c>
      <c r="J61">
        <v>0</v>
      </c>
    </row>
    <row r="62">
      <c r="A62" t="s">
        <v>2266</v>
      </c>
      <c r="B62" t="s">
        <v>561</v>
      </c>
      <c r="C62" t="s">
        <v>120</v>
      </c>
      <c r="D62">
        <v>1</v>
      </c>
      <c r="E62" t="s">
        <v>3864</v>
      </c>
      <c r="F62">
        <v>0</v>
      </c>
      <c r="H62" t="s">
        <v>77</v>
      </c>
      <c r="J62">
        <v>0</v>
      </c>
    </row>
    <row r="63">
      <c r="A63" t="s">
        <v>2269</v>
      </c>
      <c r="B63" t="s">
        <v>569</v>
      </c>
      <c r="C63" t="s">
        <v>120</v>
      </c>
      <c r="D63">
        <v>1</v>
      </c>
      <c r="E63" t="s">
        <v>3865</v>
      </c>
      <c r="F63">
        <v>0</v>
      </c>
      <c r="H63" t="s">
        <v>77</v>
      </c>
      <c r="J63">
        <v>0</v>
      </c>
    </row>
    <row r="64">
      <c r="A64" t="s">
        <v>2272</v>
      </c>
      <c r="B64" t="s">
        <v>580</v>
      </c>
      <c r="C64" t="s">
        <v>154</v>
      </c>
      <c r="D64">
        <v>1</v>
      </c>
      <c r="E64" t="s">
        <v>3866</v>
      </c>
      <c r="F64">
        <v>0</v>
      </c>
      <c r="H64" t="s">
        <v>77</v>
      </c>
      <c r="J64">
        <v>0</v>
      </c>
    </row>
    <row r="65">
      <c r="A65" t="s">
        <v>2275</v>
      </c>
      <c r="B65" t="s">
        <v>587</v>
      </c>
      <c r="C65" t="s">
        <v>154</v>
      </c>
      <c r="D65">
        <v>2</v>
      </c>
      <c r="E65" t="s">
        <v>3924</v>
      </c>
      <c r="F65">
        <v>0</v>
      </c>
      <c r="H65" t="s">
        <v>77</v>
      </c>
      <c r="J65">
        <v>0</v>
      </c>
    </row>
    <row r="66">
      <c r="A66" t="s">
        <v>2278</v>
      </c>
      <c r="B66" t="s">
        <v>593</v>
      </c>
      <c r="C66" t="s">
        <v>120</v>
      </c>
      <c r="D66">
        <v>2</v>
      </c>
      <c r="E66" t="s">
        <v>594</v>
      </c>
      <c r="F66">
        <v>0</v>
      </c>
      <c r="H66" t="s">
        <v>77</v>
      </c>
      <c r="J66">
        <v>0</v>
      </c>
    </row>
    <row r="67">
      <c r="A67" t="s">
        <v>2281</v>
      </c>
      <c r="B67" t="s">
        <v>602</v>
      </c>
      <c r="C67" t="s">
        <v>120</v>
      </c>
      <c r="D67">
        <v>1</v>
      </c>
      <c r="E67" t="s">
        <v>3867</v>
      </c>
      <c r="F67">
        <v>0</v>
      </c>
      <c r="H67" t="s">
        <v>77</v>
      </c>
      <c r="J67">
        <v>0</v>
      </c>
    </row>
    <row r="68">
      <c r="A68" t="s">
        <v>2284</v>
      </c>
      <c r="B68" t="s">
        <v>610</v>
      </c>
      <c r="C68" t="s">
        <v>120</v>
      </c>
      <c r="D68">
        <v>1</v>
      </c>
      <c r="E68" t="s">
        <v>3869</v>
      </c>
      <c r="F68">
        <v>0</v>
      </c>
      <c r="H68" t="s">
        <v>77</v>
      </c>
      <c r="J68">
        <v>0</v>
      </c>
    </row>
    <row r="69">
      <c r="A69" t="s">
        <v>2287</v>
      </c>
      <c r="B69" t="s">
        <v>617</v>
      </c>
      <c r="C69" t="s">
        <v>120</v>
      </c>
      <c r="D69">
        <v>0</v>
      </c>
      <c r="F69">
        <v>0</v>
      </c>
      <c r="H69" t="s">
        <v>77</v>
      </c>
      <c r="J69">
        <v>0</v>
      </c>
    </row>
    <row r="70">
      <c r="A70" t="s">
        <v>2290</v>
      </c>
      <c r="B70" t="s">
        <v>624</v>
      </c>
      <c r="C70" t="s">
        <v>120</v>
      </c>
      <c r="D70">
        <v>1</v>
      </c>
      <c r="E70" t="s">
        <v>3870</v>
      </c>
      <c r="F70">
        <v>0</v>
      </c>
      <c r="H70" t="s">
        <v>77</v>
      </c>
      <c r="J70">
        <v>0</v>
      </c>
    </row>
    <row r="71">
      <c r="A71" t="s">
        <v>2293</v>
      </c>
      <c r="B71" t="s">
        <v>634</v>
      </c>
      <c r="C71" t="s">
        <v>120</v>
      </c>
      <c r="D71">
        <v>1</v>
      </c>
      <c r="E71" t="s">
        <v>3867</v>
      </c>
      <c r="F71">
        <v>0</v>
      </c>
      <c r="H71" t="s">
        <v>80</v>
      </c>
      <c r="I71" t="s">
        <v>1114</v>
      </c>
      <c r="J71">
        <v>0</v>
      </c>
    </row>
    <row r="72">
      <c r="A72" t="s">
        <v>2296</v>
      </c>
      <c r="B72" t="s">
        <v>641</v>
      </c>
      <c r="C72" t="s">
        <v>120</v>
      </c>
      <c r="D72">
        <v>1</v>
      </c>
      <c r="E72" t="s">
        <v>642</v>
      </c>
      <c r="F72">
        <v>0</v>
      </c>
      <c r="H72" t="s">
        <v>77</v>
      </c>
      <c r="J72">
        <v>0</v>
      </c>
    </row>
    <row r="73">
      <c r="A73" t="s">
        <v>2299</v>
      </c>
      <c r="B73" t="s">
        <v>647</v>
      </c>
      <c r="C73" t="s">
        <v>120</v>
      </c>
      <c r="D73">
        <v>0</v>
      </c>
      <c r="F73">
        <v>0</v>
      </c>
      <c r="H73" t="s">
        <v>77</v>
      </c>
      <c r="J73">
        <v>0</v>
      </c>
    </row>
    <row r="74">
      <c r="A74" t="s">
        <v>2302</v>
      </c>
      <c r="B74" t="s">
        <v>656</v>
      </c>
      <c r="C74" t="s">
        <v>120</v>
      </c>
      <c r="D74">
        <v>1</v>
      </c>
      <c r="E74" t="s">
        <v>3865</v>
      </c>
      <c r="F74">
        <v>0</v>
      </c>
      <c r="H74" t="s">
        <v>77</v>
      </c>
      <c r="J74">
        <v>0</v>
      </c>
    </row>
    <row r="75">
      <c r="A75" t="s">
        <v>2305</v>
      </c>
      <c r="B75" t="s">
        <v>664</v>
      </c>
      <c r="C75" t="s">
        <v>120</v>
      </c>
      <c r="D75">
        <v>1</v>
      </c>
      <c r="E75" t="s">
        <v>3871</v>
      </c>
      <c r="F75">
        <v>0</v>
      </c>
      <c r="H75" t="s">
        <v>77</v>
      </c>
      <c r="J75">
        <v>0</v>
      </c>
    </row>
    <row r="76">
      <c r="A76" t="s">
        <v>2308</v>
      </c>
      <c r="B76" t="s">
        <v>671</v>
      </c>
      <c r="C76" t="s">
        <v>120</v>
      </c>
      <c r="D76">
        <v>2</v>
      </c>
      <c r="E76" t="s">
        <v>3925</v>
      </c>
      <c r="F76">
        <v>0</v>
      </c>
      <c r="H76" t="s">
        <v>77</v>
      </c>
      <c r="J76">
        <v>0</v>
      </c>
    </row>
    <row r="77">
      <c r="A77" t="s">
        <v>2311</v>
      </c>
      <c r="B77" t="s">
        <v>683</v>
      </c>
      <c r="C77" t="s">
        <v>120</v>
      </c>
      <c r="D77">
        <v>0</v>
      </c>
      <c r="F77">
        <v>0</v>
      </c>
      <c r="H77" t="s">
        <v>77</v>
      </c>
      <c r="J77">
        <v>0</v>
      </c>
    </row>
    <row r="78">
      <c r="A78" t="s">
        <v>2314</v>
      </c>
      <c r="B78" t="s">
        <v>691</v>
      </c>
      <c r="C78" t="s">
        <v>120</v>
      </c>
      <c r="D78">
        <v>0</v>
      </c>
      <c r="F78">
        <v>0</v>
      </c>
      <c r="H78" t="s">
        <v>77</v>
      </c>
      <c r="J78">
        <v>0</v>
      </c>
    </row>
    <row r="79">
      <c r="A79" t="s">
        <v>2317</v>
      </c>
      <c r="B79" t="s">
        <v>697</v>
      </c>
      <c r="C79" t="s">
        <v>120</v>
      </c>
      <c r="D79">
        <v>0</v>
      </c>
      <c r="F79">
        <v>0</v>
      </c>
      <c r="H79" t="s">
        <v>77</v>
      </c>
      <c r="J79">
        <v>0</v>
      </c>
    </row>
    <row r="80">
      <c r="A80" t="s">
        <v>2320</v>
      </c>
      <c r="B80" t="s">
        <v>702</v>
      </c>
      <c r="C80" t="s">
        <v>120</v>
      </c>
      <c r="D80">
        <v>0</v>
      </c>
      <c r="F80">
        <v>0</v>
      </c>
      <c r="H80" t="s">
        <v>77</v>
      </c>
      <c r="J80">
        <v>0</v>
      </c>
    </row>
    <row r="81">
      <c r="A81" t="s">
        <v>2323</v>
      </c>
      <c r="B81" t="s">
        <v>707</v>
      </c>
      <c r="C81" t="s">
        <v>120</v>
      </c>
      <c r="D81">
        <v>0</v>
      </c>
      <c r="F81">
        <v>0</v>
      </c>
      <c r="H81" t="s">
        <v>77</v>
      </c>
      <c r="J81">
        <v>0</v>
      </c>
    </row>
    <row r="82">
      <c r="A82" t="s">
        <v>2326</v>
      </c>
      <c r="B82" t="s">
        <v>713</v>
      </c>
      <c r="C82" t="s">
        <v>120</v>
      </c>
      <c r="D82">
        <v>0</v>
      </c>
      <c r="F82">
        <v>0</v>
      </c>
      <c r="H82" t="s">
        <v>77</v>
      </c>
      <c r="J82">
        <v>0</v>
      </c>
    </row>
    <row r="83">
      <c r="A83" t="s">
        <v>2329</v>
      </c>
      <c r="B83" t="s">
        <v>721</v>
      </c>
      <c r="C83" t="s">
        <v>120</v>
      </c>
      <c r="D83">
        <v>0</v>
      </c>
      <c r="F83">
        <v>0</v>
      </c>
      <c r="H83" t="s">
        <v>77</v>
      </c>
      <c r="J83">
        <v>0</v>
      </c>
    </row>
    <row r="84">
      <c r="A84" t="s">
        <v>2332</v>
      </c>
      <c r="B84" t="s">
        <v>728</v>
      </c>
      <c r="C84" t="s">
        <v>120</v>
      </c>
      <c r="D84">
        <v>0</v>
      </c>
      <c r="F84">
        <v>0</v>
      </c>
      <c r="H84" t="s">
        <v>77</v>
      </c>
      <c r="J84">
        <v>0</v>
      </c>
    </row>
    <row r="85">
      <c r="A85" t="s">
        <v>2335</v>
      </c>
      <c r="B85" t="s">
        <v>736</v>
      </c>
      <c r="C85" t="s">
        <v>120</v>
      </c>
      <c r="D85">
        <v>0</v>
      </c>
      <c r="F85">
        <v>0</v>
      </c>
      <c r="H85" t="s">
        <v>80</v>
      </c>
      <c r="I85" t="s">
        <v>743</v>
      </c>
      <c r="J85">
        <v>0</v>
      </c>
    </row>
    <row r="86">
      <c r="A86" t="s">
        <v>2338</v>
      </c>
      <c r="B86" t="s">
        <v>743</v>
      </c>
      <c r="C86" t="s">
        <v>120</v>
      </c>
      <c r="D86">
        <v>0</v>
      </c>
      <c r="F86">
        <v>0</v>
      </c>
      <c r="H86" t="s">
        <v>80</v>
      </c>
      <c r="I86" t="s">
        <v>736</v>
      </c>
      <c r="J86">
        <v>0</v>
      </c>
    </row>
    <row r="87">
      <c r="A87" t="s">
        <v>2340</v>
      </c>
      <c r="B87" t="s">
        <v>749</v>
      </c>
      <c r="C87" t="s">
        <v>120</v>
      </c>
      <c r="D87">
        <v>1</v>
      </c>
      <c r="E87" t="s">
        <v>3874</v>
      </c>
      <c r="F87">
        <v>0</v>
      </c>
      <c r="H87" t="s">
        <v>77</v>
      </c>
      <c r="J87">
        <v>0</v>
      </c>
    </row>
    <row r="88">
      <c r="A88" t="s">
        <v>2343</v>
      </c>
      <c r="B88" t="s">
        <v>758</v>
      </c>
      <c r="C88" t="s">
        <v>120</v>
      </c>
      <c r="D88">
        <v>0</v>
      </c>
      <c r="F88">
        <v>0</v>
      </c>
      <c r="H88" t="s">
        <v>77</v>
      </c>
      <c r="J88">
        <v>0</v>
      </c>
    </row>
    <row r="89">
      <c r="A89" t="s">
        <v>2346</v>
      </c>
      <c r="B89" t="s">
        <v>764</v>
      </c>
      <c r="C89" t="s">
        <v>120</v>
      </c>
      <c r="D89">
        <v>0</v>
      </c>
      <c r="F89">
        <v>0</v>
      </c>
      <c r="H89" t="s">
        <v>77</v>
      </c>
      <c r="J89">
        <v>0</v>
      </c>
    </row>
    <row r="90">
      <c r="A90" t="s">
        <v>2349</v>
      </c>
      <c r="B90" t="s">
        <v>769</v>
      </c>
      <c r="C90" t="s">
        <v>120</v>
      </c>
      <c r="D90">
        <v>0</v>
      </c>
      <c r="F90">
        <v>0</v>
      </c>
      <c r="H90" t="s">
        <v>77</v>
      </c>
      <c r="J90">
        <v>0</v>
      </c>
    </row>
    <row r="91">
      <c r="A91" t="s">
        <v>2351</v>
      </c>
      <c r="B91" t="s">
        <v>775</v>
      </c>
      <c r="C91" t="s">
        <v>120</v>
      </c>
      <c r="D91">
        <v>0</v>
      </c>
      <c r="F91">
        <v>0</v>
      </c>
      <c r="H91" t="s">
        <v>77</v>
      </c>
      <c r="J91">
        <v>0</v>
      </c>
    </row>
    <row r="92">
      <c r="A92" t="s">
        <v>2354</v>
      </c>
      <c r="B92" t="s">
        <v>783</v>
      </c>
      <c r="C92" t="s">
        <v>120</v>
      </c>
      <c r="D92">
        <v>0</v>
      </c>
      <c r="F92">
        <v>0</v>
      </c>
      <c r="H92" t="s">
        <v>77</v>
      </c>
      <c r="J92">
        <v>0</v>
      </c>
    </row>
    <row r="93">
      <c r="A93" t="s">
        <v>2357</v>
      </c>
      <c r="B93" t="s">
        <v>790</v>
      </c>
      <c r="C93" t="s">
        <v>120</v>
      </c>
      <c r="D93">
        <v>0</v>
      </c>
      <c r="F93">
        <v>0</v>
      </c>
      <c r="H93" t="s">
        <v>77</v>
      </c>
      <c r="J93">
        <v>0</v>
      </c>
    </row>
    <row r="94">
      <c r="A94" t="s">
        <v>2360</v>
      </c>
      <c r="B94" t="s">
        <v>795</v>
      </c>
      <c r="C94" t="s">
        <v>120</v>
      </c>
      <c r="D94">
        <v>0</v>
      </c>
      <c r="F94">
        <v>0</v>
      </c>
      <c r="H94" t="s">
        <v>77</v>
      </c>
      <c r="J94">
        <v>0</v>
      </c>
    </row>
    <row r="95">
      <c r="A95" t="s">
        <v>2363</v>
      </c>
      <c r="B95" t="s">
        <v>800</v>
      </c>
      <c r="C95" t="s">
        <v>120</v>
      </c>
      <c r="D95">
        <v>0</v>
      </c>
      <c r="F95">
        <v>0</v>
      </c>
      <c r="H95" t="s">
        <v>77</v>
      </c>
      <c r="J95">
        <v>0</v>
      </c>
    </row>
    <row r="96">
      <c r="A96" t="s">
        <v>2366</v>
      </c>
      <c r="B96" t="s">
        <v>808</v>
      </c>
      <c r="C96" t="s">
        <v>120</v>
      </c>
      <c r="D96">
        <v>0</v>
      </c>
      <c r="F96">
        <v>0</v>
      </c>
      <c r="H96" t="s">
        <v>77</v>
      </c>
      <c r="J96">
        <v>0</v>
      </c>
    </row>
    <row r="97">
      <c r="A97" t="s">
        <v>2369</v>
      </c>
      <c r="B97" t="s">
        <v>815</v>
      </c>
      <c r="C97" t="s">
        <v>120</v>
      </c>
      <c r="D97">
        <v>0</v>
      </c>
      <c r="F97">
        <v>0</v>
      </c>
      <c r="H97" t="s">
        <v>77</v>
      </c>
      <c r="J97">
        <v>0</v>
      </c>
    </row>
    <row r="98">
      <c r="A98" t="s">
        <v>2372</v>
      </c>
      <c r="B98" t="s">
        <v>820</v>
      </c>
      <c r="C98" t="s">
        <v>120</v>
      </c>
      <c r="D98">
        <v>0</v>
      </c>
      <c r="F98">
        <v>0</v>
      </c>
      <c r="H98" t="s">
        <v>77</v>
      </c>
      <c r="J98">
        <v>0</v>
      </c>
    </row>
    <row r="99">
      <c r="A99" t="s">
        <v>2375</v>
      </c>
      <c r="B99" t="s">
        <v>826</v>
      </c>
      <c r="C99" t="s">
        <v>120</v>
      </c>
      <c r="D99">
        <v>0</v>
      </c>
      <c r="F99">
        <v>0</v>
      </c>
      <c r="H99" t="s">
        <v>77</v>
      </c>
      <c r="J99">
        <v>0</v>
      </c>
    </row>
    <row r="100">
      <c r="A100" t="s">
        <v>2378</v>
      </c>
      <c r="B100" t="s">
        <v>836</v>
      </c>
      <c r="C100" t="s">
        <v>120</v>
      </c>
      <c r="D100">
        <v>0</v>
      </c>
      <c r="F100">
        <v>0</v>
      </c>
      <c r="H100" t="s">
        <v>77</v>
      </c>
      <c r="J100">
        <v>0</v>
      </c>
    </row>
    <row r="101">
      <c r="A101" t="s">
        <v>2381</v>
      </c>
      <c r="B101" t="s">
        <v>843</v>
      </c>
      <c r="C101" t="s">
        <v>120</v>
      </c>
      <c r="D101">
        <v>0</v>
      </c>
      <c r="F101">
        <v>0</v>
      </c>
      <c r="H101" t="s">
        <v>77</v>
      </c>
      <c r="J101">
        <v>0</v>
      </c>
    </row>
    <row r="102">
      <c r="A102" t="s">
        <v>2384</v>
      </c>
      <c r="B102" t="s">
        <v>850</v>
      </c>
      <c r="C102" t="s">
        <v>120</v>
      </c>
      <c r="D102">
        <v>0</v>
      </c>
      <c r="F102">
        <v>0</v>
      </c>
      <c r="H102" t="s">
        <v>77</v>
      </c>
      <c r="J102">
        <v>0</v>
      </c>
    </row>
    <row r="103">
      <c r="A103" t="s">
        <v>2387</v>
      </c>
      <c r="B103" t="s">
        <v>857</v>
      </c>
      <c r="C103" t="s">
        <v>120</v>
      </c>
      <c r="D103">
        <v>0</v>
      </c>
      <c r="F103">
        <v>0</v>
      </c>
      <c r="H103" t="s">
        <v>77</v>
      </c>
      <c r="J103">
        <v>0</v>
      </c>
    </row>
    <row r="104">
      <c r="A104" t="s">
        <v>2390</v>
      </c>
      <c r="B104" t="s">
        <v>864</v>
      </c>
      <c r="C104" t="s">
        <v>120</v>
      </c>
      <c r="D104">
        <v>0</v>
      </c>
      <c r="F104">
        <v>0</v>
      </c>
      <c r="H104" t="s">
        <v>77</v>
      </c>
      <c r="J104">
        <v>0</v>
      </c>
    </row>
    <row r="105">
      <c r="A105" t="s">
        <v>2393</v>
      </c>
      <c r="B105" t="s">
        <v>870</v>
      </c>
      <c r="C105" t="s">
        <v>120</v>
      </c>
      <c r="D105">
        <v>0</v>
      </c>
      <c r="F105">
        <v>0</v>
      </c>
      <c r="H105" t="s">
        <v>77</v>
      </c>
      <c r="J105">
        <v>0</v>
      </c>
    </row>
    <row r="106">
      <c r="A106" t="s">
        <v>2396</v>
      </c>
      <c r="B106" t="s">
        <v>877</v>
      </c>
      <c r="C106" t="s">
        <v>120</v>
      </c>
      <c r="D106">
        <v>0</v>
      </c>
      <c r="F106">
        <v>0</v>
      </c>
      <c r="H106" t="s">
        <v>77</v>
      </c>
      <c r="J106">
        <v>0</v>
      </c>
    </row>
    <row r="107">
      <c r="A107" t="s">
        <v>2399</v>
      </c>
      <c r="B107" t="s">
        <v>882</v>
      </c>
      <c r="C107" t="s">
        <v>120</v>
      </c>
      <c r="D107">
        <v>0</v>
      </c>
      <c r="F107">
        <v>0</v>
      </c>
      <c r="H107" t="s">
        <v>77</v>
      </c>
      <c r="J107">
        <v>0</v>
      </c>
    </row>
    <row r="108">
      <c r="A108" t="s">
        <v>2402</v>
      </c>
      <c r="B108" t="s">
        <v>889</v>
      </c>
      <c r="C108" t="s">
        <v>120</v>
      </c>
      <c r="D108">
        <v>0</v>
      </c>
      <c r="F108">
        <v>0</v>
      </c>
      <c r="H108" t="s">
        <v>77</v>
      </c>
      <c r="J108">
        <v>0</v>
      </c>
    </row>
    <row r="109">
      <c r="A109" t="s">
        <v>2405</v>
      </c>
      <c r="B109" t="s">
        <v>899</v>
      </c>
      <c r="C109" t="s">
        <v>120</v>
      </c>
      <c r="D109">
        <v>0</v>
      </c>
      <c r="F109">
        <v>0</v>
      </c>
      <c r="H109" t="s">
        <v>77</v>
      </c>
      <c r="J109">
        <v>0</v>
      </c>
    </row>
    <row r="110">
      <c r="A110" t="s">
        <v>2408</v>
      </c>
      <c r="B110" t="s">
        <v>906</v>
      </c>
      <c r="C110" t="s">
        <v>120</v>
      </c>
      <c r="D110">
        <v>0</v>
      </c>
      <c r="F110">
        <v>0</v>
      </c>
      <c r="H110" t="s">
        <v>77</v>
      </c>
      <c r="J110">
        <v>0</v>
      </c>
    </row>
    <row r="111">
      <c r="A111" t="s">
        <v>2411</v>
      </c>
      <c r="B111" t="s">
        <v>912</v>
      </c>
      <c r="C111" t="s">
        <v>120</v>
      </c>
      <c r="D111">
        <v>0</v>
      </c>
      <c r="F111">
        <v>0</v>
      </c>
      <c r="H111" t="s">
        <v>77</v>
      </c>
      <c r="J111">
        <v>0</v>
      </c>
    </row>
    <row r="112">
      <c r="A112" t="s">
        <v>2414</v>
      </c>
      <c r="B112" t="s">
        <v>919</v>
      </c>
      <c r="C112" t="s">
        <v>120</v>
      </c>
      <c r="D112">
        <v>0</v>
      </c>
      <c r="F112">
        <v>0</v>
      </c>
      <c r="H112" t="s">
        <v>80</v>
      </c>
      <c r="I112" t="s">
        <v>953</v>
      </c>
      <c r="J112">
        <v>0</v>
      </c>
    </row>
    <row r="113">
      <c r="A113" t="s">
        <v>2417</v>
      </c>
      <c r="B113" t="s">
        <v>925</v>
      </c>
      <c r="C113" t="s">
        <v>120</v>
      </c>
      <c r="D113">
        <v>0</v>
      </c>
      <c r="F113">
        <v>0</v>
      </c>
      <c r="H113" t="s">
        <v>77</v>
      </c>
      <c r="J113">
        <v>0</v>
      </c>
    </row>
    <row r="114">
      <c r="A114" t="s">
        <v>2420</v>
      </c>
      <c r="B114" t="s">
        <v>935</v>
      </c>
      <c r="C114" t="s">
        <v>120</v>
      </c>
      <c r="D114">
        <v>0</v>
      </c>
      <c r="F114">
        <v>0</v>
      </c>
      <c r="H114" t="s">
        <v>77</v>
      </c>
      <c r="J114">
        <v>0</v>
      </c>
    </row>
    <row r="115">
      <c r="A115" t="s">
        <v>2423</v>
      </c>
      <c r="B115" t="s">
        <v>940</v>
      </c>
      <c r="C115" t="s">
        <v>120</v>
      </c>
      <c r="D115">
        <v>0</v>
      </c>
      <c r="F115">
        <v>0</v>
      </c>
      <c r="H115" t="s">
        <v>77</v>
      </c>
      <c r="J115">
        <v>0</v>
      </c>
    </row>
    <row r="116">
      <c r="A116" t="s">
        <v>2426</v>
      </c>
      <c r="B116" t="s">
        <v>946</v>
      </c>
      <c r="C116" t="s">
        <v>120</v>
      </c>
      <c r="D116">
        <v>0</v>
      </c>
      <c r="F116">
        <v>0</v>
      </c>
      <c r="H116" t="s">
        <v>77</v>
      </c>
      <c r="J116">
        <v>0</v>
      </c>
    </row>
    <row r="117">
      <c r="A117" t="s">
        <v>2429</v>
      </c>
      <c r="B117" t="s">
        <v>953</v>
      </c>
      <c r="C117" t="s">
        <v>120</v>
      </c>
      <c r="D117">
        <v>0</v>
      </c>
      <c r="F117">
        <v>0</v>
      </c>
      <c r="H117" t="s">
        <v>80</v>
      </c>
      <c r="I117" t="s">
        <v>919</v>
      </c>
      <c r="J117">
        <v>0</v>
      </c>
    </row>
    <row r="118">
      <c r="A118" t="s">
        <v>2431</v>
      </c>
      <c r="B118" t="s">
        <v>962</v>
      </c>
      <c r="C118" t="s">
        <v>97</v>
      </c>
      <c r="D118">
        <v>0</v>
      </c>
      <c r="F118">
        <v>0</v>
      </c>
      <c r="H118" t="s">
        <v>77</v>
      </c>
      <c r="J118">
        <v>0</v>
      </c>
      <c r="L118" t="s">
        <v>2077</v>
      </c>
    </row>
    <row r="119">
      <c r="A119" t="s">
        <v>2439</v>
      </c>
      <c r="B119" t="s">
        <v>973</v>
      </c>
      <c r="C119" t="s">
        <v>154</v>
      </c>
      <c r="D119">
        <v>1</v>
      </c>
      <c r="E119" t="s">
        <v>3860</v>
      </c>
      <c r="F119">
        <v>0</v>
      </c>
      <c r="H119" t="s">
        <v>77</v>
      </c>
      <c r="J119">
        <v>0</v>
      </c>
    </row>
    <row r="120">
      <c r="A120" t="s">
        <v>2446</v>
      </c>
      <c r="B120" t="s">
        <v>981</v>
      </c>
      <c r="C120" t="s">
        <v>154</v>
      </c>
      <c r="D120">
        <v>0</v>
      </c>
      <c r="F120">
        <v>0</v>
      </c>
      <c r="H120" t="s">
        <v>80</v>
      </c>
      <c r="I120" t="s">
        <v>1131</v>
      </c>
      <c r="J120">
        <v>0</v>
      </c>
    </row>
    <row r="121">
      <c r="A121" t="s">
        <v>2449</v>
      </c>
      <c r="B121" t="s">
        <v>987</v>
      </c>
      <c r="C121" t="s">
        <v>154</v>
      </c>
      <c r="D121">
        <v>1</v>
      </c>
      <c r="E121" t="s">
        <v>3875</v>
      </c>
      <c r="F121">
        <v>0</v>
      </c>
      <c r="H121" t="s">
        <v>77</v>
      </c>
      <c r="J121">
        <v>0</v>
      </c>
    </row>
    <row r="122">
      <c r="A122" t="s">
        <v>2452</v>
      </c>
      <c r="B122" t="s">
        <v>993</v>
      </c>
      <c r="C122" t="s">
        <v>120</v>
      </c>
      <c r="D122">
        <v>1</v>
      </c>
      <c r="E122" t="s">
        <v>3864</v>
      </c>
      <c r="F122">
        <v>0</v>
      </c>
      <c r="H122" t="s">
        <v>77</v>
      </c>
      <c r="J122">
        <v>0</v>
      </c>
    </row>
    <row r="123">
      <c r="A123" t="s">
        <v>2455</v>
      </c>
      <c r="B123" t="s">
        <v>1001</v>
      </c>
      <c r="C123" t="s">
        <v>120</v>
      </c>
      <c r="D123">
        <v>2</v>
      </c>
      <c r="E123" t="s">
        <v>3926</v>
      </c>
      <c r="F123">
        <v>0</v>
      </c>
      <c r="H123" t="s">
        <v>77</v>
      </c>
      <c r="J123">
        <v>0</v>
      </c>
    </row>
    <row r="124">
      <c r="A124" t="s">
        <v>2458</v>
      </c>
      <c r="B124" t="s">
        <v>1007</v>
      </c>
      <c r="C124" t="s">
        <v>120</v>
      </c>
      <c r="D124">
        <v>1</v>
      </c>
      <c r="E124" t="s">
        <v>3878</v>
      </c>
      <c r="F124">
        <v>0</v>
      </c>
      <c r="H124" t="s">
        <v>77</v>
      </c>
      <c r="J124">
        <v>0</v>
      </c>
    </row>
    <row r="125">
      <c r="A125" t="s">
        <v>2461</v>
      </c>
      <c r="B125" t="s">
        <v>1015</v>
      </c>
      <c r="C125" t="s">
        <v>154</v>
      </c>
      <c r="D125">
        <v>0</v>
      </c>
      <c r="F125">
        <v>0</v>
      </c>
      <c r="H125" t="s">
        <v>77</v>
      </c>
      <c r="J125">
        <v>0</v>
      </c>
    </row>
    <row r="126">
      <c r="A126" t="s">
        <v>2464</v>
      </c>
      <c r="B126" t="s">
        <v>1022</v>
      </c>
      <c r="C126" t="s">
        <v>120</v>
      </c>
      <c r="D126">
        <v>1</v>
      </c>
      <c r="E126" t="s">
        <v>3864</v>
      </c>
      <c r="F126">
        <v>0</v>
      </c>
      <c r="H126" t="s">
        <v>77</v>
      </c>
      <c r="J126">
        <v>0</v>
      </c>
    </row>
    <row r="127">
      <c r="A127" t="s">
        <v>2467</v>
      </c>
      <c r="B127" t="s">
        <v>1029</v>
      </c>
      <c r="C127" t="s">
        <v>154</v>
      </c>
      <c r="D127">
        <v>0</v>
      </c>
      <c r="F127">
        <v>0</v>
      </c>
      <c r="H127" t="s">
        <v>77</v>
      </c>
      <c r="J127">
        <v>0</v>
      </c>
    </row>
    <row r="128">
      <c r="A128" t="s">
        <v>2471</v>
      </c>
      <c r="B128" t="s">
        <v>1035</v>
      </c>
      <c r="C128" t="s">
        <v>120</v>
      </c>
      <c r="D128">
        <v>2</v>
      </c>
      <c r="E128" t="s">
        <v>1036</v>
      </c>
      <c r="F128">
        <v>0</v>
      </c>
      <c r="H128" t="s">
        <v>77</v>
      </c>
      <c r="J128">
        <v>0</v>
      </c>
    </row>
    <row r="129">
      <c r="A129" t="s">
        <v>2474</v>
      </c>
      <c r="B129" t="s">
        <v>1043</v>
      </c>
      <c r="C129" t="s">
        <v>120</v>
      </c>
      <c r="D129">
        <v>1</v>
      </c>
      <c r="E129" t="s">
        <v>3877</v>
      </c>
      <c r="F129">
        <v>0</v>
      </c>
      <c r="H129" t="s">
        <v>77</v>
      </c>
      <c r="J129">
        <v>0</v>
      </c>
    </row>
    <row r="130">
      <c r="A130" t="s">
        <v>2477</v>
      </c>
      <c r="B130" t="s">
        <v>1050</v>
      </c>
      <c r="C130" t="s">
        <v>154</v>
      </c>
      <c r="D130">
        <v>1</v>
      </c>
      <c r="E130" t="s">
        <v>1727</v>
      </c>
      <c r="F130">
        <v>0</v>
      </c>
      <c r="H130" t="s">
        <v>77</v>
      </c>
      <c r="J130">
        <v>0</v>
      </c>
    </row>
    <row r="131">
      <c r="A131" t="s">
        <v>2480</v>
      </c>
      <c r="B131" t="s">
        <v>1058</v>
      </c>
      <c r="C131" t="s">
        <v>120</v>
      </c>
      <c r="D131">
        <v>1</v>
      </c>
      <c r="E131" t="s">
        <v>3864</v>
      </c>
      <c r="F131">
        <v>0</v>
      </c>
      <c r="H131" t="s">
        <v>77</v>
      </c>
      <c r="J131">
        <v>0</v>
      </c>
    </row>
    <row r="132">
      <c r="A132" t="s">
        <v>2483</v>
      </c>
      <c r="B132" t="s">
        <v>1064</v>
      </c>
      <c r="C132" t="s">
        <v>120</v>
      </c>
      <c r="D132">
        <v>1</v>
      </c>
      <c r="E132" t="s">
        <v>3864</v>
      </c>
      <c r="F132">
        <v>0</v>
      </c>
      <c r="H132" t="s">
        <v>77</v>
      </c>
      <c r="J132">
        <v>0</v>
      </c>
    </row>
    <row r="133">
      <c r="A133" t="s">
        <v>2486</v>
      </c>
      <c r="B133" t="s">
        <v>1074</v>
      </c>
      <c r="C133" t="s">
        <v>120</v>
      </c>
      <c r="D133">
        <v>0</v>
      </c>
      <c r="F133">
        <v>0</v>
      </c>
      <c r="H133" t="s">
        <v>77</v>
      </c>
      <c r="J133">
        <v>0</v>
      </c>
    </row>
    <row r="134">
      <c r="A134" t="s">
        <v>2489</v>
      </c>
      <c r="B134" t="s">
        <v>1081</v>
      </c>
      <c r="C134" t="s">
        <v>120</v>
      </c>
      <c r="D134">
        <v>1</v>
      </c>
      <c r="E134" t="s">
        <v>3864</v>
      </c>
      <c r="F134">
        <v>0</v>
      </c>
      <c r="H134" t="s">
        <v>77</v>
      </c>
      <c r="J134">
        <v>0</v>
      </c>
    </row>
    <row r="135">
      <c r="A135" t="s">
        <v>2492</v>
      </c>
      <c r="B135" t="s">
        <v>1087</v>
      </c>
      <c r="C135" t="s">
        <v>120</v>
      </c>
      <c r="D135">
        <v>1</v>
      </c>
      <c r="E135" t="s">
        <v>1727</v>
      </c>
      <c r="F135">
        <v>0</v>
      </c>
      <c r="H135" t="s">
        <v>77</v>
      </c>
      <c r="J135">
        <v>0</v>
      </c>
    </row>
    <row r="136">
      <c r="A136" t="s">
        <v>2495</v>
      </c>
      <c r="B136" t="s">
        <v>1094</v>
      </c>
      <c r="C136" t="s">
        <v>120</v>
      </c>
      <c r="D136">
        <v>1</v>
      </c>
      <c r="E136" t="s">
        <v>1727</v>
      </c>
      <c r="F136">
        <v>0</v>
      </c>
      <c r="H136" t="s">
        <v>77</v>
      </c>
      <c r="J136">
        <v>0</v>
      </c>
    </row>
    <row r="137">
      <c r="A137" t="s">
        <v>2498</v>
      </c>
      <c r="B137" t="s">
        <v>1101</v>
      </c>
      <c r="C137" t="s">
        <v>120</v>
      </c>
      <c r="D137">
        <v>0</v>
      </c>
      <c r="F137">
        <v>0</v>
      </c>
      <c r="H137" t="s">
        <v>77</v>
      </c>
      <c r="J137">
        <v>0</v>
      </c>
    </row>
    <row r="138">
      <c r="A138" t="s">
        <v>2501</v>
      </c>
      <c r="B138" t="s">
        <v>1109</v>
      </c>
      <c r="C138" t="s">
        <v>120</v>
      </c>
      <c r="D138">
        <v>1</v>
      </c>
      <c r="E138" t="s">
        <v>3864</v>
      </c>
      <c r="F138">
        <v>0</v>
      </c>
      <c r="H138" t="s">
        <v>80</v>
      </c>
      <c r="I138" t="s">
        <v>1235</v>
      </c>
      <c r="J138">
        <v>0</v>
      </c>
    </row>
    <row r="139">
      <c r="A139" t="s">
        <v>2504</v>
      </c>
      <c r="B139" t="s">
        <v>1114</v>
      </c>
      <c r="C139" t="s">
        <v>120</v>
      </c>
      <c r="D139">
        <v>0</v>
      </c>
      <c r="F139">
        <v>0</v>
      </c>
      <c r="H139" t="s">
        <v>80</v>
      </c>
      <c r="I139" t="s">
        <v>634</v>
      </c>
      <c r="J139">
        <v>0</v>
      </c>
    </row>
    <row r="140">
      <c r="A140" t="s">
        <v>2505</v>
      </c>
      <c r="B140" t="s">
        <v>1121</v>
      </c>
      <c r="C140" t="s">
        <v>120</v>
      </c>
      <c r="D140">
        <v>1</v>
      </c>
      <c r="E140" t="s">
        <v>3865</v>
      </c>
      <c r="F140">
        <v>0</v>
      </c>
      <c r="H140" t="s">
        <v>77</v>
      </c>
      <c r="J140">
        <v>0</v>
      </c>
    </row>
    <row r="141">
      <c r="A141" t="s">
        <v>2508</v>
      </c>
      <c r="B141" t="s">
        <v>1131</v>
      </c>
      <c r="C141" t="s">
        <v>129</v>
      </c>
      <c r="D141">
        <v>0</v>
      </c>
      <c r="F141">
        <v>0</v>
      </c>
      <c r="H141" t="s">
        <v>80</v>
      </c>
      <c r="I141" t="s">
        <v>981</v>
      </c>
      <c r="J141">
        <v>0</v>
      </c>
    </row>
    <row r="142">
      <c r="A142" t="s">
        <v>2510</v>
      </c>
      <c r="B142" t="s">
        <v>1139</v>
      </c>
      <c r="C142" t="s">
        <v>129</v>
      </c>
      <c r="D142">
        <v>0</v>
      </c>
      <c r="F142">
        <v>1</v>
      </c>
      <c r="G142" t="s">
        <v>113</v>
      </c>
      <c r="H142" t="s">
        <v>77</v>
      </c>
      <c r="J142">
        <v>0</v>
      </c>
    </row>
    <row r="143">
      <c r="A143" t="s">
        <v>2514</v>
      </c>
      <c r="B143" t="s">
        <v>1145</v>
      </c>
      <c r="C143" t="s">
        <v>97</v>
      </c>
      <c r="D143">
        <v>0</v>
      </c>
      <c r="F143">
        <v>0</v>
      </c>
      <c r="H143" t="s">
        <v>77</v>
      </c>
      <c r="J143">
        <v>0</v>
      </c>
    </row>
    <row r="144">
      <c r="A144" t="s">
        <v>2519</v>
      </c>
      <c r="B144" t="s">
        <v>1152</v>
      </c>
      <c r="C144" t="s">
        <v>97</v>
      </c>
      <c r="D144">
        <v>1</v>
      </c>
      <c r="E144" t="s">
        <v>3880</v>
      </c>
      <c r="F144">
        <v>0</v>
      </c>
      <c r="H144" t="s">
        <v>77</v>
      </c>
      <c r="J144">
        <v>0</v>
      </c>
    </row>
    <row r="145">
      <c r="A145" t="s">
        <v>2522</v>
      </c>
      <c r="B145" t="s">
        <v>1160</v>
      </c>
      <c r="C145" t="s">
        <v>97</v>
      </c>
      <c r="D145">
        <v>2</v>
      </c>
      <c r="E145" t="s">
        <v>3927</v>
      </c>
      <c r="F145">
        <v>1</v>
      </c>
      <c r="G145" t="s">
        <v>1713</v>
      </c>
      <c r="H145" t="s">
        <v>77</v>
      </c>
      <c r="J145">
        <v>0</v>
      </c>
    </row>
    <row r="146">
      <c r="A146" t="s">
        <v>2525</v>
      </c>
      <c r="B146" t="s">
        <v>1168</v>
      </c>
      <c r="C146" t="s">
        <v>154</v>
      </c>
      <c r="D146">
        <v>1</v>
      </c>
      <c r="E146" t="s">
        <v>3882</v>
      </c>
      <c r="F146">
        <v>0</v>
      </c>
      <c r="H146" t="s">
        <v>77</v>
      </c>
      <c r="J146">
        <v>0</v>
      </c>
    </row>
    <row r="147">
      <c r="A147" t="s">
        <v>2528</v>
      </c>
      <c r="B147" t="s">
        <v>1174</v>
      </c>
      <c r="C147" t="s">
        <v>154</v>
      </c>
      <c r="D147">
        <v>1</v>
      </c>
      <c r="E147" t="s">
        <v>3880</v>
      </c>
      <c r="F147">
        <v>0</v>
      </c>
      <c r="H147" t="s">
        <v>77</v>
      </c>
      <c r="J147">
        <v>0</v>
      </c>
    </row>
    <row r="148">
      <c r="A148" t="s">
        <v>2531</v>
      </c>
      <c r="B148" t="s">
        <v>1182</v>
      </c>
      <c r="C148" t="s">
        <v>154</v>
      </c>
      <c r="D148">
        <v>2</v>
      </c>
      <c r="E148" t="s">
        <v>3928</v>
      </c>
      <c r="F148">
        <v>1</v>
      </c>
      <c r="G148" t="s">
        <v>119</v>
      </c>
      <c r="H148" t="s">
        <v>77</v>
      </c>
      <c r="J148">
        <v>0</v>
      </c>
    </row>
    <row r="149">
      <c r="A149" t="s">
        <v>2534</v>
      </c>
      <c r="B149" t="s">
        <v>1190</v>
      </c>
      <c r="C149" t="s">
        <v>120</v>
      </c>
      <c r="D149">
        <v>1</v>
      </c>
      <c r="E149" t="s">
        <v>3882</v>
      </c>
      <c r="F149">
        <v>0</v>
      </c>
      <c r="H149" t="s">
        <v>77</v>
      </c>
      <c r="J149">
        <v>0</v>
      </c>
    </row>
    <row r="150">
      <c r="A150" t="s">
        <v>2537</v>
      </c>
      <c r="B150" t="s">
        <v>1201</v>
      </c>
      <c r="C150" t="s">
        <v>129</v>
      </c>
      <c r="D150">
        <v>2</v>
      </c>
      <c r="E150" t="s">
        <v>3929</v>
      </c>
      <c r="F150">
        <v>1</v>
      </c>
      <c r="G150" t="s">
        <v>113</v>
      </c>
      <c r="H150" t="s">
        <v>77</v>
      </c>
      <c r="J150">
        <v>0</v>
      </c>
    </row>
    <row r="151">
      <c r="A151" t="s">
        <v>2541</v>
      </c>
      <c r="B151" t="s">
        <v>1209</v>
      </c>
      <c r="C151" t="s">
        <v>154</v>
      </c>
      <c r="D151">
        <v>2</v>
      </c>
      <c r="E151" t="s">
        <v>1210</v>
      </c>
      <c r="F151">
        <v>0</v>
      </c>
      <c r="H151" t="s">
        <v>77</v>
      </c>
      <c r="J151">
        <v>0</v>
      </c>
    </row>
    <row r="152">
      <c r="A152" t="s">
        <v>2544</v>
      </c>
      <c r="B152" t="s">
        <v>1215</v>
      </c>
      <c r="C152" t="s">
        <v>120</v>
      </c>
      <c r="D152">
        <v>1</v>
      </c>
      <c r="E152" t="s">
        <v>3885</v>
      </c>
      <c r="F152">
        <v>0</v>
      </c>
      <c r="H152" t="s">
        <v>77</v>
      </c>
      <c r="J152">
        <v>0</v>
      </c>
    </row>
    <row r="153">
      <c r="A153" t="s">
        <v>2547</v>
      </c>
      <c r="B153" t="s">
        <v>1223</v>
      </c>
      <c r="C153" t="s">
        <v>154</v>
      </c>
      <c r="D153">
        <v>0</v>
      </c>
      <c r="F153">
        <v>0</v>
      </c>
      <c r="H153" t="s">
        <v>77</v>
      </c>
      <c r="J153">
        <v>0</v>
      </c>
    </row>
    <row r="154">
      <c r="A154" t="s">
        <v>2550</v>
      </c>
      <c r="B154" t="s">
        <v>1229</v>
      </c>
      <c r="C154" t="s">
        <v>154</v>
      </c>
      <c r="D154">
        <v>0</v>
      </c>
      <c r="F154">
        <v>1</v>
      </c>
      <c r="G154" t="s">
        <v>119</v>
      </c>
      <c r="H154" t="s">
        <v>77</v>
      </c>
      <c r="J154">
        <v>0</v>
      </c>
    </row>
    <row r="155">
      <c r="A155" t="s">
        <v>2553</v>
      </c>
      <c r="B155" t="s">
        <v>1235</v>
      </c>
      <c r="C155" t="s">
        <v>120</v>
      </c>
      <c r="D155">
        <v>1</v>
      </c>
      <c r="E155" t="s">
        <v>3865</v>
      </c>
      <c r="F155">
        <v>0</v>
      </c>
      <c r="H155" t="s">
        <v>80</v>
      </c>
      <c r="I155" t="s">
        <v>1109</v>
      </c>
      <c r="J155">
        <v>0</v>
      </c>
    </row>
    <row r="156">
      <c r="A156" t="s">
        <v>2555</v>
      </c>
      <c r="B156" t="s">
        <v>1242</v>
      </c>
      <c r="C156" t="s">
        <v>120</v>
      </c>
      <c r="D156">
        <v>0</v>
      </c>
      <c r="F156">
        <v>0</v>
      </c>
      <c r="H156" t="s">
        <v>77</v>
      </c>
      <c r="J156">
        <v>0</v>
      </c>
    </row>
    <row r="157">
      <c r="A157" t="s">
        <v>2558</v>
      </c>
      <c r="B157" t="s">
        <v>1250</v>
      </c>
      <c r="C157" t="s">
        <v>154</v>
      </c>
      <c r="D157">
        <v>0</v>
      </c>
      <c r="F157">
        <v>0</v>
      </c>
      <c r="H157" t="s">
        <v>77</v>
      </c>
      <c r="J157">
        <v>0</v>
      </c>
    </row>
    <row r="158">
      <c r="A158" t="s">
        <v>2561</v>
      </c>
      <c r="B158" t="s">
        <v>1257</v>
      </c>
      <c r="C158" t="s">
        <v>154</v>
      </c>
      <c r="D158">
        <v>0</v>
      </c>
      <c r="F158">
        <v>0</v>
      </c>
      <c r="H158" t="s">
        <v>77</v>
      </c>
      <c r="J158">
        <v>0</v>
      </c>
    </row>
    <row r="159">
      <c r="A159" t="s">
        <v>2564</v>
      </c>
      <c r="B159" t="s">
        <v>1263</v>
      </c>
      <c r="C159" t="s">
        <v>154</v>
      </c>
      <c r="D159">
        <v>1</v>
      </c>
      <c r="E159" t="s">
        <v>1714</v>
      </c>
      <c r="F159">
        <v>0</v>
      </c>
      <c r="H159" t="s">
        <v>77</v>
      </c>
      <c r="J159">
        <v>0</v>
      </c>
    </row>
    <row r="160">
      <c r="A160" t="s">
        <v>2567</v>
      </c>
      <c r="B160" t="s">
        <v>1271</v>
      </c>
      <c r="C160" t="s">
        <v>120</v>
      </c>
      <c r="D160">
        <v>0</v>
      </c>
      <c r="F160">
        <v>0</v>
      </c>
      <c r="H160" t="s">
        <v>77</v>
      </c>
      <c r="J160">
        <v>0</v>
      </c>
    </row>
    <row r="161">
      <c r="A161" t="s">
        <v>2570</v>
      </c>
      <c r="B161" t="s">
        <v>1279</v>
      </c>
      <c r="C161" t="s">
        <v>129</v>
      </c>
      <c r="D161">
        <v>2</v>
      </c>
      <c r="E161" t="s">
        <v>3930</v>
      </c>
      <c r="F161">
        <v>0</v>
      </c>
      <c r="H161" t="s">
        <v>77</v>
      </c>
      <c r="J161">
        <v>0</v>
      </c>
    </row>
    <row r="162">
      <c r="A162" t="s">
        <v>2573</v>
      </c>
      <c r="B162" t="s">
        <v>1287</v>
      </c>
      <c r="C162" t="s">
        <v>97</v>
      </c>
      <c r="D162">
        <v>0</v>
      </c>
      <c r="F162">
        <v>0</v>
      </c>
      <c r="H162" t="s">
        <v>77</v>
      </c>
      <c r="J162">
        <v>0</v>
      </c>
    </row>
    <row r="163">
      <c r="A163" t="s">
        <v>2576</v>
      </c>
      <c r="B163" t="s">
        <v>1294</v>
      </c>
      <c r="C163" t="s">
        <v>120</v>
      </c>
      <c r="D163">
        <v>1</v>
      </c>
      <c r="E163" t="s">
        <v>3881</v>
      </c>
      <c r="F163">
        <v>0</v>
      </c>
      <c r="H163" t="s">
        <v>77</v>
      </c>
      <c r="J163">
        <v>0</v>
      </c>
    </row>
    <row r="164">
      <c r="A164" t="s">
        <v>2579</v>
      </c>
      <c r="B164" t="s">
        <v>1302</v>
      </c>
      <c r="C164" t="s">
        <v>120</v>
      </c>
      <c r="D164">
        <v>1</v>
      </c>
      <c r="E164" t="s">
        <v>3865</v>
      </c>
      <c r="F164">
        <v>0</v>
      </c>
      <c r="H164" t="s">
        <v>77</v>
      </c>
      <c r="J164">
        <v>0</v>
      </c>
    </row>
    <row r="165">
      <c r="A165" t="s">
        <v>2582</v>
      </c>
      <c r="B165" t="s">
        <v>1312</v>
      </c>
      <c r="C165" t="s">
        <v>97</v>
      </c>
      <c r="D165">
        <v>2</v>
      </c>
      <c r="E165" t="s">
        <v>3931</v>
      </c>
      <c r="F165">
        <v>0</v>
      </c>
      <c r="H165" t="s">
        <v>77</v>
      </c>
      <c r="J165">
        <v>0</v>
      </c>
    </row>
    <row r="166">
      <c r="A166" t="s">
        <v>2585</v>
      </c>
      <c r="B166" t="s">
        <v>1320</v>
      </c>
      <c r="C166" t="s">
        <v>120</v>
      </c>
      <c r="D166">
        <v>1</v>
      </c>
      <c r="E166" t="s">
        <v>3886</v>
      </c>
      <c r="F166">
        <v>0</v>
      </c>
      <c r="H166" t="s">
        <v>77</v>
      </c>
      <c r="J166">
        <v>0</v>
      </c>
    </row>
    <row r="167">
      <c r="A167" t="s">
        <v>2588</v>
      </c>
      <c r="B167" t="s">
        <v>1328</v>
      </c>
      <c r="C167" t="s">
        <v>120</v>
      </c>
      <c r="D167">
        <v>1</v>
      </c>
      <c r="E167" t="s">
        <v>3886</v>
      </c>
      <c r="F167">
        <v>0</v>
      </c>
      <c r="H167" t="s">
        <v>77</v>
      </c>
      <c r="J167">
        <v>0</v>
      </c>
    </row>
    <row r="168">
      <c r="A168" t="s">
        <v>2590</v>
      </c>
      <c r="B168" t="s">
        <v>1334</v>
      </c>
      <c r="C168" t="s">
        <v>120</v>
      </c>
      <c r="D168">
        <v>2</v>
      </c>
      <c r="E168" t="s">
        <v>3932</v>
      </c>
      <c r="F168">
        <v>0</v>
      </c>
      <c r="H168" t="s">
        <v>77</v>
      </c>
      <c r="J168">
        <v>0</v>
      </c>
    </row>
    <row r="169">
      <c r="A169" t="s">
        <v>2593</v>
      </c>
      <c r="B169" t="s">
        <v>1344</v>
      </c>
      <c r="C169" t="s">
        <v>97</v>
      </c>
      <c r="D169">
        <v>0</v>
      </c>
      <c r="F169">
        <v>0</v>
      </c>
      <c r="H169" t="s">
        <v>77</v>
      </c>
      <c r="J169">
        <v>0</v>
      </c>
    </row>
    <row r="170">
      <c r="A170" t="s">
        <v>2596</v>
      </c>
      <c r="B170" t="s">
        <v>1352</v>
      </c>
      <c r="C170" t="s">
        <v>97</v>
      </c>
      <c r="D170">
        <v>1</v>
      </c>
      <c r="E170" t="s">
        <v>3888</v>
      </c>
      <c r="F170">
        <v>0</v>
      </c>
      <c r="H170" t="s">
        <v>77</v>
      </c>
      <c r="J170">
        <v>0</v>
      </c>
    </row>
    <row r="171">
      <c r="A171" t="s">
        <v>2599</v>
      </c>
      <c r="B171" t="s">
        <v>1359</v>
      </c>
      <c r="C171" t="s">
        <v>154</v>
      </c>
      <c r="D171">
        <v>0</v>
      </c>
      <c r="F171">
        <v>0</v>
      </c>
      <c r="H171" t="s">
        <v>77</v>
      </c>
      <c r="J171">
        <v>0</v>
      </c>
    </row>
    <row r="172">
      <c r="A172" t="s">
        <v>2602</v>
      </c>
      <c r="B172" t="s">
        <v>1366</v>
      </c>
      <c r="C172" t="s">
        <v>154</v>
      </c>
      <c r="D172">
        <v>0</v>
      </c>
      <c r="F172">
        <v>0</v>
      </c>
      <c r="H172" t="s">
        <v>77</v>
      </c>
      <c r="J172">
        <v>0</v>
      </c>
    </row>
    <row r="173">
      <c r="A173" t="s">
        <v>2605</v>
      </c>
      <c r="B173" t="s">
        <v>1372</v>
      </c>
      <c r="C173" t="s">
        <v>120</v>
      </c>
      <c r="D173">
        <v>0</v>
      </c>
      <c r="F173">
        <v>0</v>
      </c>
      <c r="H173" t="s">
        <v>77</v>
      </c>
      <c r="J173">
        <v>0</v>
      </c>
    </row>
    <row r="174">
      <c r="A174" t="s">
        <v>2608</v>
      </c>
      <c r="B174" t="s">
        <v>1383</v>
      </c>
      <c r="C174" t="s">
        <v>97</v>
      </c>
      <c r="D174">
        <v>1</v>
      </c>
      <c r="E174" t="s">
        <v>3860</v>
      </c>
      <c r="F174">
        <v>0</v>
      </c>
      <c r="H174" t="s">
        <v>77</v>
      </c>
      <c r="J174">
        <v>0</v>
      </c>
    </row>
    <row r="175">
      <c r="A175" t="s">
        <v>2611</v>
      </c>
      <c r="B175" t="s">
        <v>1390</v>
      </c>
      <c r="C175" t="s">
        <v>97</v>
      </c>
      <c r="D175">
        <v>1</v>
      </c>
      <c r="E175" t="s">
        <v>3884</v>
      </c>
      <c r="F175">
        <v>0</v>
      </c>
      <c r="H175" t="s">
        <v>77</v>
      </c>
      <c r="J175">
        <v>0</v>
      </c>
    </row>
    <row r="176">
      <c r="A176" t="s">
        <v>2614</v>
      </c>
      <c r="B176" t="s">
        <v>1396</v>
      </c>
      <c r="C176" t="s">
        <v>154</v>
      </c>
      <c r="D176">
        <v>1</v>
      </c>
      <c r="E176" t="s">
        <v>3889</v>
      </c>
      <c r="F176">
        <v>0</v>
      </c>
      <c r="H176" t="s">
        <v>77</v>
      </c>
      <c r="J176">
        <v>0</v>
      </c>
    </row>
    <row r="177">
      <c r="A177" t="s">
        <v>2617</v>
      </c>
      <c r="B177" t="s">
        <v>1402</v>
      </c>
      <c r="C177" t="s">
        <v>120</v>
      </c>
      <c r="D177">
        <v>1</v>
      </c>
      <c r="E177" t="s">
        <v>3889</v>
      </c>
      <c r="F177">
        <v>0</v>
      </c>
      <c r="H177" t="s">
        <v>77</v>
      </c>
      <c r="J177">
        <v>0</v>
      </c>
    </row>
    <row r="178">
      <c r="A178" t="s">
        <v>2620</v>
      </c>
      <c r="B178" t="s">
        <v>1410</v>
      </c>
      <c r="C178" t="s">
        <v>120</v>
      </c>
      <c r="D178">
        <v>2</v>
      </c>
      <c r="E178" t="s">
        <v>1411</v>
      </c>
      <c r="F178">
        <v>0</v>
      </c>
      <c r="H178" t="s">
        <v>77</v>
      </c>
      <c r="J178">
        <v>0</v>
      </c>
    </row>
    <row r="179">
      <c r="A179" t="s">
        <v>2623</v>
      </c>
      <c r="B179" t="s">
        <v>1420</v>
      </c>
      <c r="C179" t="s">
        <v>154</v>
      </c>
      <c r="D179">
        <v>0</v>
      </c>
      <c r="F179">
        <v>0</v>
      </c>
      <c r="H179" t="s">
        <v>77</v>
      </c>
      <c r="J179">
        <v>0</v>
      </c>
    </row>
    <row r="180">
      <c r="A180" t="s">
        <v>2626</v>
      </c>
      <c r="B180" t="s">
        <v>1428</v>
      </c>
      <c r="C180" t="s">
        <v>154</v>
      </c>
      <c r="D180">
        <v>0</v>
      </c>
      <c r="F180">
        <v>0</v>
      </c>
      <c r="H180" t="s">
        <v>77</v>
      </c>
      <c r="J180">
        <v>0</v>
      </c>
    </row>
    <row r="181">
      <c r="A181" t="s">
        <v>2628</v>
      </c>
      <c r="B181" t="s">
        <v>1435</v>
      </c>
      <c r="C181" t="s">
        <v>120</v>
      </c>
      <c r="D181">
        <v>0</v>
      </c>
      <c r="F181">
        <v>0</v>
      </c>
      <c r="H181" t="s">
        <v>77</v>
      </c>
      <c r="J181">
        <v>0</v>
      </c>
    </row>
    <row r="182">
      <c r="A182" t="s">
        <v>2631</v>
      </c>
      <c r="B182" t="s">
        <v>1440</v>
      </c>
      <c r="C182" t="s">
        <v>120</v>
      </c>
      <c r="D182">
        <v>0</v>
      </c>
      <c r="F182">
        <v>0</v>
      </c>
      <c r="H182" t="s">
        <v>77</v>
      </c>
      <c r="J182">
        <v>0</v>
      </c>
    </row>
    <row r="183">
      <c r="A183" t="s">
        <v>2634</v>
      </c>
      <c r="B183" t="s">
        <v>1445</v>
      </c>
      <c r="C183" t="s">
        <v>120</v>
      </c>
      <c r="D183">
        <v>1</v>
      </c>
      <c r="E183" t="s">
        <v>3890</v>
      </c>
      <c r="F183">
        <v>0</v>
      </c>
      <c r="H183" t="s">
        <v>77</v>
      </c>
      <c r="J183">
        <v>0</v>
      </c>
    </row>
    <row r="184">
      <c r="A184" t="s">
        <v>2637</v>
      </c>
      <c r="B184" t="s">
        <v>1455</v>
      </c>
      <c r="C184" t="s">
        <v>154</v>
      </c>
      <c r="D184">
        <v>1</v>
      </c>
      <c r="E184" t="s">
        <v>3855</v>
      </c>
      <c r="F184">
        <v>0</v>
      </c>
      <c r="H184" t="s">
        <v>77</v>
      </c>
      <c r="J184">
        <v>0</v>
      </c>
    </row>
    <row r="185">
      <c r="A185" t="s">
        <v>2640</v>
      </c>
      <c r="B185" t="s">
        <v>1463</v>
      </c>
      <c r="C185" t="s">
        <v>120</v>
      </c>
      <c r="D185">
        <v>0</v>
      </c>
      <c r="F185">
        <v>0</v>
      </c>
      <c r="H185" t="s">
        <v>77</v>
      </c>
      <c r="J185">
        <v>0</v>
      </c>
    </row>
    <row r="186">
      <c r="A186" t="s">
        <v>2643</v>
      </c>
      <c r="B186" t="s">
        <v>1468</v>
      </c>
      <c r="C186" t="s">
        <v>120</v>
      </c>
      <c r="D186">
        <v>0</v>
      </c>
      <c r="F186">
        <v>0</v>
      </c>
      <c r="H186" t="s">
        <v>77</v>
      </c>
      <c r="J186">
        <v>0</v>
      </c>
    </row>
    <row r="187">
      <c r="A187" t="s">
        <v>2646</v>
      </c>
      <c r="B187" t="s">
        <v>1473</v>
      </c>
      <c r="C187" t="s">
        <v>120</v>
      </c>
      <c r="D187">
        <v>0</v>
      </c>
      <c r="F187">
        <v>0</v>
      </c>
      <c r="H187" t="s">
        <v>77</v>
      </c>
      <c r="J187">
        <v>0</v>
      </c>
    </row>
    <row r="188">
      <c r="A188" t="s">
        <v>2649</v>
      </c>
      <c r="B188" t="s">
        <v>1481</v>
      </c>
      <c r="C188" t="s">
        <v>120</v>
      </c>
      <c r="D188">
        <v>0</v>
      </c>
      <c r="F188">
        <v>0</v>
      </c>
      <c r="H188" t="s">
        <v>77</v>
      </c>
      <c r="J188">
        <v>0</v>
      </c>
    </row>
    <row r="189">
      <c r="A189" t="s">
        <v>2652</v>
      </c>
      <c r="B189" t="s">
        <v>1489</v>
      </c>
      <c r="C189" t="s">
        <v>120</v>
      </c>
      <c r="D189">
        <v>1</v>
      </c>
      <c r="E189" t="s">
        <v>1621</v>
      </c>
      <c r="F189">
        <v>0</v>
      </c>
      <c r="H189" t="s">
        <v>77</v>
      </c>
      <c r="J189">
        <v>0</v>
      </c>
    </row>
    <row r="190">
      <c r="A190" t="s">
        <v>2655</v>
      </c>
      <c r="B190" t="s">
        <v>1497</v>
      </c>
      <c r="C190" t="s">
        <v>120</v>
      </c>
      <c r="D190">
        <v>0</v>
      </c>
      <c r="F190">
        <v>0</v>
      </c>
      <c r="H190" t="s">
        <v>77</v>
      </c>
      <c r="J190">
        <v>0</v>
      </c>
    </row>
    <row r="191">
      <c r="A191" t="s">
        <v>2658</v>
      </c>
      <c r="B191" t="s">
        <v>1502</v>
      </c>
      <c r="C191" t="s">
        <v>120</v>
      </c>
      <c r="D191">
        <v>0</v>
      </c>
      <c r="F191">
        <v>0</v>
      </c>
      <c r="H191" t="s">
        <v>77</v>
      </c>
      <c r="J191">
        <v>0</v>
      </c>
    </row>
    <row r="192">
      <c r="A192" t="s">
        <v>2661</v>
      </c>
      <c r="B192" t="s">
        <v>1509</v>
      </c>
      <c r="C192" t="s">
        <v>120</v>
      </c>
      <c r="D192">
        <v>1</v>
      </c>
      <c r="E192" t="s">
        <v>642</v>
      </c>
      <c r="F192">
        <v>0</v>
      </c>
      <c r="H192" t="s">
        <v>77</v>
      </c>
      <c r="J192">
        <v>0</v>
      </c>
    </row>
    <row r="193">
      <c r="A193" t="s">
        <v>2664</v>
      </c>
      <c r="B193" t="s">
        <v>1515</v>
      </c>
      <c r="C193" t="s">
        <v>120</v>
      </c>
      <c r="D193">
        <v>1</v>
      </c>
      <c r="E193" t="s">
        <v>3891</v>
      </c>
      <c r="F193">
        <v>0</v>
      </c>
      <c r="H193" t="s">
        <v>77</v>
      </c>
      <c r="J193">
        <v>0</v>
      </c>
    </row>
    <row r="194">
      <c r="A194" t="s">
        <v>2667</v>
      </c>
      <c r="B194" t="s">
        <v>1524</v>
      </c>
      <c r="C194" t="s">
        <v>120</v>
      </c>
      <c r="D194">
        <v>0</v>
      </c>
      <c r="F194">
        <v>0</v>
      </c>
      <c r="H194" t="s">
        <v>77</v>
      </c>
      <c r="J194">
        <v>0</v>
      </c>
    </row>
    <row r="195">
      <c r="A195" t="s">
        <v>2671</v>
      </c>
      <c r="B195" t="s">
        <v>1532</v>
      </c>
      <c r="C195" t="s">
        <v>120</v>
      </c>
      <c r="D195">
        <v>0</v>
      </c>
      <c r="F195">
        <v>0</v>
      </c>
      <c r="H195" t="s">
        <v>77</v>
      </c>
      <c r="J195">
        <v>0</v>
      </c>
    </row>
    <row r="196">
      <c r="A196" t="s">
        <v>2674</v>
      </c>
      <c r="B196" t="s">
        <v>1539</v>
      </c>
      <c r="C196" t="s">
        <v>120</v>
      </c>
      <c r="D196">
        <v>0</v>
      </c>
      <c r="F196">
        <v>0</v>
      </c>
      <c r="H196" t="s">
        <v>77</v>
      </c>
      <c r="J196">
        <v>0</v>
      </c>
    </row>
    <row r="197">
      <c r="A197" t="s">
        <v>2677</v>
      </c>
      <c r="B197" t="s">
        <v>1547</v>
      </c>
      <c r="C197" t="s">
        <v>120</v>
      </c>
      <c r="D197">
        <v>1</v>
      </c>
      <c r="E197" t="s">
        <v>3892</v>
      </c>
      <c r="F197">
        <v>0</v>
      </c>
      <c r="H197" t="s">
        <v>77</v>
      </c>
      <c r="J197">
        <v>0</v>
      </c>
    </row>
    <row r="198">
      <c r="A198" t="s">
        <v>2680</v>
      </c>
      <c r="B198" t="s">
        <v>1555</v>
      </c>
      <c r="C198" t="s">
        <v>120</v>
      </c>
      <c r="D198">
        <v>1</v>
      </c>
      <c r="E198" t="s">
        <v>3882</v>
      </c>
      <c r="F198">
        <v>0</v>
      </c>
      <c r="H198" t="s">
        <v>77</v>
      </c>
      <c r="J198">
        <v>0</v>
      </c>
    </row>
    <row r="199">
      <c r="A199" t="s">
        <v>2683</v>
      </c>
      <c r="B199" t="s">
        <v>1566</v>
      </c>
      <c r="C199" t="s">
        <v>120</v>
      </c>
      <c r="D199">
        <v>1</v>
      </c>
      <c r="E199" t="s">
        <v>1567</v>
      </c>
      <c r="F199">
        <v>0</v>
      </c>
      <c r="H199" t="s">
        <v>77</v>
      </c>
      <c r="J199">
        <v>0</v>
      </c>
    </row>
    <row r="200">
      <c r="A200" t="s">
        <v>2686</v>
      </c>
      <c r="B200" t="s">
        <v>1532</v>
      </c>
      <c r="C200" t="s">
        <v>120</v>
      </c>
      <c r="D200">
        <v>1</v>
      </c>
      <c r="E200" t="s">
        <v>1567</v>
      </c>
      <c r="F200">
        <v>0</v>
      </c>
      <c r="H200" t="s">
        <v>77</v>
      </c>
      <c r="J200">
        <v>0</v>
      </c>
    </row>
    <row r="201">
      <c r="A201" t="s">
        <v>2689</v>
      </c>
      <c r="B201" t="s">
        <v>1578</v>
      </c>
      <c r="C201" t="s">
        <v>120</v>
      </c>
      <c r="D201">
        <v>2</v>
      </c>
      <c r="E201" t="s">
        <v>1579</v>
      </c>
      <c r="F201">
        <v>0</v>
      </c>
      <c r="H201" t="s">
        <v>77</v>
      </c>
      <c r="J201">
        <v>0</v>
      </c>
    </row>
    <row r="202">
      <c r="A202" t="s">
        <v>2692</v>
      </c>
      <c r="B202" t="s">
        <v>1586</v>
      </c>
      <c r="C202" t="s">
        <v>120</v>
      </c>
      <c r="D202">
        <v>0</v>
      </c>
      <c r="F202">
        <v>0</v>
      </c>
      <c r="H202" t="s">
        <v>77</v>
      </c>
      <c r="J202">
        <v>0</v>
      </c>
    </row>
    <row r="203">
      <c r="A203" t="s">
        <v>2695</v>
      </c>
      <c r="B203" t="s">
        <v>1596</v>
      </c>
      <c r="C203" t="s">
        <v>120</v>
      </c>
      <c r="D203">
        <v>0</v>
      </c>
      <c r="F203">
        <v>0</v>
      </c>
      <c r="H203" t="s">
        <v>77</v>
      </c>
      <c r="J203">
        <v>0</v>
      </c>
    </row>
    <row r="204">
      <c r="A204" t="s">
        <v>2698</v>
      </c>
      <c r="B204" t="s">
        <v>1604</v>
      </c>
      <c r="C204" t="s">
        <v>120</v>
      </c>
      <c r="D204">
        <v>1</v>
      </c>
      <c r="E204" t="s">
        <v>3877</v>
      </c>
      <c r="F204">
        <v>0</v>
      </c>
      <c r="H204" t="s">
        <v>77</v>
      </c>
      <c r="J204">
        <v>0</v>
      </c>
    </row>
    <row r="205">
      <c r="A205" t="s">
        <v>2701</v>
      </c>
      <c r="B205" t="s">
        <v>1612</v>
      </c>
      <c r="C205" t="s">
        <v>120</v>
      </c>
      <c r="D205">
        <v>1</v>
      </c>
      <c r="E205" t="s">
        <v>1621</v>
      </c>
      <c r="F205">
        <v>0</v>
      </c>
      <c r="H205" t="s">
        <v>77</v>
      </c>
      <c r="J205">
        <v>0</v>
      </c>
    </row>
    <row r="206">
      <c r="A206" t="s">
        <v>2704</v>
      </c>
      <c r="B206" t="s">
        <v>1620</v>
      </c>
      <c r="C206" t="s">
        <v>120</v>
      </c>
      <c r="D206">
        <v>1</v>
      </c>
      <c r="E206" t="s">
        <v>1621</v>
      </c>
      <c r="F206">
        <v>0</v>
      </c>
      <c r="H206" t="s">
        <v>77</v>
      </c>
      <c r="J206">
        <v>0</v>
      </c>
    </row>
    <row r="207">
      <c r="A207" t="s">
        <v>2707</v>
      </c>
      <c r="B207" t="s">
        <v>1632</v>
      </c>
      <c r="C207" t="s">
        <v>129</v>
      </c>
      <c r="D207">
        <v>1</v>
      </c>
      <c r="E207" t="s">
        <v>3849</v>
      </c>
      <c r="F207">
        <v>0</v>
      </c>
      <c r="H207" t="s">
        <v>77</v>
      </c>
      <c r="J207">
        <v>0</v>
      </c>
    </row>
    <row r="208">
      <c r="A208" t="s">
        <v>2712</v>
      </c>
      <c r="B208" t="s">
        <v>1640</v>
      </c>
      <c r="C208" t="s">
        <v>97</v>
      </c>
      <c r="D208">
        <v>0</v>
      </c>
      <c r="F208">
        <v>0</v>
      </c>
      <c r="H208" t="s">
        <v>77</v>
      </c>
      <c r="J208">
        <v>0</v>
      </c>
    </row>
    <row r="209">
      <c r="A209" t="s">
        <v>2715</v>
      </c>
      <c r="B209" t="s">
        <v>1645</v>
      </c>
      <c r="C209" t="s">
        <v>97</v>
      </c>
      <c r="D209">
        <v>0</v>
      </c>
      <c r="F209">
        <v>0</v>
      </c>
      <c r="H209" t="s">
        <v>77</v>
      </c>
      <c r="J209">
        <v>0</v>
      </c>
    </row>
    <row r="210">
      <c r="A210" t="s">
        <v>2718</v>
      </c>
      <c r="B210" t="s">
        <v>1651</v>
      </c>
      <c r="C210" t="s">
        <v>129</v>
      </c>
      <c r="D210">
        <v>0</v>
      </c>
      <c r="F210">
        <v>0</v>
      </c>
      <c r="H210" t="s">
        <v>77</v>
      </c>
      <c r="J210">
        <v>0</v>
      </c>
    </row>
    <row r="211">
      <c r="A211" t="s">
        <v>2721</v>
      </c>
      <c r="B211" t="s">
        <v>1657</v>
      </c>
      <c r="C211" t="s">
        <v>154</v>
      </c>
      <c r="D211">
        <v>1</v>
      </c>
      <c r="E211" t="s">
        <v>3882</v>
      </c>
      <c r="F211">
        <v>0</v>
      </c>
      <c r="H211" t="s">
        <v>77</v>
      </c>
      <c r="J211">
        <v>0</v>
      </c>
    </row>
    <row r="212">
      <c r="A212" t="s">
        <v>2724</v>
      </c>
      <c r="B212" t="s">
        <v>1663</v>
      </c>
      <c r="C212" t="s">
        <v>154</v>
      </c>
      <c r="D212">
        <v>0</v>
      </c>
      <c r="F212">
        <v>0</v>
      </c>
      <c r="H212" t="s">
        <v>77</v>
      </c>
      <c r="J212">
        <v>0</v>
      </c>
    </row>
    <row r="213">
      <c r="A213" t="s">
        <v>2727</v>
      </c>
      <c r="B213" t="s">
        <v>1671</v>
      </c>
      <c r="C213" t="s">
        <v>129</v>
      </c>
      <c r="D213">
        <v>0</v>
      </c>
      <c r="F213">
        <v>0</v>
      </c>
      <c r="H213" t="s">
        <v>77</v>
      </c>
      <c r="J213">
        <v>0</v>
      </c>
    </row>
    <row r="214">
      <c r="A214" t="s">
        <v>2730</v>
      </c>
      <c r="B214" t="s">
        <v>1678</v>
      </c>
      <c r="C214" t="s">
        <v>97</v>
      </c>
      <c r="D214">
        <v>0</v>
      </c>
      <c r="F214">
        <v>0</v>
      </c>
      <c r="H214" t="s">
        <v>77</v>
      </c>
      <c r="J214">
        <v>0</v>
      </c>
    </row>
    <row r="215">
      <c r="A215" t="s">
        <v>2733</v>
      </c>
      <c r="B215" t="s">
        <v>1684</v>
      </c>
      <c r="C215" t="s">
        <v>154</v>
      </c>
      <c r="D215">
        <v>1</v>
      </c>
      <c r="E215" t="s">
        <v>3874</v>
      </c>
      <c r="F215">
        <v>0</v>
      </c>
      <c r="H215" t="s">
        <v>77</v>
      </c>
      <c r="J215">
        <v>0</v>
      </c>
    </row>
    <row r="216">
      <c r="A216" t="s">
        <v>2736</v>
      </c>
      <c r="B216" t="s">
        <v>1690</v>
      </c>
      <c r="C216" t="s">
        <v>154</v>
      </c>
      <c r="D216">
        <v>0</v>
      </c>
      <c r="F216">
        <v>0</v>
      </c>
      <c r="H216" t="s">
        <v>77</v>
      </c>
      <c r="J216">
        <v>0</v>
      </c>
    </row>
    <row r="217">
      <c r="A217" t="s">
        <v>2739</v>
      </c>
      <c r="B217" t="s">
        <v>1696</v>
      </c>
      <c r="C217" t="s">
        <v>154</v>
      </c>
      <c r="D217">
        <v>2</v>
      </c>
      <c r="E217" t="s">
        <v>3933</v>
      </c>
      <c r="F217">
        <v>0</v>
      </c>
      <c r="H217" t="s">
        <v>77</v>
      </c>
      <c r="J217">
        <v>0</v>
      </c>
    </row>
    <row r="218">
      <c r="A218" t="s">
        <v>2742</v>
      </c>
      <c r="B218" t="s">
        <v>1706</v>
      </c>
      <c r="C218" t="s">
        <v>154</v>
      </c>
      <c r="D218">
        <v>1</v>
      </c>
      <c r="E218" t="s">
        <v>3849</v>
      </c>
      <c r="F218">
        <v>0</v>
      </c>
      <c r="H218" t="s">
        <v>77</v>
      </c>
      <c r="J218">
        <v>0</v>
      </c>
    </row>
    <row r="219">
      <c r="A219" t="s">
        <v>2745</v>
      </c>
      <c r="B219" t="s">
        <v>1713</v>
      </c>
      <c r="C219" t="s">
        <v>154</v>
      </c>
      <c r="D219">
        <v>1</v>
      </c>
      <c r="E219" t="s">
        <v>1714</v>
      </c>
      <c r="F219">
        <v>0</v>
      </c>
      <c r="H219" t="s">
        <v>77</v>
      </c>
      <c r="J219">
        <v>0</v>
      </c>
    </row>
    <row r="220">
      <c r="A220" t="s">
        <v>2748</v>
      </c>
      <c r="B220" t="s">
        <v>1720</v>
      </c>
      <c r="C220" t="s">
        <v>120</v>
      </c>
      <c r="D220">
        <v>2</v>
      </c>
      <c r="E220" t="s">
        <v>1721</v>
      </c>
      <c r="F220">
        <v>0</v>
      </c>
      <c r="H220" t="s">
        <v>77</v>
      </c>
      <c r="J220">
        <v>0</v>
      </c>
    </row>
    <row r="221">
      <c r="A221" t="s">
        <v>2751</v>
      </c>
      <c r="B221" t="s">
        <v>1726</v>
      </c>
      <c r="C221" t="s">
        <v>120</v>
      </c>
      <c r="D221">
        <v>1</v>
      </c>
      <c r="E221" t="s">
        <v>1727</v>
      </c>
      <c r="F221">
        <v>0</v>
      </c>
      <c r="H221" t="s">
        <v>77</v>
      </c>
      <c r="J221">
        <v>0</v>
      </c>
    </row>
    <row r="222">
      <c r="A222" t="s">
        <v>2754</v>
      </c>
      <c r="B222" t="s">
        <v>1735</v>
      </c>
      <c r="C222" t="s">
        <v>129</v>
      </c>
      <c r="D222">
        <v>0</v>
      </c>
      <c r="F222">
        <v>0</v>
      </c>
      <c r="H222" t="s">
        <v>77</v>
      </c>
      <c r="J222">
        <v>0</v>
      </c>
    </row>
    <row r="223">
      <c r="A223" t="s">
        <v>2757</v>
      </c>
      <c r="B223" t="s">
        <v>1743</v>
      </c>
      <c r="C223" t="s">
        <v>97</v>
      </c>
      <c r="D223">
        <v>0</v>
      </c>
      <c r="F223">
        <v>0</v>
      </c>
      <c r="H223" t="s">
        <v>77</v>
      </c>
      <c r="J223">
        <v>0</v>
      </c>
    </row>
    <row r="224">
      <c r="A224" t="s">
        <v>2760</v>
      </c>
      <c r="B224" t="s">
        <v>1750</v>
      </c>
      <c r="C224" t="s">
        <v>154</v>
      </c>
      <c r="D224">
        <v>1</v>
      </c>
      <c r="E224" t="s">
        <v>3874</v>
      </c>
      <c r="F224">
        <v>0</v>
      </c>
      <c r="H224" t="s">
        <v>77</v>
      </c>
      <c r="J224">
        <v>0</v>
      </c>
    </row>
    <row r="225">
      <c r="A225" t="s">
        <v>2763</v>
      </c>
      <c r="B225" t="s">
        <v>1756</v>
      </c>
      <c r="C225" t="s">
        <v>97</v>
      </c>
      <c r="D225">
        <v>0</v>
      </c>
      <c r="F225">
        <v>0</v>
      </c>
      <c r="H225" t="s">
        <v>77</v>
      </c>
      <c r="J225">
        <v>0</v>
      </c>
    </row>
    <row r="226">
      <c r="A226" t="s">
        <v>2766</v>
      </c>
      <c r="B226" t="s">
        <v>1762</v>
      </c>
      <c r="C226" t="s">
        <v>154</v>
      </c>
      <c r="D226">
        <v>0</v>
      </c>
      <c r="F226">
        <v>0</v>
      </c>
      <c r="H226" t="s">
        <v>77</v>
      </c>
      <c r="J226">
        <v>0</v>
      </c>
    </row>
    <row r="227">
      <c r="A227" t="s">
        <v>2769</v>
      </c>
      <c r="B227" t="s">
        <v>1768</v>
      </c>
      <c r="C227" t="s">
        <v>97</v>
      </c>
      <c r="D227">
        <v>1</v>
      </c>
      <c r="E227" t="s">
        <v>3894</v>
      </c>
      <c r="F227">
        <v>0</v>
      </c>
      <c r="H227" t="s">
        <v>77</v>
      </c>
      <c r="J227">
        <v>0</v>
      </c>
    </row>
    <row r="228">
      <c r="A228" t="s">
        <v>2772</v>
      </c>
      <c r="B228" t="s">
        <v>1777</v>
      </c>
      <c r="C228" t="s">
        <v>129</v>
      </c>
      <c r="D228">
        <v>2</v>
      </c>
      <c r="E228" t="s">
        <v>3934</v>
      </c>
      <c r="F228">
        <v>0</v>
      </c>
      <c r="H228" t="s">
        <v>77</v>
      </c>
      <c r="J228">
        <v>0</v>
      </c>
    </row>
    <row r="229">
      <c r="A229" t="s">
        <v>2776</v>
      </c>
      <c r="B229" t="s">
        <v>1785</v>
      </c>
      <c r="C229" t="s">
        <v>154</v>
      </c>
      <c r="D229">
        <v>0</v>
      </c>
      <c r="F229">
        <v>0</v>
      </c>
      <c r="H229" t="s">
        <v>77</v>
      </c>
      <c r="J229">
        <v>0</v>
      </c>
    </row>
    <row r="230">
      <c r="A230" t="s">
        <v>2779</v>
      </c>
      <c r="B230" t="s">
        <v>1792</v>
      </c>
      <c r="C230" t="s">
        <v>154</v>
      </c>
      <c r="D230">
        <v>1</v>
      </c>
      <c r="E230" t="s">
        <v>3849</v>
      </c>
      <c r="F230">
        <v>0</v>
      </c>
      <c r="H230" t="s">
        <v>77</v>
      </c>
      <c r="J230">
        <v>0</v>
      </c>
    </row>
    <row r="231">
      <c r="A231" t="s">
        <v>2782</v>
      </c>
      <c r="B231" t="s">
        <v>1802</v>
      </c>
      <c r="C231" t="s">
        <v>154</v>
      </c>
      <c r="D231">
        <v>0</v>
      </c>
      <c r="F231">
        <v>0</v>
      </c>
      <c r="H231" t="s">
        <v>77</v>
      </c>
      <c r="J231">
        <v>0</v>
      </c>
    </row>
    <row r="232">
      <c r="A232" t="s">
        <v>2785</v>
      </c>
      <c r="B232" t="s">
        <v>1810</v>
      </c>
      <c r="C232" t="s">
        <v>120</v>
      </c>
      <c r="D232">
        <v>1</v>
      </c>
      <c r="E232" t="s">
        <v>3874</v>
      </c>
      <c r="F232">
        <v>0</v>
      </c>
      <c r="H232" t="s">
        <v>77</v>
      </c>
      <c r="J232">
        <v>0</v>
      </c>
    </row>
    <row r="233">
      <c r="A233" t="s">
        <v>2788</v>
      </c>
      <c r="B233" t="s">
        <v>1816</v>
      </c>
      <c r="C233" t="s">
        <v>120</v>
      </c>
      <c r="D233">
        <v>0</v>
      </c>
      <c r="F233">
        <v>0</v>
      </c>
      <c r="H233" t="s">
        <v>77</v>
      </c>
      <c r="J233">
        <v>0</v>
      </c>
    </row>
    <row r="234">
      <c r="A234" t="s">
        <v>2790</v>
      </c>
      <c r="B234" t="s">
        <v>1822</v>
      </c>
      <c r="C234" t="s">
        <v>120</v>
      </c>
      <c r="D234">
        <v>0</v>
      </c>
      <c r="F234">
        <v>0</v>
      </c>
      <c r="H234" t="s">
        <v>77</v>
      </c>
      <c r="J234">
        <v>0</v>
      </c>
    </row>
    <row r="235">
      <c r="A235" t="s">
        <v>2793</v>
      </c>
      <c r="B235" t="s">
        <v>1829</v>
      </c>
      <c r="C235" t="s">
        <v>120</v>
      </c>
      <c r="D235">
        <v>1</v>
      </c>
      <c r="E235" t="s">
        <v>3864</v>
      </c>
      <c r="F235">
        <v>0</v>
      </c>
      <c r="H235" t="s">
        <v>77</v>
      </c>
      <c r="J235">
        <v>0</v>
      </c>
    </row>
    <row r="236">
      <c r="A236" t="s">
        <v>2796</v>
      </c>
      <c r="B236" t="s">
        <v>1836</v>
      </c>
      <c r="C236" t="s">
        <v>120</v>
      </c>
      <c r="D236">
        <v>1</v>
      </c>
      <c r="E236" t="s">
        <v>3895</v>
      </c>
      <c r="F236">
        <v>0</v>
      </c>
      <c r="H236" t="s">
        <v>77</v>
      </c>
      <c r="J236">
        <v>0</v>
      </c>
    </row>
    <row r="237">
      <c r="A237" t="s">
        <v>2799</v>
      </c>
      <c r="B237" t="s">
        <v>1847</v>
      </c>
      <c r="C237" t="s">
        <v>120</v>
      </c>
      <c r="D237">
        <v>1</v>
      </c>
      <c r="E237" t="s">
        <v>1727</v>
      </c>
      <c r="F237">
        <v>0</v>
      </c>
      <c r="H237" t="s">
        <v>77</v>
      </c>
      <c r="J237">
        <v>0</v>
      </c>
    </row>
    <row r="238">
      <c r="A238" t="s">
        <v>2802</v>
      </c>
      <c r="B238" t="s">
        <v>1855</v>
      </c>
      <c r="C238" t="s">
        <v>120</v>
      </c>
      <c r="D238">
        <v>0</v>
      </c>
      <c r="F238">
        <v>0</v>
      </c>
      <c r="H238" t="s">
        <v>77</v>
      </c>
      <c r="J238">
        <v>0</v>
      </c>
    </row>
    <row r="239">
      <c r="A239" t="s">
        <v>2804</v>
      </c>
      <c r="B239" t="s">
        <v>1861</v>
      </c>
      <c r="C239" t="s">
        <v>120</v>
      </c>
      <c r="D239">
        <v>0</v>
      </c>
      <c r="F239">
        <v>0</v>
      </c>
      <c r="H239" t="s">
        <v>77</v>
      </c>
      <c r="J239">
        <v>0</v>
      </c>
    </row>
    <row r="240">
      <c r="A240" t="s">
        <v>2806</v>
      </c>
      <c r="B240" t="s">
        <v>1868</v>
      </c>
      <c r="C240" t="s">
        <v>120</v>
      </c>
      <c r="D240">
        <v>0</v>
      </c>
      <c r="F240">
        <v>0</v>
      </c>
      <c r="H240" t="s">
        <v>77</v>
      </c>
      <c r="J240">
        <v>0</v>
      </c>
    </row>
    <row r="241">
      <c r="A241" t="s">
        <v>2809</v>
      </c>
      <c r="B241" t="s">
        <v>1877</v>
      </c>
      <c r="C241" t="s">
        <v>120</v>
      </c>
      <c r="D241">
        <v>0</v>
      </c>
      <c r="F241">
        <v>0</v>
      </c>
      <c r="H241" t="s">
        <v>77</v>
      </c>
      <c r="J241">
        <v>0</v>
      </c>
    </row>
    <row r="242">
      <c r="A242" t="s">
        <v>2812</v>
      </c>
      <c r="B242" t="s">
        <v>1885</v>
      </c>
      <c r="C242" t="s">
        <v>120</v>
      </c>
      <c r="D242">
        <v>0</v>
      </c>
      <c r="F242">
        <v>0</v>
      </c>
      <c r="H242" t="s">
        <v>77</v>
      </c>
      <c r="J242">
        <v>0</v>
      </c>
    </row>
    <row r="243">
      <c r="A243" t="s">
        <v>2814</v>
      </c>
      <c r="B243" t="s">
        <v>1890</v>
      </c>
      <c r="C243" t="s">
        <v>120</v>
      </c>
      <c r="D243">
        <v>0</v>
      </c>
      <c r="F243">
        <v>0</v>
      </c>
      <c r="H243" t="s">
        <v>77</v>
      </c>
      <c r="J243">
        <v>0</v>
      </c>
    </row>
    <row r="244">
      <c r="A244" t="s">
        <v>2816</v>
      </c>
      <c r="B244" t="s">
        <v>1897</v>
      </c>
      <c r="C244" t="s">
        <v>120</v>
      </c>
      <c r="D244">
        <v>2</v>
      </c>
      <c r="E244" t="s">
        <v>3935</v>
      </c>
      <c r="F244">
        <v>0</v>
      </c>
      <c r="H244" t="s">
        <v>80</v>
      </c>
      <c r="I244" t="s">
        <v>3936</v>
      </c>
      <c r="J244">
        <v>0</v>
      </c>
    </row>
    <row r="245">
      <c r="A245" t="s">
        <v>2819</v>
      </c>
      <c r="B245" t="s">
        <v>1905</v>
      </c>
      <c r="C245" t="s">
        <v>120</v>
      </c>
      <c r="D245">
        <v>0</v>
      </c>
      <c r="F245">
        <v>0</v>
      </c>
      <c r="H245" t="s">
        <v>80</v>
      </c>
      <c r="I245" t="s">
        <v>3937</v>
      </c>
      <c r="J245">
        <v>0</v>
      </c>
    </row>
    <row r="246">
      <c r="A246" t="s">
        <v>2821</v>
      </c>
      <c r="B246" t="s">
        <v>1916</v>
      </c>
      <c r="C246" t="s">
        <v>154</v>
      </c>
      <c r="D246">
        <v>0</v>
      </c>
      <c r="F246">
        <v>0</v>
      </c>
      <c r="H246" t="s">
        <v>80</v>
      </c>
      <c r="I246" t="s">
        <v>3938</v>
      </c>
      <c r="J246">
        <v>0</v>
      </c>
    </row>
    <row r="247">
      <c r="A247" t="s">
        <v>2823</v>
      </c>
      <c r="B247" t="s">
        <v>1924</v>
      </c>
      <c r="C247" t="s">
        <v>120</v>
      </c>
      <c r="D247">
        <v>0</v>
      </c>
      <c r="F247">
        <v>0</v>
      </c>
      <c r="H247" t="s">
        <v>77</v>
      </c>
      <c r="J247">
        <v>0</v>
      </c>
    </row>
    <row r="248">
      <c r="A248" t="s">
        <v>2826</v>
      </c>
      <c r="B248" t="s">
        <v>1932</v>
      </c>
      <c r="C248" t="s">
        <v>120</v>
      </c>
      <c r="D248">
        <v>0</v>
      </c>
      <c r="F248">
        <v>0</v>
      </c>
      <c r="H248" t="s">
        <v>77</v>
      </c>
      <c r="J248">
        <v>0</v>
      </c>
    </row>
    <row r="249">
      <c r="A249" t="s">
        <v>2830</v>
      </c>
      <c r="B249" t="s">
        <v>1942</v>
      </c>
      <c r="C249" t="s">
        <v>154</v>
      </c>
      <c r="D249">
        <v>0</v>
      </c>
      <c r="F249">
        <v>0</v>
      </c>
      <c r="H249" t="s">
        <v>77</v>
      </c>
      <c r="J249">
        <v>0</v>
      </c>
    </row>
    <row r="250">
      <c r="A250" t="s">
        <v>2835</v>
      </c>
      <c r="B250" t="s">
        <v>1949</v>
      </c>
      <c r="C250" t="s">
        <v>154</v>
      </c>
      <c r="D250">
        <v>2</v>
      </c>
      <c r="E250" t="s">
        <v>1950</v>
      </c>
      <c r="F250">
        <v>0</v>
      </c>
      <c r="H250" t="s">
        <v>77</v>
      </c>
      <c r="J250">
        <v>0</v>
      </c>
    </row>
    <row r="251">
      <c r="A251" t="s">
        <v>2837</v>
      </c>
      <c r="B251" t="s">
        <v>1955</v>
      </c>
      <c r="C251" t="s">
        <v>120</v>
      </c>
      <c r="D251">
        <v>0</v>
      </c>
      <c r="F251">
        <v>0</v>
      </c>
      <c r="H251" t="s">
        <v>77</v>
      </c>
      <c r="J251">
        <v>0</v>
      </c>
    </row>
    <row r="252">
      <c r="A252" t="s">
        <v>2839</v>
      </c>
      <c r="B252" t="s">
        <v>2843</v>
      </c>
      <c r="C252" t="s">
        <v>129</v>
      </c>
      <c r="D252">
        <v>0</v>
      </c>
      <c r="F252">
        <v>0</v>
      </c>
      <c r="H252" t="s">
        <v>77</v>
      </c>
      <c r="J252">
        <v>0</v>
      </c>
    </row>
    <row r="253">
      <c r="A253" t="s">
        <v>2857</v>
      </c>
      <c r="B253" t="s">
        <v>2861</v>
      </c>
      <c r="C253" t="s">
        <v>129</v>
      </c>
      <c r="D253">
        <v>0</v>
      </c>
      <c r="F253">
        <v>0</v>
      </c>
      <c r="H253" t="s">
        <v>77</v>
      </c>
      <c r="J253">
        <v>0</v>
      </c>
    </row>
    <row r="254">
      <c r="A254" t="s">
        <v>2871</v>
      </c>
      <c r="B254" t="s">
        <v>2872</v>
      </c>
      <c r="C254" t="s">
        <v>129</v>
      </c>
      <c r="D254">
        <v>0</v>
      </c>
      <c r="F254">
        <v>0</v>
      </c>
      <c r="H254" t="s">
        <v>77</v>
      </c>
      <c r="J254">
        <v>0</v>
      </c>
    </row>
    <row r="255">
      <c r="A255" t="s">
        <v>2877</v>
      </c>
      <c r="B255" t="s">
        <v>2878</v>
      </c>
      <c r="C255" t="s">
        <v>129</v>
      </c>
      <c r="D255">
        <v>0</v>
      </c>
      <c r="F255">
        <v>0</v>
      </c>
      <c r="H255" t="s">
        <v>77</v>
      </c>
      <c r="J255">
        <v>0</v>
      </c>
    </row>
    <row r="256">
      <c r="A256" t="s">
        <v>2883</v>
      </c>
      <c r="B256" t="s">
        <v>2884</v>
      </c>
      <c r="C256" t="s">
        <v>129</v>
      </c>
      <c r="D256">
        <v>0</v>
      </c>
      <c r="F256">
        <v>0</v>
      </c>
      <c r="H256" t="s">
        <v>77</v>
      </c>
      <c r="J256">
        <v>0</v>
      </c>
    </row>
    <row r="257">
      <c r="A257" t="s">
        <v>2889</v>
      </c>
      <c r="B257" t="s">
        <v>2890</v>
      </c>
      <c r="C257" t="s">
        <v>129</v>
      </c>
      <c r="D257">
        <v>0</v>
      </c>
      <c r="F257">
        <v>0</v>
      </c>
      <c r="H257" t="s">
        <v>77</v>
      </c>
      <c r="J257">
        <v>0</v>
      </c>
    </row>
    <row r="258">
      <c r="A258" t="s">
        <v>2894</v>
      </c>
      <c r="B258" t="s">
        <v>2895</v>
      </c>
      <c r="C258" t="s">
        <v>129</v>
      </c>
      <c r="D258">
        <v>0</v>
      </c>
      <c r="F258">
        <v>0</v>
      </c>
      <c r="H258" t="s">
        <v>77</v>
      </c>
      <c r="J258">
        <v>0</v>
      </c>
    </row>
    <row r="259">
      <c r="A259" t="s">
        <v>2900</v>
      </c>
      <c r="B259" t="s">
        <v>2901</v>
      </c>
      <c r="C259" t="s">
        <v>129</v>
      </c>
      <c r="D259">
        <v>0</v>
      </c>
      <c r="F259">
        <v>0</v>
      </c>
      <c r="H259" t="s">
        <v>77</v>
      </c>
      <c r="J259">
        <v>0</v>
      </c>
    </row>
    <row r="260">
      <c r="A260" t="s">
        <v>2906</v>
      </c>
      <c r="B260" t="s">
        <v>2907</v>
      </c>
      <c r="C260" t="s">
        <v>129</v>
      </c>
      <c r="D260">
        <v>0</v>
      </c>
      <c r="F260">
        <v>0</v>
      </c>
      <c r="H260" t="s">
        <v>77</v>
      </c>
      <c r="J260">
        <v>0</v>
      </c>
    </row>
    <row r="261">
      <c r="A261" t="s">
        <v>2912</v>
      </c>
      <c r="B261" t="s">
        <v>2913</v>
      </c>
      <c r="C261" t="s">
        <v>129</v>
      </c>
      <c r="D261">
        <v>0</v>
      </c>
      <c r="F261">
        <v>0</v>
      </c>
      <c r="H261" t="s">
        <v>77</v>
      </c>
      <c r="J261">
        <v>0</v>
      </c>
    </row>
    <row r="262">
      <c r="A262" t="s">
        <v>2918</v>
      </c>
      <c r="B262" t="s">
        <v>2919</v>
      </c>
      <c r="C262" t="s">
        <v>129</v>
      </c>
      <c r="D262">
        <v>0</v>
      </c>
      <c r="F262">
        <v>0</v>
      </c>
      <c r="H262" t="s">
        <v>77</v>
      </c>
      <c r="J262">
        <v>0</v>
      </c>
      <c r="L262" t="s">
        <v>2077</v>
      </c>
    </row>
    <row r="263">
      <c r="A263" t="s">
        <v>2925</v>
      </c>
      <c r="B263" t="s">
        <v>2929</v>
      </c>
      <c r="C263" t="s">
        <v>129</v>
      </c>
      <c r="D263">
        <v>0</v>
      </c>
      <c r="F263">
        <v>0</v>
      </c>
      <c r="H263" t="s">
        <v>77</v>
      </c>
      <c r="J263">
        <v>0</v>
      </c>
      <c r="L263" t="s">
        <v>2077</v>
      </c>
    </row>
    <row r="264">
      <c r="A264" t="s">
        <v>2940</v>
      </c>
      <c r="B264" t="s">
        <v>2941</v>
      </c>
      <c r="C264" t="s">
        <v>129</v>
      </c>
      <c r="D264">
        <v>0</v>
      </c>
      <c r="F264">
        <v>0</v>
      </c>
      <c r="H264" t="s">
        <v>77</v>
      </c>
      <c r="J264">
        <v>0</v>
      </c>
    </row>
    <row r="265">
      <c r="A265" t="s">
        <v>2945</v>
      </c>
      <c r="B265" t="s">
        <v>2946</v>
      </c>
      <c r="C265" t="s">
        <v>129</v>
      </c>
      <c r="D265">
        <v>0</v>
      </c>
      <c r="F265">
        <v>0</v>
      </c>
      <c r="H265" t="s">
        <v>77</v>
      </c>
      <c r="J265">
        <v>0</v>
      </c>
    </row>
    <row r="266">
      <c r="A266" t="s">
        <v>2948</v>
      </c>
      <c r="B266" t="s">
        <v>2949</v>
      </c>
      <c r="C266" t="s">
        <v>129</v>
      </c>
      <c r="D266">
        <v>0</v>
      </c>
      <c r="F266">
        <v>0</v>
      </c>
      <c r="H266" t="s">
        <v>77</v>
      </c>
      <c r="J266">
        <v>0</v>
      </c>
    </row>
    <row r="267">
      <c r="A267" t="s">
        <v>2954</v>
      </c>
      <c r="B267" t="s">
        <v>2955</v>
      </c>
      <c r="C267" t="s">
        <v>129</v>
      </c>
      <c r="D267">
        <v>0</v>
      </c>
      <c r="F267">
        <v>0</v>
      </c>
      <c r="H267" t="s">
        <v>77</v>
      </c>
      <c r="J267">
        <v>0</v>
      </c>
    </row>
    <row r="268">
      <c r="A268" t="s">
        <v>2960</v>
      </c>
      <c r="B268" t="s">
        <v>2961</v>
      </c>
      <c r="C268" t="s">
        <v>129</v>
      </c>
      <c r="D268">
        <v>0</v>
      </c>
      <c r="F268">
        <v>0</v>
      </c>
      <c r="H268" t="s">
        <v>77</v>
      </c>
      <c r="J268">
        <v>0</v>
      </c>
    </row>
    <row r="269">
      <c r="A269" t="s">
        <v>2966</v>
      </c>
      <c r="B269" t="s">
        <v>2967</v>
      </c>
      <c r="C269" t="s">
        <v>129</v>
      </c>
      <c r="D269">
        <v>0</v>
      </c>
      <c r="F269">
        <v>0</v>
      </c>
      <c r="H269" t="s">
        <v>77</v>
      </c>
      <c r="J269">
        <v>0</v>
      </c>
    </row>
    <row r="270">
      <c r="A270" t="s">
        <v>2970</v>
      </c>
      <c r="B270" t="s">
        <v>2971</v>
      </c>
      <c r="C270" t="s">
        <v>129</v>
      </c>
      <c r="D270">
        <v>0</v>
      </c>
      <c r="F270">
        <v>0</v>
      </c>
      <c r="H270" t="s">
        <v>77</v>
      </c>
      <c r="J270">
        <v>0</v>
      </c>
    </row>
    <row r="271">
      <c r="A271" t="s">
        <v>2976</v>
      </c>
      <c r="B271" t="s">
        <v>2977</v>
      </c>
      <c r="C271" t="s">
        <v>129</v>
      </c>
      <c r="D271">
        <v>0</v>
      </c>
      <c r="F271">
        <v>0</v>
      </c>
      <c r="H271" t="s">
        <v>77</v>
      </c>
      <c r="J271">
        <v>0</v>
      </c>
    </row>
    <row r="272">
      <c r="A272" t="s">
        <v>2982</v>
      </c>
      <c r="B272" t="s">
        <v>2983</v>
      </c>
      <c r="C272" t="s">
        <v>129</v>
      </c>
      <c r="D272">
        <v>0</v>
      </c>
      <c r="F272">
        <v>0</v>
      </c>
      <c r="H272" t="s">
        <v>77</v>
      </c>
      <c r="J272">
        <v>0</v>
      </c>
    </row>
    <row r="273">
      <c r="A273" t="s">
        <v>2988</v>
      </c>
      <c r="B273" t="s">
        <v>2989</v>
      </c>
      <c r="C273" t="s">
        <v>129</v>
      </c>
      <c r="D273">
        <v>0</v>
      </c>
      <c r="F273">
        <v>0</v>
      </c>
      <c r="H273" t="s">
        <v>77</v>
      </c>
      <c r="J273">
        <v>0</v>
      </c>
    </row>
    <row r="274">
      <c r="A274" t="s">
        <v>2994</v>
      </c>
      <c r="B274" t="s">
        <v>2995</v>
      </c>
      <c r="C274" t="s">
        <v>129</v>
      </c>
      <c r="D274">
        <v>0</v>
      </c>
      <c r="F274">
        <v>0</v>
      </c>
      <c r="H274" t="s">
        <v>77</v>
      </c>
      <c r="J274">
        <v>0</v>
      </c>
    </row>
    <row r="275">
      <c r="A275" t="s">
        <v>2998</v>
      </c>
      <c r="B275" t="s">
        <v>2999</v>
      </c>
      <c r="C275" t="s">
        <v>129</v>
      </c>
      <c r="D275">
        <v>0</v>
      </c>
      <c r="F275">
        <v>0</v>
      </c>
      <c r="H275" t="s">
        <v>77</v>
      </c>
      <c r="J275">
        <v>0</v>
      </c>
    </row>
    <row r="276">
      <c r="A276" t="s">
        <v>3004</v>
      </c>
      <c r="B276" t="s">
        <v>3005</v>
      </c>
      <c r="C276" t="s">
        <v>129</v>
      </c>
      <c r="D276">
        <v>0</v>
      </c>
      <c r="F276">
        <v>0</v>
      </c>
      <c r="H276" t="s">
        <v>77</v>
      </c>
      <c r="J276">
        <v>0</v>
      </c>
    </row>
    <row r="277">
      <c r="A277" t="s">
        <v>3010</v>
      </c>
      <c r="B277" t="s">
        <v>3011</v>
      </c>
      <c r="C277" t="s">
        <v>129</v>
      </c>
      <c r="D277">
        <v>0</v>
      </c>
      <c r="F277">
        <v>0</v>
      </c>
      <c r="H277" t="s">
        <v>77</v>
      </c>
      <c r="J277">
        <v>0</v>
      </c>
    </row>
    <row r="278">
      <c r="A278" t="s">
        <v>3015</v>
      </c>
      <c r="B278" t="s">
        <v>3016</v>
      </c>
      <c r="C278" t="s">
        <v>129</v>
      </c>
      <c r="D278">
        <v>0</v>
      </c>
      <c r="F278">
        <v>0</v>
      </c>
      <c r="H278" t="s">
        <v>77</v>
      </c>
      <c r="J278">
        <v>0</v>
      </c>
    </row>
    <row r="279">
      <c r="A279" t="s">
        <v>3019</v>
      </c>
      <c r="B279" t="s">
        <v>3020</v>
      </c>
      <c r="C279" t="s">
        <v>129</v>
      </c>
      <c r="D279">
        <v>0</v>
      </c>
      <c r="F279">
        <v>0</v>
      </c>
      <c r="H279" t="s">
        <v>77</v>
      </c>
      <c r="J279">
        <v>0</v>
      </c>
    </row>
    <row r="280">
      <c r="A280" t="s">
        <v>3025</v>
      </c>
      <c r="B280" t="s">
        <v>3028</v>
      </c>
      <c r="C280" t="s">
        <v>154</v>
      </c>
      <c r="D280">
        <v>0</v>
      </c>
      <c r="F280">
        <v>0</v>
      </c>
      <c r="H280" t="s">
        <v>77</v>
      </c>
      <c r="J280">
        <v>0</v>
      </c>
    </row>
    <row r="281">
      <c r="A281" t="s">
        <v>3042</v>
      </c>
      <c r="B281" t="s">
        <v>3044</v>
      </c>
      <c r="C281" t="s">
        <v>154</v>
      </c>
      <c r="D281">
        <v>0</v>
      </c>
      <c r="F281">
        <v>0</v>
      </c>
      <c r="H281" t="s">
        <v>77</v>
      </c>
      <c r="J281">
        <v>0</v>
      </c>
    </row>
    <row r="282">
      <c r="A282" t="s">
        <v>3055</v>
      </c>
      <c r="B282" t="s">
        <v>3057</v>
      </c>
      <c r="C282" t="s">
        <v>120</v>
      </c>
      <c r="D282">
        <v>0</v>
      </c>
      <c r="F282">
        <v>0</v>
      </c>
      <c r="H282" t="s">
        <v>77</v>
      </c>
      <c r="J282">
        <v>0</v>
      </c>
    </row>
    <row r="283">
      <c r="A283" t="s">
        <v>3069</v>
      </c>
      <c r="B283" t="s">
        <v>3072</v>
      </c>
      <c r="C283" t="s">
        <v>120</v>
      </c>
      <c r="D283">
        <v>0</v>
      </c>
      <c r="F283">
        <v>0</v>
      </c>
      <c r="H283" t="s">
        <v>77</v>
      </c>
      <c r="J283">
        <v>0</v>
      </c>
    </row>
    <row r="284">
      <c r="A284" t="s">
        <v>3086</v>
      </c>
      <c r="B284" t="s">
        <v>3088</v>
      </c>
      <c r="C284" t="s">
        <v>120</v>
      </c>
      <c r="D284">
        <v>0</v>
      </c>
      <c r="F284">
        <v>0</v>
      </c>
      <c r="H284" t="s">
        <v>77</v>
      </c>
      <c r="J284">
        <v>0</v>
      </c>
    </row>
    <row r="285">
      <c r="A285" t="s">
        <v>3099</v>
      </c>
      <c r="B285" t="s">
        <v>3101</v>
      </c>
      <c r="C285" t="s">
        <v>120</v>
      </c>
      <c r="D285">
        <v>0</v>
      </c>
      <c r="F285">
        <v>0</v>
      </c>
      <c r="H285" t="s">
        <v>77</v>
      </c>
      <c r="J285">
        <v>0</v>
      </c>
    </row>
    <row r="286" ht="28">
      <c r="A286" s="10" t="s">
        <v>3112</v>
      </c>
      <c r="B286" s="10" t="s">
        <v>3115</v>
      </c>
      <c r="C286" s="10" t="s">
        <v>129</v>
      </c>
      <c r="D286" s="10">
        <v>0</v>
      </c>
      <c r="E286" s="10"/>
      <c r="F286" s="10">
        <v>0</v>
      </c>
      <c r="G286" s="10"/>
      <c r="H286" s="10" t="s">
        <v>77</v>
      </c>
      <c r="I286" s="10"/>
      <c r="J286" s="10">
        <v>0</v>
      </c>
      <c r="K286" s="10"/>
      <c r="L286" s="10" t="s">
        <v>2077</v>
      </c>
    </row>
    <row r="287">
      <c r="A287" t="s">
        <v>3124</v>
      </c>
      <c r="B287" t="s">
        <v>3125</v>
      </c>
      <c r="C287" t="s">
        <v>129</v>
      </c>
      <c r="D287">
        <v>0</v>
      </c>
      <c r="F287">
        <v>0</v>
      </c>
      <c r="H287" t="s">
        <v>77</v>
      </c>
      <c r="J287">
        <v>0</v>
      </c>
      <c r="L287" t="s">
        <v>2077</v>
      </c>
    </row>
    <row r="288">
      <c r="A288" t="s">
        <v>3135</v>
      </c>
      <c r="B288" t="s">
        <v>3138</v>
      </c>
      <c r="C288" t="s">
        <v>97</v>
      </c>
      <c r="D288">
        <v>0</v>
      </c>
      <c r="F288">
        <v>0</v>
      </c>
      <c r="H288" t="s">
        <v>77</v>
      </c>
      <c r="J288">
        <v>0</v>
      </c>
    </row>
    <row r="289">
      <c r="A289" t="s">
        <v>3147</v>
      </c>
      <c r="B289" t="s">
        <v>3148</v>
      </c>
      <c r="C289" t="s">
        <v>97</v>
      </c>
      <c r="D289">
        <v>0</v>
      </c>
      <c r="F289">
        <v>0</v>
      </c>
      <c r="H289" t="s">
        <v>77</v>
      </c>
      <c r="J289">
        <v>0</v>
      </c>
    </row>
    <row r="290">
      <c r="A290" t="s">
        <v>3162</v>
      </c>
      <c r="B290" t="s">
        <v>3164</v>
      </c>
      <c r="C290" t="s">
        <v>154</v>
      </c>
      <c r="D290">
        <v>0</v>
      </c>
      <c r="F290">
        <v>0</v>
      </c>
      <c r="H290" t="s">
        <v>77</v>
      </c>
      <c r="J290">
        <v>0</v>
      </c>
    </row>
    <row r="291">
      <c r="A291" t="s">
        <v>3179</v>
      </c>
      <c r="B291" t="s">
        <v>3183</v>
      </c>
      <c r="C291" t="s">
        <v>154</v>
      </c>
      <c r="D291">
        <v>0</v>
      </c>
      <c r="F291">
        <v>0</v>
      </c>
      <c r="H291" t="s">
        <v>77</v>
      </c>
      <c r="J291">
        <v>0</v>
      </c>
    </row>
    <row r="292">
      <c r="A292" t="s">
        <v>3200</v>
      </c>
      <c r="B292" t="s">
        <v>3202</v>
      </c>
      <c r="C292" t="s">
        <v>154</v>
      </c>
      <c r="D292">
        <v>0</v>
      </c>
      <c r="F292">
        <v>0</v>
      </c>
      <c r="H292" t="s">
        <v>77</v>
      </c>
      <c r="J292">
        <v>0</v>
      </c>
    </row>
    <row r="293">
      <c r="A293" t="s">
        <v>3216</v>
      </c>
      <c r="B293" t="s">
        <v>3219</v>
      </c>
      <c r="C293" t="s">
        <v>97</v>
      </c>
      <c r="D293">
        <v>0</v>
      </c>
      <c r="F293">
        <v>0</v>
      </c>
      <c r="H293" t="s">
        <v>77</v>
      </c>
      <c r="J293">
        <v>0</v>
      </c>
    </row>
    <row r="294">
      <c r="A294" t="s">
        <v>3234</v>
      </c>
      <c r="B294" t="s">
        <v>3236</v>
      </c>
      <c r="C294" t="s">
        <v>154</v>
      </c>
      <c r="D294">
        <v>0</v>
      </c>
      <c r="F294">
        <v>0</v>
      </c>
      <c r="H294" t="s">
        <v>77</v>
      </c>
      <c r="J294">
        <v>0</v>
      </c>
    </row>
    <row r="295">
      <c r="A295" t="s">
        <v>3248</v>
      </c>
      <c r="B295" t="s">
        <v>3250</v>
      </c>
      <c r="C295" t="s">
        <v>154</v>
      </c>
      <c r="D295">
        <v>0</v>
      </c>
      <c r="F295">
        <v>0</v>
      </c>
      <c r="H295" t="s">
        <v>77</v>
      </c>
      <c r="J295">
        <v>0</v>
      </c>
    </row>
    <row r="296">
      <c r="A296" t="s">
        <v>3264</v>
      </c>
      <c r="B296" t="s">
        <v>3266</v>
      </c>
      <c r="C296" t="s">
        <v>154</v>
      </c>
      <c r="D296">
        <v>0</v>
      </c>
      <c r="F296">
        <v>0</v>
      </c>
      <c r="H296" t="s">
        <v>77</v>
      </c>
      <c r="J296">
        <v>0</v>
      </c>
    </row>
    <row r="297">
      <c r="A297" t="s">
        <v>3280</v>
      </c>
      <c r="B297" t="s">
        <v>3282</v>
      </c>
      <c r="C297" t="s">
        <v>97</v>
      </c>
      <c r="D297">
        <v>0</v>
      </c>
      <c r="F297">
        <v>0</v>
      </c>
      <c r="H297" t="s">
        <v>77</v>
      </c>
      <c r="J297">
        <v>0</v>
      </c>
    </row>
    <row r="298" ht="14">
      <c r="A298" s="28" t="s">
        <v>3295</v>
      </c>
      <c r="B298" s="25" t="s">
        <v>3298</v>
      </c>
      <c r="C298" s="25" t="s">
        <v>97</v>
      </c>
      <c r="D298" s="25">
        <v>0</v>
      </c>
      <c r="E298" s="25"/>
      <c r="F298" s="25">
        <v>0</v>
      </c>
      <c r="G298" s="25"/>
      <c r="H298" s="25" t="s">
        <v>77</v>
      </c>
      <c r="I298" s="25"/>
      <c r="J298" s="25">
        <v>0</v>
      </c>
      <c r="K298" s="25"/>
      <c r="L298" s="25" t="s">
        <v>2078</v>
      </c>
    </row>
    <row r="299" ht="14">
      <c r="A299" s="28" t="s">
        <v>3308</v>
      </c>
      <c r="B299" s="25" t="s">
        <v>3310</v>
      </c>
      <c r="C299" s="25" t="s">
        <v>97</v>
      </c>
      <c r="D299" s="25">
        <v>0</v>
      </c>
      <c r="E299" s="25"/>
      <c r="F299" s="25">
        <v>0</v>
      </c>
      <c r="G299" s="25"/>
      <c r="H299" s="25" t="s">
        <v>77</v>
      </c>
      <c r="I299" s="25"/>
      <c r="J299" s="25">
        <v>0</v>
      </c>
      <c r="K299" s="25"/>
      <c r="L299" s="25" t="s">
        <v>2078</v>
      </c>
    </row>
    <row r="300" ht="14">
      <c r="A300" s="28" t="s">
        <v>3319</v>
      </c>
      <c r="B300" s="25" t="s">
        <v>3320</v>
      </c>
      <c r="C300" s="25" t="s">
        <v>97</v>
      </c>
      <c r="D300" s="25">
        <v>0</v>
      </c>
      <c r="E300" s="25"/>
      <c r="F300" s="25">
        <v>0</v>
      </c>
      <c r="G300" s="25"/>
      <c r="H300" s="25" t="s">
        <v>77</v>
      </c>
      <c r="I300" s="25"/>
      <c r="J300" s="25">
        <v>0</v>
      </c>
      <c r="K300" s="25"/>
      <c r="L300" s="25" t="s">
        <v>2078</v>
      </c>
    </row>
    <row r="301" ht="14">
      <c r="A301" s="28" t="s">
        <v>3329</v>
      </c>
      <c r="B301" s="25" t="s">
        <v>3332</v>
      </c>
      <c r="C301" s="25" t="s">
        <v>120</v>
      </c>
      <c r="D301" s="25">
        <v>0</v>
      </c>
      <c r="E301" s="25"/>
      <c r="F301" s="25">
        <v>0</v>
      </c>
      <c r="G301" s="25"/>
      <c r="H301" s="25" t="s">
        <v>77</v>
      </c>
      <c r="I301" s="25"/>
      <c r="J301" s="25">
        <v>0</v>
      </c>
      <c r="K301" s="25"/>
      <c r="L301" s="25" t="s">
        <v>2078</v>
      </c>
    </row>
    <row r="302" ht="28">
      <c r="A302" s="28" t="s">
        <v>3344</v>
      </c>
      <c r="B302" s="25" t="s">
        <v>3345</v>
      </c>
      <c r="C302" s="25" t="s">
        <v>120</v>
      </c>
      <c r="D302" s="25">
        <v>0</v>
      </c>
      <c r="E302" s="25"/>
      <c r="F302" s="25">
        <v>0</v>
      </c>
      <c r="G302" s="25"/>
      <c r="H302" s="25" t="s">
        <v>77</v>
      </c>
      <c r="I302" s="25"/>
      <c r="J302" s="25">
        <v>0</v>
      </c>
      <c r="K302" s="25"/>
      <c r="L302" s="25" t="s">
        <v>2078</v>
      </c>
    </row>
    <row r="303" ht="14">
      <c r="A303" s="28" t="s">
        <v>3356</v>
      </c>
      <c r="B303" s="25" t="s">
        <v>3357</v>
      </c>
      <c r="C303" s="25" t="s">
        <v>120</v>
      </c>
      <c r="D303" s="25">
        <v>0</v>
      </c>
      <c r="E303" s="25"/>
      <c r="F303" s="25">
        <v>0</v>
      </c>
      <c r="G303" s="25"/>
      <c r="H303" s="25" t="s">
        <v>77</v>
      </c>
      <c r="I303" s="25"/>
      <c r="J303" s="25">
        <v>0</v>
      </c>
      <c r="K303" s="25"/>
      <c r="L303" s="25" t="s">
        <v>2078</v>
      </c>
    </row>
    <row r="304" ht="14">
      <c r="A304" s="28" t="s">
        <v>3366</v>
      </c>
      <c r="B304" s="25" t="s">
        <v>3367</v>
      </c>
      <c r="C304" s="25" t="s">
        <v>97</v>
      </c>
      <c r="D304" s="25">
        <v>0</v>
      </c>
      <c r="E304" s="25"/>
      <c r="F304" s="25">
        <v>0</v>
      </c>
      <c r="G304" s="25"/>
      <c r="H304" s="25" t="s">
        <v>77</v>
      </c>
      <c r="I304" s="25"/>
      <c r="J304" s="25">
        <v>0</v>
      </c>
      <c r="K304" s="25"/>
      <c r="L304" s="25" t="s">
        <v>2078</v>
      </c>
    </row>
    <row r="305" ht="28">
      <c r="A305" s="28" t="s">
        <v>3379</v>
      </c>
      <c r="B305" s="25" t="s">
        <v>3382</v>
      </c>
      <c r="C305" s="25" t="s">
        <v>120</v>
      </c>
      <c r="D305" s="25">
        <v>0</v>
      </c>
      <c r="E305" s="25"/>
      <c r="F305" s="25">
        <v>0</v>
      </c>
      <c r="G305" s="25"/>
      <c r="H305" s="25" t="s">
        <v>77</v>
      </c>
      <c r="I305" s="25"/>
      <c r="J305" s="25">
        <v>0</v>
      </c>
      <c r="K305" s="25"/>
      <c r="L305" s="25" t="s">
        <v>2078</v>
      </c>
    </row>
    <row r="306" ht="14">
      <c r="A306" s="28" t="s">
        <v>3391</v>
      </c>
      <c r="B306" s="25" t="s">
        <v>3392</v>
      </c>
      <c r="C306" s="25" t="s">
        <v>97</v>
      </c>
      <c r="D306" s="25">
        <v>0</v>
      </c>
      <c r="E306" s="25"/>
      <c r="F306" s="25">
        <v>0</v>
      </c>
      <c r="G306" s="25"/>
      <c r="H306" s="25" t="s">
        <v>77</v>
      </c>
      <c r="I306" s="25"/>
      <c r="J306" s="25">
        <v>0</v>
      </c>
      <c r="K306" s="25"/>
      <c r="L306" s="25" t="s">
        <v>2078</v>
      </c>
    </row>
    <row r="307" ht="14">
      <c r="A307" s="28" t="s">
        <v>3403</v>
      </c>
      <c r="B307" s="25" t="s">
        <v>3406</v>
      </c>
      <c r="C307" s="25" t="s">
        <v>97</v>
      </c>
      <c r="D307" s="25">
        <v>0</v>
      </c>
      <c r="E307" s="25"/>
      <c r="F307" s="25">
        <v>0</v>
      </c>
      <c r="G307" s="25"/>
      <c r="H307" s="25" t="s">
        <v>77</v>
      </c>
      <c r="I307" s="25"/>
      <c r="J307" s="25">
        <v>0</v>
      </c>
      <c r="K307" s="25"/>
      <c r="L307" s="25" t="s">
        <v>2078</v>
      </c>
    </row>
    <row r="308" ht="14">
      <c r="A308" s="28" t="s">
        <v>3417</v>
      </c>
      <c r="B308" s="25" t="s">
        <v>3418</v>
      </c>
      <c r="C308" s="25" t="s">
        <v>97</v>
      </c>
      <c r="D308" s="25">
        <v>0</v>
      </c>
      <c r="E308" s="25"/>
      <c r="F308" s="25">
        <v>0</v>
      </c>
      <c r="G308" s="25"/>
      <c r="H308" s="25" t="s">
        <v>77</v>
      </c>
      <c r="I308" s="25"/>
      <c r="J308" s="25">
        <v>0</v>
      </c>
      <c r="K308" s="25"/>
      <c r="L308" s="25" t="s">
        <v>2078</v>
      </c>
    </row>
    <row r="309" ht="14">
      <c r="A309" s="28" t="s">
        <v>3429</v>
      </c>
      <c r="B309" s="25" t="s">
        <v>3430</v>
      </c>
      <c r="C309" s="25" t="s">
        <v>120</v>
      </c>
      <c r="D309" s="25">
        <v>0</v>
      </c>
      <c r="E309" s="25"/>
      <c r="F309" s="25">
        <v>0</v>
      </c>
      <c r="G309" s="25"/>
      <c r="H309" s="25" t="s">
        <v>77</v>
      </c>
      <c r="I309" s="25"/>
      <c r="J309" s="25">
        <v>0</v>
      </c>
      <c r="K309" s="25"/>
      <c r="L309" s="25" t="s">
        <v>2078</v>
      </c>
    </row>
    <row r="310" ht="14">
      <c r="A310" s="28" t="s">
        <v>3440</v>
      </c>
      <c r="B310" s="25" t="s">
        <v>3441</v>
      </c>
      <c r="C310" s="25" t="s">
        <v>120</v>
      </c>
      <c r="D310" s="25">
        <v>0</v>
      </c>
      <c r="E310" s="25"/>
      <c r="F310" s="25">
        <v>0</v>
      </c>
      <c r="G310" s="25"/>
      <c r="H310" s="25" t="s">
        <v>77</v>
      </c>
      <c r="I310" s="25"/>
      <c r="J310" s="25">
        <v>0</v>
      </c>
      <c r="K310" s="25"/>
      <c r="L310" s="25" t="s">
        <v>2078</v>
      </c>
    </row>
    <row r="311" ht="14">
      <c r="A311" s="28" t="s">
        <v>3451</v>
      </c>
      <c r="B311" s="25" t="s">
        <v>3452</v>
      </c>
      <c r="C311" s="25" t="s">
        <v>97</v>
      </c>
      <c r="D311" s="25">
        <v>0</v>
      </c>
      <c r="E311" s="25"/>
      <c r="F311" s="25">
        <v>0</v>
      </c>
      <c r="G311" s="25"/>
      <c r="H311" s="25" t="s">
        <v>77</v>
      </c>
      <c r="I311" s="25"/>
      <c r="J311" s="25">
        <v>0</v>
      </c>
      <c r="K311" s="25"/>
      <c r="L311" s="25" t="s">
        <v>2078</v>
      </c>
    </row>
    <row r="312" ht="14">
      <c r="A312" s="28" t="s">
        <v>3465</v>
      </c>
      <c r="B312" s="25" t="s">
        <v>3466</v>
      </c>
      <c r="C312" s="25" t="s">
        <v>97</v>
      </c>
      <c r="D312" s="25">
        <v>0</v>
      </c>
      <c r="E312" s="25"/>
      <c r="F312" s="25">
        <v>0</v>
      </c>
      <c r="G312" s="25"/>
      <c r="H312" s="25" t="s">
        <v>77</v>
      </c>
      <c r="I312" s="25"/>
      <c r="J312" s="25">
        <v>0</v>
      </c>
      <c r="K312" s="25"/>
      <c r="L312" s="25" t="s">
        <v>2078</v>
      </c>
    </row>
    <row r="313" ht="14">
      <c r="A313" s="28" t="s">
        <v>3477</v>
      </c>
      <c r="B313" s="25" t="s">
        <v>3480</v>
      </c>
      <c r="C313" s="25" t="s">
        <v>97</v>
      </c>
      <c r="D313" s="25">
        <v>0</v>
      </c>
      <c r="E313" s="25"/>
      <c r="F313" s="25">
        <v>0</v>
      </c>
      <c r="G313" s="25"/>
      <c r="H313" s="25" t="s">
        <v>77</v>
      </c>
      <c r="I313" s="25"/>
      <c r="J313" s="25">
        <v>0</v>
      </c>
      <c r="K313" s="25"/>
      <c r="L313" s="25" t="s">
        <v>2078</v>
      </c>
    </row>
    <row r="314" ht="28">
      <c r="A314" s="28" t="s">
        <v>3492</v>
      </c>
      <c r="B314" s="25" t="s">
        <v>3493</v>
      </c>
      <c r="C314" s="25" t="s">
        <v>97</v>
      </c>
      <c r="D314" s="25">
        <v>0</v>
      </c>
      <c r="E314" s="25"/>
      <c r="F314" s="25">
        <v>0</v>
      </c>
      <c r="G314" s="25"/>
      <c r="H314" s="25" t="s">
        <v>77</v>
      </c>
      <c r="I314" s="25"/>
      <c r="J314" s="25">
        <v>0</v>
      </c>
      <c r="K314" s="25"/>
      <c r="L314" s="25" t="s">
        <v>2078</v>
      </c>
    </row>
    <row r="315" ht="28">
      <c r="A315" s="28" t="s">
        <v>3505</v>
      </c>
      <c r="B315" s="25" t="s">
        <v>3506</v>
      </c>
      <c r="C315" s="25" t="s">
        <v>97</v>
      </c>
      <c r="D315" s="25">
        <v>0</v>
      </c>
      <c r="E315" s="25"/>
      <c r="F315" s="25">
        <v>0</v>
      </c>
      <c r="G315" s="25"/>
      <c r="H315" s="25" t="s">
        <v>77</v>
      </c>
      <c r="I315" s="25"/>
      <c r="J315" s="25">
        <v>0</v>
      </c>
      <c r="K315" s="25"/>
      <c r="L315" s="25" t="s">
        <v>2078</v>
      </c>
    </row>
    <row r="316" ht="14">
      <c r="A316" s="28" t="s">
        <v>3516</v>
      </c>
      <c r="B316" s="25" t="s">
        <v>3518</v>
      </c>
      <c r="C316" s="25" t="s">
        <v>154</v>
      </c>
      <c r="D316" s="25">
        <v>0</v>
      </c>
      <c r="E316" s="25"/>
      <c r="F316" s="25">
        <v>0</v>
      </c>
      <c r="G316" s="25"/>
      <c r="H316" s="25" t="s">
        <v>77</v>
      </c>
      <c r="I316" s="25"/>
      <c r="J316" s="25">
        <v>0</v>
      </c>
      <c r="K316" s="25"/>
      <c r="L316" s="25" t="s">
        <v>2078</v>
      </c>
    </row>
    <row r="317" ht="14">
      <c r="A317" s="28" t="s">
        <v>3530</v>
      </c>
      <c r="B317" s="25" t="s">
        <v>3532</v>
      </c>
      <c r="C317" s="25" t="s">
        <v>120</v>
      </c>
      <c r="D317" s="25">
        <v>0</v>
      </c>
      <c r="E317" s="25"/>
      <c r="F317" s="25">
        <v>0</v>
      </c>
      <c r="G317" s="25"/>
      <c r="H317" s="25" t="s">
        <v>77</v>
      </c>
      <c r="I317" s="25"/>
      <c r="J317" s="25">
        <v>0</v>
      </c>
      <c r="K317" s="25"/>
      <c r="L317" s="25" t="s">
        <v>2078</v>
      </c>
    </row>
    <row r="318" ht="28">
      <c r="A318" s="28" t="s">
        <v>3544</v>
      </c>
      <c r="B318" s="25" t="s">
        <v>3547</v>
      </c>
      <c r="C318" s="25" t="s">
        <v>154</v>
      </c>
      <c r="D318" s="25">
        <v>0</v>
      </c>
      <c r="E318" s="25"/>
      <c r="F318" s="25">
        <v>0</v>
      </c>
      <c r="G318" s="25"/>
      <c r="H318" s="25" t="s">
        <v>77</v>
      </c>
      <c r="I318" s="25"/>
      <c r="J318" s="25">
        <v>0</v>
      </c>
      <c r="K318" s="25"/>
      <c r="L318" s="25" t="s">
        <v>2078</v>
      </c>
    </row>
    <row r="319" ht="14">
      <c r="A319" s="28" t="s">
        <v>3560</v>
      </c>
      <c r="B319" s="25" t="s">
        <v>3561</v>
      </c>
      <c r="C319" s="25" t="s">
        <v>120</v>
      </c>
      <c r="D319" s="25">
        <v>0</v>
      </c>
      <c r="E319" s="25"/>
      <c r="F319" s="25">
        <v>0</v>
      </c>
      <c r="G319" s="25"/>
      <c r="H319" s="25" t="s">
        <v>77</v>
      </c>
      <c r="I319" s="25"/>
      <c r="J319" s="25">
        <v>0</v>
      </c>
      <c r="K319" s="25"/>
      <c r="L319" s="25" t="s">
        <v>2078</v>
      </c>
    </row>
    <row r="320" ht="28">
      <c r="A320" s="28" t="s">
        <v>3573</v>
      </c>
      <c r="B320" s="25" t="s">
        <v>3576</v>
      </c>
      <c r="C320" s="25" t="s">
        <v>97</v>
      </c>
      <c r="D320" s="25">
        <v>0</v>
      </c>
      <c r="E320" s="25"/>
      <c r="F320" s="25">
        <v>0</v>
      </c>
      <c r="G320" s="25"/>
      <c r="H320" s="25" t="s">
        <v>77</v>
      </c>
      <c r="I320" s="25"/>
      <c r="J320" s="25">
        <v>0</v>
      </c>
      <c r="K320" s="25"/>
      <c r="L320" s="25" t="s">
        <v>2078</v>
      </c>
    </row>
    <row r="321" ht="14">
      <c r="A321" s="28" t="s">
        <v>3587</v>
      </c>
      <c r="B321" s="25" t="s">
        <v>3588</v>
      </c>
      <c r="C321" s="25" t="s">
        <v>120</v>
      </c>
      <c r="D321" s="25">
        <v>0</v>
      </c>
      <c r="E321" s="25"/>
      <c r="F321" s="25">
        <v>0</v>
      </c>
      <c r="G321" s="25"/>
      <c r="H321" s="25" t="s">
        <v>77</v>
      </c>
      <c r="I321" s="25"/>
      <c r="J321" s="25">
        <v>0</v>
      </c>
      <c r="K321" s="25"/>
      <c r="L321" s="25" t="s">
        <v>2078</v>
      </c>
    </row>
    <row r="322">
      <c r="A322" t="s">
        <v>3598</v>
      </c>
      <c r="B322" t="s">
        <v>3602</v>
      </c>
      <c r="C322" t="s">
        <v>97</v>
      </c>
      <c r="D322" t="s">
        <v>3939</v>
      </c>
      <c r="E322" t="s">
        <v>3940</v>
      </c>
      <c r="F322" t="s">
        <v>3939</v>
      </c>
      <c r="G322" t="s">
        <v>3940</v>
      </c>
      <c r="H322" t="s">
        <v>77</v>
      </c>
      <c r="I322" t="s">
        <v>3940</v>
      </c>
      <c r="J322" t="s">
        <v>3939</v>
      </c>
      <c r="K322" t="s">
        <v>3940</v>
      </c>
      <c r="L322" t="s">
        <v>2046</v>
      </c>
    </row>
    <row r="323">
      <c r="A323" t="s">
        <v>3619</v>
      </c>
      <c r="B323" t="s">
        <v>3620</v>
      </c>
      <c r="C323" t="s">
        <v>97</v>
      </c>
      <c r="D323" t="s">
        <v>3939</v>
      </c>
      <c r="E323" t="s">
        <v>3940</v>
      </c>
      <c r="F323" t="s">
        <v>3939</v>
      </c>
      <c r="G323" t="s">
        <v>3940</v>
      </c>
      <c r="H323" t="s">
        <v>77</v>
      </c>
      <c r="I323" t="s">
        <v>3940</v>
      </c>
      <c r="J323" t="s">
        <v>3939</v>
      </c>
      <c r="K323" t="s">
        <v>3940</v>
      </c>
      <c r="L323" t="s">
        <v>2046</v>
      </c>
    </row>
    <row r="324">
      <c r="A324" t="s">
        <v>3626</v>
      </c>
      <c r="B324" t="s">
        <v>3627</v>
      </c>
      <c r="C324" t="s">
        <v>97</v>
      </c>
      <c r="D324" t="s">
        <v>3939</v>
      </c>
      <c r="E324" t="s">
        <v>3940</v>
      </c>
      <c r="F324" t="s">
        <v>3939</v>
      </c>
      <c r="G324" t="s">
        <v>3940</v>
      </c>
      <c r="H324" t="s">
        <v>77</v>
      </c>
      <c r="I324" t="s">
        <v>3940</v>
      </c>
      <c r="J324" t="s">
        <v>3939</v>
      </c>
      <c r="K324" t="s">
        <v>3940</v>
      </c>
      <c r="L324" t="s">
        <v>2046</v>
      </c>
    </row>
    <row r="325">
      <c r="A325" t="s">
        <v>3633</v>
      </c>
      <c r="B325" t="s">
        <v>3634</v>
      </c>
      <c r="C325" t="s">
        <v>97</v>
      </c>
      <c r="D325" t="s">
        <v>3939</v>
      </c>
      <c r="E325" t="s">
        <v>3940</v>
      </c>
      <c r="F325" t="s">
        <v>3939</v>
      </c>
      <c r="G325" t="s">
        <v>3940</v>
      </c>
      <c r="H325" t="s">
        <v>77</v>
      </c>
      <c r="I325" t="s">
        <v>3940</v>
      </c>
      <c r="J325" t="s">
        <v>3939</v>
      </c>
      <c r="K325" t="s">
        <v>3940</v>
      </c>
      <c r="L325" t="s">
        <v>2046</v>
      </c>
    </row>
    <row r="326">
      <c r="A326" t="s">
        <v>3640</v>
      </c>
      <c r="B326" t="s">
        <v>3641</v>
      </c>
      <c r="C326" t="s">
        <v>97</v>
      </c>
      <c r="D326" t="s">
        <v>3939</v>
      </c>
      <c r="E326" t="s">
        <v>3940</v>
      </c>
      <c r="F326" t="s">
        <v>3939</v>
      </c>
      <c r="G326" t="s">
        <v>3940</v>
      </c>
      <c r="H326" t="s">
        <v>77</v>
      </c>
      <c r="I326" t="s">
        <v>3940</v>
      </c>
      <c r="J326" t="s">
        <v>3939</v>
      </c>
      <c r="K326" t="s">
        <v>3940</v>
      </c>
      <c r="L326" t="s">
        <v>2046</v>
      </c>
    </row>
    <row r="327">
      <c r="A327" t="s">
        <v>3647</v>
      </c>
      <c r="B327" t="s">
        <v>3648</v>
      </c>
      <c r="C327" t="s">
        <v>97</v>
      </c>
      <c r="D327" t="s">
        <v>3939</v>
      </c>
      <c r="E327" t="s">
        <v>3940</v>
      </c>
      <c r="F327" t="s">
        <v>3939</v>
      </c>
      <c r="G327" t="s">
        <v>3940</v>
      </c>
      <c r="H327" t="s">
        <v>77</v>
      </c>
      <c r="I327" t="s">
        <v>3940</v>
      </c>
      <c r="J327" t="s">
        <v>3939</v>
      </c>
      <c r="K327" t="s">
        <v>3940</v>
      </c>
      <c r="L327" t="s">
        <v>2046</v>
      </c>
    </row>
    <row r="328">
      <c r="A328" t="s">
        <v>3654</v>
      </c>
      <c r="B328" t="s">
        <v>3657</v>
      </c>
      <c r="C328" t="s">
        <v>97</v>
      </c>
      <c r="D328" t="s">
        <v>3939</v>
      </c>
      <c r="E328" t="s">
        <v>3940</v>
      </c>
      <c r="F328" t="s">
        <v>3939</v>
      </c>
      <c r="G328" t="s">
        <v>3940</v>
      </c>
      <c r="H328" t="s">
        <v>77</v>
      </c>
      <c r="I328" t="s">
        <v>3940</v>
      </c>
      <c r="J328" t="s">
        <v>3939</v>
      </c>
      <c r="K328" t="s">
        <v>3940</v>
      </c>
      <c r="L328" t="s">
        <v>2046</v>
      </c>
    </row>
    <row r="329">
      <c r="A329" t="s">
        <v>3664</v>
      </c>
      <c r="B329" t="s">
        <v>3665</v>
      </c>
      <c r="C329" t="s">
        <v>97</v>
      </c>
      <c r="D329" t="s">
        <v>3939</v>
      </c>
      <c r="E329" t="s">
        <v>3940</v>
      </c>
      <c r="F329" t="s">
        <v>3939</v>
      </c>
      <c r="G329" t="s">
        <v>3940</v>
      </c>
      <c r="H329" t="s">
        <v>77</v>
      </c>
      <c r="I329" t="s">
        <v>3940</v>
      </c>
      <c r="J329" t="s">
        <v>3939</v>
      </c>
      <c r="K329" t="s">
        <v>3940</v>
      </c>
      <c r="L329" t="s">
        <v>2046</v>
      </c>
    </row>
    <row r="330">
      <c r="A330" t="s">
        <v>3671</v>
      </c>
      <c r="B330" t="s">
        <v>3672</v>
      </c>
      <c r="C330" t="s">
        <v>97</v>
      </c>
      <c r="D330" t="s">
        <v>3939</v>
      </c>
      <c r="E330" t="s">
        <v>3940</v>
      </c>
      <c r="F330" t="s">
        <v>3939</v>
      </c>
      <c r="G330" t="s">
        <v>3940</v>
      </c>
      <c r="H330" t="s">
        <v>77</v>
      </c>
      <c r="I330" t="s">
        <v>3940</v>
      </c>
      <c r="J330" t="s">
        <v>3939</v>
      </c>
      <c r="K330" t="s">
        <v>3940</v>
      </c>
      <c r="L330" t="s">
        <v>2046</v>
      </c>
    </row>
    <row r="331">
      <c r="A331" t="s">
        <v>3678</v>
      </c>
      <c r="B331" t="s">
        <v>3679</v>
      </c>
      <c r="C331" t="s">
        <v>97</v>
      </c>
      <c r="D331" t="s">
        <v>3939</v>
      </c>
      <c r="E331" t="s">
        <v>3940</v>
      </c>
      <c r="F331" t="s">
        <v>3939</v>
      </c>
      <c r="G331" t="s">
        <v>3940</v>
      </c>
      <c r="H331" t="s">
        <v>77</v>
      </c>
      <c r="I331" t="s">
        <v>3940</v>
      </c>
      <c r="J331" t="s">
        <v>3939</v>
      </c>
      <c r="K331" t="s">
        <v>3940</v>
      </c>
      <c r="L331" t="s">
        <v>2046</v>
      </c>
    </row>
    <row r="332">
      <c r="A332" t="s">
        <v>3685</v>
      </c>
      <c r="B332" t="s">
        <v>3686</v>
      </c>
      <c r="C332" t="s">
        <v>97</v>
      </c>
      <c r="D332" t="s">
        <v>3939</v>
      </c>
      <c r="E332" t="s">
        <v>3940</v>
      </c>
      <c r="F332" t="s">
        <v>3939</v>
      </c>
      <c r="G332" t="s">
        <v>3940</v>
      </c>
      <c r="H332" t="s">
        <v>77</v>
      </c>
      <c r="I332" t="s">
        <v>3940</v>
      </c>
      <c r="J332" t="s">
        <v>3939</v>
      </c>
      <c r="K332" t="s">
        <v>3940</v>
      </c>
      <c r="L332" t="s">
        <v>2046</v>
      </c>
    </row>
    <row r="333">
      <c r="A333" t="s">
        <v>3692</v>
      </c>
      <c r="B333" t="s">
        <v>3693</v>
      </c>
      <c r="C333" t="s">
        <v>97</v>
      </c>
      <c r="D333" t="s">
        <v>3939</v>
      </c>
      <c r="E333" t="s">
        <v>3940</v>
      </c>
      <c r="F333" t="s">
        <v>3939</v>
      </c>
      <c r="G333" t="s">
        <v>3940</v>
      </c>
      <c r="H333" t="s">
        <v>77</v>
      </c>
      <c r="I333" t="s">
        <v>3940</v>
      </c>
      <c r="J333" t="s">
        <v>3939</v>
      </c>
      <c r="K333" t="s">
        <v>3940</v>
      </c>
      <c r="L333" t="s">
        <v>2046</v>
      </c>
    </row>
    <row r="334">
      <c r="A334" t="s">
        <v>3699</v>
      </c>
      <c r="B334" t="s">
        <v>3700</v>
      </c>
      <c r="C334" t="s">
        <v>154</v>
      </c>
      <c r="D334" t="s">
        <v>3939</v>
      </c>
      <c r="E334" t="s">
        <v>3940</v>
      </c>
      <c r="F334" t="s">
        <v>3939</v>
      </c>
      <c r="G334" t="s">
        <v>3940</v>
      </c>
      <c r="H334" t="s">
        <v>77</v>
      </c>
      <c r="I334" t="s">
        <v>3940</v>
      </c>
      <c r="J334" t="s">
        <v>3939</v>
      </c>
      <c r="K334" t="s">
        <v>3940</v>
      </c>
      <c r="L334" t="s">
        <v>2046</v>
      </c>
    </row>
    <row r="335">
      <c r="A335" t="s">
        <v>3706</v>
      </c>
      <c r="B335" t="s">
        <v>3707</v>
      </c>
      <c r="C335" t="s">
        <v>154</v>
      </c>
      <c r="D335" t="s">
        <v>3939</v>
      </c>
      <c r="E335" t="s">
        <v>3940</v>
      </c>
      <c r="F335" t="s">
        <v>3939</v>
      </c>
      <c r="G335" t="s">
        <v>3940</v>
      </c>
      <c r="H335" t="s">
        <v>77</v>
      </c>
      <c r="I335" t="s">
        <v>3940</v>
      </c>
      <c r="J335" t="s">
        <v>3939</v>
      </c>
      <c r="K335" t="s">
        <v>3940</v>
      </c>
      <c r="L335" t="s">
        <v>2047</v>
      </c>
    </row>
    <row r="336">
      <c r="A336" t="s">
        <v>3713</v>
      </c>
      <c r="B336" t="s">
        <v>3714</v>
      </c>
      <c r="C336" t="s">
        <v>97</v>
      </c>
      <c r="D336" t="s">
        <v>3939</v>
      </c>
      <c r="E336" t="s">
        <v>3940</v>
      </c>
      <c r="F336" t="s">
        <v>3939</v>
      </c>
      <c r="G336" t="s">
        <v>3940</v>
      </c>
      <c r="H336" t="s">
        <v>77</v>
      </c>
      <c r="I336" t="s">
        <v>3940</v>
      </c>
      <c r="J336" t="s">
        <v>3939</v>
      </c>
      <c r="K336" t="s">
        <v>3940</v>
      </c>
      <c r="L336" t="s">
        <v>2046</v>
      </c>
    </row>
    <row r="337">
      <c r="A337" t="s">
        <v>3720</v>
      </c>
      <c r="B337" t="s">
        <v>3721</v>
      </c>
      <c r="C337" t="s">
        <v>97</v>
      </c>
      <c r="D337" t="s">
        <v>3939</v>
      </c>
      <c r="E337" t="s">
        <v>3940</v>
      </c>
      <c r="F337" t="s">
        <v>3939</v>
      </c>
      <c r="G337" t="s">
        <v>3940</v>
      </c>
      <c r="H337" t="s">
        <v>77</v>
      </c>
      <c r="I337" t="s">
        <v>3940</v>
      </c>
      <c r="J337" t="s">
        <v>3939</v>
      </c>
      <c r="K337" t="s">
        <v>3940</v>
      </c>
      <c r="L337" t="s">
        <v>2046</v>
      </c>
    </row>
    <row r="338">
      <c r="A338" t="s">
        <v>3727</v>
      </c>
      <c r="B338" t="s">
        <v>3730</v>
      </c>
      <c r="C338" t="s">
        <v>120</v>
      </c>
      <c r="D338" t="s">
        <v>3939</v>
      </c>
      <c r="E338" t="s">
        <v>3940</v>
      </c>
      <c r="F338" t="s">
        <v>3939</v>
      </c>
      <c r="G338" t="s">
        <v>3940</v>
      </c>
      <c r="H338" t="s">
        <v>77</v>
      </c>
      <c r="I338" t="s">
        <v>3940</v>
      </c>
      <c r="J338" t="s">
        <v>3939</v>
      </c>
      <c r="K338" t="s">
        <v>3940</v>
      </c>
      <c r="L338" t="s">
        <v>2048</v>
      </c>
    </row>
    <row r="339">
      <c r="A339" t="s">
        <v>3737</v>
      </c>
      <c r="B339" t="s">
        <v>3738</v>
      </c>
      <c r="C339" t="s">
        <v>120</v>
      </c>
      <c r="D339" t="s">
        <v>3939</v>
      </c>
      <c r="E339" t="s">
        <v>3940</v>
      </c>
      <c r="F339" t="s">
        <v>3939</v>
      </c>
      <c r="G339" t="s">
        <v>3940</v>
      </c>
      <c r="H339" t="s">
        <v>77</v>
      </c>
      <c r="I339" t="s">
        <v>3940</v>
      </c>
      <c r="J339" t="s">
        <v>3939</v>
      </c>
      <c r="K339" t="s">
        <v>3940</v>
      </c>
      <c r="L339" t="s">
        <v>2048</v>
      </c>
    </row>
    <row r="340">
      <c r="A340" t="s">
        <v>3744</v>
      </c>
      <c r="B340" t="s">
        <v>3745</v>
      </c>
      <c r="C340" t="s">
        <v>120</v>
      </c>
      <c r="D340" t="s">
        <v>3939</v>
      </c>
      <c r="E340" t="s">
        <v>3940</v>
      </c>
      <c r="F340" t="s">
        <v>3939</v>
      </c>
      <c r="G340" t="s">
        <v>3940</v>
      </c>
      <c r="H340" t="s">
        <v>77</v>
      </c>
      <c r="I340" t="s">
        <v>3940</v>
      </c>
      <c r="J340" t="s">
        <v>3939</v>
      </c>
      <c r="K340" t="s">
        <v>3940</v>
      </c>
      <c r="L340" t="s">
        <v>2048</v>
      </c>
    </row>
    <row r="341">
      <c r="A341" t="s">
        <v>3751</v>
      </c>
      <c r="B341" t="s">
        <v>3752</v>
      </c>
      <c r="C341" t="s">
        <v>120</v>
      </c>
      <c r="D341" t="s">
        <v>3939</v>
      </c>
      <c r="E341" t="s">
        <v>3940</v>
      </c>
      <c r="F341" t="s">
        <v>3939</v>
      </c>
      <c r="G341" t="s">
        <v>3940</v>
      </c>
      <c r="H341" t="s">
        <v>77</v>
      </c>
      <c r="I341" t="s">
        <v>3940</v>
      </c>
      <c r="J341" t="s">
        <v>3939</v>
      </c>
      <c r="K341" t="s">
        <v>3940</v>
      </c>
      <c r="L341" t="s">
        <v>2048</v>
      </c>
    </row>
    <row r="342">
      <c r="A342" t="s">
        <v>3758</v>
      </c>
      <c r="B342" t="s">
        <v>3759</v>
      </c>
      <c r="C342" t="s">
        <v>120</v>
      </c>
      <c r="D342" t="s">
        <v>3939</v>
      </c>
      <c r="E342" t="s">
        <v>3940</v>
      </c>
      <c r="F342" t="s">
        <v>3939</v>
      </c>
      <c r="G342" t="s">
        <v>3940</v>
      </c>
      <c r="H342" t="s">
        <v>77</v>
      </c>
      <c r="I342" t="s">
        <v>3940</v>
      </c>
      <c r="J342" t="s">
        <v>3939</v>
      </c>
      <c r="K342" t="s">
        <v>3940</v>
      </c>
      <c r="L342" t="s">
        <v>2048</v>
      </c>
    </row>
    <row r="343">
      <c r="A343" t="s">
        <v>3765</v>
      </c>
      <c r="B343" t="s">
        <v>3766</v>
      </c>
      <c r="C343" t="s">
        <v>120</v>
      </c>
      <c r="D343" t="s">
        <v>3939</v>
      </c>
      <c r="E343" t="s">
        <v>3940</v>
      </c>
      <c r="F343" t="s">
        <v>3939</v>
      </c>
      <c r="G343" t="s">
        <v>3940</v>
      </c>
      <c r="H343" t="s">
        <v>77</v>
      </c>
      <c r="I343" t="s">
        <v>3940</v>
      </c>
      <c r="J343" t="s">
        <v>3939</v>
      </c>
      <c r="K343" t="s">
        <v>3940</v>
      </c>
      <c r="L343" t="s">
        <v>2048</v>
      </c>
    </row>
    <row r="344">
      <c r="A344" t="s">
        <v>3772</v>
      </c>
      <c r="B344" t="s">
        <v>3773</v>
      </c>
      <c r="C344" t="s">
        <v>120</v>
      </c>
      <c r="D344" t="s">
        <v>3939</v>
      </c>
      <c r="E344" t="s">
        <v>3940</v>
      </c>
      <c r="F344" t="s">
        <v>3939</v>
      </c>
      <c r="G344" t="s">
        <v>3940</v>
      </c>
      <c r="H344" t="s">
        <v>77</v>
      </c>
      <c r="I344" t="s">
        <v>3940</v>
      </c>
      <c r="J344" t="s">
        <v>3939</v>
      </c>
      <c r="K344" t="s">
        <v>3940</v>
      </c>
      <c r="L344" t="s">
        <v>2048</v>
      </c>
    </row>
    <row r="345">
      <c r="A345" t="s">
        <v>3779</v>
      </c>
      <c r="B345" t="s">
        <v>3782</v>
      </c>
      <c r="C345" t="s">
        <v>3783</v>
      </c>
      <c r="D345" t="s">
        <v>3939</v>
      </c>
      <c r="E345" t="s">
        <v>3940</v>
      </c>
      <c r="F345" t="s">
        <v>3939</v>
      </c>
      <c r="G345" t="s">
        <v>3940</v>
      </c>
      <c r="H345" t="s">
        <v>77</v>
      </c>
      <c r="I345" t="s">
        <v>3940</v>
      </c>
      <c r="J345" t="s">
        <v>3939</v>
      </c>
      <c r="K345" t="s">
        <v>3940</v>
      </c>
      <c r="L345" t="s">
        <v>2049</v>
      </c>
    </row>
    <row r="346">
      <c r="A346" t="s">
        <v>3792</v>
      </c>
      <c r="B346" t="s">
        <v>3793</v>
      </c>
      <c r="C346" t="s">
        <v>3783</v>
      </c>
      <c r="D346" t="s">
        <v>3939</v>
      </c>
      <c r="E346" t="s">
        <v>3940</v>
      </c>
      <c r="F346" t="s">
        <v>3939</v>
      </c>
      <c r="G346" t="s">
        <v>3940</v>
      </c>
      <c r="H346" t="s">
        <v>77</v>
      </c>
      <c r="I346" t="s">
        <v>3940</v>
      </c>
      <c r="J346" t="s">
        <v>3939</v>
      </c>
      <c r="K346" t="s">
        <v>3940</v>
      </c>
      <c r="L346" t="s">
        <v>2049</v>
      </c>
    </row>
    <row r="347">
      <c r="A347" t="s">
        <v>3799</v>
      </c>
      <c r="B347" t="s">
        <v>3800</v>
      </c>
      <c r="C347" t="s">
        <v>3783</v>
      </c>
      <c r="D347" t="s">
        <v>3939</v>
      </c>
      <c r="E347" t="s">
        <v>3940</v>
      </c>
      <c r="F347" t="s">
        <v>3939</v>
      </c>
      <c r="G347" t="s">
        <v>3940</v>
      </c>
      <c r="H347" t="s">
        <v>77</v>
      </c>
      <c r="I347" t="s">
        <v>3940</v>
      </c>
      <c r="J347" t="s">
        <v>3939</v>
      </c>
      <c r="K347" t="s">
        <v>3940</v>
      </c>
      <c r="L347" t="s">
        <v>2049</v>
      </c>
    </row>
    <row r="348">
      <c r="A348" t="s">
        <v>3806</v>
      </c>
      <c r="B348" t="s">
        <v>3807</v>
      </c>
      <c r="C348" t="s">
        <v>3783</v>
      </c>
      <c r="D348" t="s">
        <v>3939</v>
      </c>
      <c r="E348" t="s">
        <v>3940</v>
      </c>
      <c r="F348" t="s">
        <v>3939</v>
      </c>
      <c r="G348" t="s">
        <v>3940</v>
      </c>
      <c r="H348" t="s">
        <v>77</v>
      </c>
      <c r="I348" t="s">
        <v>3940</v>
      </c>
      <c r="J348" t="s">
        <v>3939</v>
      </c>
      <c r="K348" t="s">
        <v>3940</v>
      </c>
      <c r="L348" t="s">
        <v>2049</v>
      </c>
    </row>
    <row r="349">
      <c r="A349" t="s">
        <v>3813</v>
      </c>
      <c r="B349" t="s">
        <v>3814</v>
      </c>
      <c r="C349" t="s">
        <v>3783</v>
      </c>
      <c r="D349" t="s">
        <v>3939</v>
      </c>
      <c r="E349" t="s">
        <v>3940</v>
      </c>
      <c r="F349" t="s">
        <v>3939</v>
      </c>
      <c r="G349" t="s">
        <v>3940</v>
      </c>
      <c r="H349" t="s">
        <v>77</v>
      </c>
      <c r="I349" t="s">
        <v>3940</v>
      </c>
      <c r="J349" t="s">
        <v>3939</v>
      </c>
      <c r="K349" t="s">
        <v>3940</v>
      </c>
      <c r="L349" t="s">
        <v>2049</v>
      </c>
    </row>
    <row r="350">
      <c r="A350" t="s">
        <v>3820</v>
      </c>
      <c r="B350" t="s">
        <v>3821</v>
      </c>
      <c r="C350" t="s">
        <v>3783</v>
      </c>
      <c r="D350" t="s">
        <v>3939</v>
      </c>
      <c r="E350" t="s">
        <v>3940</v>
      </c>
      <c r="F350" t="s">
        <v>3939</v>
      </c>
      <c r="G350" t="s">
        <v>3940</v>
      </c>
      <c r="H350" t="s">
        <v>77</v>
      </c>
      <c r="I350" t="s">
        <v>3940</v>
      </c>
      <c r="J350" t="s">
        <v>3939</v>
      </c>
      <c r="K350" t="s">
        <v>3940</v>
      </c>
      <c r="L350" t="s">
        <v>2049</v>
      </c>
    </row>
    <row r="351">
      <c r="A351" t="s">
        <v>3827</v>
      </c>
      <c r="B351" t="s">
        <v>3830</v>
      </c>
      <c r="C351" t="s">
        <v>97</v>
      </c>
      <c r="D351" t="s">
        <v>3939</v>
      </c>
      <c r="E351" t="s">
        <v>3940</v>
      </c>
      <c r="F351" t="s">
        <v>3939</v>
      </c>
      <c r="G351" t="s">
        <v>3940</v>
      </c>
      <c r="H351" t="s">
        <v>77</v>
      </c>
      <c r="I351" t="s">
        <v>3940</v>
      </c>
      <c r="J351" t="s">
        <v>3939</v>
      </c>
      <c r="K351" t="s">
        <v>3940</v>
      </c>
      <c r="L351" t="s">
        <v>2046</v>
      </c>
    </row>
    <row r="352">
      <c r="A352" t="s">
        <v>3837</v>
      </c>
      <c r="B352" t="s">
        <v>3838</v>
      </c>
      <c r="C352" t="s">
        <v>120</v>
      </c>
      <c r="D352" t="s">
        <v>3939</v>
      </c>
      <c r="E352" t="s">
        <v>3940</v>
      </c>
      <c r="F352" t="s">
        <v>3939</v>
      </c>
      <c r="G352" t="s">
        <v>3940</v>
      </c>
      <c r="H352" t="s">
        <v>77</v>
      </c>
      <c r="I352" t="s">
        <v>3940</v>
      </c>
      <c r="J352" t="s">
        <v>3939</v>
      </c>
      <c r="K352" t="s">
        <v>3940</v>
      </c>
      <c r="L352" t="s">
        <v>2048</v>
      </c>
    </row>
    <row r="353">
      <c r="A353" s="74" t="s">
        <v>7286</v>
      </c>
      <c r="B353" s="74" t="s">
        <v>7291</v>
      </c>
      <c r="C353" s="74" t="s">
        <v>120</v>
      </c>
      <c r="D353" s="74" t="n">
        <v>0</v>
      </c>
      <c r="E353" s="74"/>
      <c r="F353" s="74" t="n">
        <v>0</v>
      </c>
      <c r="G353" s="74"/>
      <c r="H353" s="74" t="str">
        <v>NO</v>
      </c>
      <c r="I353" s="74"/>
      <c r="J353" s="74" t="n">
        <v>0</v>
      </c>
      <c r="K353" s="74"/>
      <c r="L353" s="74" t="s">
        <v>7303</v>
      </c>
    </row>
    <row r="354">
      <c r="A354" s="74" t="s">
        <v>7308</v>
      </c>
      <c r="B354" s="74" t="s">
        <v>7311</v>
      </c>
      <c r="C354" s="74" t="s">
        <v>154</v>
      </c>
      <c r="D354" s="74" t="n">
        <v>0</v>
      </c>
      <c r="E354" s="74"/>
      <c r="F354" s="74" t="n">
        <v>0</v>
      </c>
      <c r="G354" s="74"/>
      <c r="H354" s="74" t="str">
        <v>NO</v>
      </c>
      <c r="I354" s="74"/>
      <c r="J354" s="74" t="n">
        <v>0</v>
      </c>
      <c r="K354" s="74"/>
      <c r="L354" s="74" t="s">
        <v>7318</v>
      </c>
    </row>
    <row r="355">
      <c r="A355" s="74" t="s">
        <v>7321</v>
      </c>
      <c r="B355" s="74" t="s">
        <v>7324</v>
      </c>
      <c r="C355" s="74" t="s">
        <v>120</v>
      </c>
      <c r="D355" s="74" t="n">
        <v>0</v>
      </c>
      <c r="E355" s="74"/>
      <c r="F355" s="74" t="n">
        <v>0</v>
      </c>
      <c r="G355" s="74"/>
      <c r="H355" s="74" t="str">
        <v>NO</v>
      </c>
      <c r="I355" s="74"/>
      <c r="J355" s="74" t="n">
        <v>0</v>
      </c>
      <c r="K355" s="74"/>
      <c r="L355" s="74" t="s">
        <v>7303</v>
      </c>
    </row>
    <row r="356">
      <c r="A356" s="74" t="s">
        <v>7334</v>
      </c>
      <c r="B356" s="74" t="s">
        <v>7337</v>
      </c>
      <c r="C356" s="74" t="s">
        <v>3783</v>
      </c>
      <c r="D356" s="74" t="n">
        <v>0</v>
      </c>
      <c r="E356" s="74"/>
      <c r="F356" s="74" t="n">
        <v>0</v>
      </c>
      <c r="G356" s="74"/>
      <c r="H356" s="74" t="str">
        <v>NO</v>
      </c>
      <c r="I356" s="74"/>
      <c r="J356" s="74" t="n">
        <v>0</v>
      </c>
      <c r="K356" s="74"/>
      <c r="L356" s="74" t="s">
        <v>7303</v>
      </c>
    </row>
    <row r="357">
      <c r="A357" s="74" t="s">
        <v>7346</v>
      </c>
      <c r="B357" s="74" t="s">
        <v>7349</v>
      </c>
      <c r="C357" s="74" t="s">
        <v>154</v>
      </c>
      <c r="D357" s="74" t="n">
        <v>0</v>
      </c>
      <c r="E357" s="74"/>
      <c r="F357" s="74" t="n">
        <v>0</v>
      </c>
      <c r="G357" s="74"/>
      <c r="H357" s="74" t="str">
        <v>NO</v>
      </c>
      <c r="I357" s="74"/>
      <c r="J357" s="74" t="n">
        <v>0</v>
      </c>
      <c r="K357" s="74"/>
      <c r="L357" s="74" t="s">
        <v>7318</v>
      </c>
    </row>
    <row r="358">
      <c r="A358" s="74" t="s">
        <v>7358</v>
      </c>
      <c r="B358" s="74" t="s">
        <v>7360</v>
      </c>
      <c r="C358" s="74" t="s">
        <v>154</v>
      </c>
      <c r="D358" s="74" t="n">
        <v>0</v>
      </c>
      <c r="E358" s="74"/>
      <c r="F358" s="74" t="n">
        <v>0</v>
      </c>
      <c r="G358" s="74"/>
      <c r="H358" s="74" t="str">
        <v>NO</v>
      </c>
      <c r="I358" s="74"/>
      <c r="J358" s="74" t="n">
        <v>0</v>
      </c>
      <c r="K358" s="74"/>
      <c r="L358" s="74" t="s">
        <v>7303</v>
      </c>
    </row>
    <row r="999">
      <c r="A999" s="74"/>
      <c r="B999" s="74"/>
      <c r="C999" s="74"/>
      <c r="D999" s="74"/>
      <c r="E999" s="74"/>
      <c r="F999" s="74"/>
      <c r="G999" s="74"/>
      <c r="H999" s="74"/>
      <c r="I999" s="74"/>
      <c r="J999" s="74"/>
      <c r="K999" s="74"/>
      <c r="L999" s="74"/>
    </row>
    <row r="1000">
      <c r="A1000" s="74"/>
      <c r="B1000" s="74"/>
      <c r="C1000" s="74"/>
      <c r="D1000" s="74"/>
      <c r="E1000" s="74"/>
      <c r="F1000" s="74"/>
      <c r="G1000" s="74"/>
      <c r="H1000" s="74"/>
      <c r="I1000" s="74"/>
      <c r="J1000" s="74"/>
      <c r="K1000" s="74"/>
      <c r="L1000" s="74"/>
    </row>
    <row r="1001">
      <c r="A1001" s="74"/>
      <c r="B1001" s="74"/>
      <c r="C1001" s="74"/>
      <c r="D1001" s="74"/>
      <c r="E1001" s="74"/>
      <c r="F1001" s="74"/>
      <c r="G1001" s="74"/>
      <c r="H1001" s="74"/>
      <c r="I1001" s="74"/>
      <c r="J1001" s="74"/>
      <c r="K1001" s="74"/>
      <c r="L1001" s="74"/>
    </row>
    <row r="1002">
      <c r="A1002" s="74"/>
      <c r="B1002" s="74"/>
      <c r="C1002" s="74"/>
      <c r="D1002" s="74"/>
      <c r="E1002" s="74"/>
      <c r="F1002" s="74"/>
      <c r="G1002" s="74"/>
      <c r="H1002" s="74"/>
      <c r="I1002" s="74"/>
      <c r="J1002" s="74"/>
      <c r="K1002" s="74"/>
      <c r="L1002" s="74"/>
    </row>
    <row r="1003">
      <c r="A1003" s="74"/>
      <c r="B1003" s="74"/>
      <c r="C1003" s="74"/>
      <c r="D1003" s="74"/>
      <c r="E1003" s="74"/>
      <c r="F1003" s="74"/>
      <c r="G1003" s="74"/>
      <c r="H1003" s="74"/>
      <c r="I1003" s="74"/>
      <c r="J1003" s="74"/>
      <c r="K1003" s="74"/>
      <c r="L1003" s="74"/>
    </row>
    <row r="1004">
      <c r="A1004" s="74"/>
      <c r="B1004" s="74"/>
      <c r="C1004" s="74"/>
      <c r="D1004" s="74"/>
      <c r="E1004" s="74"/>
      <c r="F1004" s="74"/>
      <c r="G1004" s="74"/>
      <c r="H1004" s="74"/>
      <c r="I1004" s="74"/>
      <c r="J1004" s="74"/>
      <c r="K1004" s="74"/>
      <c r="L1004" s="74"/>
    </row>
    <row r="1005">
      <c r="A1005" s="74"/>
      <c r="B1005" s="74"/>
      <c r="C1005" s="74"/>
      <c r="D1005" s="74"/>
      <c r="E1005" s="74"/>
      <c r="F1005" s="74"/>
      <c r="G1005" s="74"/>
      <c r="H1005" s="74"/>
      <c r="I1005" s="74"/>
      <c r="J1005" s="74"/>
      <c r="K1005" s="74"/>
      <c r="L1005" s="74"/>
    </row>
    <row r="1006">
      <c r="A1006" s="74"/>
      <c r="B1006" s="74"/>
      <c r="C1006" s="74"/>
      <c r="D1006" s="74"/>
      <c r="E1006" s="74"/>
      <c r="F1006" s="74"/>
      <c r="G1006" s="74"/>
      <c r="H1006" s="74"/>
      <c r="I1006" s="74"/>
      <c r="J1006" s="74"/>
      <c r="K1006" s="74"/>
      <c r="L1006" s="74"/>
    </row>
  </sheetData>
  <pageMargins left="0.7" right="0.7" top="0.75" bottom="0.75" header="0.3" footer="0.3"/>
</worksheet>
</file>

<file path=xl/worksheets/sheet9.xml><?xml version="1.0" encoding="utf-8"?>
<x:worksheet xmlns:x="http://schemas.openxmlformats.org/spreadsheetml/2006/main">
  <x:sheetFormatPr baseColWidth="10" defaultColWidth="8.83203125" defaultRowHeight="13"/>
  <x:sheetData>
    <x:row r="1">
      <x:c r="A1" t="s">
        <x:v>3941</x:v>
      </x:c>
    </x:row>
    <x:row r="2">
      <x:c r="A2" t="s">
        <x:v>3942</x:v>
      </x:c>
      <x:c r="B2" t="s">
        <x:v>2077</x:v>
      </x:c>
    </x:row>
    <x:row r="4">
      <x:c r="A4" t="s">
        <x:v>3943</x:v>
      </x:c>
      <x:c r="B4" t="s">
        <x:v>3944</x:v>
      </x:c>
      <x:c r="C4" t="s">
        <x:v>3945</x:v>
      </x:c>
      <x:c r="D4" t="s">
        <x:v>3946</x:v>
      </x:c>
    </x:row>
    <x:row r="5">
      <x:c r="A5" t="s">
        <x:v>3947</x:v>
      </x:c>
      <x:c r="B5" t="n">
        <x:f>COUNTIF(Checks!$L:$L,$B$2)</x:f>
        <x:v>14</x:v>
      </x:c>
      <x:c r="C5" t="s">
        <x:v>3948</x:v>
      </x:c>
      <x:c r="D5" t="str">
        <x:f>IF(B5&gt;=1,"PASS","FAIL")</x:f>
        <x:v>PASS</x:v>
      </x:c>
    </x:row>
    <x:row r="6">
      <x:c r="A6" t="s">
        <x:v>3949</x:v>
      </x:c>
      <x:c r="B6" t="n">
        <x:f>SUMIF(Checks!$L:$L,$B$2,Checks!$D:$D)</x:f>
        <x:v>0</x:v>
      </x:c>
      <x:c r="C6" t="n">
        <x:f>0</x:f>
        <x:v>0</x:v>
      </x:c>
      <x:c r="D6" t="str">
        <x:f>IF(B6=0,"PASS","FAIL")</x:f>
        <x:v>PASS</x:v>
      </x:c>
    </x:row>
    <x:row r="7">
      <x:c r="A7" t="s">
        <x:v>3950</x:v>
      </x:c>
      <x:c r="B7" t="n">
        <x:f>SUMIF(Checks!$L:$L,$B$2,Checks!$F:$F)</x:f>
        <x:v>0</x:v>
      </x:c>
      <x:c r="C7" t="n">
        <x:f>0</x:f>
        <x:v>0</x:v>
      </x:c>
      <x:c r="D7" t="str">
        <x:f>IF(B7=0,"PASS","FAIL")</x:f>
        <x:v>PASS</x:v>
      </x:c>
    </x:row>
    <x:row r="8">
      <x:c r="A8" t="s">
        <x:v>3951</x:v>
      </x:c>
      <x:c r="B8" t="n">
        <x:f>COUNTIFS(Checks!$L:$L,$B$2,Checks!$H:$H,"YES")</x:f>
        <x:v>0</x:v>
      </x:c>
      <x:c r="C8" t="n">
        <x:f>0</x:f>
        <x:v>0</x:v>
      </x:c>
      <x:c r="D8" t="str">
        <x:f>IF(B8=0,"PASS","FAIL")</x:f>
        <x:v>PASS</x:v>
      </x:c>
    </x:row>
    <x:row r="9">
      <x:c r="A9" t="s">
        <x:v>3952</x:v>
      </x:c>
      <x:c r="B9" t="n">
        <x:f>COUNTIFS(Checks!$L:$L,$B$2,Checks!$J:$J,"&gt;0")</x:f>
        <x:v>0</x:v>
      </x:c>
      <x:c r="C9" t="n">
        <x:f>0</x:f>
        <x:v>0</x:v>
      </x:c>
      <x:c r="D9" t="str">
        <x:f>IF(B9=0,"PASS","FAIL")</x:f>
        <x:v>PASS</x:v>
      </x:c>
    </x:row>
    <x:row r="12">
      <x:c r="A12" t="s">
        <x:v>3953</x:v>
      </x:c>
      <x:c r="B12" t="str">
        <x:f>IF(COUNTIF(D5:D9,"FAIL")=0,"GO","NO-GO")</x:f>
        <x:v>GO</x:v>
      </x:c>
    </x:row>
  </x:sheetData>
  <x:pageMargins left="0.7" right="0.7" top="0.75" bottom="0.75" header="0.3" footer="0.3"/>
</x:worksheet>
</file>

<file path=xl/worksheets/sheet10.xml><?xml version="1.0" encoding="utf-8"?>
<worksheet xmlns="http://schemas.openxmlformats.org/spreadsheetml/2006/main">
  <sheetFormatPr baseColWidth="10" defaultColWidth="8.83203125" defaultRowHeight="13"/>
  <cols>
    <col min="1" max="1" width="12" customWidth="1"/>
    <col min="2" max="2" width="40" customWidth="1"/>
    <col min="3" max="3" width="8" customWidth="1"/>
    <col min="4" max="4" width="16" customWidth="1"/>
    <col min="5" max="5" width="10" customWidth="1"/>
    <col min="6" max="6" width="32" customWidth="1"/>
    <col min="7" max="8" width="14" customWidth="1"/>
    <col min="9" max="9" width="12" customWidth="1"/>
    <col min="10" max="10" width="20" customWidth="1"/>
    <col min="11" max="11" width="40" customWidth="1"/>
    <col min="12" max="12" width="22" customWidth="1"/>
    <col min="13" max="13" width="24" customWidth="1"/>
    <col min="14" max="14" width="44" customWidth="1"/>
  </cols>
  <sheetData>
    <row r="1" ht="52" customHeight="1">
      <c r="A1" s="32" t="s">
        <v>3954</v>
      </c>
      <c r="B1" s="32"/>
      <c r="C1" s="32"/>
      <c r="D1" s="32"/>
      <c r="E1" s="32"/>
      <c r="F1" s="32"/>
      <c r="G1" s="32"/>
      <c r="H1" s="32"/>
      <c r="I1" s="32"/>
      <c r="J1" s="32"/>
      <c r="K1" s="32"/>
      <c r="L1" s="32"/>
      <c r="M1" s="32"/>
      <c r="N1" s="32"/>
    </row>
    <row r="3">
      <c r="A3" t="s">
        <v>2058</v>
      </c>
      <c r="B3" t="s">
        <v>61</v>
      </c>
      <c r="C3" t="s">
        <v>63</v>
      </c>
      <c r="D3" t="s">
        <v>64</v>
      </c>
      <c r="E3" t="s">
        <v>65</v>
      </c>
      <c r="F3" t="s">
        <v>66</v>
      </c>
      <c r="G3" t="s">
        <v>67</v>
      </c>
      <c r="H3" t="s">
        <v>68</v>
      </c>
      <c r="I3" t="s">
        <v>69</v>
      </c>
      <c r="J3" t="s">
        <v>70</v>
      </c>
      <c r="K3" t="s">
        <v>3921</v>
      </c>
      <c r="L3" t="s">
        <v>2061</v>
      </c>
      <c r="M3" t="s">
        <v>2062</v>
      </c>
      <c r="N3" t="s">
        <v>71</v>
      </c>
    </row>
    <row r="4">
      <c r="A4" t="s">
        <v>2071</v>
      </c>
      <c r="B4" t="s">
        <v>96</v>
      </c>
      <c r="C4" t="s">
        <v>129</v>
      </c>
      <c r="D4" t="s">
        <v>2077</v>
      </c>
      <c r="E4" t="e">
        <f t="shared" ref="E4:E67" si="0">IF(OR($G4&gt;0,$H4&gt;0),"YES","NO")</f>
      </c>
      <c r="F4" t="e">
        <f t="shared" ref="F4:F67" si="1">_xludf.TEXTJOIN("; ",TRUE,IF($G4&gt;0,"Missing Dependency",""),IF($H4&gt;0,"Out-of-Sequence",""))</f>
      </c>
      <c r="H4" t="e">
        <f>IFERROR(SUMPRODUCT(--(Dependencies!$A$2:$A$5000=$A4)*--(VALUE(MID(_xludf.XLOOKUP(Dependencies!$C$2:$C$5000,Blueprint_Data!$A:$A,Blueprint_Data!$G:$G,"W-99"),3,99))&gt;VALUE(MID($C4,3,99)))),0)</f>
      </c>
      <c r="I4" t="s">
        <v>77</v>
      </c>
      <c r="J4">
        <v>0</v>
      </c>
      <c r="L4" t="s">
        <v>2074</v>
      </c>
      <c r="M4" t="s">
        <v>2075</v>
      </c>
      <c r="N4" t="e">
        <f t="shared" ref="N4:N67" si="2">IF($E4="YES",IF($G4&gt;0,"Assign/enable prerequisite module(s) OR correct dependency mapping.","Re-sequence wave OR approve out-of-seq waiver."),"")</f>
      </c>
    </row>
    <row r="5">
      <c r="A5" t="s">
        <v>2079</v>
      </c>
      <c r="B5" t="s">
        <v>106</v>
      </c>
      <c r="C5" t="s">
        <v>97</v>
      </c>
      <c r="E5" t="str">
        <f t="shared" si="0"/>
        <v>NO</v>
      </c>
      <c r="F5" t="e">
        <f t="shared" si="1"/>
      </c>
      <c r="H5" t="e">
        <f>IFERROR(SUMPRODUCT(--(Dependencies!$A$2:$A$5000=$A5)*--(VALUE(MID(_xludf.XLOOKUP(Dependencies!$C$2:$C$5000,Blueprint_Data!$A:$A,Blueprint_Data!$G:$G,"W-99"),3,99))&gt;VALUE(MID($C5,3,99)))),0)</f>
      </c>
      <c r="I5" t="s">
        <v>77</v>
      </c>
      <c r="J5">
        <v>0</v>
      </c>
      <c r="L5" t="s">
        <v>2074</v>
      </c>
      <c r="M5" t="s">
        <v>2075</v>
      </c>
      <c r="N5" t="str">
        <f t="shared" si="2"/>
      </c>
    </row>
    <row r="6">
      <c r="A6" t="s">
        <v>2081</v>
      </c>
      <c r="B6" t="s">
        <v>113</v>
      </c>
      <c r="C6" t="s">
        <v>97</v>
      </c>
      <c r="E6" t="str">
        <f t="shared" si="0"/>
        <v>NO</v>
      </c>
      <c r="F6" t="e">
        <f t="shared" si="1"/>
      </c>
      <c r="H6" t="e">
        <f>IFERROR(SUMPRODUCT(--(Dependencies!$A$2:$A$5000=$A6)*--(VALUE(MID(_xludf.XLOOKUP(Dependencies!$C$2:$C$5000,Blueprint_Data!$A:$A,Blueprint_Data!$G:$G,"W-99"),3,99))&gt;VALUE(MID($C6,3,99)))),0)</f>
      </c>
      <c r="I6" t="s">
        <v>77</v>
      </c>
      <c r="J6">
        <v>0</v>
      </c>
      <c r="L6" t="s">
        <v>2074</v>
      </c>
      <c r="M6" t="s">
        <v>2075</v>
      </c>
      <c r="N6" t="str">
        <f t="shared" si="2"/>
      </c>
    </row>
    <row r="7">
      <c r="A7" t="s">
        <v>2084</v>
      </c>
      <c r="B7" t="s">
        <v>119</v>
      </c>
      <c r="C7" t="s">
        <v>120</v>
      </c>
      <c r="E7" t="str">
        <f t="shared" si="0"/>
        <v>NO</v>
      </c>
      <c r="F7" t="e">
        <f t="shared" si="1"/>
      </c>
      <c r="H7" t="e">
        <f>IFERROR(SUMPRODUCT(--(Dependencies!$A$2:$A$5000=$A7)*--(VALUE(MID(_xludf.XLOOKUP(Dependencies!$C$2:$C$5000,Blueprint_Data!$A:$A,Blueprint_Data!$G:$G,"W-99"),3,99))&gt;VALUE(MID($C7,3,99)))),0)</f>
      </c>
      <c r="I7" t="s">
        <v>80</v>
      </c>
      <c r="J7">
        <v>0</v>
      </c>
      <c r="L7" t="s">
        <v>2074</v>
      </c>
      <c r="M7" t="s">
        <v>2075</v>
      </c>
      <c r="N7" t="str">
        <f t="shared" si="2"/>
      </c>
    </row>
    <row r="8">
      <c r="A8" t="s">
        <v>2087</v>
      </c>
      <c r="B8" t="s">
        <v>128</v>
      </c>
      <c r="C8" t="s">
        <v>129</v>
      </c>
      <c r="E8" t="str">
        <f t="shared" si="0"/>
        <v>NO</v>
      </c>
      <c r="F8" t="e">
        <f t="shared" si="1"/>
      </c>
      <c r="H8" t="e">
        <f>IFERROR(SUMPRODUCT(--(Dependencies!$A$2:$A$5000=$A8)*--(VALUE(MID(_xludf.XLOOKUP(Dependencies!$C$2:$C$5000,Blueprint_Data!$A:$A,Blueprint_Data!$G:$G,"W-99"),3,99))&gt;VALUE(MID($C8,3,99)))),0)</f>
      </c>
      <c r="I8" t="s">
        <v>77</v>
      </c>
      <c r="J8">
        <v>0</v>
      </c>
      <c r="L8" t="s">
        <v>2074</v>
      </c>
      <c r="M8" t="s">
        <v>2075</v>
      </c>
      <c r="N8" t="str">
        <f t="shared" si="2"/>
      </c>
    </row>
    <row r="9">
      <c r="A9" t="s">
        <v>2089</v>
      </c>
      <c r="B9" t="s">
        <v>137</v>
      </c>
      <c r="C9" t="s">
        <v>97</v>
      </c>
      <c r="E9" t="str">
        <f t="shared" si="0"/>
        <v>NO</v>
      </c>
      <c r="F9" t="e">
        <f t="shared" si="1"/>
      </c>
      <c r="H9" t="e">
        <f>IFERROR(SUMPRODUCT(--(Dependencies!$A$2:$A$5000=$A9)*--(VALUE(MID(_xludf.XLOOKUP(Dependencies!$C$2:$C$5000,Blueprint_Data!$A:$A,Blueprint_Data!$G:$G,"W-99"),3,99))&gt;VALUE(MID($C9,3,99)))),0)</f>
      </c>
      <c r="I9" t="s">
        <v>77</v>
      </c>
      <c r="J9">
        <v>0</v>
      </c>
      <c r="L9" t="s">
        <v>2074</v>
      </c>
      <c r="M9" t="s">
        <v>2075</v>
      </c>
      <c r="N9" t="str">
        <f t="shared" si="2"/>
      </c>
    </row>
    <row r="10">
      <c r="A10" t="s">
        <v>2092</v>
      </c>
      <c r="B10" t="s">
        <v>145</v>
      </c>
      <c r="C10" t="s">
        <v>129</v>
      </c>
      <c r="D10" t="s">
        <v>2077</v>
      </c>
      <c r="E10" t="str">
        <f t="shared" si="0"/>
        <v>NO</v>
      </c>
      <c r="F10" t="e">
        <f t="shared" si="1"/>
      </c>
      <c r="H10" t="e">
        <f>IFERROR(SUMPRODUCT(--(Dependencies!$A$2:$A$5000=$A10)*--(VALUE(MID(_xludf.XLOOKUP(Dependencies!$C$2:$C$5000,Blueprint_Data!$A:$A,Blueprint_Data!$G:$G,"W-99"),3,99))&gt;VALUE(MID($C10,3,99)))),0)</f>
      </c>
      <c r="I10" t="s">
        <v>77</v>
      </c>
      <c r="J10">
        <v>0</v>
      </c>
      <c r="L10" t="s">
        <v>2074</v>
      </c>
      <c r="M10" t="s">
        <v>2075</v>
      </c>
      <c r="N10" t="str">
        <f t="shared" si="2"/>
      </c>
    </row>
    <row r="11">
      <c r="A11" t="s">
        <v>2095</v>
      </c>
      <c r="B11" t="s">
        <v>153</v>
      </c>
      <c r="C11" t="s">
        <v>154</v>
      </c>
      <c r="E11" t="str">
        <f t="shared" si="0"/>
        <v>NO</v>
      </c>
      <c r="F11" t="e">
        <f t="shared" si="1"/>
      </c>
      <c r="H11" t="e">
        <f>IFERROR(SUMPRODUCT(--(Dependencies!$A$2:$A$5000=$A11)*--(VALUE(MID(_xludf.XLOOKUP(Dependencies!$C$2:$C$5000,Blueprint_Data!$A:$A,Blueprint_Data!$G:$G,"W-99"),3,99))&gt;VALUE(MID($C11,3,99)))),0)</f>
      </c>
      <c r="I11" t="s">
        <v>77</v>
      </c>
      <c r="J11">
        <v>0</v>
      </c>
      <c r="L11" t="s">
        <v>2074</v>
      </c>
      <c r="M11" t="s">
        <v>2075</v>
      </c>
      <c r="N11" t="str">
        <f t="shared" si="2"/>
      </c>
    </row>
    <row r="12">
      <c r="A12" t="s">
        <v>2097</v>
      </c>
      <c r="B12" t="s">
        <v>164</v>
      </c>
      <c r="C12" t="s">
        <v>129</v>
      </c>
      <c r="D12" t="s">
        <v>2077</v>
      </c>
      <c r="E12" t="str">
        <f t="shared" si="0"/>
        <v>NO</v>
      </c>
      <c r="F12" t="e">
        <f t="shared" si="1"/>
      </c>
      <c r="H12" t="e">
        <f>IFERROR(SUMPRODUCT(--(Dependencies!$A$2:$A$5000=$A12)*--(VALUE(MID(_xludf.XLOOKUP(Dependencies!$C$2:$C$5000,Blueprint_Data!$A:$A,Blueprint_Data!$G:$G,"W-99"),3,99))&gt;VALUE(MID($C12,3,99)))),0)</f>
      </c>
      <c r="I12" t="s">
        <v>77</v>
      </c>
      <c r="J12">
        <v>0</v>
      </c>
      <c r="L12" t="s">
        <v>2074</v>
      </c>
      <c r="M12" t="s">
        <v>2075</v>
      </c>
      <c r="N12" t="str">
        <f t="shared" si="2"/>
      </c>
    </row>
    <row r="13">
      <c r="A13" t="s">
        <v>2100</v>
      </c>
      <c r="B13" t="s">
        <v>172</v>
      </c>
      <c r="C13" t="s">
        <v>129</v>
      </c>
      <c r="E13" t="str">
        <f t="shared" si="0"/>
        <v>NO</v>
      </c>
      <c r="F13" t="e">
        <f t="shared" si="1"/>
      </c>
      <c r="H13" t="e">
        <f>IFERROR(SUMPRODUCT(--(Dependencies!$A$2:$A$5000=$A13)*--(VALUE(MID(_xludf.XLOOKUP(Dependencies!$C$2:$C$5000,Blueprint_Data!$A:$A,Blueprint_Data!$G:$G,"W-99"),3,99))&gt;VALUE(MID($C13,3,99)))),0)</f>
      </c>
      <c r="I13" t="s">
        <v>77</v>
      </c>
      <c r="J13">
        <v>0</v>
      </c>
      <c r="L13" t="s">
        <v>2074</v>
      </c>
      <c r="M13" t="s">
        <v>2075</v>
      </c>
      <c r="N13" t="str">
        <f t="shared" si="2"/>
      </c>
    </row>
    <row r="14">
      <c r="A14" t="s">
        <v>2104</v>
      </c>
      <c r="B14" t="s">
        <v>177</v>
      </c>
      <c r="C14" t="s">
        <v>154</v>
      </c>
      <c r="E14" t="str">
        <f t="shared" si="0"/>
        <v>NO</v>
      </c>
      <c r="F14" t="e">
        <f t="shared" si="1"/>
      </c>
      <c r="H14" t="e">
        <f>IFERROR(SUMPRODUCT(--(Dependencies!$A$2:$A$5000=$A14)*--(VALUE(MID(_xludf.XLOOKUP(Dependencies!$C$2:$C$5000,Blueprint_Data!$A:$A,Blueprint_Data!$G:$G,"W-99"),3,99))&gt;VALUE(MID($C14,3,99)))),0)</f>
      </c>
      <c r="I14" t="s">
        <v>77</v>
      </c>
      <c r="J14">
        <v>0</v>
      </c>
      <c r="L14" t="s">
        <v>2074</v>
      </c>
      <c r="M14" t="s">
        <v>2075</v>
      </c>
      <c r="N14" t="str">
        <f t="shared" si="2"/>
      </c>
    </row>
    <row r="15">
      <c r="A15" t="s">
        <v>2107</v>
      </c>
      <c r="B15" t="s">
        <v>184</v>
      </c>
      <c r="C15" t="s">
        <v>129</v>
      </c>
      <c r="E15" t="str">
        <f t="shared" si="0"/>
        <v>NO</v>
      </c>
      <c r="F15" t="e">
        <f t="shared" si="1"/>
      </c>
      <c r="H15" t="e">
        <f>IFERROR(SUMPRODUCT(--(Dependencies!$A$2:$A$5000=$A15)*--(VALUE(MID(_xludf.XLOOKUP(Dependencies!$C$2:$C$5000,Blueprint_Data!$A:$A,Blueprint_Data!$G:$G,"W-99"),3,99))&gt;VALUE(MID($C15,3,99)))),0)</f>
      </c>
      <c r="I15" t="s">
        <v>77</v>
      </c>
      <c r="J15">
        <v>0</v>
      </c>
      <c r="L15" t="s">
        <v>2074</v>
      </c>
      <c r="M15" t="s">
        <v>2075</v>
      </c>
      <c r="N15" t="str">
        <f t="shared" si="2"/>
      </c>
    </row>
    <row r="16">
      <c r="A16" t="s">
        <v>2110</v>
      </c>
      <c r="B16" t="s">
        <v>192</v>
      </c>
      <c r="C16" t="s">
        <v>129</v>
      </c>
      <c r="E16" t="str">
        <f t="shared" si="0"/>
        <v>NO</v>
      </c>
      <c r="F16" t="e">
        <f t="shared" si="1"/>
      </c>
      <c r="H16" t="e">
        <f>IFERROR(SUMPRODUCT(--(Dependencies!$A$2:$A$5000=$A16)*--(VALUE(MID(_xludf.XLOOKUP(Dependencies!$C$2:$C$5000,Blueprint_Data!$A:$A,Blueprint_Data!$G:$G,"W-99"),3,99))&gt;VALUE(MID($C16,3,99)))),0)</f>
      </c>
      <c r="I16" t="s">
        <v>77</v>
      </c>
      <c r="J16">
        <v>0</v>
      </c>
      <c r="L16" t="s">
        <v>2074</v>
      </c>
      <c r="M16" t="s">
        <v>2075</v>
      </c>
      <c r="N16" t="str">
        <f t="shared" si="2"/>
      </c>
    </row>
    <row r="17">
      <c r="A17" t="s">
        <v>2112</v>
      </c>
      <c r="B17" t="s">
        <v>198</v>
      </c>
      <c r="C17" t="s">
        <v>129</v>
      </c>
      <c r="D17" t="s">
        <v>2077</v>
      </c>
      <c r="E17" t="str">
        <f t="shared" si="0"/>
        <v>NO</v>
      </c>
      <c r="F17" t="e">
        <f t="shared" si="1"/>
      </c>
      <c r="H17" t="e">
        <f>IFERROR(SUMPRODUCT(--(Dependencies!$A$2:$A$5000=$A17)*--(VALUE(MID(_xludf.XLOOKUP(Dependencies!$C$2:$C$5000,Blueprint_Data!$A:$A,Blueprint_Data!$G:$G,"W-99"),3,99))&gt;VALUE(MID($C17,3,99)))),0)</f>
      </c>
      <c r="I17" t="s">
        <v>77</v>
      </c>
      <c r="J17">
        <v>0</v>
      </c>
      <c r="L17" t="s">
        <v>2074</v>
      </c>
      <c r="M17" t="s">
        <v>2075</v>
      </c>
      <c r="N17" t="str">
        <f t="shared" si="2"/>
      </c>
    </row>
    <row r="18">
      <c r="A18" t="s">
        <v>2114</v>
      </c>
      <c r="B18" t="s">
        <v>204</v>
      </c>
      <c r="C18" t="s">
        <v>154</v>
      </c>
      <c r="E18" t="str">
        <f t="shared" si="0"/>
        <v>NO</v>
      </c>
      <c r="F18" t="e">
        <f t="shared" si="1"/>
      </c>
      <c r="H18" t="e">
        <f>IFERROR(SUMPRODUCT(--(Dependencies!$A$2:$A$5000=$A18)*--(VALUE(MID(_xludf.XLOOKUP(Dependencies!$C$2:$C$5000,Blueprint_Data!$A:$A,Blueprint_Data!$G:$G,"W-99"),3,99))&gt;VALUE(MID($C18,3,99)))),0)</f>
      </c>
      <c r="I18" t="s">
        <v>77</v>
      </c>
      <c r="J18">
        <v>0</v>
      </c>
      <c r="L18" t="s">
        <v>2074</v>
      </c>
      <c r="M18" t="s">
        <v>2075</v>
      </c>
      <c r="N18" t="str">
        <f t="shared" si="2"/>
      </c>
    </row>
    <row r="19">
      <c r="A19" t="s">
        <v>2117</v>
      </c>
      <c r="B19" t="s">
        <v>211</v>
      </c>
      <c r="C19" t="s">
        <v>120</v>
      </c>
      <c r="E19" t="str">
        <f t="shared" si="0"/>
        <v>NO</v>
      </c>
      <c r="F19" t="e">
        <f t="shared" si="1"/>
      </c>
      <c r="H19" t="e">
        <f>IFERROR(SUMPRODUCT(--(Dependencies!$A$2:$A$5000=$A19)*--(VALUE(MID(_xludf.XLOOKUP(Dependencies!$C$2:$C$5000,Blueprint_Data!$A:$A,Blueprint_Data!$G:$G,"W-99"),3,99))&gt;VALUE(MID($C19,3,99)))),0)</f>
      </c>
      <c r="I19" t="s">
        <v>77</v>
      </c>
      <c r="J19">
        <v>0</v>
      </c>
      <c r="L19" t="s">
        <v>2074</v>
      </c>
      <c r="M19" t="s">
        <v>2075</v>
      </c>
      <c r="N19" t="str">
        <f t="shared" si="2"/>
      </c>
    </row>
    <row r="20">
      <c r="A20" t="s">
        <v>2120</v>
      </c>
      <c r="B20" t="s">
        <v>219</v>
      </c>
      <c r="C20" t="s">
        <v>129</v>
      </c>
      <c r="D20" t="s">
        <v>2077</v>
      </c>
      <c r="E20" t="str">
        <f t="shared" si="0"/>
        <v>NO</v>
      </c>
      <c r="F20" t="e">
        <f t="shared" si="1"/>
      </c>
      <c r="H20" t="e">
        <f>IFERROR(SUMPRODUCT(--(Dependencies!$A$2:$A$5000=$A20)*--(VALUE(MID(_xludf.XLOOKUP(Dependencies!$C$2:$C$5000,Blueprint_Data!$A:$A,Blueprint_Data!$G:$G,"W-99"),3,99))&gt;VALUE(MID($C20,3,99)))),0)</f>
      </c>
      <c r="I20" t="s">
        <v>77</v>
      </c>
      <c r="J20">
        <v>0</v>
      </c>
      <c r="L20" t="s">
        <v>2074</v>
      </c>
      <c r="M20" t="s">
        <v>2075</v>
      </c>
      <c r="N20" t="str">
        <f t="shared" si="2"/>
      </c>
    </row>
    <row r="21">
      <c r="A21" t="s">
        <v>2124</v>
      </c>
      <c r="B21" t="s">
        <v>226</v>
      </c>
      <c r="C21" t="s">
        <v>129</v>
      </c>
      <c r="D21" t="s">
        <v>2077</v>
      </c>
      <c r="E21" t="str">
        <f t="shared" si="0"/>
        <v>NO</v>
      </c>
      <c r="F21" t="e">
        <f t="shared" si="1"/>
      </c>
      <c r="H21" t="e">
        <f>IFERROR(SUMPRODUCT(--(Dependencies!$A$2:$A$5000=$A21)*--(VALUE(MID(_xludf.XLOOKUP(Dependencies!$C$2:$C$5000,Blueprint_Data!$A:$A,Blueprint_Data!$G:$G,"W-99"),3,99))&gt;VALUE(MID($C21,3,99)))),0)</f>
      </c>
      <c r="I21" t="s">
        <v>77</v>
      </c>
      <c r="J21">
        <v>0</v>
      </c>
      <c r="L21" t="s">
        <v>2074</v>
      </c>
      <c r="M21" t="s">
        <v>2075</v>
      </c>
      <c r="N21" t="str">
        <f t="shared" si="2"/>
      </c>
    </row>
    <row r="22">
      <c r="A22" t="s">
        <v>2127</v>
      </c>
      <c r="B22" t="s">
        <v>231</v>
      </c>
      <c r="C22" t="s">
        <v>154</v>
      </c>
      <c r="E22" t="str">
        <f t="shared" si="0"/>
        <v>NO</v>
      </c>
      <c r="F22" t="e">
        <f t="shared" si="1"/>
      </c>
      <c r="H22" t="e">
        <f>IFERROR(SUMPRODUCT(--(Dependencies!$A$2:$A$5000=$A22)*--(VALUE(MID(_xludf.XLOOKUP(Dependencies!$C$2:$C$5000,Blueprint_Data!$A:$A,Blueprint_Data!$G:$G,"W-99"),3,99))&gt;VALUE(MID($C22,3,99)))),0)</f>
      </c>
      <c r="I22" t="s">
        <v>77</v>
      </c>
      <c r="J22">
        <v>0</v>
      </c>
      <c r="L22" t="s">
        <v>2074</v>
      </c>
      <c r="M22" t="s">
        <v>2075</v>
      </c>
      <c r="N22" t="str">
        <f t="shared" si="2"/>
      </c>
    </row>
    <row r="23">
      <c r="A23" t="s">
        <v>2130</v>
      </c>
      <c r="B23" t="s">
        <v>240</v>
      </c>
      <c r="C23" t="s">
        <v>154</v>
      </c>
      <c r="E23" t="str">
        <f t="shared" si="0"/>
        <v>NO</v>
      </c>
      <c r="F23" t="e">
        <f t="shared" si="1"/>
      </c>
      <c r="H23" t="e">
        <f>IFERROR(SUMPRODUCT(--(Dependencies!$A$2:$A$5000=$A23)*--(VALUE(MID(_xludf.XLOOKUP(Dependencies!$C$2:$C$5000,Blueprint_Data!$A:$A,Blueprint_Data!$G:$G,"W-99"),3,99))&gt;VALUE(MID($C23,3,99)))),0)</f>
      </c>
      <c r="I23" t="s">
        <v>77</v>
      </c>
      <c r="J23">
        <v>0</v>
      </c>
      <c r="L23" t="s">
        <v>2074</v>
      </c>
      <c r="M23" t="s">
        <v>2075</v>
      </c>
      <c r="N23" t="str">
        <f t="shared" si="2"/>
      </c>
    </row>
    <row r="24">
      <c r="A24" t="s">
        <v>2133</v>
      </c>
      <c r="B24" t="s">
        <v>248</v>
      </c>
      <c r="C24" t="s">
        <v>129</v>
      </c>
      <c r="D24" t="s">
        <v>2077</v>
      </c>
      <c r="E24" t="str">
        <f t="shared" si="0"/>
        <v>NO</v>
      </c>
      <c r="F24" t="e">
        <f t="shared" si="1"/>
      </c>
      <c r="H24" t="e">
        <f>IFERROR(SUMPRODUCT(--(Dependencies!$A$2:$A$5000=$A24)*--(VALUE(MID(_xludf.XLOOKUP(Dependencies!$C$2:$C$5000,Blueprint_Data!$A:$A,Blueprint_Data!$G:$G,"W-99"),3,99))&gt;VALUE(MID($C24,3,99)))),0)</f>
      </c>
      <c r="I24" t="s">
        <v>77</v>
      </c>
      <c r="J24">
        <v>0</v>
      </c>
      <c r="L24" t="s">
        <v>2074</v>
      </c>
      <c r="M24" t="s">
        <v>2075</v>
      </c>
      <c r="N24" t="str">
        <f t="shared" si="2"/>
      </c>
    </row>
    <row r="25">
      <c r="A25" t="s">
        <v>2136</v>
      </c>
      <c r="B25" t="s">
        <v>254</v>
      </c>
      <c r="C25" t="s">
        <v>120</v>
      </c>
      <c r="E25" t="str">
        <f t="shared" si="0"/>
        <v>NO</v>
      </c>
      <c r="F25" t="e">
        <f t="shared" si="1"/>
      </c>
      <c r="H25" t="e">
        <f>IFERROR(SUMPRODUCT(--(Dependencies!$A$2:$A$5000=$A25)*--(VALUE(MID(_xludf.XLOOKUP(Dependencies!$C$2:$C$5000,Blueprint_Data!$A:$A,Blueprint_Data!$G:$G,"W-99"),3,99))&gt;VALUE(MID($C25,3,99)))),0)</f>
      </c>
      <c r="I25" t="s">
        <v>77</v>
      </c>
      <c r="J25">
        <v>0</v>
      </c>
      <c r="L25" t="s">
        <v>2074</v>
      </c>
      <c r="M25" t="s">
        <v>2075</v>
      </c>
      <c r="N25" t="str">
        <f t="shared" si="2"/>
      </c>
    </row>
    <row r="26">
      <c r="A26" t="s">
        <v>2140</v>
      </c>
      <c r="B26" t="s">
        <v>263</v>
      </c>
      <c r="C26" t="s">
        <v>129</v>
      </c>
      <c r="D26" t="s">
        <v>2077</v>
      </c>
      <c r="E26" t="str">
        <f t="shared" si="0"/>
        <v>NO</v>
      </c>
      <c r="F26" t="e">
        <f t="shared" si="1"/>
      </c>
      <c r="H26" t="e">
        <f>IFERROR(SUMPRODUCT(--(Dependencies!$A$2:$A$5000=$A26)*--(VALUE(MID(_xludf.XLOOKUP(Dependencies!$C$2:$C$5000,Blueprint_Data!$A:$A,Blueprint_Data!$G:$G,"W-99"),3,99))&gt;VALUE(MID($C26,3,99)))),0)</f>
      </c>
      <c r="I26" t="s">
        <v>77</v>
      </c>
      <c r="J26">
        <v>0</v>
      </c>
      <c r="L26" t="s">
        <v>2074</v>
      </c>
      <c r="M26" t="s">
        <v>2075</v>
      </c>
      <c r="N26" t="str">
        <f t="shared" si="2"/>
      </c>
    </row>
    <row r="27">
      <c r="A27" t="s">
        <v>2143</v>
      </c>
      <c r="B27" t="s">
        <v>271</v>
      </c>
      <c r="C27" t="s">
        <v>97</v>
      </c>
      <c r="E27" t="str">
        <f t="shared" si="0"/>
        <v>NO</v>
      </c>
      <c r="F27" t="e">
        <f t="shared" si="1"/>
      </c>
      <c r="H27" t="e">
        <f>IFERROR(SUMPRODUCT(--(Dependencies!$A$2:$A$5000=$A27)*--(VALUE(MID(_xludf.XLOOKUP(Dependencies!$C$2:$C$5000,Blueprint_Data!$A:$A,Blueprint_Data!$G:$G,"W-99"),3,99))&gt;VALUE(MID($C27,3,99)))),0)</f>
      </c>
      <c r="I27" t="s">
        <v>77</v>
      </c>
      <c r="J27">
        <v>0</v>
      </c>
      <c r="L27" t="s">
        <v>2074</v>
      </c>
      <c r="M27" t="s">
        <v>2075</v>
      </c>
      <c r="N27" t="str">
        <f t="shared" si="2"/>
      </c>
    </row>
    <row r="28">
      <c r="A28" t="s">
        <v>2146</v>
      </c>
      <c r="B28" t="s">
        <v>279</v>
      </c>
      <c r="C28" t="s">
        <v>97</v>
      </c>
      <c r="E28" t="str">
        <f t="shared" si="0"/>
        <v>NO</v>
      </c>
      <c r="F28" t="e">
        <f t="shared" si="1"/>
      </c>
      <c r="H28" t="e">
        <f>IFERROR(SUMPRODUCT(--(Dependencies!$A$2:$A$5000=$A28)*--(VALUE(MID(_xludf.XLOOKUP(Dependencies!$C$2:$C$5000,Blueprint_Data!$A:$A,Blueprint_Data!$G:$G,"W-99"),3,99))&gt;VALUE(MID($C28,3,99)))),0)</f>
      </c>
      <c r="I28" t="s">
        <v>77</v>
      </c>
      <c r="J28">
        <v>0</v>
      </c>
      <c r="L28" t="s">
        <v>2074</v>
      </c>
      <c r="M28" t="s">
        <v>2075</v>
      </c>
      <c r="N28" t="str">
        <f t="shared" si="2"/>
      </c>
    </row>
    <row r="29">
      <c r="A29" t="s">
        <v>2149</v>
      </c>
      <c r="B29" t="s">
        <v>287</v>
      </c>
      <c r="C29" t="s">
        <v>97</v>
      </c>
      <c r="E29" t="str">
        <f t="shared" si="0"/>
        <v>NO</v>
      </c>
      <c r="F29" t="e">
        <f t="shared" si="1"/>
      </c>
      <c r="H29" t="e">
        <f>IFERROR(SUMPRODUCT(--(Dependencies!$A$2:$A$5000=$A29)*--(VALUE(MID(_xludf.XLOOKUP(Dependencies!$C$2:$C$5000,Blueprint_Data!$A:$A,Blueprint_Data!$G:$G,"W-99"),3,99))&gt;VALUE(MID($C29,3,99)))),0)</f>
      </c>
      <c r="I29" t="s">
        <v>77</v>
      </c>
      <c r="J29">
        <v>0</v>
      </c>
      <c r="L29" t="s">
        <v>2074</v>
      </c>
      <c r="M29" t="s">
        <v>2075</v>
      </c>
      <c r="N29" t="str">
        <f t="shared" si="2"/>
      </c>
    </row>
    <row r="30">
      <c r="A30" t="s">
        <v>2152</v>
      </c>
      <c r="B30" t="s">
        <v>295</v>
      </c>
      <c r="C30" t="s">
        <v>97</v>
      </c>
      <c r="E30" t="str">
        <f t="shared" si="0"/>
        <v>NO</v>
      </c>
      <c r="F30" t="e">
        <f t="shared" si="1"/>
      </c>
      <c r="H30" t="e">
        <f>IFERROR(SUMPRODUCT(--(Dependencies!$A$2:$A$5000=$A30)*--(VALUE(MID(_xludf.XLOOKUP(Dependencies!$C$2:$C$5000,Blueprint_Data!$A:$A,Blueprint_Data!$G:$G,"W-99"),3,99))&gt;VALUE(MID($C30,3,99)))),0)</f>
      </c>
      <c r="I30" t="s">
        <v>77</v>
      </c>
      <c r="J30">
        <v>0</v>
      </c>
      <c r="L30" t="s">
        <v>2074</v>
      </c>
      <c r="M30" t="s">
        <v>2075</v>
      </c>
      <c r="N30" t="str">
        <f t="shared" si="2"/>
      </c>
    </row>
    <row r="31">
      <c r="A31" t="s">
        <v>2156</v>
      </c>
      <c r="B31" t="s">
        <v>306</v>
      </c>
      <c r="C31" t="s">
        <v>129</v>
      </c>
      <c r="D31" t="s">
        <v>2077</v>
      </c>
      <c r="E31" t="str">
        <f t="shared" si="0"/>
        <v>NO</v>
      </c>
      <c r="F31" t="e">
        <f t="shared" si="1"/>
      </c>
      <c r="H31" t="e">
        <f>IFERROR(SUMPRODUCT(--(Dependencies!$A$2:$A$5000=$A31)*--(VALUE(MID(_xludf.XLOOKUP(Dependencies!$C$2:$C$5000,Blueprint_Data!$A:$A,Blueprint_Data!$G:$G,"W-99"),3,99))&gt;VALUE(MID($C31,3,99)))),0)</f>
      </c>
      <c r="I31" t="s">
        <v>77</v>
      </c>
      <c r="J31">
        <v>0</v>
      </c>
      <c r="L31" t="s">
        <v>2074</v>
      </c>
      <c r="M31" t="s">
        <v>2075</v>
      </c>
      <c r="N31" t="str">
        <f t="shared" si="2"/>
      </c>
    </row>
    <row r="32">
      <c r="A32" t="s">
        <v>2161</v>
      </c>
      <c r="B32" t="s">
        <v>313</v>
      </c>
      <c r="C32" t="s">
        <v>154</v>
      </c>
      <c r="E32" t="str">
        <f t="shared" si="0"/>
        <v>NO</v>
      </c>
      <c r="F32" t="e">
        <f t="shared" si="1"/>
      </c>
      <c r="H32" t="e">
        <f>IFERROR(SUMPRODUCT(--(Dependencies!$A$2:$A$5000=$A32)*--(VALUE(MID(_xludf.XLOOKUP(Dependencies!$C$2:$C$5000,Blueprint_Data!$A:$A,Blueprint_Data!$G:$G,"W-99"),3,99))&gt;VALUE(MID($C32,3,99)))),0)</f>
      </c>
      <c r="I32" t="s">
        <v>77</v>
      </c>
      <c r="J32">
        <v>0</v>
      </c>
      <c r="L32" t="s">
        <v>2074</v>
      </c>
      <c r="M32" t="s">
        <v>2075</v>
      </c>
      <c r="N32" t="str">
        <f t="shared" si="2"/>
      </c>
    </row>
    <row r="33">
      <c r="A33" t="s">
        <v>2164</v>
      </c>
      <c r="B33" t="s">
        <v>322</v>
      </c>
      <c r="C33" t="s">
        <v>120</v>
      </c>
      <c r="E33" t="str">
        <f t="shared" si="0"/>
        <v>NO</v>
      </c>
      <c r="F33" t="e">
        <f t="shared" si="1"/>
      </c>
      <c r="H33" t="e">
        <f>IFERROR(SUMPRODUCT(--(Dependencies!$A$2:$A$5000=$A33)*--(VALUE(MID(_xludf.XLOOKUP(Dependencies!$C$2:$C$5000,Blueprint_Data!$A:$A,Blueprint_Data!$G:$G,"W-99"),3,99))&gt;VALUE(MID($C33,3,99)))),0)</f>
      </c>
      <c r="I33" t="s">
        <v>77</v>
      </c>
      <c r="J33">
        <v>0</v>
      </c>
      <c r="L33" t="s">
        <v>2074</v>
      </c>
      <c r="M33" t="s">
        <v>2075</v>
      </c>
      <c r="N33" t="str">
        <f t="shared" si="2"/>
      </c>
    </row>
    <row r="34">
      <c r="A34" t="s">
        <v>2167</v>
      </c>
      <c r="B34" t="s">
        <v>332</v>
      </c>
      <c r="C34" t="s">
        <v>120</v>
      </c>
      <c r="E34" t="str">
        <f t="shared" si="0"/>
        <v>NO</v>
      </c>
      <c r="F34" t="e">
        <f t="shared" si="1"/>
      </c>
      <c r="H34" t="e">
        <f>IFERROR(SUMPRODUCT(--(Dependencies!$A$2:$A$5000=$A34)*--(VALUE(MID(_xludf.XLOOKUP(Dependencies!$C$2:$C$5000,Blueprint_Data!$A:$A,Blueprint_Data!$G:$G,"W-99"),3,99))&gt;VALUE(MID($C34,3,99)))),0)</f>
      </c>
      <c r="I34" t="s">
        <v>77</v>
      </c>
      <c r="J34">
        <v>0</v>
      </c>
      <c r="L34" t="s">
        <v>2074</v>
      </c>
      <c r="M34" t="s">
        <v>2075</v>
      </c>
      <c r="N34" t="str">
        <f t="shared" si="2"/>
      </c>
    </row>
    <row r="35">
      <c r="A35" t="s">
        <v>2170</v>
      </c>
      <c r="B35" t="s">
        <v>343</v>
      </c>
      <c r="C35" t="s">
        <v>129</v>
      </c>
      <c r="E35" t="str">
        <f t="shared" si="0"/>
        <v>NO</v>
      </c>
      <c r="F35" t="e">
        <f t="shared" si="1"/>
      </c>
      <c r="H35" t="e">
        <f>IFERROR(SUMPRODUCT(--(Dependencies!$A$2:$A$5000=$A35)*--(VALUE(MID(_xludf.XLOOKUP(Dependencies!$C$2:$C$5000,Blueprint_Data!$A:$A,Blueprint_Data!$G:$G,"W-99"),3,99))&gt;VALUE(MID($C35,3,99)))),0)</f>
      </c>
      <c r="I35" t="s">
        <v>77</v>
      </c>
      <c r="J35">
        <v>0</v>
      </c>
      <c r="L35" t="s">
        <v>2074</v>
      </c>
      <c r="M35" t="s">
        <v>2075</v>
      </c>
      <c r="N35" t="str">
        <f t="shared" si="2"/>
      </c>
    </row>
    <row r="36">
      <c r="A36" t="s">
        <v>2174</v>
      </c>
      <c r="B36" t="s">
        <v>351</v>
      </c>
      <c r="C36" t="s">
        <v>97</v>
      </c>
      <c r="E36" t="str">
        <f t="shared" si="0"/>
        <v>NO</v>
      </c>
      <c r="F36" t="e">
        <f t="shared" si="1"/>
      </c>
      <c r="H36" t="e">
        <f>IFERROR(SUMPRODUCT(--(Dependencies!$A$2:$A$5000=$A36)*--(VALUE(MID(_xludf.XLOOKUP(Dependencies!$C$2:$C$5000,Blueprint_Data!$A:$A,Blueprint_Data!$G:$G,"W-99"),3,99))&gt;VALUE(MID($C36,3,99)))),0)</f>
      </c>
      <c r="I36" t="s">
        <v>77</v>
      </c>
      <c r="J36">
        <v>0</v>
      </c>
      <c r="L36" t="s">
        <v>2074</v>
      </c>
      <c r="M36" t="s">
        <v>2075</v>
      </c>
      <c r="N36" t="str">
        <f t="shared" si="2"/>
      </c>
    </row>
    <row r="37">
      <c r="A37" t="s">
        <v>2177</v>
      </c>
      <c r="B37" t="s">
        <v>357</v>
      </c>
      <c r="C37" t="s">
        <v>97</v>
      </c>
      <c r="E37" t="str">
        <f t="shared" si="0"/>
        <v>NO</v>
      </c>
      <c r="F37" t="e">
        <f t="shared" si="1"/>
      </c>
      <c r="H37" t="e">
        <f>IFERROR(SUMPRODUCT(--(Dependencies!$A$2:$A$5000=$A37)*--(VALUE(MID(_xludf.XLOOKUP(Dependencies!$C$2:$C$5000,Blueprint_Data!$A:$A,Blueprint_Data!$G:$G,"W-99"),3,99))&gt;VALUE(MID($C37,3,99)))),0)</f>
      </c>
      <c r="I37" t="s">
        <v>77</v>
      </c>
      <c r="J37">
        <v>0</v>
      </c>
      <c r="L37" t="s">
        <v>2074</v>
      </c>
      <c r="M37" t="s">
        <v>2075</v>
      </c>
      <c r="N37" t="str">
        <f t="shared" si="2"/>
      </c>
    </row>
    <row r="38">
      <c r="A38" t="s">
        <v>2180</v>
      </c>
      <c r="B38" t="s">
        <v>363</v>
      </c>
      <c r="C38" t="s">
        <v>97</v>
      </c>
      <c r="E38" t="str">
        <f t="shared" si="0"/>
        <v>NO</v>
      </c>
      <c r="F38" t="e">
        <f t="shared" si="1"/>
      </c>
      <c r="H38" t="e">
        <f>IFERROR(SUMPRODUCT(--(Dependencies!$A$2:$A$5000=$A38)*--(VALUE(MID(_xludf.XLOOKUP(Dependencies!$C$2:$C$5000,Blueprint_Data!$A:$A,Blueprint_Data!$G:$G,"W-99"),3,99))&gt;VALUE(MID($C38,3,99)))),0)</f>
      </c>
      <c r="I38" t="s">
        <v>77</v>
      </c>
      <c r="J38">
        <v>0</v>
      </c>
      <c r="L38" t="s">
        <v>2074</v>
      </c>
      <c r="M38" t="s">
        <v>2075</v>
      </c>
      <c r="N38" t="str">
        <f t="shared" si="2"/>
      </c>
    </row>
    <row r="39">
      <c r="A39" t="s">
        <v>2184</v>
      </c>
      <c r="B39" t="s">
        <v>369</v>
      </c>
      <c r="C39" t="s">
        <v>120</v>
      </c>
      <c r="E39" t="str">
        <f t="shared" si="0"/>
        <v>NO</v>
      </c>
      <c r="F39" t="e">
        <f t="shared" si="1"/>
      </c>
      <c r="H39" t="e">
        <f>IFERROR(SUMPRODUCT(--(Dependencies!$A$2:$A$5000=$A39)*--(VALUE(MID(_xludf.XLOOKUP(Dependencies!$C$2:$C$5000,Blueprint_Data!$A:$A,Blueprint_Data!$G:$G,"W-99"),3,99))&gt;VALUE(MID($C39,3,99)))),0)</f>
      </c>
      <c r="I39" t="s">
        <v>77</v>
      </c>
      <c r="J39">
        <v>0</v>
      </c>
      <c r="L39" t="s">
        <v>2074</v>
      </c>
      <c r="M39" t="s">
        <v>2075</v>
      </c>
      <c r="N39" t="str">
        <f t="shared" si="2"/>
      </c>
    </row>
    <row r="40">
      <c r="A40" t="s">
        <v>2188</v>
      </c>
      <c r="B40" t="s">
        <v>378</v>
      </c>
      <c r="C40" t="s">
        <v>97</v>
      </c>
      <c r="E40" t="str">
        <f t="shared" si="0"/>
        <v>NO</v>
      </c>
      <c r="F40" t="e">
        <f t="shared" si="1"/>
      </c>
      <c r="H40" t="e">
        <f>IFERROR(SUMPRODUCT(--(Dependencies!$A$2:$A$5000=$A40)*--(VALUE(MID(_xludf.XLOOKUP(Dependencies!$C$2:$C$5000,Blueprint_Data!$A:$A,Blueprint_Data!$G:$G,"W-99"),3,99))&gt;VALUE(MID($C40,3,99)))),0)</f>
      </c>
      <c r="I40" t="s">
        <v>77</v>
      </c>
      <c r="J40">
        <v>0</v>
      </c>
      <c r="L40" t="s">
        <v>2074</v>
      </c>
      <c r="M40" t="s">
        <v>2075</v>
      </c>
      <c r="N40" t="str">
        <f t="shared" si="2"/>
      </c>
    </row>
    <row r="41">
      <c r="A41" t="s">
        <v>2191</v>
      </c>
      <c r="B41" t="s">
        <v>387</v>
      </c>
      <c r="C41" t="s">
        <v>97</v>
      </c>
      <c r="E41" t="str">
        <f t="shared" si="0"/>
        <v>NO</v>
      </c>
      <c r="F41" t="e">
        <f t="shared" si="1"/>
      </c>
      <c r="H41" t="e">
        <f>IFERROR(SUMPRODUCT(--(Dependencies!$A$2:$A$5000=$A41)*--(VALUE(MID(_xludf.XLOOKUP(Dependencies!$C$2:$C$5000,Blueprint_Data!$A:$A,Blueprint_Data!$G:$G,"W-99"),3,99))&gt;VALUE(MID($C41,3,99)))),0)</f>
      </c>
      <c r="I41" t="s">
        <v>77</v>
      </c>
      <c r="J41">
        <v>0</v>
      </c>
      <c r="L41" t="s">
        <v>2074</v>
      </c>
      <c r="M41" t="s">
        <v>2075</v>
      </c>
      <c r="N41" t="str">
        <f t="shared" si="2"/>
      </c>
    </row>
    <row r="42">
      <c r="A42" t="s">
        <v>2193</v>
      </c>
      <c r="B42" t="s">
        <v>394</v>
      </c>
      <c r="C42" t="s">
        <v>97</v>
      </c>
      <c r="E42" t="str">
        <f t="shared" si="0"/>
        <v>NO</v>
      </c>
      <c r="F42" t="e">
        <f t="shared" si="1"/>
      </c>
      <c r="H42" t="e">
        <f>IFERROR(SUMPRODUCT(--(Dependencies!$A$2:$A$5000=$A42)*--(VALUE(MID(_xludf.XLOOKUP(Dependencies!$C$2:$C$5000,Blueprint_Data!$A:$A,Blueprint_Data!$G:$G,"W-99"),3,99))&gt;VALUE(MID($C42,3,99)))),0)</f>
      </c>
      <c r="I42" t="s">
        <v>77</v>
      </c>
      <c r="J42">
        <v>0</v>
      </c>
      <c r="L42" t="s">
        <v>2074</v>
      </c>
      <c r="M42" t="s">
        <v>2075</v>
      </c>
      <c r="N42" t="str">
        <f t="shared" si="2"/>
      </c>
    </row>
    <row r="43">
      <c r="A43" t="s">
        <v>2196</v>
      </c>
      <c r="B43" t="s">
        <v>400</v>
      </c>
      <c r="C43" t="s">
        <v>97</v>
      </c>
      <c r="E43" t="str">
        <f t="shared" si="0"/>
        <v>NO</v>
      </c>
      <c r="F43" t="e">
        <f t="shared" si="1"/>
      </c>
      <c r="H43" t="e">
        <f>IFERROR(SUMPRODUCT(--(Dependencies!$A$2:$A$5000=$A43)*--(VALUE(MID(_xludf.XLOOKUP(Dependencies!$C$2:$C$5000,Blueprint_Data!$A:$A,Blueprint_Data!$G:$G,"W-99"),3,99))&gt;VALUE(MID($C43,3,99)))),0)</f>
      </c>
      <c r="I43" t="s">
        <v>77</v>
      </c>
      <c r="J43">
        <v>0</v>
      </c>
      <c r="L43" t="s">
        <v>2074</v>
      </c>
      <c r="M43" t="s">
        <v>2075</v>
      </c>
      <c r="N43" t="str">
        <f t="shared" si="2"/>
      </c>
    </row>
    <row r="44">
      <c r="A44" t="s">
        <v>2199</v>
      </c>
      <c r="B44" t="s">
        <v>410</v>
      </c>
      <c r="C44" t="s">
        <v>129</v>
      </c>
      <c r="E44" t="str">
        <f t="shared" si="0"/>
        <v>NO</v>
      </c>
      <c r="F44" t="e">
        <f t="shared" si="1"/>
      </c>
      <c r="H44" t="e">
        <f>IFERROR(SUMPRODUCT(--(Dependencies!$A$2:$A$5000=$A44)*--(VALUE(MID(_xludf.XLOOKUP(Dependencies!$C$2:$C$5000,Blueprint_Data!$A:$A,Blueprint_Data!$G:$G,"W-99"),3,99))&gt;VALUE(MID($C44,3,99)))),0)</f>
      </c>
      <c r="I44" t="s">
        <v>77</v>
      </c>
      <c r="J44">
        <v>0</v>
      </c>
      <c r="L44" t="s">
        <v>2074</v>
      </c>
      <c r="M44" t="s">
        <v>2075</v>
      </c>
      <c r="N44" t="str">
        <f t="shared" si="2"/>
      </c>
    </row>
    <row r="45">
      <c r="A45" t="s">
        <v>2203</v>
      </c>
      <c r="B45" t="s">
        <v>417</v>
      </c>
      <c r="C45" t="s">
        <v>97</v>
      </c>
      <c r="E45" t="str">
        <f t="shared" si="0"/>
        <v>NO</v>
      </c>
      <c r="F45" t="e">
        <f t="shared" si="1"/>
      </c>
      <c r="H45" t="e">
        <f>IFERROR(SUMPRODUCT(--(Dependencies!$A$2:$A$5000=$A45)*--(VALUE(MID(_xludf.XLOOKUP(Dependencies!$C$2:$C$5000,Blueprint_Data!$A:$A,Blueprint_Data!$G:$G,"W-99"),3,99))&gt;VALUE(MID($C45,3,99)))),0)</f>
      </c>
      <c r="I45" t="s">
        <v>77</v>
      </c>
      <c r="J45">
        <v>0</v>
      </c>
      <c r="L45" t="s">
        <v>2074</v>
      </c>
      <c r="M45" t="s">
        <v>2075</v>
      </c>
      <c r="N45" t="str">
        <f t="shared" si="2"/>
      </c>
    </row>
    <row r="46">
      <c r="A46" t="s">
        <v>2206</v>
      </c>
      <c r="B46" t="s">
        <v>423</v>
      </c>
      <c r="C46" t="s">
        <v>154</v>
      </c>
      <c r="E46" t="str">
        <f t="shared" si="0"/>
        <v>NO</v>
      </c>
      <c r="F46" t="e">
        <f t="shared" si="1"/>
      </c>
      <c r="H46" t="e">
        <f>IFERROR(SUMPRODUCT(--(Dependencies!$A$2:$A$5000=$A46)*--(VALUE(MID(_xludf.XLOOKUP(Dependencies!$C$2:$C$5000,Blueprint_Data!$A:$A,Blueprint_Data!$G:$G,"W-99"),3,99))&gt;VALUE(MID($C46,3,99)))),0)</f>
      </c>
      <c r="I46" t="s">
        <v>77</v>
      </c>
      <c r="J46">
        <v>0</v>
      </c>
      <c r="L46" t="s">
        <v>2074</v>
      </c>
      <c r="M46" t="s">
        <v>2075</v>
      </c>
      <c r="N46" t="str">
        <f t="shared" si="2"/>
      </c>
    </row>
    <row r="47">
      <c r="A47" t="s">
        <v>2209</v>
      </c>
      <c r="B47" t="s">
        <v>432</v>
      </c>
      <c r="C47" t="s">
        <v>154</v>
      </c>
      <c r="E47" t="str">
        <f t="shared" si="0"/>
        <v>NO</v>
      </c>
      <c r="F47" t="e">
        <f t="shared" si="1"/>
      </c>
      <c r="H47" t="e">
        <f>IFERROR(SUMPRODUCT(--(Dependencies!$A$2:$A$5000=$A47)*--(VALUE(MID(_xludf.XLOOKUP(Dependencies!$C$2:$C$5000,Blueprint_Data!$A:$A,Blueprint_Data!$G:$G,"W-99"),3,99))&gt;VALUE(MID($C47,3,99)))),0)</f>
      </c>
      <c r="I47" t="s">
        <v>77</v>
      </c>
      <c r="J47">
        <v>0</v>
      </c>
      <c r="L47" t="s">
        <v>2074</v>
      </c>
      <c r="M47" t="s">
        <v>2075</v>
      </c>
      <c r="N47" t="str">
        <f t="shared" si="2"/>
      </c>
    </row>
    <row r="48">
      <c r="A48" t="s">
        <v>2212</v>
      </c>
      <c r="B48" t="s">
        <v>439</v>
      </c>
      <c r="C48" t="s">
        <v>120</v>
      </c>
      <c r="E48" t="str">
        <f t="shared" si="0"/>
        <v>NO</v>
      </c>
      <c r="F48" t="e">
        <f t="shared" si="1"/>
      </c>
      <c r="H48" t="e">
        <f>IFERROR(SUMPRODUCT(--(Dependencies!$A$2:$A$5000=$A48)*--(VALUE(MID(_xludf.XLOOKUP(Dependencies!$C$2:$C$5000,Blueprint_Data!$A:$A,Blueprint_Data!$G:$G,"W-99"),3,99))&gt;VALUE(MID($C48,3,99)))),0)</f>
      </c>
      <c r="I48" t="s">
        <v>77</v>
      </c>
      <c r="J48">
        <v>0</v>
      </c>
      <c r="L48" t="s">
        <v>2074</v>
      </c>
      <c r="M48" t="s">
        <v>2075</v>
      </c>
      <c r="N48" t="str">
        <f t="shared" si="2"/>
      </c>
    </row>
    <row r="49">
      <c r="A49" t="s">
        <v>2215</v>
      </c>
      <c r="B49" t="s">
        <v>447</v>
      </c>
      <c r="C49" t="s">
        <v>120</v>
      </c>
      <c r="E49" t="str">
        <f t="shared" si="0"/>
        <v>NO</v>
      </c>
      <c r="F49" t="e">
        <f t="shared" si="1"/>
      </c>
      <c r="H49" t="e">
        <f>IFERROR(SUMPRODUCT(--(Dependencies!$A$2:$A$5000=$A49)*--(VALUE(MID(_xludf.XLOOKUP(Dependencies!$C$2:$C$5000,Blueprint_Data!$A:$A,Blueprint_Data!$G:$G,"W-99"),3,99))&gt;VALUE(MID($C49,3,99)))),0)</f>
      </c>
      <c r="I49" t="s">
        <v>77</v>
      </c>
      <c r="J49">
        <v>0</v>
      </c>
      <c r="L49" t="s">
        <v>2074</v>
      </c>
      <c r="M49" t="s">
        <v>2075</v>
      </c>
      <c r="N49" t="str">
        <f t="shared" si="2"/>
      </c>
    </row>
    <row r="50">
      <c r="A50" t="s">
        <v>2218</v>
      </c>
      <c r="B50" t="s">
        <v>455</v>
      </c>
      <c r="C50" t="s">
        <v>120</v>
      </c>
      <c r="E50" t="str">
        <f t="shared" si="0"/>
        <v>NO</v>
      </c>
      <c r="F50" t="e">
        <f t="shared" si="1"/>
      </c>
      <c r="H50" t="e">
        <f>IFERROR(SUMPRODUCT(--(Dependencies!$A$2:$A$5000=$A50)*--(VALUE(MID(_xludf.XLOOKUP(Dependencies!$C$2:$C$5000,Blueprint_Data!$A:$A,Blueprint_Data!$G:$G,"W-99"),3,99))&gt;VALUE(MID($C50,3,99)))),0)</f>
      </c>
      <c r="I50" t="s">
        <v>77</v>
      </c>
      <c r="J50">
        <v>0</v>
      </c>
      <c r="L50" t="s">
        <v>2220</v>
      </c>
      <c r="M50" t="s">
        <v>2221</v>
      </c>
      <c r="N50" t="str">
        <f t="shared" si="2"/>
      </c>
    </row>
    <row r="51">
      <c r="A51" t="s">
        <v>2224</v>
      </c>
      <c r="B51" t="s">
        <v>467</v>
      </c>
      <c r="C51" t="s">
        <v>154</v>
      </c>
      <c r="E51" t="str">
        <f t="shared" si="0"/>
        <v>NO</v>
      </c>
      <c r="F51" t="e">
        <f t="shared" si="1"/>
      </c>
      <c r="H51" t="e">
        <f>IFERROR(SUMPRODUCT(--(Dependencies!$A$2:$A$5000=$A51)*--(VALUE(MID(_xludf.XLOOKUP(Dependencies!$C$2:$C$5000,Blueprint_Data!$A:$A,Blueprint_Data!$G:$G,"W-99"),3,99))&gt;VALUE(MID($C51,3,99)))),0)</f>
      </c>
      <c r="I51" t="s">
        <v>77</v>
      </c>
      <c r="J51">
        <v>0</v>
      </c>
      <c r="L51" t="s">
        <v>2226</v>
      </c>
      <c r="M51" t="s">
        <v>2227</v>
      </c>
      <c r="N51" t="str">
        <f t="shared" si="2"/>
      </c>
    </row>
    <row r="52">
      <c r="A52" t="s">
        <v>2230</v>
      </c>
      <c r="B52" t="s">
        <v>475</v>
      </c>
      <c r="C52" t="s">
        <v>120</v>
      </c>
      <c r="E52" t="str">
        <f t="shared" si="0"/>
        <v>NO</v>
      </c>
      <c r="F52" t="e">
        <f t="shared" si="1"/>
      </c>
      <c r="H52" t="e">
        <f>IFERROR(SUMPRODUCT(--(Dependencies!$A$2:$A$5000=$A52)*--(VALUE(MID(_xludf.XLOOKUP(Dependencies!$C$2:$C$5000,Blueprint_Data!$A:$A,Blueprint_Data!$G:$G,"W-99"),3,99))&gt;VALUE(MID($C52,3,99)))),0)</f>
      </c>
      <c r="I52" t="s">
        <v>77</v>
      </c>
      <c r="J52">
        <v>0</v>
      </c>
      <c r="L52" t="s">
        <v>2226</v>
      </c>
      <c r="M52" t="s">
        <v>2227</v>
      </c>
      <c r="N52" t="str">
        <f t="shared" si="2"/>
      </c>
    </row>
    <row r="53">
      <c r="A53" t="s">
        <v>2233</v>
      </c>
      <c r="B53" t="s">
        <v>481</v>
      </c>
      <c r="C53" t="s">
        <v>120</v>
      </c>
      <c r="E53" t="str">
        <f t="shared" si="0"/>
        <v>NO</v>
      </c>
      <c r="F53" t="e">
        <f t="shared" si="1"/>
      </c>
      <c r="H53" t="e">
        <f>IFERROR(SUMPRODUCT(--(Dependencies!$A$2:$A$5000=$A53)*--(VALUE(MID(_xludf.XLOOKUP(Dependencies!$C$2:$C$5000,Blueprint_Data!$A:$A,Blueprint_Data!$G:$G,"W-99"),3,99))&gt;VALUE(MID($C53,3,99)))),0)</f>
      </c>
      <c r="I53" t="s">
        <v>77</v>
      </c>
      <c r="J53">
        <v>0</v>
      </c>
      <c r="L53" t="s">
        <v>2226</v>
      </c>
      <c r="M53" t="s">
        <v>2227</v>
      </c>
      <c r="N53" t="str">
        <f t="shared" si="2"/>
      </c>
    </row>
    <row r="54">
      <c r="A54" t="s">
        <v>2236</v>
      </c>
      <c r="B54" t="s">
        <v>488</v>
      </c>
      <c r="C54" t="s">
        <v>120</v>
      </c>
      <c r="E54" t="str">
        <f t="shared" si="0"/>
        <v>NO</v>
      </c>
      <c r="F54" t="e">
        <f t="shared" si="1"/>
      </c>
      <c r="H54" t="e">
        <f>IFERROR(SUMPRODUCT(--(Dependencies!$A$2:$A$5000=$A54)*--(VALUE(MID(_xludf.XLOOKUP(Dependencies!$C$2:$C$5000,Blueprint_Data!$A:$A,Blueprint_Data!$G:$G,"W-99"),3,99))&gt;VALUE(MID($C54,3,99)))),0)</f>
      </c>
      <c r="I54" t="s">
        <v>77</v>
      </c>
      <c r="J54">
        <v>0</v>
      </c>
      <c r="L54" t="s">
        <v>2226</v>
      </c>
      <c r="M54" t="s">
        <v>2227</v>
      </c>
      <c r="N54" t="str">
        <f t="shared" si="2"/>
      </c>
    </row>
    <row r="55">
      <c r="A55" t="s">
        <v>2239</v>
      </c>
      <c r="B55" t="s">
        <v>496</v>
      </c>
      <c r="C55" t="s">
        <v>154</v>
      </c>
      <c r="E55" t="str">
        <f t="shared" si="0"/>
        <v>NO</v>
      </c>
      <c r="F55" t="e">
        <f t="shared" si="1"/>
      </c>
      <c r="H55" t="e">
        <f>IFERROR(SUMPRODUCT(--(Dependencies!$A$2:$A$5000=$A55)*--(VALUE(MID(_xludf.XLOOKUP(Dependencies!$C$2:$C$5000,Blueprint_Data!$A:$A,Blueprint_Data!$G:$G,"W-99"),3,99))&gt;VALUE(MID($C55,3,99)))),0)</f>
      </c>
      <c r="I55" t="s">
        <v>77</v>
      </c>
      <c r="J55">
        <v>0</v>
      </c>
      <c r="L55" t="s">
        <v>2226</v>
      </c>
      <c r="M55" t="s">
        <v>2227</v>
      </c>
      <c r="N55" t="str">
        <f t="shared" si="2"/>
      </c>
    </row>
    <row r="56">
      <c r="A56" t="s">
        <v>2242</v>
      </c>
      <c r="B56" t="s">
        <v>502</v>
      </c>
      <c r="C56" t="s">
        <v>154</v>
      </c>
      <c r="E56" t="str">
        <f t="shared" si="0"/>
        <v>NO</v>
      </c>
      <c r="F56" t="e">
        <f t="shared" si="1"/>
      </c>
      <c r="H56" t="e">
        <f>IFERROR(SUMPRODUCT(--(Dependencies!$A$2:$A$5000=$A56)*--(VALUE(MID(_xludf.XLOOKUP(Dependencies!$C$2:$C$5000,Blueprint_Data!$A:$A,Blueprint_Data!$G:$G,"W-99"),3,99))&gt;VALUE(MID($C56,3,99)))),0)</f>
      </c>
      <c r="I56" t="s">
        <v>77</v>
      </c>
      <c r="J56">
        <v>0</v>
      </c>
      <c r="L56" t="s">
        <v>2226</v>
      </c>
      <c r="M56" t="s">
        <v>2227</v>
      </c>
      <c r="N56" t="str">
        <f t="shared" si="2"/>
      </c>
    </row>
    <row r="57">
      <c r="A57" t="s">
        <v>2245</v>
      </c>
      <c r="B57" t="s">
        <v>508</v>
      </c>
      <c r="C57" t="s">
        <v>154</v>
      </c>
      <c r="E57" t="str">
        <f t="shared" si="0"/>
        <v>NO</v>
      </c>
      <c r="F57" t="e">
        <f t="shared" si="1"/>
      </c>
      <c r="H57" t="e">
        <f>IFERROR(SUMPRODUCT(--(Dependencies!$A$2:$A$5000=$A57)*--(VALUE(MID(_xludf.XLOOKUP(Dependencies!$C$2:$C$5000,Blueprint_Data!$A:$A,Blueprint_Data!$G:$G,"W-99"),3,99))&gt;VALUE(MID($C57,3,99)))),0)</f>
      </c>
      <c r="I57" t="s">
        <v>77</v>
      </c>
      <c r="J57">
        <v>0</v>
      </c>
      <c r="L57" t="s">
        <v>2226</v>
      </c>
      <c r="M57" t="s">
        <v>2227</v>
      </c>
      <c r="N57" t="str">
        <f t="shared" si="2"/>
      </c>
    </row>
    <row r="58">
      <c r="A58" t="s">
        <v>2248</v>
      </c>
      <c r="B58" t="s">
        <v>515</v>
      </c>
      <c r="C58" t="s">
        <v>120</v>
      </c>
      <c r="E58" t="str">
        <f t="shared" si="0"/>
        <v>NO</v>
      </c>
      <c r="F58" t="e">
        <f t="shared" si="1"/>
      </c>
      <c r="H58" t="e">
        <f>IFERROR(SUMPRODUCT(--(Dependencies!$A$2:$A$5000=$A58)*--(VALUE(MID(_xludf.XLOOKUP(Dependencies!$C$2:$C$5000,Blueprint_Data!$A:$A,Blueprint_Data!$G:$G,"W-99"),3,99))&gt;VALUE(MID($C58,3,99)))),0)</f>
      </c>
      <c r="I58" t="s">
        <v>77</v>
      </c>
      <c r="J58">
        <v>0</v>
      </c>
      <c r="L58" t="s">
        <v>2226</v>
      </c>
      <c r="M58" t="s">
        <v>2227</v>
      </c>
      <c r="N58" t="str">
        <f t="shared" si="2"/>
      </c>
    </row>
    <row r="59">
      <c r="A59" t="s">
        <v>2251</v>
      </c>
      <c r="B59" t="s">
        <v>524</v>
      </c>
      <c r="C59" t="s">
        <v>120</v>
      </c>
      <c r="E59" t="str">
        <f t="shared" si="0"/>
        <v>NO</v>
      </c>
      <c r="F59" t="e">
        <f t="shared" si="1"/>
      </c>
      <c r="H59" t="e">
        <f>IFERROR(SUMPRODUCT(--(Dependencies!$A$2:$A$5000=$A59)*--(VALUE(MID(_xludf.XLOOKUP(Dependencies!$C$2:$C$5000,Blueprint_Data!$A:$A,Blueprint_Data!$G:$G,"W-99"),3,99))&gt;VALUE(MID($C59,3,99)))),0)</f>
      </c>
      <c r="I59" t="s">
        <v>77</v>
      </c>
      <c r="J59">
        <v>0</v>
      </c>
      <c r="L59" t="s">
        <v>2226</v>
      </c>
      <c r="M59" t="s">
        <v>2227</v>
      </c>
      <c r="N59" t="str">
        <f t="shared" si="2"/>
      </c>
    </row>
    <row r="60">
      <c r="A60" t="s">
        <v>2254</v>
      </c>
      <c r="B60" t="s">
        <v>532</v>
      </c>
      <c r="C60" t="s">
        <v>120</v>
      </c>
      <c r="E60" t="str">
        <f t="shared" si="0"/>
        <v>NO</v>
      </c>
      <c r="F60" t="e">
        <f t="shared" si="1"/>
      </c>
      <c r="H60" t="e">
        <f>IFERROR(SUMPRODUCT(--(Dependencies!$A$2:$A$5000=$A60)*--(VALUE(MID(_xludf.XLOOKUP(Dependencies!$C$2:$C$5000,Blueprint_Data!$A:$A,Blueprint_Data!$G:$G,"W-99"),3,99))&gt;VALUE(MID($C60,3,99)))),0)</f>
      </c>
      <c r="I60" t="s">
        <v>77</v>
      </c>
      <c r="J60">
        <v>0</v>
      </c>
      <c r="L60" t="s">
        <v>2226</v>
      </c>
      <c r="M60" t="s">
        <v>2227</v>
      </c>
      <c r="N60" t="str">
        <f t="shared" si="2"/>
      </c>
    </row>
    <row r="61">
      <c r="A61" t="s">
        <v>2257</v>
      </c>
      <c r="B61" t="s">
        <v>538</v>
      </c>
      <c r="C61" t="s">
        <v>120</v>
      </c>
      <c r="E61" t="str">
        <f t="shared" si="0"/>
        <v>NO</v>
      </c>
      <c r="F61" t="e">
        <f t="shared" si="1"/>
      </c>
      <c r="H61" t="e">
        <f>IFERROR(SUMPRODUCT(--(Dependencies!$A$2:$A$5000=$A61)*--(VALUE(MID(_xludf.XLOOKUP(Dependencies!$C$2:$C$5000,Blueprint_Data!$A:$A,Blueprint_Data!$G:$G,"W-99"),3,99))&gt;VALUE(MID($C61,3,99)))),0)</f>
      </c>
      <c r="I61" t="s">
        <v>77</v>
      </c>
      <c r="J61">
        <v>0</v>
      </c>
      <c r="L61" t="s">
        <v>2226</v>
      </c>
      <c r="M61" t="s">
        <v>2227</v>
      </c>
      <c r="N61" t="str">
        <f t="shared" si="2"/>
      </c>
    </row>
    <row r="62">
      <c r="A62" t="s">
        <v>2260</v>
      </c>
      <c r="B62" t="s">
        <v>548</v>
      </c>
      <c r="C62" t="s">
        <v>120</v>
      </c>
      <c r="E62" t="str">
        <f t="shared" si="0"/>
        <v>NO</v>
      </c>
      <c r="F62" t="e">
        <f t="shared" si="1"/>
      </c>
      <c r="H62" t="e">
        <f>IFERROR(SUMPRODUCT(--(Dependencies!$A$2:$A$5000=$A62)*--(VALUE(MID(_xludf.XLOOKUP(Dependencies!$C$2:$C$5000,Blueprint_Data!$A:$A,Blueprint_Data!$G:$G,"W-99"),3,99))&gt;VALUE(MID($C62,3,99)))),0)</f>
      </c>
      <c r="I62" t="s">
        <v>77</v>
      </c>
      <c r="J62">
        <v>0</v>
      </c>
      <c r="L62" t="s">
        <v>2226</v>
      </c>
      <c r="M62" t="s">
        <v>2227</v>
      </c>
      <c r="N62" t="str">
        <f t="shared" si="2"/>
      </c>
    </row>
    <row r="63">
      <c r="A63" t="s">
        <v>2263</v>
      </c>
      <c r="B63" t="s">
        <v>556</v>
      </c>
      <c r="C63" t="s">
        <v>120</v>
      </c>
      <c r="E63" t="str">
        <f t="shared" si="0"/>
        <v>NO</v>
      </c>
      <c r="F63" t="e">
        <f t="shared" si="1"/>
      </c>
      <c r="H63" t="e">
        <f>IFERROR(SUMPRODUCT(--(Dependencies!$A$2:$A$5000=$A63)*--(VALUE(MID(_xludf.XLOOKUP(Dependencies!$C$2:$C$5000,Blueprint_Data!$A:$A,Blueprint_Data!$G:$G,"W-99"),3,99))&gt;VALUE(MID($C63,3,99)))),0)</f>
      </c>
      <c r="I63" t="s">
        <v>80</v>
      </c>
      <c r="J63">
        <v>0</v>
      </c>
      <c r="L63" t="s">
        <v>2226</v>
      </c>
      <c r="M63" t="s">
        <v>2227</v>
      </c>
      <c r="N63" t="str">
        <f t="shared" si="2"/>
      </c>
    </row>
    <row r="64">
      <c r="A64" t="s">
        <v>2266</v>
      </c>
      <c r="B64" t="s">
        <v>561</v>
      </c>
      <c r="C64" t="s">
        <v>120</v>
      </c>
      <c r="E64" t="str">
        <f t="shared" si="0"/>
        <v>NO</v>
      </c>
      <c r="F64" t="e">
        <f t="shared" si="1"/>
      </c>
      <c r="H64" t="e">
        <f>IFERROR(SUMPRODUCT(--(Dependencies!$A$2:$A$5000=$A64)*--(VALUE(MID(_xludf.XLOOKUP(Dependencies!$C$2:$C$5000,Blueprint_Data!$A:$A,Blueprint_Data!$G:$G,"W-99"),3,99))&gt;VALUE(MID($C64,3,99)))),0)</f>
      </c>
      <c r="I64" t="s">
        <v>77</v>
      </c>
      <c r="J64">
        <v>0</v>
      </c>
      <c r="L64" t="s">
        <v>2226</v>
      </c>
      <c r="M64" t="s">
        <v>2227</v>
      </c>
      <c r="N64" t="str">
        <f t="shared" si="2"/>
      </c>
    </row>
    <row r="65">
      <c r="A65" t="s">
        <v>2269</v>
      </c>
      <c r="B65" t="s">
        <v>569</v>
      </c>
      <c r="C65" t="s">
        <v>120</v>
      </c>
      <c r="E65" t="str">
        <f t="shared" si="0"/>
        <v>NO</v>
      </c>
      <c r="F65" t="e">
        <f t="shared" si="1"/>
      </c>
      <c r="H65" t="e">
        <f>IFERROR(SUMPRODUCT(--(Dependencies!$A$2:$A$5000=$A65)*--(VALUE(MID(_xludf.XLOOKUP(Dependencies!$C$2:$C$5000,Blueprint_Data!$A:$A,Blueprint_Data!$G:$G,"W-99"),3,99))&gt;VALUE(MID($C65,3,99)))),0)</f>
      </c>
      <c r="I65" t="s">
        <v>77</v>
      </c>
      <c r="J65">
        <v>0</v>
      </c>
      <c r="L65" t="s">
        <v>2226</v>
      </c>
      <c r="M65" t="s">
        <v>2227</v>
      </c>
      <c r="N65" t="str">
        <f t="shared" si="2"/>
      </c>
    </row>
    <row r="66">
      <c r="A66" t="s">
        <v>2272</v>
      </c>
      <c r="B66" t="s">
        <v>580</v>
      </c>
      <c r="C66" t="s">
        <v>154</v>
      </c>
      <c r="E66" t="str">
        <f t="shared" si="0"/>
        <v>NO</v>
      </c>
      <c r="F66" t="e">
        <f t="shared" si="1"/>
      </c>
      <c r="H66" t="e">
        <f>IFERROR(SUMPRODUCT(--(Dependencies!$A$2:$A$5000=$A66)*--(VALUE(MID(_xludf.XLOOKUP(Dependencies!$C$2:$C$5000,Blueprint_Data!$A:$A,Blueprint_Data!$G:$G,"W-99"),3,99))&gt;VALUE(MID($C66,3,99)))),0)</f>
      </c>
      <c r="I66" t="s">
        <v>77</v>
      </c>
      <c r="J66">
        <v>0</v>
      </c>
      <c r="L66" t="s">
        <v>2226</v>
      </c>
      <c r="M66" t="s">
        <v>2227</v>
      </c>
      <c r="N66" t="str">
        <f t="shared" si="2"/>
      </c>
    </row>
    <row r="67">
      <c r="A67" t="s">
        <v>2275</v>
      </c>
      <c r="B67" t="s">
        <v>587</v>
      </c>
      <c r="C67" t="s">
        <v>154</v>
      </c>
      <c r="E67" t="str">
        <f t="shared" si="0"/>
        <v>NO</v>
      </c>
      <c r="F67" t="e">
        <f t="shared" si="1"/>
      </c>
      <c r="H67" t="e">
        <f>IFERROR(SUMPRODUCT(--(Dependencies!$A$2:$A$5000=$A67)*--(VALUE(MID(_xludf.XLOOKUP(Dependencies!$C$2:$C$5000,Blueprint_Data!$A:$A,Blueprint_Data!$G:$G,"W-99"),3,99))&gt;VALUE(MID($C67,3,99)))),0)</f>
      </c>
      <c r="I67" t="s">
        <v>77</v>
      </c>
      <c r="J67">
        <v>0</v>
      </c>
      <c r="L67" t="s">
        <v>2226</v>
      </c>
      <c r="M67" t="s">
        <v>2227</v>
      </c>
      <c r="N67" t="str">
        <f t="shared" si="2"/>
      </c>
    </row>
    <row r="68">
      <c r="A68" t="s">
        <v>2278</v>
      </c>
      <c r="B68" t="s">
        <v>593</v>
      </c>
      <c r="C68" t="s">
        <v>120</v>
      </c>
      <c r="E68" t="e">
        <f t="shared" ref="E68:E131" si="3">IF(OR($G68&gt;0,$H68&gt;0),"YES","NO")</f>
      </c>
      <c r="F68" t="e">
        <f t="shared" ref="F68:F131" si="4">_xludf.TEXTJOIN("; ",TRUE,IF($G68&gt;0,"Missing Dependency",""),IF($H68&gt;0,"Out-of-Sequence",""))</f>
      </c>
      <c r="H68" t="e">
        <f>IFERROR(SUMPRODUCT(--(Dependencies!$A$2:$A$5000=$A68)*--(VALUE(MID(_xludf.XLOOKUP(Dependencies!$C$2:$C$5000,Blueprint_Data!$A:$A,Blueprint_Data!$G:$G,"W-99"),3,99))&gt;VALUE(MID($C68,3,99)))),0)</f>
      </c>
      <c r="I68" t="s">
        <v>77</v>
      </c>
      <c r="J68">
        <v>0</v>
      </c>
      <c r="L68" t="s">
        <v>2226</v>
      </c>
      <c r="M68" t="s">
        <v>2227</v>
      </c>
      <c r="N68" t="e">
        <f t="shared" ref="N68:N131" si="5">IF($E68="YES",IF($G68&gt;0,"Assign/enable prerequisite module(s) OR correct dependency mapping.","Re-sequence wave OR approve out-of-seq waiver."),"")</f>
      </c>
    </row>
    <row r="69">
      <c r="A69" t="s">
        <v>2281</v>
      </c>
      <c r="B69" t="s">
        <v>602</v>
      </c>
      <c r="C69" t="s">
        <v>120</v>
      </c>
      <c r="E69" t="str">
        <f t="shared" si="3"/>
        <v>NO</v>
      </c>
      <c r="F69" t="e">
        <f t="shared" si="4"/>
      </c>
      <c r="H69" t="e">
        <f>IFERROR(SUMPRODUCT(--(Dependencies!$A$2:$A$5000=$A69)*--(VALUE(MID(_xludf.XLOOKUP(Dependencies!$C$2:$C$5000,Blueprint_Data!$A:$A,Blueprint_Data!$G:$G,"W-99"),3,99))&gt;VALUE(MID($C69,3,99)))),0)</f>
      </c>
      <c r="I69" t="s">
        <v>77</v>
      </c>
      <c r="J69">
        <v>0</v>
      </c>
      <c r="L69" t="s">
        <v>2226</v>
      </c>
      <c r="M69" t="s">
        <v>2227</v>
      </c>
      <c r="N69" t="str">
        <f t="shared" si="5"/>
      </c>
    </row>
    <row r="70">
      <c r="A70" t="s">
        <v>2284</v>
      </c>
      <c r="B70" t="s">
        <v>610</v>
      </c>
      <c r="C70" t="s">
        <v>120</v>
      </c>
      <c r="E70" t="str">
        <f t="shared" si="3"/>
        <v>NO</v>
      </c>
      <c r="F70" t="e">
        <f t="shared" si="4"/>
      </c>
      <c r="H70" t="e">
        <f>IFERROR(SUMPRODUCT(--(Dependencies!$A$2:$A$5000=$A70)*--(VALUE(MID(_xludf.XLOOKUP(Dependencies!$C$2:$C$5000,Blueprint_Data!$A:$A,Blueprint_Data!$G:$G,"W-99"),3,99))&gt;VALUE(MID($C70,3,99)))),0)</f>
      </c>
      <c r="I70" t="s">
        <v>77</v>
      </c>
      <c r="J70">
        <v>0</v>
      </c>
      <c r="L70" t="s">
        <v>2226</v>
      </c>
      <c r="M70" t="s">
        <v>2227</v>
      </c>
      <c r="N70" t="str">
        <f t="shared" si="5"/>
      </c>
    </row>
    <row r="71">
      <c r="A71" t="s">
        <v>2287</v>
      </c>
      <c r="B71" t="s">
        <v>617</v>
      </c>
      <c r="C71" t="s">
        <v>120</v>
      </c>
      <c r="E71" t="str">
        <f t="shared" si="3"/>
        <v>NO</v>
      </c>
      <c r="F71" t="e">
        <f t="shared" si="4"/>
      </c>
      <c r="H71" t="e">
        <f>IFERROR(SUMPRODUCT(--(Dependencies!$A$2:$A$5000=$A71)*--(VALUE(MID(_xludf.XLOOKUP(Dependencies!$C$2:$C$5000,Blueprint_Data!$A:$A,Blueprint_Data!$G:$G,"W-99"),3,99))&gt;VALUE(MID($C71,3,99)))),0)</f>
      </c>
      <c r="I71" t="s">
        <v>77</v>
      </c>
      <c r="J71">
        <v>0</v>
      </c>
      <c r="L71" t="s">
        <v>2226</v>
      </c>
      <c r="M71" t="s">
        <v>2227</v>
      </c>
      <c r="N71" t="str">
        <f t="shared" si="5"/>
      </c>
    </row>
    <row r="72">
      <c r="A72" t="s">
        <v>2290</v>
      </c>
      <c r="B72" t="s">
        <v>624</v>
      </c>
      <c r="C72" t="s">
        <v>120</v>
      </c>
      <c r="E72" t="str">
        <f t="shared" si="3"/>
        <v>NO</v>
      </c>
      <c r="F72" t="e">
        <f t="shared" si="4"/>
      </c>
      <c r="H72" t="e">
        <f>IFERROR(SUMPRODUCT(--(Dependencies!$A$2:$A$5000=$A72)*--(VALUE(MID(_xludf.XLOOKUP(Dependencies!$C$2:$C$5000,Blueprint_Data!$A:$A,Blueprint_Data!$G:$G,"W-99"),3,99))&gt;VALUE(MID($C72,3,99)))),0)</f>
      </c>
      <c r="I72" t="s">
        <v>77</v>
      </c>
      <c r="J72">
        <v>0</v>
      </c>
      <c r="L72" t="s">
        <v>2226</v>
      </c>
      <c r="M72" t="s">
        <v>2227</v>
      </c>
      <c r="N72" t="str">
        <f t="shared" si="5"/>
      </c>
    </row>
    <row r="73">
      <c r="A73" t="s">
        <v>2293</v>
      </c>
      <c r="B73" t="s">
        <v>634</v>
      </c>
      <c r="C73" t="s">
        <v>120</v>
      </c>
      <c r="E73" t="str">
        <f t="shared" si="3"/>
        <v>NO</v>
      </c>
      <c r="F73" t="e">
        <f t="shared" si="4"/>
      </c>
      <c r="H73" t="e">
        <f>IFERROR(SUMPRODUCT(--(Dependencies!$A$2:$A$5000=$A73)*--(VALUE(MID(_xludf.XLOOKUP(Dependencies!$C$2:$C$5000,Blueprint_Data!$A:$A,Blueprint_Data!$G:$G,"W-99"),3,99))&gt;VALUE(MID($C73,3,99)))),0)</f>
      </c>
      <c r="I73" t="s">
        <v>80</v>
      </c>
      <c r="J73">
        <v>0</v>
      </c>
      <c r="L73" t="s">
        <v>2226</v>
      </c>
      <c r="M73" t="s">
        <v>2227</v>
      </c>
      <c r="N73" t="str">
        <f t="shared" si="5"/>
      </c>
    </row>
    <row r="74">
      <c r="A74" t="s">
        <v>2296</v>
      </c>
      <c r="B74" t="s">
        <v>641</v>
      </c>
      <c r="C74" t="s">
        <v>120</v>
      </c>
      <c r="E74" t="str">
        <f t="shared" si="3"/>
        <v>NO</v>
      </c>
      <c r="F74" t="e">
        <f t="shared" si="4"/>
      </c>
      <c r="H74" t="e">
        <f>IFERROR(SUMPRODUCT(--(Dependencies!$A$2:$A$5000=$A74)*--(VALUE(MID(_xludf.XLOOKUP(Dependencies!$C$2:$C$5000,Blueprint_Data!$A:$A,Blueprint_Data!$G:$G,"W-99"),3,99))&gt;VALUE(MID($C74,3,99)))),0)</f>
      </c>
      <c r="I74" t="s">
        <v>77</v>
      </c>
      <c r="J74">
        <v>0</v>
      </c>
      <c r="L74" t="s">
        <v>2226</v>
      </c>
      <c r="M74" t="s">
        <v>2227</v>
      </c>
      <c r="N74" t="str">
        <f t="shared" si="5"/>
      </c>
    </row>
    <row r="75">
      <c r="A75" t="s">
        <v>2299</v>
      </c>
      <c r="B75" t="s">
        <v>647</v>
      </c>
      <c r="C75" t="s">
        <v>120</v>
      </c>
      <c r="E75" t="str">
        <f t="shared" si="3"/>
        <v>NO</v>
      </c>
      <c r="F75" t="e">
        <f t="shared" si="4"/>
      </c>
      <c r="H75" t="e">
        <f>IFERROR(SUMPRODUCT(--(Dependencies!$A$2:$A$5000=$A75)*--(VALUE(MID(_xludf.XLOOKUP(Dependencies!$C$2:$C$5000,Blueprint_Data!$A:$A,Blueprint_Data!$G:$G,"W-99"),3,99))&gt;VALUE(MID($C75,3,99)))),0)</f>
      </c>
      <c r="I75" t="s">
        <v>77</v>
      </c>
      <c r="J75">
        <v>0</v>
      </c>
      <c r="L75" t="s">
        <v>2226</v>
      </c>
      <c r="M75" t="s">
        <v>2227</v>
      </c>
      <c r="N75" t="str">
        <f t="shared" si="5"/>
      </c>
    </row>
    <row r="76">
      <c r="A76" t="s">
        <v>2302</v>
      </c>
      <c r="B76" t="s">
        <v>656</v>
      </c>
      <c r="C76" t="s">
        <v>120</v>
      </c>
      <c r="E76" t="str">
        <f t="shared" si="3"/>
        <v>NO</v>
      </c>
      <c r="F76" t="e">
        <f t="shared" si="4"/>
      </c>
      <c r="H76" t="e">
        <f>IFERROR(SUMPRODUCT(--(Dependencies!$A$2:$A$5000=$A76)*--(VALUE(MID(_xludf.XLOOKUP(Dependencies!$C$2:$C$5000,Blueprint_Data!$A:$A,Blueprint_Data!$G:$G,"W-99"),3,99))&gt;VALUE(MID($C76,3,99)))),0)</f>
      </c>
      <c r="I76" t="s">
        <v>77</v>
      </c>
      <c r="J76">
        <v>0</v>
      </c>
      <c r="L76" t="s">
        <v>2226</v>
      </c>
      <c r="M76" t="s">
        <v>2227</v>
      </c>
      <c r="N76" t="str">
        <f t="shared" si="5"/>
      </c>
    </row>
    <row r="77">
      <c r="A77" t="s">
        <v>2305</v>
      </c>
      <c r="B77" t="s">
        <v>664</v>
      </c>
      <c r="C77" t="s">
        <v>120</v>
      </c>
      <c r="E77" t="str">
        <f t="shared" si="3"/>
        <v>NO</v>
      </c>
      <c r="F77" t="e">
        <f t="shared" si="4"/>
      </c>
      <c r="H77" t="e">
        <f>IFERROR(SUMPRODUCT(--(Dependencies!$A$2:$A$5000=$A77)*--(VALUE(MID(_xludf.XLOOKUP(Dependencies!$C$2:$C$5000,Blueprint_Data!$A:$A,Blueprint_Data!$G:$G,"W-99"),3,99))&gt;VALUE(MID($C77,3,99)))),0)</f>
      </c>
      <c r="I77" t="s">
        <v>77</v>
      </c>
      <c r="J77">
        <v>0</v>
      </c>
      <c r="L77" t="s">
        <v>2226</v>
      </c>
      <c r="M77" t="s">
        <v>2227</v>
      </c>
      <c r="N77" t="str">
        <f t="shared" si="5"/>
      </c>
    </row>
    <row r="78">
      <c r="A78" t="s">
        <v>2308</v>
      </c>
      <c r="B78" t="s">
        <v>671</v>
      </c>
      <c r="C78" t="s">
        <v>120</v>
      </c>
      <c r="E78" t="str">
        <f t="shared" si="3"/>
        <v>NO</v>
      </c>
      <c r="F78" t="e">
        <f t="shared" si="4"/>
      </c>
      <c r="H78" t="e">
        <f>IFERROR(SUMPRODUCT(--(Dependencies!$A$2:$A$5000=$A78)*--(VALUE(MID(_xludf.XLOOKUP(Dependencies!$C$2:$C$5000,Blueprint_Data!$A:$A,Blueprint_Data!$G:$G,"W-99"),3,99))&gt;VALUE(MID($C78,3,99)))),0)</f>
      </c>
      <c r="I78" t="s">
        <v>77</v>
      </c>
      <c r="J78">
        <v>0</v>
      </c>
      <c r="L78" t="s">
        <v>2226</v>
      </c>
      <c r="M78" t="s">
        <v>2227</v>
      </c>
      <c r="N78" t="str">
        <f t="shared" si="5"/>
      </c>
    </row>
    <row r="79">
      <c r="A79" t="s">
        <v>2311</v>
      </c>
      <c r="B79" t="s">
        <v>683</v>
      </c>
      <c r="C79" t="s">
        <v>120</v>
      </c>
      <c r="E79" t="str">
        <f t="shared" si="3"/>
        <v>NO</v>
      </c>
      <c r="F79" t="e">
        <f t="shared" si="4"/>
      </c>
      <c r="H79" t="e">
        <f>IFERROR(SUMPRODUCT(--(Dependencies!$A$2:$A$5000=$A79)*--(VALUE(MID(_xludf.XLOOKUP(Dependencies!$C$2:$C$5000,Blueprint_Data!$A:$A,Blueprint_Data!$G:$G,"W-99"),3,99))&gt;VALUE(MID($C79,3,99)))),0)</f>
      </c>
      <c r="I79" t="s">
        <v>77</v>
      </c>
      <c r="J79">
        <v>0</v>
      </c>
      <c r="L79" t="s">
        <v>2220</v>
      </c>
      <c r="M79" t="s">
        <v>2221</v>
      </c>
      <c r="N79" t="str">
        <f t="shared" si="5"/>
      </c>
    </row>
    <row r="80">
      <c r="A80" t="s">
        <v>2314</v>
      </c>
      <c r="B80" t="s">
        <v>691</v>
      </c>
      <c r="C80" t="s">
        <v>120</v>
      </c>
      <c r="E80" t="str">
        <f t="shared" si="3"/>
        <v>NO</v>
      </c>
      <c r="F80" t="e">
        <f t="shared" si="4"/>
      </c>
      <c r="H80" t="e">
        <f>IFERROR(SUMPRODUCT(--(Dependencies!$A$2:$A$5000=$A80)*--(VALUE(MID(_xludf.XLOOKUP(Dependencies!$C$2:$C$5000,Blueprint_Data!$A:$A,Blueprint_Data!$G:$G,"W-99"),3,99))&gt;VALUE(MID($C80,3,99)))),0)</f>
      </c>
      <c r="I80" t="s">
        <v>77</v>
      </c>
      <c r="J80">
        <v>0</v>
      </c>
      <c r="L80" t="s">
        <v>2220</v>
      </c>
      <c r="M80" t="s">
        <v>2221</v>
      </c>
      <c r="N80" t="str">
        <f t="shared" si="5"/>
      </c>
    </row>
    <row r="81">
      <c r="A81" t="s">
        <v>2317</v>
      </c>
      <c r="B81" t="s">
        <v>697</v>
      </c>
      <c r="C81" t="s">
        <v>120</v>
      </c>
      <c r="E81" t="str">
        <f t="shared" si="3"/>
        <v>NO</v>
      </c>
      <c r="F81" t="e">
        <f t="shared" si="4"/>
      </c>
      <c r="H81" t="e">
        <f>IFERROR(SUMPRODUCT(--(Dependencies!$A$2:$A$5000=$A81)*--(VALUE(MID(_xludf.XLOOKUP(Dependencies!$C$2:$C$5000,Blueprint_Data!$A:$A,Blueprint_Data!$G:$G,"W-99"),3,99))&gt;VALUE(MID($C81,3,99)))),0)</f>
      </c>
      <c r="I81" t="s">
        <v>77</v>
      </c>
      <c r="J81">
        <v>0</v>
      </c>
      <c r="L81" t="s">
        <v>2220</v>
      </c>
      <c r="M81" t="s">
        <v>2221</v>
      </c>
      <c r="N81" t="str">
        <f t="shared" si="5"/>
      </c>
    </row>
    <row r="82">
      <c r="A82" t="s">
        <v>2320</v>
      </c>
      <c r="B82" t="s">
        <v>702</v>
      </c>
      <c r="C82" t="s">
        <v>120</v>
      </c>
      <c r="E82" t="str">
        <f t="shared" si="3"/>
        <v>NO</v>
      </c>
      <c r="F82" t="e">
        <f t="shared" si="4"/>
      </c>
      <c r="H82" t="e">
        <f>IFERROR(SUMPRODUCT(--(Dependencies!$A$2:$A$5000=$A82)*--(VALUE(MID(_xludf.XLOOKUP(Dependencies!$C$2:$C$5000,Blueprint_Data!$A:$A,Blueprint_Data!$G:$G,"W-99"),3,99))&gt;VALUE(MID($C82,3,99)))),0)</f>
      </c>
      <c r="I82" t="s">
        <v>77</v>
      </c>
      <c r="J82">
        <v>0</v>
      </c>
      <c r="L82" t="s">
        <v>2220</v>
      </c>
      <c r="M82" t="s">
        <v>2221</v>
      </c>
      <c r="N82" t="str">
        <f t="shared" si="5"/>
      </c>
    </row>
    <row r="83">
      <c r="A83" t="s">
        <v>2323</v>
      </c>
      <c r="B83" t="s">
        <v>707</v>
      </c>
      <c r="C83" t="s">
        <v>120</v>
      </c>
      <c r="E83" t="str">
        <f t="shared" si="3"/>
        <v>NO</v>
      </c>
      <c r="F83" t="e">
        <f t="shared" si="4"/>
      </c>
      <c r="H83" t="e">
        <f>IFERROR(SUMPRODUCT(--(Dependencies!$A$2:$A$5000=$A83)*--(VALUE(MID(_xludf.XLOOKUP(Dependencies!$C$2:$C$5000,Blueprint_Data!$A:$A,Blueprint_Data!$G:$G,"W-99"),3,99))&gt;VALUE(MID($C83,3,99)))),0)</f>
      </c>
      <c r="I83" t="s">
        <v>77</v>
      </c>
      <c r="J83">
        <v>0</v>
      </c>
      <c r="L83" t="s">
        <v>2220</v>
      </c>
      <c r="M83" t="s">
        <v>2221</v>
      </c>
      <c r="N83" t="str">
        <f t="shared" si="5"/>
      </c>
    </row>
    <row r="84">
      <c r="A84" t="s">
        <v>2326</v>
      </c>
      <c r="B84" t="s">
        <v>713</v>
      </c>
      <c r="C84" t="s">
        <v>120</v>
      </c>
      <c r="E84" t="str">
        <f t="shared" si="3"/>
        <v>NO</v>
      </c>
      <c r="F84" t="e">
        <f t="shared" si="4"/>
      </c>
      <c r="H84" t="e">
        <f>IFERROR(SUMPRODUCT(--(Dependencies!$A$2:$A$5000=$A84)*--(VALUE(MID(_xludf.XLOOKUP(Dependencies!$C$2:$C$5000,Blueprint_Data!$A:$A,Blueprint_Data!$G:$G,"W-99"),3,99))&gt;VALUE(MID($C84,3,99)))),0)</f>
      </c>
      <c r="I84" t="s">
        <v>77</v>
      </c>
      <c r="J84">
        <v>0</v>
      </c>
      <c r="L84" t="s">
        <v>2220</v>
      </c>
      <c r="M84" t="s">
        <v>2221</v>
      </c>
      <c r="N84" t="str">
        <f t="shared" si="5"/>
      </c>
    </row>
    <row r="85">
      <c r="A85" t="s">
        <v>2329</v>
      </c>
      <c r="B85" t="s">
        <v>721</v>
      </c>
      <c r="C85" t="s">
        <v>120</v>
      </c>
      <c r="E85" t="str">
        <f t="shared" si="3"/>
        <v>NO</v>
      </c>
      <c r="F85" t="e">
        <f t="shared" si="4"/>
      </c>
      <c r="H85" t="e">
        <f>IFERROR(SUMPRODUCT(--(Dependencies!$A$2:$A$5000=$A85)*--(VALUE(MID(_xludf.XLOOKUP(Dependencies!$C$2:$C$5000,Blueprint_Data!$A:$A,Blueprint_Data!$G:$G,"W-99"),3,99))&gt;VALUE(MID($C85,3,99)))),0)</f>
      </c>
      <c r="I85" t="s">
        <v>77</v>
      </c>
      <c r="J85">
        <v>0</v>
      </c>
      <c r="L85" t="s">
        <v>2220</v>
      </c>
      <c r="M85" t="s">
        <v>2221</v>
      </c>
      <c r="N85" t="str">
        <f t="shared" si="5"/>
      </c>
    </row>
    <row r="86">
      <c r="A86" t="s">
        <v>2332</v>
      </c>
      <c r="B86" t="s">
        <v>728</v>
      </c>
      <c r="C86" t="s">
        <v>120</v>
      </c>
      <c r="E86" t="str">
        <f t="shared" si="3"/>
        <v>NO</v>
      </c>
      <c r="F86" t="e">
        <f t="shared" si="4"/>
      </c>
      <c r="H86" t="e">
        <f>IFERROR(SUMPRODUCT(--(Dependencies!$A$2:$A$5000=$A86)*--(VALUE(MID(_xludf.XLOOKUP(Dependencies!$C$2:$C$5000,Blueprint_Data!$A:$A,Blueprint_Data!$G:$G,"W-99"),3,99))&gt;VALUE(MID($C86,3,99)))),0)</f>
      </c>
      <c r="I86" t="s">
        <v>77</v>
      </c>
      <c r="J86">
        <v>0</v>
      </c>
      <c r="L86" t="s">
        <v>2220</v>
      </c>
      <c r="M86" t="s">
        <v>2221</v>
      </c>
      <c r="N86" t="str">
        <f t="shared" si="5"/>
      </c>
    </row>
    <row r="87">
      <c r="A87" t="s">
        <v>2335</v>
      </c>
      <c r="B87" t="s">
        <v>736</v>
      </c>
      <c r="C87" t="s">
        <v>120</v>
      </c>
      <c r="E87" t="str">
        <f t="shared" si="3"/>
        <v>NO</v>
      </c>
      <c r="F87" t="e">
        <f t="shared" si="4"/>
      </c>
      <c r="H87" t="e">
        <f>IFERROR(SUMPRODUCT(--(Dependencies!$A$2:$A$5000=$A87)*--(VALUE(MID(_xludf.XLOOKUP(Dependencies!$C$2:$C$5000,Blueprint_Data!$A:$A,Blueprint_Data!$G:$G,"W-99"),3,99))&gt;VALUE(MID($C87,3,99)))),0)</f>
      </c>
      <c r="I87" t="s">
        <v>80</v>
      </c>
      <c r="J87">
        <v>0</v>
      </c>
      <c r="L87" t="s">
        <v>2220</v>
      </c>
      <c r="M87" t="s">
        <v>2221</v>
      </c>
      <c r="N87" t="str">
        <f t="shared" si="5"/>
      </c>
    </row>
    <row r="88">
      <c r="A88" t="s">
        <v>2338</v>
      </c>
      <c r="B88" t="s">
        <v>743</v>
      </c>
      <c r="C88" t="s">
        <v>120</v>
      </c>
      <c r="E88" t="str">
        <f t="shared" si="3"/>
        <v>NO</v>
      </c>
      <c r="F88" t="e">
        <f t="shared" si="4"/>
      </c>
      <c r="H88" t="e">
        <f>IFERROR(SUMPRODUCT(--(Dependencies!$A$2:$A$5000=$A88)*--(VALUE(MID(_xludf.XLOOKUP(Dependencies!$C$2:$C$5000,Blueprint_Data!$A:$A,Blueprint_Data!$G:$G,"W-99"),3,99))&gt;VALUE(MID($C88,3,99)))),0)</f>
      </c>
      <c r="I88" t="s">
        <v>80</v>
      </c>
      <c r="J88">
        <v>0</v>
      </c>
      <c r="L88" t="s">
        <v>2220</v>
      </c>
      <c r="M88" t="s">
        <v>2221</v>
      </c>
      <c r="N88" t="str">
        <f t="shared" si="5"/>
      </c>
    </row>
    <row r="89">
      <c r="A89" t="s">
        <v>2340</v>
      </c>
      <c r="B89" t="s">
        <v>749</v>
      </c>
      <c r="C89" t="s">
        <v>120</v>
      </c>
      <c r="E89" t="str">
        <f t="shared" si="3"/>
        <v>NO</v>
      </c>
      <c r="F89" t="e">
        <f t="shared" si="4"/>
      </c>
      <c r="H89" t="e">
        <f>IFERROR(SUMPRODUCT(--(Dependencies!$A$2:$A$5000=$A89)*--(VALUE(MID(_xludf.XLOOKUP(Dependencies!$C$2:$C$5000,Blueprint_Data!$A:$A,Blueprint_Data!$G:$G,"W-99"),3,99))&gt;VALUE(MID($C89,3,99)))),0)</f>
      </c>
      <c r="I89" t="s">
        <v>77</v>
      </c>
      <c r="J89">
        <v>0</v>
      </c>
      <c r="L89" t="s">
        <v>2220</v>
      </c>
      <c r="M89" t="s">
        <v>2221</v>
      </c>
      <c r="N89" t="str">
        <f t="shared" si="5"/>
      </c>
    </row>
    <row r="90">
      <c r="A90" t="s">
        <v>2343</v>
      </c>
      <c r="B90" t="s">
        <v>758</v>
      </c>
      <c r="C90" t="s">
        <v>120</v>
      </c>
      <c r="E90" t="str">
        <f t="shared" si="3"/>
        <v>NO</v>
      </c>
      <c r="F90" t="e">
        <f t="shared" si="4"/>
      </c>
      <c r="H90" t="e">
        <f>IFERROR(SUMPRODUCT(--(Dependencies!$A$2:$A$5000=$A90)*--(VALUE(MID(_xludf.XLOOKUP(Dependencies!$C$2:$C$5000,Blueprint_Data!$A:$A,Blueprint_Data!$G:$G,"W-99"),3,99))&gt;VALUE(MID($C90,3,99)))),0)</f>
      </c>
      <c r="I90" t="s">
        <v>77</v>
      </c>
      <c r="J90">
        <v>0</v>
      </c>
      <c r="L90" t="s">
        <v>2220</v>
      </c>
      <c r="M90" t="s">
        <v>2221</v>
      </c>
      <c r="N90" t="str">
        <f t="shared" si="5"/>
      </c>
    </row>
    <row r="91">
      <c r="A91" t="s">
        <v>2346</v>
      </c>
      <c r="B91" t="s">
        <v>764</v>
      </c>
      <c r="C91" t="s">
        <v>120</v>
      </c>
      <c r="E91" t="str">
        <f t="shared" si="3"/>
        <v>NO</v>
      </c>
      <c r="F91" t="e">
        <f t="shared" si="4"/>
      </c>
      <c r="H91" t="e">
        <f>IFERROR(SUMPRODUCT(--(Dependencies!$A$2:$A$5000=$A91)*--(VALUE(MID(_xludf.XLOOKUP(Dependencies!$C$2:$C$5000,Blueprint_Data!$A:$A,Blueprint_Data!$G:$G,"W-99"),3,99))&gt;VALUE(MID($C91,3,99)))),0)</f>
      </c>
      <c r="I91" t="s">
        <v>77</v>
      </c>
      <c r="J91">
        <v>0</v>
      </c>
      <c r="L91" t="s">
        <v>2220</v>
      </c>
      <c r="M91" t="s">
        <v>2221</v>
      </c>
      <c r="N91" t="str">
        <f t="shared" si="5"/>
      </c>
    </row>
    <row r="92">
      <c r="A92" t="s">
        <v>2349</v>
      </c>
      <c r="B92" t="s">
        <v>769</v>
      </c>
      <c r="C92" t="s">
        <v>120</v>
      </c>
      <c r="E92" t="str">
        <f t="shared" si="3"/>
        <v>NO</v>
      </c>
      <c r="F92" t="e">
        <f t="shared" si="4"/>
      </c>
      <c r="H92" t="e">
        <f>IFERROR(SUMPRODUCT(--(Dependencies!$A$2:$A$5000=$A92)*--(VALUE(MID(_xludf.XLOOKUP(Dependencies!$C$2:$C$5000,Blueprint_Data!$A:$A,Blueprint_Data!$G:$G,"W-99"),3,99))&gt;VALUE(MID($C92,3,99)))),0)</f>
      </c>
      <c r="I92" t="s">
        <v>77</v>
      </c>
      <c r="J92">
        <v>0</v>
      </c>
      <c r="L92" t="s">
        <v>2220</v>
      </c>
      <c r="M92" t="s">
        <v>2221</v>
      </c>
      <c r="N92" t="str">
        <f t="shared" si="5"/>
      </c>
    </row>
    <row r="93">
      <c r="A93" t="s">
        <v>2351</v>
      </c>
      <c r="B93" t="s">
        <v>775</v>
      </c>
      <c r="C93" t="s">
        <v>120</v>
      </c>
      <c r="E93" t="str">
        <f t="shared" si="3"/>
        <v>NO</v>
      </c>
      <c r="F93" t="e">
        <f t="shared" si="4"/>
      </c>
      <c r="H93" t="e">
        <f>IFERROR(SUMPRODUCT(--(Dependencies!$A$2:$A$5000=$A93)*--(VALUE(MID(_xludf.XLOOKUP(Dependencies!$C$2:$C$5000,Blueprint_Data!$A:$A,Blueprint_Data!$G:$G,"W-99"),3,99))&gt;VALUE(MID($C93,3,99)))),0)</f>
      </c>
      <c r="I93" t="s">
        <v>77</v>
      </c>
      <c r="J93">
        <v>0</v>
      </c>
      <c r="L93" t="s">
        <v>2220</v>
      </c>
      <c r="M93" t="s">
        <v>2221</v>
      </c>
      <c r="N93" t="str">
        <f t="shared" si="5"/>
      </c>
    </row>
    <row r="94">
      <c r="A94" t="s">
        <v>2354</v>
      </c>
      <c r="B94" t="s">
        <v>783</v>
      </c>
      <c r="C94" t="s">
        <v>120</v>
      </c>
      <c r="E94" t="str">
        <f t="shared" si="3"/>
        <v>NO</v>
      </c>
      <c r="F94" t="e">
        <f t="shared" si="4"/>
      </c>
      <c r="H94" t="e">
        <f>IFERROR(SUMPRODUCT(--(Dependencies!$A$2:$A$5000=$A94)*--(VALUE(MID(_xludf.XLOOKUP(Dependencies!$C$2:$C$5000,Blueprint_Data!$A:$A,Blueprint_Data!$G:$G,"W-99"),3,99))&gt;VALUE(MID($C94,3,99)))),0)</f>
      </c>
      <c r="I94" t="s">
        <v>77</v>
      </c>
      <c r="J94">
        <v>0</v>
      </c>
      <c r="L94" t="s">
        <v>2220</v>
      </c>
      <c r="M94" t="s">
        <v>2221</v>
      </c>
      <c r="N94" t="str">
        <f t="shared" si="5"/>
      </c>
    </row>
    <row r="95">
      <c r="A95" t="s">
        <v>2357</v>
      </c>
      <c r="B95" t="s">
        <v>790</v>
      </c>
      <c r="C95" t="s">
        <v>120</v>
      </c>
      <c r="E95" t="str">
        <f t="shared" si="3"/>
        <v>NO</v>
      </c>
      <c r="F95" t="e">
        <f t="shared" si="4"/>
      </c>
      <c r="H95" t="e">
        <f>IFERROR(SUMPRODUCT(--(Dependencies!$A$2:$A$5000=$A95)*--(VALUE(MID(_xludf.XLOOKUP(Dependencies!$C$2:$C$5000,Blueprint_Data!$A:$A,Blueprint_Data!$G:$G,"W-99"),3,99))&gt;VALUE(MID($C95,3,99)))),0)</f>
      </c>
      <c r="I95" t="s">
        <v>77</v>
      </c>
      <c r="J95">
        <v>0</v>
      </c>
      <c r="L95" t="s">
        <v>2220</v>
      </c>
      <c r="M95" t="s">
        <v>2221</v>
      </c>
      <c r="N95" t="str">
        <f t="shared" si="5"/>
      </c>
    </row>
    <row r="96">
      <c r="A96" t="s">
        <v>2360</v>
      </c>
      <c r="B96" t="s">
        <v>795</v>
      </c>
      <c r="C96" t="s">
        <v>120</v>
      </c>
      <c r="E96" t="str">
        <f t="shared" si="3"/>
        <v>NO</v>
      </c>
      <c r="F96" t="e">
        <f t="shared" si="4"/>
      </c>
      <c r="H96" t="e">
        <f>IFERROR(SUMPRODUCT(--(Dependencies!$A$2:$A$5000=$A96)*--(VALUE(MID(_xludf.XLOOKUP(Dependencies!$C$2:$C$5000,Blueprint_Data!$A:$A,Blueprint_Data!$G:$G,"W-99"),3,99))&gt;VALUE(MID($C96,3,99)))),0)</f>
      </c>
      <c r="I96" t="s">
        <v>77</v>
      </c>
      <c r="J96">
        <v>0</v>
      </c>
      <c r="L96" t="s">
        <v>2220</v>
      </c>
      <c r="M96" t="s">
        <v>2221</v>
      </c>
      <c r="N96" t="str">
        <f t="shared" si="5"/>
      </c>
    </row>
    <row r="97">
      <c r="A97" t="s">
        <v>2363</v>
      </c>
      <c r="B97" t="s">
        <v>800</v>
      </c>
      <c r="C97" t="s">
        <v>120</v>
      </c>
      <c r="E97" t="str">
        <f t="shared" si="3"/>
        <v>NO</v>
      </c>
      <c r="F97" t="e">
        <f t="shared" si="4"/>
      </c>
      <c r="H97" t="e">
        <f>IFERROR(SUMPRODUCT(--(Dependencies!$A$2:$A$5000=$A97)*--(VALUE(MID(_xludf.XLOOKUP(Dependencies!$C$2:$C$5000,Blueprint_Data!$A:$A,Blueprint_Data!$G:$G,"W-99"),3,99))&gt;VALUE(MID($C97,3,99)))),0)</f>
      </c>
      <c r="I97" t="s">
        <v>77</v>
      </c>
      <c r="J97">
        <v>0</v>
      </c>
      <c r="L97" t="s">
        <v>2220</v>
      </c>
      <c r="M97" t="s">
        <v>2221</v>
      </c>
      <c r="N97" t="str">
        <f t="shared" si="5"/>
      </c>
    </row>
    <row r="98">
      <c r="A98" t="s">
        <v>2366</v>
      </c>
      <c r="B98" t="s">
        <v>808</v>
      </c>
      <c r="C98" t="s">
        <v>120</v>
      </c>
      <c r="E98" t="str">
        <f t="shared" si="3"/>
        <v>NO</v>
      </c>
      <c r="F98" t="e">
        <f t="shared" si="4"/>
      </c>
      <c r="H98" t="e">
        <f>IFERROR(SUMPRODUCT(--(Dependencies!$A$2:$A$5000=$A98)*--(VALUE(MID(_xludf.XLOOKUP(Dependencies!$C$2:$C$5000,Blueprint_Data!$A:$A,Blueprint_Data!$G:$G,"W-99"),3,99))&gt;VALUE(MID($C98,3,99)))),0)</f>
      </c>
      <c r="I98" t="s">
        <v>77</v>
      </c>
      <c r="J98">
        <v>0</v>
      </c>
      <c r="L98" t="s">
        <v>2220</v>
      </c>
      <c r="M98" t="s">
        <v>2221</v>
      </c>
      <c r="N98" t="str">
        <f t="shared" si="5"/>
      </c>
    </row>
    <row r="99">
      <c r="A99" t="s">
        <v>2369</v>
      </c>
      <c r="B99" t="s">
        <v>815</v>
      </c>
      <c r="C99" t="s">
        <v>120</v>
      </c>
      <c r="E99" t="str">
        <f t="shared" si="3"/>
        <v>NO</v>
      </c>
      <c r="F99" t="e">
        <f t="shared" si="4"/>
      </c>
      <c r="H99" t="e">
        <f>IFERROR(SUMPRODUCT(--(Dependencies!$A$2:$A$5000=$A99)*--(VALUE(MID(_xludf.XLOOKUP(Dependencies!$C$2:$C$5000,Blueprint_Data!$A:$A,Blueprint_Data!$G:$G,"W-99"),3,99))&gt;VALUE(MID($C99,3,99)))),0)</f>
      </c>
      <c r="I99" t="s">
        <v>77</v>
      </c>
      <c r="J99">
        <v>0</v>
      </c>
      <c r="L99" t="s">
        <v>2220</v>
      </c>
      <c r="M99" t="s">
        <v>2221</v>
      </c>
      <c r="N99" t="str">
        <f t="shared" si="5"/>
      </c>
    </row>
    <row r="100">
      <c r="A100" t="s">
        <v>2372</v>
      </c>
      <c r="B100" t="s">
        <v>820</v>
      </c>
      <c r="C100" t="s">
        <v>120</v>
      </c>
      <c r="E100" t="str">
        <f t="shared" si="3"/>
        <v>NO</v>
      </c>
      <c r="F100" t="e">
        <f t="shared" si="4"/>
      </c>
      <c r="H100" t="e">
        <f>IFERROR(SUMPRODUCT(--(Dependencies!$A$2:$A$5000=$A100)*--(VALUE(MID(_xludf.XLOOKUP(Dependencies!$C$2:$C$5000,Blueprint_Data!$A:$A,Blueprint_Data!$G:$G,"W-99"),3,99))&gt;VALUE(MID($C100,3,99)))),0)</f>
      </c>
      <c r="I100" t="s">
        <v>77</v>
      </c>
      <c r="J100">
        <v>0</v>
      </c>
      <c r="L100" t="s">
        <v>2220</v>
      </c>
      <c r="M100" t="s">
        <v>2221</v>
      </c>
      <c r="N100" t="str">
        <f t="shared" si="5"/>
      </c>
    </row>
    <row r="101">
      <c r="A101" t="s">
        <v>2375</v>
      </c>
      <c r="B101" t="s">
        <v>826</v>
      </c>
      <c r="C101" t="s">
        <v>120</v>
      </c>
      <c r="E101" t="str">
        <f t="shared" si="3"/>
        <v>NO</v>
      </c>
      <c r="F101" t="e">
        <f t="shared" si="4"/>
      </c>
      <c r="H101" t="e">
        <f>IFERROR(SUMPRODUCT(--(Dependencies!$A$2:$A$5000=$A101)*--(VALUE(MID(_xludf.XLOOKUP(Dependencies!$C$2:$C$5000,Blueprint_Data!$A:$A,Blueprint_Data!$G:$G,"W-99"),3,99))&gt;VALUE(MID($C101,3,99)))),0)</f>
      </c>
      <c r="I101" t="s">
        <v>77</v>
      </c>
      <c r="J101">
        <v>0</v>
      </c>
      <c r="L101" t="s">
        <v>2220</v>
      </c>
      <c r="M101" t="s">
        <v>2221</v>
      </c>
      <c r="N101" t="str">
        <f t="shared" si="5"/>
      </c>
    </row>
    <row r="102">
      <c r="A102" t="s">
        <v>2378</v>
      </c>
      <c r="B102" t="s">
        <v>836</v>
      </c>
      <c r="C102" t="s">
        <v>120</v>
      </c>
      <c r="E102" t="str">
        <f t="shared" si="3"/>
        <v>NO</v>
      </c>
      <c r="F102" t="e">
        <f t="shared" si="4"/>
      </c>
      <c r="H102" t="e">
        <f>IFERROR(SUMPRODUCT(--(Dependencies!$A$2:$A$5000=$A102)*--(VALUE(MID(_xludf.XLOOKUP(Dependencies!$C$2:$C$5000,Blueprint_Data!$A:$A,Blueprint_Data!$G:$G,"W-99"),3,99))&gt;VALUE(MID($C102,3,99)))),0)</f>
      </c>
      <c r="I102" t="s">
        <v>77</v>
      </c>
      <c r="J102">
        <v>0</v>
      </c>
      <c r="L102" t="s">
        <v>2220</v>
      </c>
      <c r="M102" t="s">
        <v>2221</v>
      </c>
      <c r="N102" t="str">
        <f t="shared" si="5"/>
      </c>
    </row>
    <row r="103">
      <c r="A103" t="s">
        <v>2381</v>
      </c>
      <c r="B103" t="s">
        <v>843</v>
      </c>
      <c r="C103" t="s">
        <v>120</v>
      </c>
      <c r="E103" t="str">
        <f t="shared" si="3"/>
        <v>NO</v>
      </c>
      <c r="F103" t="e">
        <f t="shared" si="4"/>
      </c>
      <c r="H103" t="e">
        <f>IFERROR(SUMPRODUCT(--(Dependencies!$A$2:$A$5000=$A103)*--(VALUE(MID(_xludf.XLOOKUP(Dependencies!$C$2:$C$5000,Blueprint_Data!$A:$A,Blueprint_Data!$G:$G,"W-99"),3,99))&gt;VALUE(MID($C103,3,99)))),0)</f>
      </c>
      <c r="I103" t="s">
        <v>77</v>
      </c>
      <c r="J103">
        <v>0</v>
      </c>
      <c r="L103" t="s">
        <v>2220</v>
      </c>
      <c r="M103" t="s">
        <v>2221</v>
      </c>
      <c r="N103" t="str">
        <f t="shared" si="5"/>
      </c>
    </row>
    <row r="104">
      <c r="A104" t="s">
        <v>2384</v>
      </c>
      <c r="B104" t="s">
        <v>850</v>
      </c>
      <c r="C104" t="s">
        <v>120</v>
      </c>
      <c r="E104" t="str">
        <f t="shared" si="3"/>
        <v>NO</v>
      </c>
      <c r="F104" t="e">
        <f t="shared" si="4"/>
      </c>
      <c r="H104" t="e">
        <f>IFERROR(SUMPRODUCT(--(Dependencies!$A$2:$A$5000=$A104)*--(VALUE(MID(_xludf.XLOOKUP(Dependencies!$C$2:$C$5000,Blueprint_Data!$A:$A,Blueprint_Data!$G:$G,"W-99"),3,99))&gt;VALUE(MID($C104,3,99)))),0)</f>
      </c>
      <c r="I104" t="s">
        <v>77</v>
      </c>
      <c r="J104">
        <v>0</v>
      </c>
      <c r="L104" t="s">
        <v>2220</v>
      </c>
      <c r="M104" t="s">
        <v>2221</v>
      </c>
      <c r="N104" t="str">
        <f t="shared" si="5"/>
      </c>
    </row>
    <row r="105">
      <c r="A105" t="s">
        <v>2387</v>
      </c>
      <c r="B105" t="s">
        <v>857</v>
      </c>
      <c r="C105" t="s">
        <v>120</v>
      </c>
      <c r="E105" t="str">
        <f t="shared" si="3"/>
        <v>NO</v>
      </c>
      <c r="F105" t="e">
        <f t="shared" si="4"/>
      </c>
      <c r="H105" t="e">
        <f>IFERROR(SUMPRODUCT(--(Dependencies!$A$2:$A$5000=$A105)*--(VALUE(MID(_xludf.XLOOKUP(Dependencies!$C$2:$C$5000,Blueprint_Data!$A:$A,Blueprint_Data!$G:$G,"W-99"),3,99))&gt;VALUE(MID($C105,3,99)))),0)</f>
      </c>
      <c r="I105" t="s">
        <v>77</v>
      </c>
      <c r="J105">
        <v>0</v>
      </c>
      <c r="L105" t="s">
        <v>2220</v>
      </c>
      <c r="M105" t="s">
        <v>2221</v>
      </c>
      <c r="N105" t="str">
        <f t="shared" si="5"/>
      </c>
    </row>
    <row r="106">
      <c r="A106" t="s">
        <v>2390</v>
      </c>
      <c r="B106" t="s">
        <v>864</v>
      </c>
      <c r="C106" t="s">
        <v>120</v>
      </c>
      <c r="E106" t="str">
        <f t="shared" si="3"/>
        <v>NO</v>
      </c>
      <c r="F106" t="e">
        <f t="shared" si="4"/>
      </c>
      <c r="H106" t="e">
        <f>IFERROR(SUMPRODUCT(--(Dependencies!$A$2:$A$5000=$A106)*--(VALUE(MID(_xludf.XLOOKUP(Dependencies!$C$2:$C$5000,Blueprint_Data!$A:$A,Blueprint_Data!$G:$G,"W-99"),3,99))&gt;VALUE(MID($C106,3,99)))),0)</f>
      </c>
      <c r="I106" t="s">
        <v>77</v>
      </c>
      <c r="J106">
        <v>0</v>
      </c>
      <c r="L106" t="s">
        <v>2220</v>
      </c>
      <c r="M106" t="s">
        <v>2221</v>
      </c>
      <c r="N106" t="str">
        <f t="shared" si="5"/>
      </c>
    </row>
    <row r="107">
      <c r="A107" t="s">
        <v>2393</v>
      </c>
      <c r="B107" t="s">
        <v>870</v>
      </c>
      <c r="C107" t="s">
        <v>120</v>
      </c>
      <c r="E107" t="str">
        <f t="shared" si="3"/>
        <v>NO</v>
      </c>
      <c r="F107" t="e">
        <f t="shared" si="4"/>
      </c>
      <c r="H107" t="e">
        <f>IFERROR(SUMPRODUCT(--(Dependencies!$A$2:$A$5000=$A107)*--(VALUE(MID(_xludf.XLOOKUP(Dependencies!$C$2:$C$5000,Blueprint_Data!$A:$A,Blueprint_Data!$G:$G,"W-99"),3,99))&gt;VALUE(MID($C107,3,99)))),0)</f>
      </c>
      <c r="I107" t="s">
        <v>77</v>
      </c>
      <c r="J107">
        <v>0</v>
      </c>
      <c r="L107" t="s">
        <v>2220</v>
      </c>
      <c r="M107" t="s">
        <v>2221</v>
      </c>
      <c r="N107" t="str">
        <f t="shared" si="5"/>
      </c>
    </row>
    <row r="108">
      <c r="A108" t="s">
        <v>2396</v>
      </c>
      <c r="B108" t="s">
        <v>877</v>
      </c>
      <c r="C108" t="s">
        <v>120</v>
      </c>
      <c r="E108" t="str">
        <f t="shared" si="3"/>
        <v>NO</v>
      </c>
      <c r="F108" t="e">
        <f t="shared" si="4"/>
      </c>
      <c r="H108" t="e">
        <f>IFERROR(SUMPRODUCT(--(Dependencies!$A$2:$A$5000=$A108)*--(VALUE(MID(_xludf.XLOOKUP(Dependencies!$C$2:$C$5000,Blueprint_Data!$A:$A,Blueprint_Data!$G:$G,"W-99"),3,99))&gt;VALUE(MID($C108,3,99)))),0)</f>
      </c>
      <c r="I108" t="s">
        <v>77</v>
      </c>
      <c r="J108">
        <v>0</v>
      </c>
      <c r="L108" t="s">
        <v>2220</v>
      </c>
      <c r="M108" t="s">
        <v>2221</v>
      </c>
      <c r="N108" t="str">
        <f t="shared" si="5"/>
      </c>
    </row>
    <row r="109">
      <c r="A109" t="s">
        <v>2399</v>
      </c>
      <c r="B109" t="s">
        <v>882</v>
      </c>
      <c r="C109" t="s">
        <v>120</v>
      </c>
      <c r="E109" t="str">
        <f t="shared" si="3"/>
        <v>NO</v>
      </c>
      <c r="F109" t="e">
        <f t="shared" si="4"/>
      </c>
      <c r="H109" t="e">
        <f>IFERROR(SUMPRODUCT(--(Dependencies!$A$2:$A$5000=$A109)*--(VALUE(MID(_xludf.XLOOKUP(Dependencies!$C$2:$C$5000,Blueprint_Data!$A:$A,Blueprint_Data!$G:$G,"W-99"),3,99))&gt;VALUE(MID($C109,3,99)))),0)</f>
      </c>
      <c r="I109" t="s">
        <v>77</v>
      </c>
      <c r="J109">
        <v>0</v>
      </c>
      <c r="L109" t="s">
        <v>2220</v>
      </c>
      <c r="M109" t="s">
        <v>2221</v>
      </c>
      <c r="N109" t="str">
        <f t="shared" si="5"/>
      </c>
    </row>
    <row r="110">
      <c r="A110" t="s">
        <v>2402</v>
      </c>
      <c r="B110" t="s">
        <v>889</v>
      </c>
      <c r="C110" t="s">
        <v>120</v>
      </c>
      <c r="E110" t="str">
        <f t="shared" si="3"/>
        <v>NO</v>
      </c>
      <c r="F110" t="e">
        <f t="shared" si="4"/>
      </c>
      <c r="H110" t="e">
        <f>IFERROR(SUMPRODUCT(--(Dependencies!$A$2:$A$5000=$A110)*--(VALUE(MID(_xludf.XLOOKUP(Dependencies!$C$2:$C$5000,Blueprint_Data!$A:$A,Blueprint_Data!$G:$G,"W-99"),3,99))&gt;VALUE(MID($C110,3,99)))),0)</f>
      </c>
      <c r="I110" t="s">
        <v>77</v>
      </c>
      <c r="J110">
        <v>0</v>
      </c>
      <c r="L110" t="s">
        <v>2220</v>
      </c>
      <c r="M110" t="s">
        <v>2221</v>
      </c>
      <c r="N110" t="str">
        <f t="shared" si="5"/>
      </c>
    </row>
    <row r="111">
      <c r="A111" t="s">
        <v>2405</v>
      </c>
      <c r="B111" t="s">
        <v>899</v>
      </c>
      <c r="C111" t="s">
        <v>120</v>
      </c>
      <c r="E111" t="str">
        <f t="shared" si="3"/>
        <v>NO</v>
      </c>
      <c r="F111" t="e">
        <f t="shared" si="4"/>
      </c>
      <c r="H111" t="e">
        <f>IFERROR(SUMPRODUCT(--(Dependencies!$A$2:$A$5000=$A111)*--(VALUE(MID(_xludf.XLOOKUP(Dependencies!$C$2:$C$5000,Blueprint_Data!$A:$A,Blueprint_Data!$G:$G,"W-99"),3,99))&gt;VALUE(MID($C111,3,99)))),0)</f>
      </c>
      <c r="I111" t="s">
        <v>77</v>
      </c>
      <c r="J111">
        <v>0</v>
      </c>
      <c r="L111" t="s">
        <v>2220</v>
      </c>
      <c r="M111" t="s">
        <v>2221</v>
      </c>
      <c r="N111" t="str">
        <f t="shared" si="5"/>
      </c>
    </row>
    <row r="112">
      <c r="A112" t="s">
        <v>2408</v>
      </c>
      <c r="B112" t="s">
        <v>906</v>
      </c>
      <c r="C112" t="s">
        <v>120</v>
      </c>
      <c r="E112" t="str">
        <f t="shared" si="3"/>
        <v>NO</v>
      </c>
      <c r="F112" t="e">
        <f t="shared" si="4"/>
      </c>
      <c r="H112" t="e">
        <f>IFERROR(SUMPRODUCT(--(Dependencies!$A$2:$A$5000=$A112)*--(VALUE(MID(_xludf.XLOOKUP(Dependencies!$C$2:$C$5000,Blueprint_Data!$A:$A,Blueprint_Data!$G:$G,"W-99"),3,99))&gt;VALUE(MID($C112,3,99)))),0)</f>
      </c>
      <c r="I112" t="s">
        <v>77</v>
      </c>
      <c r="J112">
        <v>0</v>
      </c>
      <c r="L112" t="s">
        <v>2220</v>
      </c>
      <c r="M112" t="s">
        <v>2221</v>
      </c>
      <c r="N112" t="str">
        <f t="shared" si="5"/>
      </c>
    </row>
    <row r="113">
      <c r="A113" t="s">
        <v>2411</v>
      </c>
      <c r="B113" t="s">
        <v>912</v>
      </c>
      <c r="C113" t="s">
        <v>120</v>
      </c>
      <c r="E113" t="str">
        <f t="shared" si="3"/>
        <v>NO</v>
      </c>
      <c r="F113" t="e">
        <f t="shared" si="4"/>
      </c>
      <c r="H113" t="e">
        <f>IFERROR(SUMPRODUCT(--(Dependencies!$A$2:$A$5000=$A113)*--(VALUE(MID(_xludf.XLOOKUP(Dependencies!$C$2:$C$5000,Blueprint_Data!$A:$A,Blueprint_Data!$G:$G,"W-99"),3,99))&gt;VALUE(MID($C113,3,99)))),0)</f>
      </c>
      <c r="I113" t="s">
        <v>77</v>
      </c>
      <c r="J113">
        <v>0</v>
      </c>
      <c r="L113" t="s">
        <v>2220</v>
      </c>
      <c r="M113" t="s">
        <v>2221</v>
      </c>
      <c r="N113" t="str">
        <f t="shared" si="5"/>
      </c>
    </row>
    <row r="114">
      <c r="A114" t="s">
        <v>2414</v>
      </c>
      <c r="B114" t="s">
        <v>919</v>
      </c>
      <c r="C114" t="s">
        <v>120</v>
      </c>
      <c r="E114" t="str">
        <f t="shared" si="3"/>
        <v>NO</v>
      </c>
      <c r="F114" t="e">
        <f t="shared" si="4"/>
      </c>
      <c r="H114" t="e">
        <f>IFERROR(SUMPRODUCT(--(Dependencies!$A$2:$A$5000=$A114)*--(VALUE(MID(_xludf.XLOOKUP(Dependencies!$C$2:$C$5000,Blueprint_Data!$A:$A,Blueprint_Data!$G:$G,"W-99"),3,99))&gt;VALUE(MID($C114,3,99)))),0)</f>
      </c>
      <c r="I114" t="s">
        <v>80</v>
      </c>
      <c r="J114">
        <v>0</v>
      </c>
      <c r="L114" t="s">
        <v>2220</v>
      </c>
      <c r="M114" t="s">
        <v>2221</v>
      </c>
      <c r="N114" t="str">
        <f t="shared" si="5"/>
      </c>
    </row>
    <row r="115">
      <c r="A115" t="s">
        <v>2417</v>
      </c>
      <c r="B115" t="s">
        <v>925</v>
      </c>
      <c r="C115" t="s">
        <v>120</v>
      </c>
      <c r="E115" t="str">
        <f t="shared" si="3"/>
        <v>NO</v>
      </c>
      <c r="F115" t="e">
        <f t="shared" si="4"/>
      </c>
      <c r="H115" t="e">
        <f>IFERROR(SUMPRODUCT(--(Dependencies!$A$2:$A$5000=$A115)*--(VALUE(MID(_xludf.XLOOKUP(Dependencies!$C$2:$C$5000,Blueprint_Data!$A:$A,Blueprint_Data!$G:$G,"W-99"),3,99))&gt;VALUE(MID($C115,3,99)))),0)</f>
      </c>
      <c r="I115" t="s">
        <v>77</v>
      </c>
      <c r="J115">
        <v>0</v>
      </c>
      <c r="L115" t="s">
        <v>2220</v>
      </c>
      <c r="M115" t="s">
        <v>2221</v>
      </c>
      <c r="N115" t="str">
        <f t="shared" si="5"/>
      </c>
    </row>
    <row r="116">
      <c r="A116" t="s">
        <v>2420</v>
      </c>
      <c r="B116" t="s">
        <v>935</v>
      </c>
      <c r="C116" t="s">
        <v>120</v>
      </c>
      <c r="E116" t="str">
        <f t="shared" si="3"/>
        <v>NO</v>
      </c>
      <c r="F116" t="e">
        <f t="shared" si="4"/>
      </c>
      <c r="H116" t="e">
        <f>IFERROR(SUMPRODUCT(--(Dependencies!$A$2:$A$5000=$A116)*--(VALUE(MID(_xludf.XLOOKUP(Dependencies!$C$2:$C$5000,Blueprint_Data!$A:$A,Blueprint_Data!$G:$G,"W-99"),3,99))&gt;VALUE(MID($C116,3,99)))),0)</f>
      </c>
      <c r="I116" t="s">
        <v>77</v>
      </c>
      <c r="J116">
        <v>0</v>
      </c>
      <c r="L116" t="s">
        <v>2220</v>
      </c>
      <c r="M116" t="s">
        <v>2221</v>
      </c>
      <c r="N116" t="str">
        <f t="shared" si="5"/>
      </c>
    </row>
    <row r="117">
      <c r="A117" t="s">
        <v>2423</v>
      </c>
      <c r="B117" t="s">
        <v>940</v>
      </c>
      <c r="C117" t="s">
        <v>120</v>
      </c>
      <c r="E117" t="str">
        <f t="shared" si="3"/>
        <v>NO</v>
      </c>
      <c r="F117" t="e">
        <f t="shared" si="4"/>
      </c>
      <c r="H117" t="e">
        <f>IFERROR(SUMPRODUCT(--(Dependencies!$A$2:$A$5000=$A117)*--(VALUE(MID(_xludf.XLOOKUP(Dependencies!$C$2:$C$5000,Blueprint_Data!$A:$A,Blueprint_Data!$G:$G,"W-99"),3,99))&gt;VALUE(MID($C117,3,99)))),0)</f>
      </c>
      <c r="I117" t="s">
        <v>77</v>
      </c>
      <c r="J117">
        <v>0</v>
      </c>
      <c r="L117" t="s">
        <v>2220</v>
      </c>
      <c r="M117" t="s">
        <v>2221</v>
      </c>
      <c r="N117" t="str">
        <f t="shared" si="5"/>
      </c>
    </row>
    <row r="118">
      <c r="A118" t="s">
        <v>2426</v>
      </c>
      <c r="B118" t="s">
        <v>946</v>
      </c>
      <c r="C118" t="s">
        <v>120</v>
      </c>
      <c r="E118" t="str">
        <f t="shared" si="3"/>
        <v>NO</v>
      </c>
      <c r="F118" t="e">
        <f t="shared" si="4"/>
      </c>
      <c r="H118" t="e">
        <f>IFERROR(SUMPRODUCT(--(Dependencies!$A$2:$A$5000=$A118)*--(VALUE(MID(_xludf.XLOOKUP(Dependencies!$C$2:$C$5000,Blueprint_Data!$A:$A,Blueprint_Data!$G:$G,"W-99"),3,99))&gt;VALUE(MID($C118,3,99)))),0)</f>
      </c>
      <c r="I118" t="s">
        <v>77</v>
      </c>
      <c r="J118">
        <v>0</v>
      </c>
      <c r="L118" t="s">
        <v>2220</v>
      </c>
      <c r="M118" t="s">
        <v>2221</v>
      </c>
      <c r="N118" t="str">
        <f t="shared" si="5"/>
      </c>
    </row>
    <row r="119">
      <c r="A119" t="s">
        <v>2429</v>
      </c>
      <c r="B119" t="s">
        <v>953</v>
      </c>
      <c r="C119" t="s">
        <v>120</v>
      </c>
      <c r="E119" t="str">
        <f t="shared" si="3"/>
        <v>NO</v>
      </c>
      <c r="F119" t="e">
        <f t="shared" si="4"/>
      </c>
      <c r="H119" t="e">
        <f>IFERROR(SUMPRODUCT(--(Dependencies!$A$2:$A$5000=$A119)*--(VALUE(MID(_xludf.XLOOKUP(Dependencies!$C$2:$C$5000,Blueprint_Data!$A:$A,Blueprint_Data!$G:$G,"W-99"),3,99))&gt;VALUE(MID($C119,3,99)))),0)</f>
      </c>
      <c r="I119" t="s">
        <v>80</v>
      </c>
      <c r="J119">
        <v>0</v>
      </c>
      <c r="L119" t="s">
        <v>2220</v>
      </c>
      <c r="M119" t="s">
        <v>2221</v>
      </c>
      <c r="N119" t="str">
        <f t="shared" si="5"/>
      </c>
    </row>
    <row r="120">
      <c r="A120" t="s">
        <v>2431</v>
      </c>
      <c r="B120" t="s">
        <v>962</v>
      </c>
      <c r="C120" t="s">
        <v>97</v>
      </c>
      <c r="D120" t="s">
        <v>2077</v>
      </c>
      <c r="E120" t="str">
        <f t="shared" si="3"/>
        <v>NO</v>
      </c>
      <c r="F120" t="e">
        <f t="shared" si="4"/>
      </c>
      <c r="H120" t="e">
        <f>IFERROR(SUMPRODUCT(--(Dependencies!$A$2:$A$5000=$A120)*--(VALUE(MID(_xludf.XLOOKUP(Dependencies!$C$2:$C$5000,Blueprint_Data!$A:$A,Blueprint_Data!$G:$G,"W-99"),3,99))&gt;VALUE(MID($C120,3,99)))),0)</f>
      </c>
      <c r="I120" t="s">
        <v>77</v>
      </c>
      <c r="J120">
        <v>0</v>
      </c>
      <c r="L120" t="s">
        <v>2435</v>
      </c>
      <c r="M120" t="s">
        <v>2436</v>
      </c>
      <c r="N120" t="str">
        <f t="shared" si="5"/>
      </c>
    </row>
    <row r="121">
      <c r="A121" t="s">
        <v>2439</v>
      </c>
      <c r="B121" t="s">
        <v>973</v>
      </c>
      <c r="C121" t="s">
        <v>154</v>
      </c>
      <c r="E121" t="str">
        <f t="shared" si="3"/>
        <v>NO</v>
      </c>
      <c r="F121" t="e">
        <f t="shared" si="4"/>
      </c>
      <c r="H121" t="e">
        <f>IFERROR(SUMPRODUCT(--(Dependencies!$A$2:$A$5000=$A121)*--(VALUE(MID(_xludf.XLOOKUP(Dependencies!$C$2:$C$5000,Blueprint_Data!$A:$A,Blueprint_Data!$G:$G,"W-99"),3,99))&gt;VALUE(MID($C121,3,99)))),0)</f>
      </c>
      <c r="I121" t="s">
        <v>77</v>
      </c>
      <c r="J121">
        <v>0</v>
      </c>
      <c r="L121" t="s">
        <v>2435</v>
      </c>
      <c r="M121" t="s">
        <v>2436</v>
      </c>
      <c r="N121" t="str">
        <f t="shared" si="5"/>
      </c>
    </row>
    <row r="122">
      <c r="A122" t="s">
        <v>2446</v>
      </c>
      <c r="B122" t="s">
        <v>981</v>
      </c>
      <c r="C122" t="s">
        <v>154</v>
      </c>
      <c r="E122" t="str">
        <f t="shared" si="3"/>
        <v>NO</v>
      </c>
      <c r="F122" t="e">
        <f t="shared" si="4"/>
      </c>
      <c r="H122" t="e">
        <f>IFERROR(SUMPRODUCT(--(Dependencies!$A$2:$A$5000=$A122)*--(VALUE(MID(_xludf.XLOOKUP(Dependencies!$C$2:$C$5000,Blueprint_Data!$A:$A,Blueprint_Data!$G:$G,"W-99"),3,99))&gt;VALUE(MID($C122,3,99)))),0)</f>
      </c>
      <c r="I122" t="s">
        <v>80</v>
      </c>
      <c r="J122">
        <v>0</v>
      </c>
      <c r="L122" t="s">
        <v>2435</v>
      </c>
      <c r="M122" t="s">
        <v>2436</v>
      </c>
      <c r="N122" t="str">
        <f t="shared" si="5"/>
      </c>
    </row>
    <row r="123">
      <c r="A123" t="s">
        <v>2449</v>
      </c>
      <c r="B123" t="s">
        <v>987</v>
      </c>
      <c r="C123" t="s">
        <v>154</v>
      </c>
      <c r="E123" t="str">
        <f t="shared" si="3"/>
        <v>NO</v>
      </c>
      <c r="F123" t="e">
        <f t="shared" si="4"/>
      </c>
      <c r="H123" t="e">
        <f>IFERROR(SUMPRODUCT(--(Dependencies!$A$2:$A$5000=$A123)*--(VALUE(MID(_xludf.XLOOKUP(Dependencies!$C$2:$C$5000,Blueprint_Data!$A:$A,Blueprint_Data!$G:$G,"W-99"),3,99))&gt;VALUE(MID($C123,3,99)))),0)</f>
      </c>
      <c r="I123" t="s">
        <v>77</v>
      </c>
      <c r="J123">
        <v>0</v>
      </c>
      <c r="L123" t="s">
        <v>2435</v>
      </c>
      <c r="M123" t="s">
        <v>2436</v>
      </c>
      <c r="N123" t="str">
        <f t="shared" si="5"/>
      </c>
    </row>
    <row r="124">
      <c r="A124" t="s">
        <v>2452</v>
      </c>
      <c r="B124" t="s">
        <v>993</v>
      </c>
      <c r="C124" t="s">
        <v>120</v>
      </c>
      <c r="E124" t="str">
        <f t="shared" si="3"/>
        <v>NO</v>
      </c>
      <c r="F124" t="e">
        <f t="shared" si="4"/>
      </c>
      <c r="H124" t="e">
        <f>IFERROR(SUMPRODUCT(--(Dependencies!$A$2:$A$5000=$A124)*--(VALUE(MID(_xludf.XLOOKUP(Dependencies!$C$2:$C$5000,Blueprint_Data!$A:$A,Blueprint_Data!$G:$G,"W-99"),3,99))&gt;VALUE(MID($C124,3,99)))),0)</f>
      </c>
      <c r="I124" t="s">
        <v>77</v>
      </c>
      <c r="J124">
        <v>0</v>
      </c>
      <c r="L124" t="s">
        <v>2435</v>
      </c>
      <c r="M124" t="s">
        <v>2436</v>
      </c>
      <c r="N124" t="str">
        <f t="shared" si="5"/>
      </c>
    </row>
    <row r="125">
      <c r="A125" t="s">
        <v>2455</v>
      </c>
      <c r="B125" t="s">
        <v>1001</v>
      </c>
      <c r="C125" t="s">
        <v>120</v>
      </c>
      <c r="E125" t="str">
        <f t="shared" si="3"/>
        <v>NO</v>
      </c>
      <c r="F125" t="e">
        <f t="shared" si="4"/>
      </c>
      <c r="H125" t="e">
        <f>IFERROR(SUMPRODUCT(--(Dependencies!$A$2:$A$5000=$A125)*--(VALUE(MID(_xludf.XLOOKUP(Dependencies!$C$2:$C$5000,Blueprint_Data!$A:$A,Blueprint_Data!$G:$G,"W-99"),3,99))&gt;VALUE(MID($C125,3,99)))),0)</f>
      </c>
      <c r="I125" t="s">
        <v>77</v>
      </c>
      <c r="J125">
        <v>0</v>
      </c>
      <c r="L125" t="s">
        <v>2435</v>
      </c>
      <c r="M125" t="s">
        <v>2436</v>
      </c>
      <c r="N125" t="str">
        <f t="shared" si="5"/>
      </c>
    </row>
    <row r="126">
      <c r="A126" t="s">
        <v>2458</v>
      </c>
      <c r="B126" t="s">
        <v>1007</v>
      </c>
      <c r="C126" t="s">
        <v>120</v>
      </c>
      <c r="E126" t="str">
        <f t="shared" si="3"/>
        <v>NO</v>
      </c>
      <c r="F126" t="e">
        <f t="shared" si="4"/>
      </c>
      <c r="H126" t="e">
        <f>IFERROR(SUMPRODUCT(--(Dependencies!$A$2:$A$5000=$A126)*--(VALUE(MID(_xludf.XLOOKUP(Dependencies!$C$2:$C$5000,Blueprint_Data!$A:$A,Blueprint_Data!$G:$G,"W-99"),3,99))&gt;VALUE(MID($C126,3,99)))),0)</f>
      </c>
      <c r="I126" t="s">
        <v>77</v>
      </c>
      <c r="J126">
        <v>0</v>
      </c>
      <c r="L126" t="s">
        <v>2435</v>
      </c>
      <c r="M126" t="s">
        <v>2436</v>
      </c>
      <c r="N126" t="str">
        <f t="shared" si="5"/>
      </c>
    </row>
    <row r="127">
      <c r="A127" t="s">
        <v>2461</v>
      </c>
      <c r="B127" t="s">
        <v>1015</v>
      </c>
      <c r="C127" t="s">
        <v>154</v>
      </c>
      <c r="E127" t="str">
        <f t="shared" si="3"/>
        <v>NO</v>
      </c>
      <c r="F127" t="e">
        <f t="shared" si="4"/>
      </c>
      <c r="H127" t="e">
        <f>IFERROR(SUMPRODUCT(--(Dependencies!$A$2:$A$5000=$A127)*--(VALUE(MID(_xludf.XLOOKUP(Dependencies!$C$2:$C$5000,Blueprint_Data!$A:$A,Blueprint_Data!$G:$G,"W-99"),3,99))&gt;VALUE(MID($C127,3,99)))),0)</f>
      </c>
      <c r="I127" t="s">
        <v>77</v>
      </c>
      <c r="J127">
        <v>0</v>
      </c>
      <c r="L127" t="s">
        <v>2435</v>
      </c>
      <c r="M127" t="s">
        <v>2436</v>
      </c>
      <c r="N127" t="str">
        <f t="shared" si="5"/>
      </c>
    </row>
    <row r="128">
      <c r="A128" t="s">
        <v>2464</v>
      </c>
      <c r="B128" t="s">
        <v>1022</v>
      </c>
      <c r="C128" t="s">
        <v>120</v>
      </c>
      <c r="E128" t="str">
        <f t="shared" si="3"/>
        <v>NO</v>
      </c>
      <c r="F128" t="e">
        <f t="shared" si="4"/>
      </c>
      <c r="H128" t="e">
        <f>IFERROR(SUMPRODUCT(--(Dependencies!$A$2:$A$5000=$A128)*--(VALUE(MID(_xludf.XLOOKUP(Dependencies!$C$2:$C$5000,Blueprint_Data!$A:$A,Blueprint_Data!$G:$G,"W-99"),3,99))&gt;VALUE(MID($C128,3,99)))),0)</f>
      </c>
      <c r="I128" t="s">
        <v>77</v>
      </c>
      <c r="J128">
        <v>0</v>
      </c>
      <c r="L128" t="s">
        <v>2435</v>
      </c>
      <c r="M128" t="s">
        <v>2436</v>
      </c>
      <c r="N128" t="str">
        <f t="shared" si="5"/>
      </c>
    </row>
    <row r="129">
      <c r="A129" t="s">
        <v>2467</v>
      </c>
      <c r="B129" t="s">
        <v>1029</v>
      </c>
      <c r="C129" t="s">
        <v>154</v>
      </c>
      <c r="E129" t="str">
        <f t="shared" si="3"/>
        <v>NO</v>
      </c>
      <c r="F129" t="e">
        <f t="shared" si="4"/>
      </c>
      <c r="H129" t="e">
        <f>IFERROR(SUMPRODUCT(--(Dependencies!$A$2:$A$5000=$A129)*--(VALUE(MID(_xludf.XLOOKUP(Dependencies!$C$2:$C$5000,Blueprint_Data!$A:$A,Blueprint_Data!$G:$G,"W-99"),3,99))&gt;VALUE(MID($C129,3,99)))),0)</f>
      </c>
      <c r="I129" t="s">
        <v>77</v>
      </c>
      <c r="J129">
        <v>0</v>
      </c>
      <c r="L129" t="s">
        <v>2435</v>
      </c>
      <c r="M129" t="s">
        <v>2436</v>
      </c>
      <c r="N129" t="str">
        <f t="shared" si="5"/>
      </c>
    </row>
    <row r="130">
      <c r="A130" t="s">
        <v>2471</v>
      </c>
      <c r="B130" t="s">
        <v>1035</v>
      </c>
      <c r="C130" t="s">
        <v>120</v>
      </c>
      <c r="E130" t="str">
        <f t="shared" si="3"/>
        <v>NO</v>
      </c>
      <c r="F130" t="e">
        <f t="shared" si="4"/>
      </c>
      <c r="H130" t="e">
        <f>IFERROR(SUMPRODUCT(--(Dependencies!$A$2:$A$5000=$A130)*--(VALUE(MID(_xludf.XLOOKUP(Dependencies!$C$2:$C$5000,Blueprint_Data!$A:$A,Blueprint_Data!$G:$G,"W-99"),3,99))&gt;VALUE(MID($C130,3,99)))),0)</f>
      </c>
      <c r="I130" t="s">
        <v>77</v>
      </c>
      <c r="J130">
        <v>0</v>
      </c>
      <c r="L130" t="s">
        <v>2435</v>
      </c>
      <c r="M130" t="s">
        <v>2436</v>
      </c>
      <c r="N130" t="str">
        <f t="shared" si="5"/>
      </c>
    </row>
    <row r="131">
      <c r="A131" t="s">
        <v>2474</v>
      </c>
      <c r="B131" t="s">
        <v>1043</v>
      </c>
      <c r="C131" t="s">
        <v>120</v>
      </c>
      <c r="E131" t="str">
        <f t="shared" si="3"/>
        <v>NO</v>
      </c>
      <c r="F131" t="e">
        <f t="shared" si="4"/>
      </c>
      <c r="H131" t="e">
        <f>IFERROR(SUMPRODUCT(--(Dependencies!$A$2:$A$5000=$A131)*--(VALUE(MID(_xludf.XLOOKUP(Dependencies!$C$2:$C$5000,Blueprint_Data!$A:$A,Blueprint_Data!$G:$G,"W-99"),3,99))&gt;VALUE(MID($C131,3,99)))),0)</f>
      </c>
      <c r="I131" t="s">
        <v>77</v>
      </c>
      <c r="J131">
        <v>0</v>
      </c>
      <c r="L131" t="s">
        <v>2435</v>
      </c>
      <c r="M131" t="s">
        <v>2436</v>
      </c>
      <c r="N131" t="str">
        <f t="shared" si="5"/>
      </c>
    </row>
    <row r="132">
      <c r="A132" t="s">
        <v>2477</v>
      </c>
      <c r="B132" t="s">
        <v>1050</v>
      </c>
      <c r="C132" t="s">
        <v>154</v>
      </c>
      <c r="E132" t="e">
        <f t="shared" ref="E132:E195" si="6">IF(OR($G132&gt;0,$H132&gt;0),"YES","NO")</f>
      </c>
      <c r="F132" t="e">
        <f t="shared" ref="F132:F195" si="7">_xludf.TEXTJOIN("; ",TRUE,IF($G132&gt;0,"Missing Dependency",""),IF($H132&gt;0,"Out-of-Sequence",""))</f>
      </c>
      <c r="H132" t="e">
        <f>IFERROR(SUMPRODUCT(--(Dependencies!$A$2:$A$5000=$A132)*--(VALUE(MID(_xludf.XLOOKUP(Dependencies!$C$2:$C$5000,Blueprint_Data!$A:$A,Blueprint_Data!$G:$G,"W-99"),3,99))&gt;VALUE(MID($C132,3,99)))),0)</f>
      </c>
      <c r="I132" t="s">
        <v>77</v>
      </c>
      <c r="J132">
        <v>0</v>
      </c>
      <c r="L132" t="s">
        <v>2435</v>
      </c>
      <c r="M132" t="s">
        <v>2436</v>
      </c>
      <c r="N132" t="e">
        <f t="shared" ref="N132:N195" si="8">IF($E132="YES",IF($G132&gt;0,"Assign/enable prerequisite module(s) OR correct dependency mapping.","Re-sequence wave OR approve out-of-seq waiver."),"")</f>
      </c>
    </row>
    <row r="133">
      <c r="A133" t="s">
        <v>2480</v>
      </c>
      <c r="B133" t="s">
        <v>1058</v>
      </c>
      <c r="C133" t="s">
        <v>120</v>
      </c>
      <c r="E133" t="str">
        <f t="shared" si="6"/>
        <v>NO</v>
      </c>
      <c r="F133" t="e">
        <f t="shared" si="7"/>
      </c>
      <c r="H133" t="e">
        <f>IFERROR(SUMPRODUCT(--(Dependencies!$A$2:$A$5000=$A133)*--(VALUE(MID(_xludf.XLOOKUP(Dependencies!$C$2:$C$5000,Blueprint_Data!$A:$A,Blueprint_Data!$G:$G,"W-99"),3,99))&gt;VALUE(MID($C133,3,99)))),0)</f>
      </c>
      <c r="I133" t="s">
        <v>77</v>
      </c>
      <c r="J133">
        <v>0</v>
      </c>
      <c r="L133" t="s">
        <v>2435</v>
      </c>
      <c r="M133" t="s">
        <v>2436</v>
      </c>
      <c r="N133" t="str">
        <f t="shared" si="8"/>
      </c>
    </row>
    <row r="134">
      <c r="A134" t="s">
        <v>2483</v>
      </c>
      <c r="B134" t="s">
        <v>1064</v>
      </c>
      <c r="C134" t="s">
        <v>120</v>
      </c>
      <c r="E134" t="str">
        <f t="shared" si="6"/>
        <v>NO</v>
      </c>
      <c r="F134" t="e">
        <f t="shared" si="7"/>
      </c>
      <c r="H134" t="e">
        <f>IFERROR(SUMPRODUCT(--(Dependencies!$A$2:$A$5000=$A134)*--(VALUE(MID(_xludf.XLOOKUP(Dependencies!$C$2:$C$5000,Blueprint_Data!$A:$A,Blueprint_Data!$G:$G,"W-99"),3,99))&gt;VALUE(MID($C134,3,99)))),0)</f>
      </c>
      <c r="I134" t="s">
        <v>77</v>
      </c>
      <c r="J134">
        <v>0</v>
      </c>
      <c r="L134" t="s">
        <v>2435</v>
      </c>
      <c r="M134" t="s">
        <v>2436</v>
      </c>
      <c r="N134" t="str">
        <f t="shared" si="8"/>
      </c>
    </row>
    <row r="135">
      <c r="A135" t="s">
        <v>2486</v>
      </c>
      <c r="B135" t="s">
        <v>1074</v>
      </c>
      <c r="C135" t="s">
        <v>120</v>
      </c>
      <c r="E135" t="str">
        <f t="shared" si="6"/>
        <v>NO</v>
      </c>
      <c r="F135" t="e">
        <f t="shared" si="7"/>
      </c>
      <c r="H135" t="e">
        <f>IFERROR(SUMPRODUCT(--(Dependencies!$A$2:$A$5000=$A135)*--(VALUE(MID(_xludf.XLOOKUP(Dependencies!$C$2:$C$5000,Blueprint_Data!$A:$A,Blueprint_Data!$G:$G,"W-99"),3,99))&gt;VALUE(MID($C135,3,99)))),0)</f>
      </c>
      <c r="I135" t="s">
        <v>77</v>
      </c>
      <c r="J135">
        <v>0</v>
      </c>
      <c r="L135" t="s">
        <v>2435</v>
      </c>
      <c r="M135" t="s">
        <v>2436</v>
      </c>
      <c r="N135" t="str">
        <f t="shared" si="8"/>
      </c>
    </row>
    <row r="136">
      <c r="A136" t="s">
        <v>2489</v>
      </c>
      <c r="B136" t="s">
        <v>1081</v>
      </c>
      <c r="C136" t="s">
        <v>120</v>
      </c>
      <c r="E136" t="str">
        <f t="shared" si="6"/>
        <v>NO</v>
      </c>
      <c r="F136" t="e">
        <f t="shared" si="7"/>
      </c>
      <c r="H136" t="e">
        <f>IFERROR(SUMPRODUCT(--(Dependencies!$A$2:$A$5000=$A136)*--(VALUE(MID(_xludf.XLOOKUP(Dependencies!$C$2:$C$5000,Blueprint_Data!$A:$A,Blueprint_Data!$G:$G,"W-99"),3,99))&gt;VALUE(MID($C136,3,99)))),0)</f>
      </c>
      <c r="I136" t="s">
        <v>77</v>
      </c>
      <c r="J136">
        <v>0</v>
      </c>
      <c r="L136" t="s">
        <v>2435</v>
      </c>
      <c r="M136" t="s">
        <v>2436</v>
      </c>
      <c r="N136" t="str">
        <f t="shared" si="8"/>
      </c>
    </row>
    <row r="137">
      <c r="A137" t="s">
        <v>2492</v>
      </c>
      <c r="B137" t="s">
        <v>1087</v>
      </c>
      <c r="C137" t="s">
        <v>120</v>
      </c>
      <c r="E137" t="str">
        <f t="shared" si="6"/>
        <v>NO</v>
      </c>
      <c r="F137" t="e">
        <f t="shared" si="7"/>
      </c>
      <c r="H137" t="e">
        <f>IFERROR(SUMPRODUCT(--(Dependencies!$A$2:$A$5000=$A137)*--(VALUE(MID(_xludf.XLOOKUP(Dependencies!$C$2:$C$5000,Blueprint_Data!$A:$A,Blueprint_Data!$G:$G,"W-99"),3,99))&gt;VALUE(MID($C137,3,99)))),0)</f>
      </c>
      <c r="I137" t="s">
        <v>77</v>
      </c>
      <c r="J137">
        <v>0</v>
      </c>
      <c r="L137" t="s">
        <v>2435</v>
      </c>
      <c r="M137" t="s">
        <v>2436</v>
      </c>
      <c r="N137" t="str">
        <f t="shared" si="8"/>
      </c>
    </row>
    <row r="138">
      <c r="A138" t="s">
        <v>2495</v>
      </c>
      <c r="B138" t="s">
        <v>1094</v>
      </c>
      <c r="C138" t="s">
        <v>120</v>
      </c>
      <c r="E138" t="str">
        <f t="shared" si="6"/>
        <v>NO</v>
      </c>
      <c r="F138" t="e">
        <f t="shared" si="7"/>
      </c>
      <c r="H138" t="e">
        <f>IFERROR(SUMPRODUCT(--(Dependencies!$A$2:$A$5000=$A138)*--(VALUE(MID(_xludf.XLOOKUP(Dependencies!$C$2:$C$5000,Blueprint_Data!$A:$A,Blueprint_Data!$G:$G,"W-99"),3,99))&gt;VALUE(MID($C138,3,99)))),0)</f>
      </c>
      <c r="I138" t="s">
        <v>77</v>
      </c>
      <c r="J138">
        <v>0</v>
      </c>
      <c r="L138" t="s">
        <v>2435</v>
      </c>
      <c r="M138" t="s">
        <v>2436</v>
      </c>
      <c r="N138" t="str">
        <f t="shared" si="8"/>
      </c>
    </row>
    <row r="139">
      <c r="A139" t="s">
        <v>2498</v>
      </c>
      <c r="B139" t="s">
        <v>1101</v>
      </c>
      <c r="C139" t="s">
        <v>120</v>
      </c>
      <c r="E139" t="str">
        <f t="shared" si="6"/>
        <v>NO</v>
      </c>
      <c r="F139" t="e">
        <f t="shared" si="7"/>
      </c>
      <c r="H139" t="e">
        <f>IFERROR(SUMPRODUCT(--(Dependencies!$A$2:$A$5000=$A139)*--(VALUE(MID(_xludf.XLOOKUP(Dependencies!$C$2:$C$5000,Blueprint_Data!$A:$A,Blueprint_Data!$G:$G,"W-99"),3,99))&gt;VALUE(MID($C139,3,99)))),0)</f>
      </c>
      <c r="I139" t="s">
        <v>77</v>
      </c>
      <c r="J139">
        <v>0</v>
      </c>
      <c r="L139" t="s">
        <v>2435</v>
      </c>
      <c r="M139" t="s">
        <v>2436</v>
      </c>
      <c r="N139" t="str">
        <f t="shared" si="8"/>
      </c>
    </row>
    <row r="140">
      <c r="A140" t="s">
        <v>2501</v>
      </c>
      <c r="B140" t="s">
        <v>1109</v>
      </c>
      <c r="C140" t="s">
        <v>120</v>
      </c>
      <c r="E140" t="str">
        <f t="shared" si="6"/>
        <v>NO</v>
      </c>
      <c r="F140" t="e">
        <f t="shared" si="7"/>
      </c>
      <c r="H140" t="e">
        <f>IFERROR(SUMPRODUCT(--(Dependencies!$A$2:$A$5000=$A140)*--(VALUE(MID(_xludf.XLOOKUP(Dependencies!$C$2:$C$5000,Blueprint_Data!$A:$A,Blueprint_Data!$G:$G,"W-99"),3,99))&gt;VALUE(MID($C140,3,99)))),0)</f>
      </c>
      <c r="I140" t="s">
        <v>80</v>
      </c>
      <c r="J140">
        <v>0</v>
      </c>
      <c r="L140" t="s">
        <v>2435</v>
      </c>
      <c r="M140" t="s">
        <v>2436</v>
      </c>
      <c r="N140" t="str">
        <f t="shared" si="8"/>
      </c>
    </row>
    <row r="141">
      <c r="A141" t="s">
        <v>2504</v>
      </c>
      <c r="B141" t="s">
        <v>1114</v>
      </c>
      <c r="C141" t="s">
        <v>120</v>
      </c>
      <c r="E141" t="str">
        <f t="shared" si="6"/>
        <v>NO</v>
      </c>
      <c r="F141" t="e">
        <f t="shared" si="7"/>
      </c>
      <c r="H141" t="e">
        <f>IFERROR(SUMPRODUCT(--(Dependencies!$A$2:$A$5000=$A141)*--(VALUE(MID(_xludf.XLOOKUP(Dependencies!$C$2:$C$5000,Blueprint_Data!$A:$A,Blueprint_Data!$G:$G,"W-99"),3,99))&gt;VALUE(MID($C141,3,99)))),0)</f>
      </c>
      <c r="I141" t="s">
        <v>80</v>
      </c>
      <c r="J141">
        <v>0</v>
      </c>
      <c r="L141" t="s">
        <v>2435</v>
      </c>
      <c r="M141" t="s">
        <v>2436</v>
      </c>
      <c r="N141" t="str">
        <f t="shared" si="8"/>
      </c>
    </row>
    <row r="142">
      <c r="A142" t="s">
        <v>2505</v>
      </c>
      <c r="B142" t="s">
        <v>1121</v>
      </c>
      <c r="C142" t="s">
        <v>120</v>
      </c>
      <c r="E142" t="str">
        <f t="shared" si="6"/>
        <v>NO</v>
      </c>
      <c r="F142" t="e">
        <f t="shared" si="7"/>
      </c>
      <c r="H142" t="e">
        <f>IFERROR(SUMPRODUCT(--(Dependencies!$A$2:$A$5000=$A142)*--(VALUE(MID(_xludf.XLOOKUP(Dependencies!$C$2:$C$5000,Blueprint_Data!$A:$A,Blueprint_Data!$G:$G,"W-99"),3,99))&gt;VALUE(MID($C142,3,99)))),0)</f>
      </c>
      <c r="I142" t="s">
        <v>77</v>
      </c>
      <c r="J142">
        <v>0</v>
      </c>
      <c r="L142" t="s">
        <v>2435</v>
      </c>
      <c r="M142" t="s">
        <v>2436</v>
      </c>
      <c r="N142" t="str">
        <f t="shared" si="8"/>
      </c>
    </row>
    <row r="143">
      <c r="A143" t="s">
        <v>2508</v>
      </c>
      <c r="B143" t="s">
        <v>1131</v>
      </c>
      <c r="C143" t="s">
        <v>129</v>
      </c>
      <c r="E143" t="str">
        <f t="shared" si="6"/>
        <v>NO</v>
      </c>
      <c r="F143" t="e">
        <f t="shared" si="7"/>
      </c>
      <c r="H143" t="e">
        <f>IFERROR(SUMPRODUCT(--(Dependencies!$A$2:$A$5000=$A143)*--(VALUE(MID(_xludf.XLOOKUP(Dependencies!$C$2:$C$5000,Blueprint_Data!$A:$A,Blueprint_Data!$G:$G,"W-99"),3,99))&gt;VALUE(MID($C143,3,99)))),0)</f>
      </c>
      <c r="I143" t="s">
        <v>80</v>
      </c>
      <c r="J143">
        <v>0</v>
      </c>
      <c r="L143" t="s">
        <v>2435</v>
      </c>
      <c r="M143" t="s">
        <v>2436</v>
      </c>
      <c r="N143" t="str">
        <f t="shared" si="8"/>
      </c>
    </row>
    <row r="144">
      <c r="A144" t="s">
        <v>2510</v>
      </c>
      <c r="B144" t="s">
        <v>1139</v>
      </c>
      <c r="C144" t="s">
        <v>129</v>
      </c>
      <c r="E144" t="str">
        <f t="shared" si="6"/>
        <v>NO</v>
      </c>
      <c r="F144" t="e">
        <f t="shared" si="7"/>
      </c>
      <c r="H144" t="e">
        <f>IFERROR(SUMPRODUCT(--(Dependencies!$A$2:$A$5000=$A144)*--(VALUE(MID(_xludf.XLOOKUP(Dependencies!$C$2:$C$5000,Blueprint_Data!$A:$A,Blueprint_Data!$G:$G,"W-99"),3,99))&gt;VALUE(MID($C144,3,99)))),0)</f>
      </c>
      <c r="I144" t="s">
        <v>77</v>
      </c>
      <c r="J144">
        <v>0</v>
      </c>
      <c r="L144" t="s">
        <v>2435</v>
      </c>
      <c r="M144" t="s">
        <v>2436</v>
      </c>
      <c r="N144" t="str">
        <f t="shared" si="8"/>
      </c>
    </row>
    <row r="145">
      <c r="A145" t="s">
        <v>2514</v>
      </c>
      <c r="B145" t="s">
        <v>1145</v>
      </c>
      <c r="C145" t="s">
        <v>97</v>
      </c>
      <c r="E145" t="str">
        <f t="shared" si="6"/>
        <v>NO</v>
      </c>
      <c r="F145" t="e">
        <f t="shared" si="7"/>
      </c>
      <c r="H145" t="e">
        <f>IFERROR(SUMPRODUCT(--(Dependencies!$A$2:$A$5000=$A145)*--(VALUE(MID(_xludf.XLOOKUP(Dependencies!$C$2:$C$5000,Blueprint_Data!$A:$A,Blueprint_Data!$G:$G,"W-99"),3,99))&gt;VALUE(MID($C145,3,99)))),0)</f>
      </c>
      <c r="I145" t="s">
        <v>77</v>
      </c>
      <c r="J145">
        <v>0</v>
      </c>
      <c r="L145" t="s">
        <v>2435</v>
      </c>
      <c r="M145" t="s">
        <v>2516</v>
      </c>
      <c r="N145" t="str">
        <f t="shared" si="8"/>
      </c>
    </row>
    <row r="146">
      <c r="A146" t="s">
        <v>2519</v>
      </c>
      <c r="B146" t="s">
        <v>1152</v>
      </c>
      <c r="C146" t="s">
        <v>97</v>
      </c>
      <c r="E146" t="str">
        <f t="shared" si="6"/>
        <v>NO</v>
      </c>
      <c r="F146" t="e">
        <f t="shared" si="7"/>
      </c>
      <c r="H146" t="e">
        <f>IFERROR(SUMPRODUCT(--(Dependencies!$A$2:$A$5000=$A146)*--(VALUE(MID(_xludf.XLOOKUP(Dependencies!$C$2:$C$5000,Blueprint_Data!$A:$A,Blueprint_Data!$G:$G,"W-99"),3,99))&gt;VALUE(MID($C146,3,99)))),0)</f>
      </c>
      <c r="I146" t="s">
        <v>77</v>
      </c>
      <c r="J146">
        <v>0</v>
      </c>
      <c r="L146" t="s">
        <v>2435</v>
      </c>
      <c r="M146" t="s">
        <v>2516</v>
      </c>
      <c r="N146" t="str">
        <f t="shared" si="8"/>
      </c>
    </row>
    <row r="147">
      <c r="A147" t="s">
        <v>2522</v>
      </c>
      <c r="B147" t="s">
        <v>1160</v>
      </c>
      <c r="C147" t="s">
        <v>97</v>
      </c>
      <c r="E147" t="str">
        <f t="shared" si="6"/>
        <v>NO</v>
      </c>
      <c r="F147" t="e">
        <f t="shared" si="7"/>
      </c>
      <c r="H147" t="e">
        <f>IFERROR(SUMPRODUCT(--(Dependencies!$A$2:$A$5000=$A147)*--(VALUE(MID(_xludf.XLOOKUP(Dependencies!$C$2:$C$5000,Blueprint_Data!$A:$A,Blueprint_Data!$G:$G,"W-99"),3,99))&gt;VALUE(MID($C147,3,99)))),0)</f>
      </c>
      <c r="I147" t="s">
        <v>77</v>
      </c>
      <c r="J147">
        <v>0</v>
      </c>
      <c r="L147" t="s">
        <v>2435</v>
      </c>
      <c r="M147" t="s">
        <v>2516</v>
      </c>
      <c r="N147" t="str">
        <f t="shared" si="8"/>
      </c>
    </row>
    <row r="148">
      <c r="A148" t="s">
        <v>2525</v>
      </c>
      <c r="B148" t="s">
        <v>1168</v>
      </c>
      <c r="C148" t="s">
        <v>154</v>
      </c>
      <c r="E148" t="str">
        <f t="shared" si="6"/>
        <v>NO</v>
      </c>
      <c r="F148" t="e">
        <f t="shared" si="7"/>
      </c>
      <c r="H148" t="e">
        <f>IFERROR(SUMPRODUCT(--(Dependencies!$A$2:$A$5000=$A148)*--(VALUE(MID(_xludf.XLOOKUP(Dependencies!$C$2:$C$5000,Blueprint_Data!$A:$A,Blueprint_Data!$G:$G,"W-99"),3,99))&gt;VALUE(MID($C148,3,99)))),0)</f>
      </c>
      <c r="I148" t="s">
        <v>77</v>
      </c>
      <c r="J148">
        <v>0</v>
      </c>
      <c r="L148" t="s">
        <v>2435</v>
      </c>
      <c r="M148" t="s">
        <v>2436</v>
      </c>
      <c r="N148" t="str">
        <f t="shared" si="8"/>
      </c>
    </row>
    <row r="149">
      <c r="A149" t="s">
        <v>2528</v>
      </c>
      <c r="B149" t="s">
        <v>1174</v>
      </c>
      <c r="C149" t="s">
        <v>154</v>
      </c>
      <c r="E149" t="str">
        <f t="shared" si="6"/>
        <v>NO</v>
      </c>
      <c r="F149" t="e">
        <f t="shared" si="7"/>
      </c>
      <c r="H149" t="e">
        <f>IFERROR(SUMPRODUCT(--(Dependencies!$A$2:$A$5000=$A149)*--(VALUE(MID(_xludf.XLOOKUP(Dependencies!$C$2:$C$5000,Blueprint_Data!$A:$A,Blueprint_Data!$G:$G,"W-99"),3,99))&gt;VALUE(MID($C149,3,99)))),0)</f>
      </c>
      <c r="I149" t="s">
        <v>77</v>
      </c>
      <c r="J149">
        <v>0</v>
      </c>
      <c r="L149" t="s">
        <v>2435</v>
      </c>
      <c r="M149" t="s">
        <v>2516</v>
      </c>
      <c r="N149" t="str">
        <f t="shared" si="8"/>
      </c>
    </row>
    <row r="150">
      <c r="A150" t="s">
        <v>2531</v>
      </c>
      <c r="B150" t="s">
        <v>1182</v>
      </c>
      <c r="C150" t="s">
        <v>154</v>
      </c>
      <c r="E150" t="str">
        <f t="shared" si="6"/>
        <v>NO</v>
      </c>
      <c r="F150" t="e">
        <f t="shared" si="7"/>
      </c>
      <c r="H150" t="e">
        <f>IFERROR(SUMPRODUCT(--(Dependencies!$A$2:$A$5000=$A150)*--(VALUE(MID(_xludf.XLOOKUP(Dependencies!$C$2:$C$5000,Blueprint_Data!$A:$A,Blueprint_Data!$G:$G,"W-99"),3,99))&gt;VALUE(MID($C150,3,99)))),0)</f>
      </c>
      <c r="I150" t="s">
        <v>77</v>
      </c>
      <c r="J150">
        <v>0</v>
      </c>
      <c r="L150" t="s">
        <v>2435</v>
      </c>
      <c r="M150" t="s">
        <v>2516</v>
      </c>
      <c r="N150" t="str">
        <f t="shared" si="8"/>
      </c>
    </row>
    <row r="151">
      <c r="A151" t="s">
        <v>2534</v>
      </c>
      <c r="B151" t="s">
        <v>1190</v>
      </c>
      <c r="C151" t="s">
        <v>120</v>
      </c>
      <c r="E151" t="str">
        <f t="shared" si="6"/>
        <v>NO</v>
      </c>
      <c r="F151" t="e">
        <f t="shared" si="7"/>
      </c>
      <c r="H151" t="e">
        <f>IFERROR(SUMPRODUCT(--(Dependencies!$A$2:$A$5000=$A151)*--(VALUE(MID(_xludf.XLOOKUP(Dependencies!$C$2:$C$5000,Blueprint_Data!$A:$A,Blueprint_Data!$G:$G,"W-99"),3,99))&gt;VALUE(MID($C151,3,99)))),0)</f>
      </c>
      <c r="I151" t="s">
        <v>77</v>
      </c>
      <c r="J151">
        <v>0</v>
      </c>
      <c r="L151" t="s">
        <v>2435</v>
      </c>
      <c r="M151" t="s">
        <v>2436</v>
      </c>
      <c r="N151" t="str">
        <f t="shared" si="8"/>
      </c>
    </row>
    <row r="152">
      <c r="A152" t="s">
        <v>2537</v>
      </c>
      <c r="B152" t="s">
        <v>1201</v>
      </c>
      <c r="C152" t="s">
        <v>129</v>
      </c>
      <c r="E152" t="str">
        <f t="shared" si="6"/>
        <v>NO</v>
      </c>
      <c r="F152" t="e">
        <f t="shared" si="7"/>
      </c>
      <c r="H152" t="e">
        <f>IFERROR(SUMPRODUCT(--(Dependencies!$A$2:$A$5000=$A152)*--(VALUE(MID(_xludf.XLOOKUP(Dependencies!$C$2:$C$5000,Blueprint_Data!$A:$A,Blueprint_Data!$G:$G,"W-99"),3,99))&gt;VALUE(MID($C152,3,99)))),0)</f>
      </c>
      <c r="I152" t="s">
        <v>77</v>
      </c>
      <c r="J152">
        <v>0</v>
      </c>
      <c r="L152" t="s">
        <v>2435</v>
      </c>
      <c r="M152" t="s">
        <v>2436</v>
      </c>
      <c r="N152" t="str">
        <f t="shared" si="8"/>
      </c>
    </row>
    <row r="153">
      <c r="A153" t="s">
        <v>2541</v>
      </c>
      <c r="B153" t="s">
        <v>1209</v>
      </c>
      <c r="C153" t="s">
        <v>154</v>
      </c>
      <c r="E153" t="str">
        <f t="shared" si="6"/>
        <v>NO</v>
      </c>
      <c r="F153" t="e">
        <f t="shared" si="7"/>
      </c>
      <c r="H153" t="e">
        <f>IFERROR(SUMPRODUCT(--(Dependencies!$A$2:$A$5000=$A153)*--(VALUE(MID(_xludf.XLOOKUP(Dependencies!$C$2:$C$5000,Blueprint_Data!$A:$A,Blueprint_Data!$G:$G,"W-99"),3,99))&gt;VALUE(MID($C153,3,99)))),0)</f>
      </c>
      <c r="I153" t="s">
        <v>77</v>
      </c>
      <c r="J153">
        <v>0</v>
      </c>
      <c r="L153" t="s">
        <v>2435</v>
      </c>
      <c r="M153" t="s">
        <v>2436</v>
      </c>
      <c r="N153" t="str">
        <f t="shared" si="8"/>
      </c>
    </row>
    <row r="154">
      <c r="A154" t="s">
        <v>2544</v>
      </c>
      <c r="B154" t="s">
        <v>1215</v>
      </c>
      <c r="C154" t="s">
        <v>120</v>
      </c>
      <c r="E154" t="str">
        <f t="shared" si="6"/>
        <v>NO</v>
      </c>
      <c r="F154" t="e">
        <f t="shared" si="7"/>
      </c>
      <c r="H154" t="e">
        <f>IFERROR(SUMPRODUCT(--(Dependencies!$A$2:$A$5000=$A154)*--(VALUE(MID(_xludf.XLOOKUP(Dependencies!$C$2:$C$5000,Blueprint_Data!$A:$A,Blueprint_Data!$G:$G,"W-99"),3,99))&gt;VALUE(MID($C154,3,99)))),0)</f>
      </c>
      <c r="I154" t="s">
        <v>77</v>
      </c>
      <c r="J154">
        <v>0</v>
      </c>
      <c r="L154" t="s">
        <v>2435</v>
      </c>
      <c r="M154" t="s">
        <v>2436</v>
      </c>
      <c r="N154" t="str">
        <f t="shared" si="8"/>
      </c>
    </row>
    <row r="155">
      <c r="A155" t="s">
        <v>2547</v>
      </c>
      <c r="B155" t="s">
        <v>1223</v>
      </c>
      <c r="C155" t="s">
        <v>154</v>
      </c>
      <c r="E155" t="str">
        <f t="shared" si="6"/>
        <v>NO</v>
      </c>
      <c r="F155" t="e">
        <f t="shared" si="7"/>
      </c>
      <c r="H155" t="e">
        <f>IFERROR(SUMPRODUCT(--(Dependencies!$A$2:$A$5000=$A155)*--(VALUE(MID(_xludf.XLOOKUP(Dependencies!$C$2:$C$5000,Blueprint_Data!$A:$A,Blueprint_Data!$G:$G,"W-99"),3,99))&gt;VALUE(MID($C155,3,99)))),0)</f>
      </c>
      <c r="I155" t="s">
        <v>77</v>
      </c>
      <c r="J155">
        <v>0</v>
      </c>
      <c r="L155" t="s">
        <v>2435</v>
      </c>
      <c r="M155" t="s">
        <v>2436</v>
      </c>
      <c r="N155" t="str">
        <f t="shared" si="8"/>
      </c>
    </row>
    <row r="156">
      <c r="A156" t="s">
        <v>2550</v>
      </c>
      <c r="B156" t="s">
        <v>1229</v>
      </c>
      <c r="C156" t="s">
        <v>154</v>
      </c>
      <c r="E156" t="str">
        <f t="shared" si="6"/>
        <v>NO</v>
      </c>
      <c r="F156" t="e">
        <f t="shared" si="7"/>
      </c>
      <c r="H156" t="e">
        <f>IFERROR(SUMPRODUCT(--(Dependencies!$A$2:$A$5000=$A156)*--(VALUE(MID(_xludf.XLOOKUP(Dependencies!$C$2:$C$5000,Blueprint_Data!$A:$A,Blueprint_Data!$G:$G,"W-99"),3,99))&gt;VALUE(MID($C156,3,99)))),0)</f>
      </c>
      <c r="I156" t="s">
        <v>77</v>
      </c>
      <c r="J156">
        <v>0</v>
      </c>
      <c r="L156" t="s">
        <v>2435</v>
      </c>
      <c r="M156" t="s">
        <v>2436</v>
      </c>
      <c r="N156" t="str">
        <f t="shared" si="8"/>
      </c>
    </row>
    <row r="157">
      <c r="A157" t="s">
        <v>2553</v>
      </c>
      <c r="B157" t="s">
        <v>1235</v>
      </c>
      <c r="C157" t="s">
        <v>120</v>
      </c>
      <c r="E157" t="str">
        <f t="shared" si="6"/>
        <v>NO</v>
      </c>
      <c r="F157" t="e">
        <f t="shared" si="7"/>
      </c>
      <c r="H157" t="e">
        <f>IFERROR(SUMPRODUCT(--(Dependencies!$A$2:$A$5000=$A157)*--(VALUE(MID(_xludf.XLOOKUP(Dependencies!$C$2:$C$5000,Blueprint_Data!$A:$A,Blueprint_Data!$G:$G,"W-99"),3,99))&gt;VALUE(MID($C157,3,99)))),0)</f>
      </c>
      <c r="I157" t="s">
        <v>80</v>
      </c>
      <c r="J157">
        <v>0</v>
      </c>
      <c r="L157" t="s">
        <v>2435</v>
      </c>
      <c r="M157" t="s">
        <v>2436</v>
      </c>
      <c r="N157" t="str">
        <f t="shared" si="8"/>
      </c>
    </row>
    <row r="158">
      <c r="A158" t="s">
        <v>2555</v>
      </c>
      <c r="B158" t="s">
        <v>1242</v>
      </c>
      <c r="C158" t="s">
        <v>120</v>
      </c>
      <c r="E158" t="str">
        <f t="shared" si="6"/>
        <v>NO</v>
      </c>
      <c r="F158" t="e">
        <f t="shared" si="7"/>
      </c>
      <c r="H158" t="e">
        <f>IFERROR(SUMPRODUCT(--(Dependencies!$A$2:$A$5000=$A158)*--(VALUE(MID(_xludf.XLOOKUP(Dependencies!$C$2:$C$5000,Blueprint_Data!$A:$A,Blueprint_Data!$G:$G,"W-99"),3,99))&gt;VALUE(MID($C158,3,99)))),0)</f>
      </c>
      <c r="I158" t="s">
        <v>77</v>
      </c>
      <c r="J158">
        <v>0</v>
      </c>
      <c r="L158" t="s">
        <v>2435</v>
      </c>
      <c r="M158" t="s">
        <v>2436</v>
      </c>
      <c r="N158" t="str">
        <f t="shared" si="8"/>
      </c>
    </row>
    <row r="159">
      <c r="A159" t="s">
        <v>2558</v>
      </c>
      <c r="B159" t="s">
        <v>1250</v>
      </c>
      <c r="C159" t="s">
        <v>154</v>
      </c>
      <c r="E159" t="str">
        <f t="shared" si="6"/>
        <v>NO</v>
      </c>
      <c r="F159" t="e">
        <f t="shared" si="7"/>
      </c>
      <c r="H159" t="e">
        <f>IFERROR(SUMPRODUCT(--(Dependencies!$A$2:$A$5000=$A159)*--(VALUE(MID(_xludf.XLOOKUP(Dependencies!$C$2:$C$5000,Blueprint_Data!$A:$A,Blueprint_Data!$G:$G,"W-99"),3,99))&gt;VALUE(MID($C159,3,99)))),0)</f>
      </c>
      <c r="I159" t="s">
        <v>77</v>
      </c>
      <c r="J159">
        <v>0</v>
      </c>
      <c r="L159" t="s">
        <v>2435</v>
      </c>
      <c r="M159" t="s">
        <v>2436</v>
      </c>
      <c r="N159" t="str">
        <f t="shared" si="8"/>
      </c>
    </row>
    <row r="160">
      <c r="A160" t="s">
        <v>2561</v>
      </c>
      <c r="B160" t="s">
        <v>1257</v>
      </c>
      <c r="C160" t="s">
        <v>154</v>
      </c>
      <c r="E160" t="str">
        <f t="shared" si="6"/>
        <v>NO</v>
      </c>
      <c r="F160" t="e">
        <f t="shared" si="7"/>
      </c>
      <c r="H160" t="e">
        <f>IFERROR(SUMPRODUCT(--(Dependencies!$A$2:$A$5000=$A160)*--(VALUE(MID(_xludf.XLOOKUP(Dependencies!$C$2:$C$5000,Blueprint_Data!$A:$A,Blueprint_Data!$G:$G,"W-99"),3,99))&gt;VALUE(MID($C160,3,99)))),0)</f>
      </c>
      <c r="I160" t="s">
        <v>77</v>
      </c>
      <c r="J160">
        <v>0</v>
      </c>
      <c r="L160" t="s">
        <v>2435</v>
      </c>
      <c r="M160" t="s">
        <v>2436</v>
      </c>
      <c r="N160" t="str">
        <f t="shared" si="8"/>
      </c>
    </row>
    <row r="161">
      <c r="A161" t="s">
        <v>2564</v>
      </c>
      <c r="B161" t="s">
        <v>1263</v>
      </c>
      <c r="C161" t="s">
        <v>154</v>
      </c>
      <c r="E161" t="str">
        <f t="shared" si="6"/>
        <v>NO</v>
      </c>
      <c r="F161" t="e">
        <f t="shared" si="7"/>
      </c>
      <c r="H161" t="e">
        <f>IFERROR(SUMPRODUCT(--(Dependencies!$A$2:$A$5000=$A161)*--(VALUE(MID(_xludf.XLOOKUP(Dependencies!$C$2:$C$5000,Blueprint_Data!$A:$A,Blueprint_Data!$G:$G,"W-99"),3,99))&gt;VALUE(MID($C161,3,99)))),0)</f>
      </c>
      <c r="I161" t="s">
        <v>77</v>
      </c>
      <c r="J161">
        <v>0</v>
      </c>
      <c r="L161" t="s">
        <v>2435</v>
      </c>
      <c r="M161" t="s">
        <v>2436</v>
      </c>
      <c r="N161" t="str">
        <f t="shared" si="8"/>
      </c>
    </row>
    <row r="162">
      <c r="A162" t="s">
        <v>2567</v>
      </c>
      <c r="B162" t="s">
        <v>1271</v>
      </c>
      <c r="C162" t="s">
        <v>120</v>
      </c>
      <c r="E162" t="str">
        <f t="shared" si="6"/>
        <v>NO</v>
      </c>
      <c r="F162" t="e">
        <f t="shared" si="7"/>
      </c>
      <c r="H162" t="e">
        <f>IFERROR(SUMPRODUCT(--(Dependencies!$A$2:$A$5000=$A162)*--(VALUE(MID(_xludf.XLOOKUP(Dependencies!$C$2:$C$5000,Blueprint_Data!$A:$A,Blueprint_Data!$G:$G,"W-99"),3,99))&gt;VALUE(MID($C162,3,99)))),0)</f>
      </c>
      <c r="I162" t="s">
        <v>77</v>
      </c>
      <c r="J162">
        <v>0</v>
      </c>
      <c r="L162" t="s">
        <v>2435</v>
      </c>
      <c r="M162" t="s">
        <v>2436</v>
      </c>
      <c r="N162" t="str">
        <f t="shared" si="8"/>
      </c>
    </row>
    <row r="163">
      <c r="A163" t="s">
        <v>2570</v>
      </c>
      <c r="B163" t="s">
        <v>1279</v>
      </c>
      <c r="C163" t="s">
        <v>129</v>
      </c>
      <c r="E163" t="str">
        <f t="shared" si="6"/>
        <v>NO</v>
      </c>
      <c r="F163" t="e">
        <f t="shared" si="7"/>
      </c>
      <c r="H163" t="e">
        <f>IFERROR(SUMPRODUCT(--(Dependencies!$A$2:$A$5000=$A163)*--(VALUE(MID(_xludf.XLOOKUP(Dependencies!$C$2:$C$5000,Blueprint_Data!$A:$A,Blueprint_Data!$G:$G,"W-99"),3,99))&gt;VALUE(MID($C163,3,99)))),0)</f>
      </c>
      <c r="I163" t="s">
        <v>77</v>
      </c>
      <c r="J163">
        <v>0</v>
      </c>
      <c r="L163" t="s">
        <v>2435</v>
      </c>
      <c r="M163" t="s">
        <v>2436</v>
      </c>
      <c r="N163" t="str">
        <f t="shared" si="8"/>
      </c>
    </row>
    <row r="164">
      <c r="A164" t="s">
        <v>2573</v>
      </c>
      <c r="B164" t="s">
        <v>1287</v>
      </c>
      <c r="C164" t="s">
        <v>97</v>
      </c>
      <c r="E164" t="str">
        <f t="shared" si="6"/>
        <v>NO</v>
      </c>
      <c r="F164" t="e">
        <f t="shared" si="7"/>
      </c>
      <c r="H164" t="e">
        <f>IFERROR(SUMPRODUCT(--(Dependencies!$A$2:$A$5000=$A164)*--(VALUE(MID(_xludf.XLOOKUP(Dependencies!$C$2:$C$5000,Blueprint_Data!$A:$A,Blueprint_Data!$G:$G,"W-99"),3,99))&gt;VALUE(MID($C164,3,99)))),0)</f>
      </c>
      <c r="I164" t="s">
        <v>77</v>
      </c>
      <c r="J164">
        <v>0</v>
      </c>
      <c r="L164" t="s">
        <v>2435</v>
      </c>
      <c r="M164" t="s">
        <v>2436</v>
      </c>
      <c r="N164" t="str">
        <f t="shared" si="8"/>
      </c>
    </row>
    <row r="165">
      <c r="A165" t="s">
        <v>2576</v>
      </c>
      <c r="B165" t="s">
        <v>1294</v>
      </c>
      <c r="C165" t="s">
        <v>120</v>
      </c>
      <c r="E165" t="str">
        <f t="shared" si="6"/>
        <v>NO</v>
      </c>
      <c r="F165" t="e">
        <f t="shared" si="7"/>
      </c>
      <c r="H165" t="e">
        <f>IFERROR(SUMPRODUCT(--(Dependencies!$A$2:$A$5000=$A165)*--(VALUE(MID(_xludf.XLOOKUP(Dependencies!$C$2:$C$5000,Blueprint_Data!$A:$A,Blueprint_Data!$G:$G,"W-99"),3,99))&gt;VALUE(MID($C165,3,99)))),0)</f>
      </c>
      <c r="I165" t="s">
        <v>77</v>
      </c>
      <c r="J165">
        <v>0</v>
      </c>
      <c r="L165" t="s">
        <v>2435</v>
      </c>
      <c r="M165" t="s">
        <v>2436</v>
      </c>
      <c r="N165" t="str">
        <f t="shared" si="8"/>
      </c>
    </row>
    <row r="166">
      <c r="A166" t="s">
        <v>2579</v>
      </c>
      <c r="B166" t="s">
        <v>1302</v>
      </c>
      <c r="C166" t="s">
        <v>120</v>
      </c>
      <c r="E166" t="str">
        <f t="shared" si="6"/>
        <v>NO</v>
      </c>
      <c r="F166" t="e">
        <f t="shared" si="7"/>
      </c>
      <c r="H166" t="e">
        <f>IFERROR(SUMPRODUCT(--(Dependencies!$A$2:$A$5000=$A166)*--(VALUE(MID(_xludf.XLOOKUP(Dependencies!$C$2:$C$5000,Blueprint_Data!$A:$A,Blueprint_Data!$G:$G,"W-99"),3,99))&gt;VALUE(MID($C166,3,99)))),0)</f>
      </c>
      <c r="I166" t="s">
        <v>77</v>
      </c>
      <c r="J166">
        <v>0</v>
      </c>
      <c r="L166" t="s">
        <v>2435</v>
      </c>
      <c r="M166" t="s">
        <v>2436</v>
      </c>
      <c r="N166" t="str">
        <f t="shared" si="8"/>
      </c>
    </row>
    <row r="167">
      <c r="A167" t="s">
        <v>2582</v>
      </c>
      <c r="B167" t="s">
        <v>1312</v>
      </c>
      <c r="C167" t="s">
        <v>97</v>
      </c>
      <c r="E167" t="str">
        <f t="shared" si="6"/>
        <v>NO</v>
      </c>
      <c r="F167" t="e">
        <f t="shared" si="7"/>
      </c>
      <c r="H167" t="e">
        <f>IFERROR(SUMPRODUCT(--(Dependencies!$A$2:$A$5000=$A167)*--(VALUE(MID(_xludf.XLOOKUP(Dependencies!$C$2:$C$5000,Blueprint_Data!$A:$A,Blueprint_Data!$G:$G,"W-99"),3,99))&gt;VALUE(MID($C167,3,99)))),0)</f>
      </c>
      <c r="I167" t="s">
        <v>77</v>
      </c>
      <c r="J167">
        <v>0</v>
      </c>
      <c r="L167" t="s">
        <v>2435</v>
      </c>
      <c r="M167" t="s">
        <v>2436</v>
      </c>
      <c r="N167" t="str">
        <f t="shared" si="8"/>
      </c>
    </row>
    <row r="168">
      <c r="A168" t="s">
        <v>2585</v>
      </c>
      <c r="B168" t="s">
        <v>1320</v>
      </c>
      <c r="C168" t="s">
        <v>120</v>
      </c>
      <c r="E168" t="str">
        <f t="shared" si="6"/>
        <v>NO</v>
      </c>
      <c r="F168" t="e">
        <f t="shared" si="7"/>
      </c>
      <c r="H168" t="e">
        <f>IFERROR(SUMPRODUCT(--(Dependencies!$A$2:$A$5000=$A168)*--(VALUE(MID(_xludf.XLOOKUP(Dependencies!$C$2:$C$5000,Blueprint_Data!$A:$A,Blueprint_Data!$G:$G,"W-99"),3,99))&gt;VALUE(MID($C168,3,99)))),0)</f>
      </c>
      <c r="I168" t="s">
        <v>77</v>
      </c>
      <c r="J168">
        <v>0</v>
      </c>
      <c r="L168" t="s">
        <v>2435</v>
      </c>
      <c r="M168" t="s">
        <v>2436</v>
      </c>
      <c r="N168" t="str">
        <f t="shared" si="8"/>
      </c>
    </row>
    <row r="169">
      <c r="A169" t="s">
        <v>2588</v>
      </c>
      <c r="B169" t="s">
        <v>1328</v>
      </c>
      <c r="C169" t="s">
        <v>120</v>
      </c>
      <c r="E169" t="str">
        <f t="shared" si="6"/>
        <v>NO</v>
      </c>
      <c r="F169" t="e">
        <f t="shared" si="7"/>
      </c>
      <c r="H169" t="e">
        <f>IFERROR(SUMPRODUCT(--(Dependencies!$A$2:$A$5000=$A169)*--(VALUE(MID(_xludf.XLOOKUP(Dependencies!$C$2:$C$5000,Blueprint_Data!$A:$A,Blueprint_Data!$G:$G,"W-99"),3,99))&gt;VALUE(MID($C169,3,99)))),0)</f>
      </c>
      <c r="I169" t="s">
        <v>77</v>
      </c>
      <c r="J169">
        <v>0</v>
      </c>
      <c r="L169" t="s">
        <v>2435</v>
      </c>
      <c r="M169" t="s">
        <v>2436</v>
      </c>
      <c r="N169" t="str">
        <f t="shared" si="8"/>
      </c>
    </row>
    <row r="170">
      <c r="A170" t="s">
        <v>2590</v>
      </c>
      <c r="B170" t="s">
        <v>1334</v>
      </c>
      <c r="C170" t="s">
        <v>120</v>
      </c>
      <c r="E170" t="str">
        <f t="shared" si="6"/>
        <v>NO</v>
      </c>
      <c r="F170" t="e">
        <f t="shared" si="7"/>
      </c>
      <c r="H170" t="e">
        <f>IFERROR(SUMPRODUCT(--(Dependencies!$A$2:$A$5000=$A170)*--(VALUE(MID(_xludf.XLOOKUP(Dependencies!$C$2:$C$5000,Blueprint_Data!$A:$A,Blueprint_Data!$G:$G,"W-99"),3,99))&gt;VALUE(MID($C170,3,99)))),0)</f>
      </c>
      <c r="I170" t="s">
        <v>77</v>
      </c>
      <c r="J170">
        <v>0</v>
      </c>
      <c r="L170" t="s">
        <v>2435</v>
      </c>
      <c r="M170" t="s">
        <v>2436</v>
      </c>
      <c r="N170" t="str">
        <f t="shared" si="8"/>
      </c>
    </row>
    <row r="171">
      <c r="A171" t="s">
        <v>2593</v>
      </c>
      <c r="B171" t="s">
        <v>1344</v>
      </c>
      <c r="C171" t="s">
        <v>97</v>
      </c>
      <c r="E171" t="str">
        <f t="shared" si="6"/>
        <v>NO</v>
      </c>
      <c r="F171" t="e">
        <f t="shared" si="7"/>
      </c>
      <c r="H171" t="e">
        <f>IFERROR(SUMPRODUCT(--(Dependencies!$A$2:$A$5000=$A171)*--(VALUE(MID(_xludf.XLOOKUP(Dependencies!$C$2:$C$5000,Blueprint_Data!$A:$A,Blueprint_Data!$G:$G,"W-99"),3,99))&gt;VALUE(MID($C171,3,99)))),0)</f>
      </c>
      <c r="I171" t="s">
        <v>77</v>
      </c>
      <c r="J171">
        <v>0</v>
      </c>
      <c r="L171" t="s">
        <v>2435</v>
      </c>
      <c r="M171" t="s">
        <v>2516</v>
      </c>
      <c r="N171" t="str">
        <f t="shared" si="8"/>
      </c>
    </row>
    <row r="172">
      <c r="A172" t="s">
        <v>2596</v>
      </c>
      <c r="B172" t="s">
        <v>1352</v>
      </c>
      <c r="C172" t="s">
        <v>97</v>
      </c>
      <c r="E172" t="str">
        <f t="shared" si="6"/>
        <v>NO</v>
      </c>
      <c r="F172" t="e">
        <f t="shared" si="7"/>
      </c>
      <c r="H172" t="e">
        <f>IFERROR(SUMPRODUCT(--(Dependencies!$A$2:$A$5000=$A172)*--(VALUE(MID(_xludf.XLOOKUP(Dependencies!$C$2:$C$5000,Blueprint_Data!$A:$A,Blueprint_Data!$G:$G,"W-99"),3,99))&gt;VALUE(MID($C172,3,99)))),0)</f>
      </c>
      <c r="I172" t="s">
        <v>77</v>
      </c>
      <c r="J172">
        <v>0</v>
      </c>
      <c r="L172" t="s">
        <v>2435</v>
      </c>
      <c r="M172" t="s">
        <v>2516</v>
      </c>
      <c r="N172" t="str">
        <f t="shared" si="8"/>
      </c>
    </row>
    <row r="173">
      <c r="A173" t="s">
        <v>2599</v>
      </c>
      <c r="B173" t="s">
        <v>1359</v>
      </c>
      <c r="C173" t="s">
        <v>154</v>
      </c>
      <c r="E173" t="str">
        <f t="shared" si="6"/>
        <v>NO</v>
      </c>
      <c r="F173" t="e">
        <f t="shared" si="7"/>
      </c>
      <c r="H173" t="e">
        <f>IFERROR(SUMPRODUCT(--(Dependencies!$A$2:$A$5000=$A173)*--(VALUE(MID(_xludf.XLOOKUP(Dependencies!$C$2:$C$5000,Blueprint_Data!$A:$A,Blueprint_Data!$G:$G,"W-99"),3,99))&gt;VALUE(MID($C173,3,99)))),0)</f>
      </c>
      <c r="I173" t="s">
        <v>77</v>
      </c>
      <c r="J173">
        <v>0</v>
      </c>
      <c r="L173" t="s">
        <v>2435</v>
      </c>
      <c r="M173" t="s">
        <v>2516</v>
      </c>
      <c r="N173" t="str">
        <f t="shared" si="8"/>
      </c>
    </row>
    <row r="174">
      <c r="A174" t="s">
        <v>2602</v>
      </c>
      <c r="B174" t="s">
        <v>1366</v>
      </c>
      <c r="C174" t="s">
        <v>154</v>
      </c>
      <c r="E174" t="str">
        <f t="shared" si="6"/>
        <v>NO</v>
      </c>
      <c r="F174" t="e">
        <f t="shared" si="7"/>
      </c>
      <c r="H174" t="e">
        <f>IFERROR(SUMPRODUCT(--(Dependencies!$A$2:$A$5000=$A174)*--(VALUE(MID(_xludf.XLOOKUP(Dependencies!$C$2:$C$5000,Blueprint_Data!$A:$A,Blueprint_Data!$G:$G,"W-99"),3,99))&gt;VALUE(MID($C174,3,99)))),0)</f>
      </c>
      <c r="I174" t="s">
        <v>77</v>
      </c>
      <c r="J174">
        <v>0</v>
      </c>
      <c r="L174" t="s">
        <v>2435</v>
      </c>
      <c r="M174" t="s">
        <v>2516</v>
      </c>
      <c r="N174" t="str">
        <f t="shared" si="8"/>
      </c>
    </row>
    <row r="175">
      <c r="A175" t="s">
        <v>2605</v>
      </c>
      <c r="B175" t="s">
        <v>1372</v>
      </c>
      <c r="C175" t="s">
        <v>120</v>
      </c>
      <c r="E175" t="str">
        <f t="shared" si="6"/>
        <v>NO</v>
      </c>
      <c r="F175" t="e">
        <f t="shared" si="7"/>
      </c>
      <c r="H175" t="e">
        <f>IFERROR(SUMPRODUCT(--(Dependencies!$A$2:$A$5000=$A175)*--(VALUE(MID(_xludf.XLOOKUP(Dependencies!$C$2:$C$5000,Blueprint_Data!$A:$A,Blueprint_Data!$G:$G,"W-99"),3,99))&gt;VALUE(MID($C175,3,99)))),0)</f>
      </c>
      <c r="I175" t="s">
        <v>77</v>
      </c>
      <c r="J175">
        <v>0</v>
      </c>
      <c r="L175" t="s">
        <v>2435</v>
      </c>
      <c r="M175" t="s">
        <v>2436</v>
      </c>
      <c r="N175" t="str">
        <f t="shared" si="8"/>
      </c>
    </row>
    <row r="176">
      <c r="A176" t="s">
        <v>2608</v>
      </c>
      <c r="B176" t="s">
        <v>1383</v>
      </c>
      <c r="C176" t="s">
        <v>97</v>
      </c>
      <c r="E176" t="str">
        <f t="shared" si="6"/>
        <v>NO</v>
      </c>
      <c r="F176" t="e">
        <f t="shared" si="7"/>
      </c>
      <c r="H176" t="e">
        <f>IFERROR(SUMPRODUCT(--(Dependencies!$A$2:$A$5000=$A176)*--(VALUE(MID(_xludf.XLOOKUP(Dependencies!$C$2:$C$5000,Blueprint_Data!$A:$A,Blueprint_Data!$G:$G,"W-99"),3,99))&gt;VALUE(MID($C176,3,99)))),0)</f>
      </c>
      <c r="I176" t="s">
        <v>77</v>
      </c>
      <c r="J176">
        <v>0</v>
      </c>
      <c r="L176" t="s">
        <v>2435</v>
      </c>
      <c r="M176" t="s">
        <v>2436</v>
      </c>
      <c r="N176" t="str">
        <f t="shared" si="8"/>
      </c>
    </row>
    <row r="177">
      <c r="A177" t="s">
        <v>2611</v>
      </c>
      <c r="B177" t="s">
        <v>1390</v>
      </c>
      <c r="C177" t="s">
        <v>97</v>
      </c>
      <c r="E177" t="str">
        <f t="shared" si="6"/>
        <v>NO</v>
      </c>
      <c r="F177" t="e">
        <f t="shared" si="7"/>
      </c>
      <c r="H177" t="e">
        <f>IFERROR(SUMPRODUCT(--(Dependencies!$A$2:$A$5000=$A177)*--(VALUE(MID(_xludf.XLOOKUP(Dependencies!$C$2:$C$5000,Blueprint_Data!$A:$A,Blueprint_Data!$G:$G,"W-99"),3,99))&gt;VALUE(MID($C177,3,99)))),0)</f>
      </c>
      <c r="I177" t="s">
        <v>77</v>
      </c>
      <c r="J177">
        <v>0</v>
      </c>
      <c r="L177" t="s">
        <v>2435</v>
      </c>
      <c r="M177" t="s">
        <v>2436</v>
      </c>
      <c r="N177" t="str">
        <f t="shared" si="8"/>
      </c>
    </row>
    <row r="178">
      <c r="A178" t="s">
        <v>2614</v>
      </c>
      <c r="B178" t="s">
        <v>1396</v>
      </c>
      <c r="C178" t="s">
        <v>154</v>
      </c>
      <c r="E178" t="str">
        <f t="shared" si="6"/>
        <v>NO</v>
      </c>
      <c r="F178" t="e">
        <f t="shared" si="7"/>
      </c>
      <c r="H178" t="e">
        <f>IFERROR(SUMPRODUCT(--(Dependencies!$A$2:$A$5000=$A178)*--(VALUE(MID(_xludf.XLOOKUP(Dependencies!$C$2:$C$5000,Blueprint_Data!$A:$A,Blueprint_Data!$G:$G,"W-99"),3,99))&gt;VALUE(MID($C178,3,99)))),0)</f>
      </c>
      <c r="I178" t="s">
        <v>77</v>
      </c>
      <c r="J178">
        <v>0</v>
      </c>
      <c r="L178" t="s">
        <v>2435</v>
      </c>
      <c r="M178" t="s">
        <v>2436</v>
      </c>
      <c r="N178" t="str">
        <f t="shared" si="8"/>
      </c>
    </row>
    <row r="179">
      <c r="A179" t="s">
        <v>2617</v>
      </c>
      <c r="B179" t="s">
        <v>1402</v>
      </c>
      <c r="C179" t="s">
        <v>120</v>
      </c>
      <c r="E179" t="str">
        <f t="shared" si="6"/>
        <v>NO</v>
      </c>
      <c r="F179" t="e">
        <f t="shared" si="7"/>
      </c>
      <c r="H179" t="e">
        <f>IFERROR(SUMPRODUCT(--(Dependencies!$A$2:$A$5000=$A179)*--(VALUE(MID(_xludf.XLOOKUP(Dependencies!$C$2:$C$5000,Blueprint_Data!$A:$A,Blueprint_Data!$G:$G,"W-99"),3,99))&gt;VALUE(MID($C179,3,99)))),0)</f>
      </c>
      <c r="I179" t="s">
        <v>77</v>
      </c>
      <c r="J179">
        <v>0</v>
      </c>
      <c r="L179" t="s">
        <v>2435</v>
      </c>
      <c r="M179" t="s">
        <v>2436</v>
      </c>
      <c r="N179" t="str">
        <f t="shared" si="8"/>
      </c>
    </row>
    <row r="180">
      <c r="A180" t="s">
        <v>2620</v>
      </c>
      <c r="B180" t="s">
        <v>1410</v>
      </c>
      <c r="C180" t="s">
        <v>120</v>
      </c>
      <c r="E180" t="str">
        <f t="shared" si="6"/>
        <v>NO</v>
      </c>
      <c r="F180" t="e">
        <f t="shared" si="7"/>
      </c>
      <c r="H180" t="e">
        <f>IFERROR(SUMPRODUCT(--(Dependencies!$A$2:$A$5000=$A180)*--(VALUE(MID(_xludf.XLOOKUP(Dependencies!$C$2:$C$5000,Blueprint_Data!$A:$A,Blueprint_Data!$G:$G,"W-99"),3,99))&gt;VALUE(MID($C180,3,99)))),0)</f>
      </c>
      <c r="I180" t="s">
        <v>77</v>
      </c>
      <c r="J180">
        <v>0</v>
      </c>
      <c r="L180" t="s">
        <v>2435</v>
      </c>
      <c r="M180" t="s">
        <v>2436</v>
      </c>
      <c r="N180" t="str">
        <f t="shared" si="8"/>
      </c>
    </row>
    <row r="181">
      <c r="A181" t="s">
        <v>2623</v>
      </c>
      <c r="B181" t="s">
        <v>1420</v>
      </c>
      <c r="C181" t="s">
        <v>154</v>
      </c>
      <c r="E181" t="str">
        <f t="shared" si="6"/>
        <v>NO</v>
      </c>
      <c r="F181" t="e">
        <f t="shared" si="7"/>
      </c>
      <c r="H181" t="e">
        <f>IFERROR(SUMPRODUCT(--(Dependencies!$A$2:$A$5000=$A181)*--(VALUE(MID(_xludf.XLOOKUP(Dependencies!$C$2:$C$5000,Blueprint_Data!$A:$A,Blueprint_Data!$G:$G,"W-99"),3,99))&gt;VALUE(MID($C181,3,99)))),0)</f>
      </c>
      <c r="I181" t="s">
        <v>77</v>
      </c>
      <c r="J181">
        <v>0</v>
      </c>
      <c r="L181" t="s">
        <v>2435</v>
      </c>
      <c r="M181" t="s">
        <v>2436</v>
      </c>
      <c r="N181" t="str">
        <f t="shared" si="8"/>
      </c>
    </row>
    <row r="182">
      <c r="A182" t="s">
        <v>2626</v>
      </c>
      <c r="B182" t="s">
        <v>1428</v>
      </c>
      <c r="C182" t="s">
        <v>154</v>
      </c>
      <c r="E182" t="str">
        <f t="shared" si="6"/>
        <v>NO</v>
      </c>
      <c r="F182" t="e">
        <f t="shared" si="7"/>
      </c>
      <c r="H182" t="e">
        <f>IFERROR(SUMPRODUCT(--(Dependencies!$A$2:$A$5000=$A182)*--(VALUE(MID(_xludf.XLOOKUP(Dependencies!$C$2:$C$5000,Blueprint_Data!$A:$A,Blueprint_Data!$G:$G,"W-99"),3,99))&gt;VALUE(MID($C182,3,99)))),0)</f>
      </c>
      <c r="I182" t="s">
        <v>77</v>
      </c>
      <c r="J182">
        <v>0</v>
      </c>
      <c r="L182" t="s">
        <v>2435</v>
      </c>
      <c r="M182" t="s">
        <v>2516</v>
      </c>
      <c r="N182" t="str">
        <f t="shared" si="8"/>
      </c>
    </row>
    <row r="183">
      <c r="A183" t="s">
        <v>2628</v>
      </c>
      <c r="B183" t="s">
        <v>1435</v>
      </c>
      <c r="C183" t="s">
        <v>120</v>
      </c>
      <c r="E183" t="str">
        <f t="shared" si="6"/>
        <v>NO</v>
      </c>
      <c r="F183" t="e">
        <f t="shared" si="7"/>
      </c>
      <c r="H183" t="e">
        <f>IFERROR(SUMPRODUCT(--(Dependencies!$A$2:$A$5000=$A183)*--(VALUE(MID(_xludf.XLOOKUP(Dependencies!$C$2:$C$5000,Blueprint_Data!$A:$A,Blueprint_Data!$G:$G,"W-99"),3,99))&gt;VALUE(MID($C183,3,99)))),0)</f>
      </c>
      <c r="I183" t="s">
        <v>77</v>
      </c>
      <c r="J183">
        <v>0</v>
      </c>
      <c r="L183" t="s">
        <v>2435</v>
      </c>
      <c r="M183" t="s">
        <v>2436</v>
      </c>
      <c r="N183" t="str">
        <f t="shared" si="8"/>
      </c>
    </row>
    <row r="184">
      <c r="A184" t="s">
        <v>2631</v>
      </c>
      <c r="B184" t="s">
        <v>1440</v>
      </c>
      <c r="C184" t="s">
        <v>120</v>
      </c>
      <c r="E184" t="str">
        <f t="shared" si="6"/>
        <v>NO</v>
      </c>
      <c r="F184" t="e">
        <f t="shared" si="7"/>
      </c>
      <c r="H184" t="e">
        <f>IFERROR(SUMPRODUCT(--(Dependencies!$A$2:$A$5000=$A184)*--(VALUE(MID(_xludf.XLOOKUP(Dependencies!$C$2:$C$5000,Blueprint_Data!$A:$A,Blueprint_Data!$G:$G,"W-99"),3,99))&gt;VALUE(MID($C184,3,99)))),0)</f>
      </c>
      <c r="I184" t="s">
        <v>77</v>
      </c>
      <c r="J184">
        <v>0</v>
      </c>
      <c r="L184" t="s">
        <v>2435</v>
      </c>
      <c r="M184" t="s">
        <v>2436</v>
      </c>
      <c r="N184" t="str">
        <f t="shared" si="8"/>
      </c>
    </row>
    <row r="185">
      <c r="A185" t="s">
        <v>2634</v>
      </c>
      <c r="B185" t="s">
        <v>1445</v>
      </c>
      <c r="C185" t="s">
        <v>120</v>
      </c>
      <c r="E185" t="str">
        <f t="shared" si="6"/>
        <v>NO</v>
      </c>
      <c r="F185" t="e">
        <f t="shared" si="7"/>
      </c>
      <c r="H185" t="e">
        <f>IFERROR(SUMPRODUCT(--(Dependencies!$A$2:$A$5000=$A185)*--(VALUE(MID(_xludf.XLOOKUP(Dependencies!$C$2:$C$5000,Blueprint_Data!$A:$A,Blueprint_Data!$G:$G,"W-99"),3,99))&gt;VALUE(MID($C185,3,99)))),0)</f>
      </c>
      <c r="I185" t="s">
        <v>77</v>
      </c>
      <c r="J185">
        <v>0</v>
      </c>
      <c r="L185" t="s">
        <v>2435</v>
      </c>
      <c r="M185" t="s">
        <v>2436</v>
      </c>
      <c r="N185" t="str">
        <f t="shared" si="8"/>
      </c>
    </row>
    <row r="186">
      <c r="A186" t="s">
        <v>2637</v>
      </c>
      <c r="B186" t="s">
        <v>1455</v>
      </c>
      <c r="C186" t="s">
        <v>154</v>
      </c>
      <c r="E186" t="str">
        <f t="shared" si="6"/>
        <v>NO</v>
      </c>
      <c r="F186" t="e">
        <f t="shared" si="7"/>
      </c>
      <c r="H186" t="e">
        <f>IFERROR(SUMPRODUCT(--(Dependencies!$A$2:$A$5000=$A186)*--(VALUE(MID(_xludf.XLOOKUP(Dependencies!$C$2:$C$5000,Blueprint_Data!$A:$A,Blueprint_Data!$G:$G,"W-99"),3,99))&gt;VALUE(MID($C186,3,99)))),0)</f>
      </c>
      <c r="I186" t="s">
        <v>77</v>
      </c>
      <c r="J186">
        <v>0</v>
      </c>
      <c r="L186" t="s">
        <v>2435</v>
      </c>
      <c r="M186" t="s">
        <v>2436</v>
      </c>
      <c r="N186" t="str">
        <f t="shared" si="8"/>
      </c>
    </row>
    <row r="187">
      <c r="A187" t="s">
        <v>2640</v>
      </c>
      <c r="B187" t="s">
        <v>1463</v>
      </c>
      <c r="C187" t="s">
        <v>120</v>
      </c>
      <c r="E187" t="str">
        <f t="shared" si="6"/>
        <v>NO</v>
      </c>
      <c r="F187" t="e">
        <f t="shared" si="7"/>
      </c>
      <c r="H187" t="e">
        <f>IFERROR(SUMPRODUCT(--(Dependencies!$A$2:$A$5000=$A187)*--(VALUE(MID(_xludf.XLOOKUP(Dependencies!$C$2:$C$5000,Blueprint_Data!$A:$A,Blueprint_Data!$G:$G,"W-99"),3,99))&gt;VALUE(MID($C187,3,99)))),0)</f>
      </c>
      <c r="I187" t="s">
        <v>77</v>
      </c>
      <c r="J187">
        <v>0</v>
      </c>
      <c r="L187" t="s">
        <v>2435</v>
      </c>
      <c r="M187" t="s">
        <v>2436</v>
      </c>
      <c r="N187" t="str">
        <f t="shared" si="8"/>
      </c>
    </row>
    <row r="188">
      <c r="A188" t="s">
        <v>2643</v>
      </c>
      <c r="B188" t="s">
        <v>1468</v>
      </c>
      <c r="C188" t="s">
        <v>120</v>
      </c>
      <c r="E188" t="str">
        <f t="shared" si="6"/>
        <v>NO</v>
      </c>
      <c r="F188" t="e">
        <f t="shared" si="7"/>
      </c>
      <c r="H188" t="e">
        <f>IFERROR(SUMPRODUCT(--(Dependencies!$A$2:$A$5000=$A188)*--(VALUE(MID(_xludf.XLOOKUP(Dependencies!$C$2:$C$5000,Blueprint_Data!$A:$A,Blueprint_Data!$G:$G,"W-99"),3,99))&gt;VALUE(MID($C188,3,99)))),0)</f>
      </c>
      <c r="I188" t="s">
        <v>77</v>
      </c>
      <c r="J188">
        <v>0</v>
      </c>
      <c r="L188" t="s">
        <v>2435</v>
      </c>
      <c r="M188" t="s">
        <v>2436</v>
      </c>
      <c r="N188" t="str">
        <f t="shared" si="8"/>
      </c>
    </row>
    <row r="189">
      <c r="A189" t="s">
        <v>2646</v>
      </c>
      <c r="B189" t="s">
        <v>1473</v>
      </c>
      <c r="C189" t="s">
        <v>120</v>
      </c>
      <c r="E189" t="str">
        <f t="shared" si="6"/>
        <v>NO</v>
      </c>
      <c r="F189" t="e">
        <f t="shared" si="7"/>
      </c>
      <c r="H189" t="e">
        <f>IFERROR(SUMPRODUCT(--(Dependencies!$A$2:$A$5000=$A189)*--(VALUE(MID(_xludf.XLOOKUP(Dependencies!$C$2:$C$5000,Blueprint_Data!$A:$A,Blueprint_Data!$G:$G,"W-99"),3,99))&gt;VALUE(MID($C189,3,99)))),0)</f>
      </c>
      <c r="I189" t="s">
        <v>77</v>
      </c>
      <c r="J189">
        <v>0</v>
      </c>
      <c r="L189" t="s">
        <v>2435</v>
      </c>
      <c r="M189" t="s">
        <v>2436</v>
      </c>
      <c r="N189" t="str">
        <f t="shared" si="8"/>
      </c>
    </row>
    <row r="190">
      <c r="A190" t="s">
        <v>2649</v>
      </c>
      <c r="B190" t="s">
        <v>1481</v>
      </c>
      <c r="C190" t="s">
        <v>120</v>
      </c>
      <c r="E190" t="str">
        <f t="shared" si="6"/>
        <v>NO</v>
      </c>
      <c r="F190" t="e">
        <f t="shared" si="7"/>
      </c>
      <c r="H190" t="e">
        <f>IFERROR(SUMPRODUCT(--(Dependencies!$A$2:$A$5000=$A190)*--(VALUE(MID(_xludf.XLOOKUP(Dependencies!$C$2:$C$5000,Blueprint_Data!$A:$A,Blueprint_Data!$G:$G,"W-99"),3,99))&gt;VALUE(MID($C190,3,99)))),0)</f>
      </c>
      <c r="I190" t="s">
        <v>77</v>
      </c>
      <c r="J190">
        <v>0</v>
      </c>
      <c r="L190" t="s">
        <v>2435</v>
      </c>
      <c r="M190" t="s">
        <v>2436</v>
      </c>
      <c r="N190" t="str">
        <f t="shared" si="8"/>
      </c>
    </row>
    <row r="191">
      <c r="A191" t="s">
        <v>2652</v>
      </c>
      <c r="B191" t="s">
        <v>1489</v>
      </c>
      <c r="C191" t="s">
        <v>120</v>
      </c>
      <c r="E191" t="str">
        <f t="shared" si="6"/>
        <v>NO</v>
      </c>
      <c r="F191" t="e">
        <f t="shared" si="7"/>
      </c>
      <c r="H191" t="e">
        <f>IFERROR(SUMPRODUCT(--(Dependencies!$A$2:$A$5000=$A191)*--(VALUE(MID(_xludf.XLOOKUP(Dependencies!$C$2:$C$5000,Blueprint_Data!$A:$A,Blueprint_Data!$G:$G,"W-99"),3,99))&gt;VALUE(MID($C191,3,99)))),0)</f>
      </c>
      <c r="I191" t="s">
        <v>77</v>
      </c>
      <c r="J191">
        <v>0</v>
      </c>
      <c r="L191" t="s">
        <v>2435</v>
      </c>
      <c r="M191" t="s">
        <v>2436</v>
      </c>
      <c r="N191" t="str">
        <f t="shared" si="8"/>
      </c>
    </row>
    <row r="192">
      <c r="A192" t="s">
        <v>2655</v>
      </c>
      <c r="B192" t="s">
        <v>1497</v>
      </c>
      <c r="C192" t="s">
        <v>120</v>
      </c>
      <c r="E192" t="str">
        <f t="shared" si="6"/>
        <v>NO</v>
      </c>
      <c r="F192" t="e">
        <f t="shared" si="7"/>
      </c>
      <c r="H192" t="e">
        <f>IFERROR(SUMPRODUCT(--(Dependencies!$A$2:$A$5000=$A192)*--(VALUE(MID(_xludf.XLOOKUP(Dependencies!$C$2:$C$5000,Blueprint_Data!$A:$A,Blueprint_Data!$G:$G,"W-99"),3,99))&gt;VALUE(MID($C192,3,99)))),0)</f>
      </c>
      <c r="I192" t="s">
        <v>77</v>
      </c>
      <c r="J192">
        <v>0</v>
      </c>
      <c r="L192" t="s">
        <v>2435</v>
      </c>
      <c r="M192" t="s">
        <v>2436</v>
      </c>
      <c r="N192" t="str">
        <f t="shared" si="8"/>
      </c>
    </row>
    <row r="193">
      <c r="A193" t="s">
        <v>2658</v>
      </c>
      <c r="B193" t="s">
        <v>1502</v>
      </c>
      <c r="C193" t="s">
        <v>120</v>
      </c>
      <c r="E193" t="str">
        <f t="shared" si="6"/>
        <v>NO</v>
      </c>
      <c r="F193" t="e">
        <f t="shared" si="7"/>
      </c>
      <c r="H193" t="e">
        <f>IFERROR(SUMPRODUCT(--(Dependencies!$A$2:$A$5000=$A193)*--(VALUE(MID(_xludf.XLOOKUP(Dependencies!$C$2:$C$5000,Blueprint_Data!$A:$A,Blueprint_Data!$G:$G,"W-99"),3,99))&gt;VALUE(MID($C193,3,99)))),0)</f>
      </c>
      <c r="I193" t="s">
        <v>77</v>
      </c>
      <c r="J193">
        <v>0</v>
      </c>
      <c r="L193" t="s">
        <v>2435</v>
      </c>
      <c r="M193" t="s">
        <v>2436</v>
      </c>
      <c r="N193" t="str">
        <f t="shared" si="8"/>
      </c>
    </row>
    <row r="194">
      <c r="A194" t="s">
        <v>2661</v>
      </c>
      <c r="B194" t="s">
        <v>1509</v>
      </c>
      <c r="C194" t="s">
        <v>120</v>
      </c>
      <c r="E194" t="str">
        <f t="shared" si="6"/>
        <v>NO</v>
      </c>
      <c r="F194" t="e">
        <f t="shared" si="7"/>
      </c>
      <c r="H194" t="e">
        <f>IFERROR(SUMPRODUCT(--(Dependencies!$A$2:$A$5000=$A194)*--(VALUE(MID(_xludf.XLOOKUP(Dependencies!$C$2:$C$5000,Blueprint_Data!$A:$A,Blueprint_Data!$G:$G,"W-99"),3,99))&gt;VALUE(MID($C194,3,99)))),0)</f>
      </c>
      <c r="I194" t="s">
        <v>77</v>
      </c>
      <c r="J194">
        <v>0</v>
      </c>
      <c r="L194" t="s">
        <v>2435</v>
      </c>
      <c r="M194" t="s">
        <v>2436</v>
      </c>
      <c r="N194" t="str">
        <f t="shared" si="8"/>
      </c>
    </row>
    <row r="195">
      <c r="A195" t="s">
        <v>2664</v>
      </c>
      <c r="B195" t="s">
        <v>1515</v>
      </c>
      <c r="C195" t="s">
        <v>120</v>
      </c>
      <c r="E195" t="str">
        <f t="shared" si="6"/>
        <v>NO</v>
      </c>
      <c r="F195" t="e">
        <f t="shared" si="7"/>
      </c>
      <c r="H195" t="e">
        <f>IFERROR(SUMPRODUCT(--(Dependencies!$A$2:$A$5000=$A195)*--(VALUE(MID(_xludf.XLOOKUP(Dependencies!$C$2:$C$5000,Blueprint_Data!$A:$A,Blueprint_Data!$G:$G,"W-99"),3,99))&gt;VALUE(MID($C195,3,99)))),0)</f>
      </c>
      <c r="I195" t="s">
        <v>77</v>
      </c>
      <c r="J195">
        <v>0</v>
      </c>
      <c r="L195" t="s">
        <v>2435</v>
      </c>
      <c r="M195" t="s">
        <v>2436</v>
      </c>
      <c r="N195" t="str">
        <f t="shared" si="8"/>
      </c>
    </row>
    <row r="196">
      <c r="A196" t="s">
        <v>2667</v>
      </c>
      <c r="B196" t="s">
        <v>1524</v>
      </c>
      <c r="C196" t="s">
        <v>120</v>
      </c>
      <c r="E196" t="e">
        <f t="shared" ref="E196:E259" si="9">IF(OR($G196&gt;0,$H196&gt;0),"YES","NO")</f>
      </c>
      <c r="F196" t="e">
        <f t="shared" ref="F196:F259" si="10">_xludf.TEXTJOIN("; ",TRUE,IF($G196&gt;0,"Missing Dependency",""),IF($H196&gt;0,"Out-of-Sequence",""))</f>
      </c>
      <c r="H196" t="e">
        <f>IFERROR(SUMPRODUCT(--(Dependencies!$A$2:$A$5000=$A196)*--(VALUE(MID(_xludf.XLOOKUP(Dependencies!$C$2:$C$5000,Blueprint_Data!$A:$A,Blueprint_Data!$G:$G,"W-99"),3,99))&gt;VALUE(MID($C196,3,99)))),0)</f>
      </c>
      <c r="I196" t="s">
        <v>77</v>
      </c>
      <c r="J196">
        <v>0</v>
      </c>
      <c r="L196" t="s">
        <v>2435</v>
      </c>
      <c r="M196" t="s">
        <v>2436</v>
      </c>
      <c r="N196" t="e">
        <f t="shared" ref="N196:N259" si="11">IF($E196="YES",IF($G196&gt;0,"Assign/enable prerequisite module(s) OR correct dependency mapping.","Re-sequence wave OR approve out-of-seq waiver."),"")</f>
      </c>
    </row>
    <row r="197">
      <c r="A197" t="s">
        <v>2671</v>
      </c>
      <c r="B197" t="s">
        <v>1532</v>
      </c>
      <c r="C197" t="s">
        <v>120</v>
      </c>
      <c r="E197" t="str">
        <f t="shared" si="9"/>
        <v>NO</v>
      </c>
      <c r="F197" t="e">
        <f t="shared" si="10"/>
      </c>
      <c r="H197" t="e">
        <f>IFERROR(SUMPRODUCT(--(Dependencies!$A$2:$A$5000=$A197)*--(VALUE(MID(_xludf.XLOOKUP(Dependencies!$C$2:$C$5000,Blueprint_Data!$A:$A,Blueprint_Data!$G:$G,"W-99"),3,99))&gt;VALUE(MID($C197,3,99)))),0)</f>
      </c>
      <c r="I197" t="s">
        <v>77</v>
      </c>
      <c r="J197">
        <v>0</v>
      </c>
      <c r="L197" t="s">
        <v>2435</v>
      </c>
      <c r="M197" t="s">
        <v>2436</v>
      </c>
      <c r="N197" t="str">
        <f t="shared" si="11"/>
      </c>
    </row>
    <row r="198">
      <c r="A198" t="s">
        <v>2674</v>
      </c>
      <c r="B198" t="s">
        <v>1539</v>
      </c>
      <c r="C198" t="s">
        <v>120</v>
      </c>
      <c r="E198" t="str">
        <f t="shared" si="9"/>
        <v>NO</v>
      </c>
      <c r="F198" t="e">
        <f t="shared" si="10"/>
      </c>
      <c r="H198" t="e">
        <f>IFERROR(SUMPRODUCT(--(Dependencies!$A$2:$A$5000=$A198)*--(VALUE(MID(_xludf.XLOOKUP(Dependencies!$C$2:$C$5000,Blueprint_Data!$A:$A,Blueprint_Data!$G:$G,"W-99"),3,99))&gt;VALUE(MID($C198,3,99)))),0)</f>
      </c>
      <c r="I198" t="s">
        <v>77</v>
      </c>
      <c r="J198">
        <v>0</v>
      </c>
      <c r="L198" t="s">
        <v>2435</v>
      </c>
      <c r="M198" t="s">
        <v>2436</v>
      </c>
      <c r="N198" t="str">
        <f t="shared" si="11"/>
      </c>
    </row>
    <row r="199">
      <c r="A199" t="s">
        <v>2677</v>
      </c>
      <c r="B199" t="s">
        <v>1547</v>
      </c>
      <c r="C199" t="s">
        <v>120</v>
      </c>
      <c r="E199" t="str">
        <f t="shared" si="9"/>
        <v>NO</v>
      </c>
      <c r="F199" t="e">
        <f t="shared" si="10"/>
      </c>
      <c r="H199" t="e">
        <f>IFERROR(SUMPRODUCT(--(Dependencies!$A$2:$A$5000=$A199)*--(VALUE(MID(_xludf.XLOOKUP(Dependencies!$C$2:$C$5000,Blueprint_Data!$A:$A,Blueprint_Data!$G:$G,"W-99"),3,99))&gt;VALUE(MID($C199,3,99)))),0)</f>
      </c>
      <c r="I199" t="s">
        <v>77</v>
      </c>
      <c r="J199">
        <v>0</v>
      </c>
      <c r="L199" t="s">
        <v>2435</v>
      </c>
      <c r="M199" t="s">
        <v>2436</v>
      </c>
      <c r="N199" t="str">
        <f t="shared" si="11"/>
      </c>
    </row>
    <row r="200">
      <c r="A200" t="s">
        <v>2680</v>
      </c>
      <c r="B200" t="s">
        <v>1555</v>
      </c>
      <c r="C200" t="s">
        <v>120</v>
      </c>
      <c r="E200" t="str">
        <f t="shared" si="9"/>
        <v>NO</v>
      </c>
      <c r="F200" t="e">
        <f t="shared" si="10"/>
      </c>
      <c r="H200" t="e">
        <f>IFERROR(SUMPRODUCT(--(Dependencies!$A$2:$A$5000=$A200)*--(VALUE(MID(_xludf.XLOOKUP(Dependencies!$C$2:$C$5000,Blueprint_Data!$A:$A,Blueprint_Data!$G:$G,"W-99"),3,99))&gt;VALUE(MID($C200,3,99)))),0)</f>
      </c>
      <c r="I200" t="s">
        <v>77</v>
      </c>
      <c r="J200">
        <v>0</v>
      </c>
      <c r="L200" t="s">
        <v>2435</v>
      </c>
      <c r="M200" t="s">
        <v>2436</v>
      </c>
      <c r="N200" t="str">
        <f t="shared" si="11"/>
      </c>
    </row>
    <row r="201">
      <c r="A201" t="s">
        <v>2683</v>
      </c>
      <c r="B201" t="s">
        <v>1566</v>
      </c>
      <c r="C201" t="s">
        <v>120</v>
      </c>
      <c r="E201" t="str">
        <f t="shared" si="9"/>
        <v>NO</v>
      </c>
      <c r="F201" t="e">
        <f t="shared" si="10"/>
      </c>
      <c r="H201" t="e">
        <f>IFERROR(SUMPRODUCT(--(Dependencies!$A$2:$A$5000=$A201)*--(VALUE(MID(_xludf.XLOOKUP(Dependencies!$C$2:$C$5000,Blueprint_Data!$A:$A,Blueprint_Data!$G:$G,"W-99"),3,99))&gt;VALUE(MID($C201,3,99)))),0)</f>
      </c>
      <c r="I201" t="s">
        <v>77</v>
      </c>
      <c r="J201">
        <v>0</v>
      </c>
      <c r="L201" t="s">
        <v>2435</v>
      </c>
      <c r="M201" t="s">
        <v>2436</v>
      </c>
      <c r="N201" t="str">
        <f t="shared" si="11"/>
      </c>
    </row>
    <row r="202">
      <c r="A202" t="s">
        <v>2686</v>
      </c>
      <c r="B202" t="s">
        <v>1532</v>
      </c>
      <c r="C202" t="s">
        <v>120</v>
      </c>
      <c r="E202" t="str">
        <f t="shared" si="9"/>
        <v>NO</v>
      </c>
      <c r="F202" t="e">
        <f t="shared" si="10"/>
      </c>
      <c r="H202" t="e">
        <f>IFERROR(SUMPRODUCT(--(Dependencies!$A$2:$A$5000=$A202)*--(VALUE(MID(_xludf.XLOOKUP(Dependencies!$C$2:$C$5000,Blueprint_Data!$A:$A,Blueprint_Data!$G:$G,"W-99"),3,99))&gt;VALUE(MID($C202,3,99)))),0)</f>
      </c>
      <c r="I202" t="s">
        <v>77</v>
      </c>
      <c r="J202">
        <v>0</v>
      </c>
      <c r="L202" t="s">
        <v>2435</v>
      </c>
      <c r="M202" t="s">
        <v>2436</v>
      </c>
      <c r="N202" t="str">
        <f t="shared" si="11"/>
      </c>
    </row>
    <row r="203">
      <c r="A203" t="s">
        <v>2689</v>
      </c>
      <c r="B203" t="s">
        <v>1578</v>
      </c>
      <c r="C203" t="s">
        <v>120</v>
      </c>
      <c r="E203" t="str">
        <f t="shared" si="9"/>
        <v>NO</v>
      </c>
      <c r="F203" t="e">
        <f t="shared" si="10"/>
      </c>
      <c r="H203" t="e">
        <f>IFERROR(SUMPRODUCT(--(Dependencies!$A$2:$A$5000=$A203)*--(VALUE(MID(_xludf.XLOOKUP(Dependencies!$C$2:$C$5000,Blueprint_Data!$A:$A,Blueprint_Data!$G:$G,"W-99"),3,99))&gt;VALUE(MID($C203,3,99)))),0)</f>
      </c>
      <c r="I203" t="s">
        <v>77</v>
      </c>
      <c r="J203">
        <v>0</v>
      </c>
      <c r="L203" t="s">
        <v>2435</v>
      </c>
      <c r="M203" t="s">
        <v>2436</v>
      </c>
      <c r="N203" t="str">
        <f t="shared" si="11"/>
      </c>
    </row>
    <row r="204">
      <c r="A204" t="s">
        <v>2692</v>
      </c>
      <c r="B204" t="s">
        <v>1586</v>
      </c>
      <c r="C204" t="s">
        <v>120</v>
      </c>
      <c r="E204" t="str">
        <f t="shared" si="9"/>
        <v>NO</v>
      </c>
      <c r="F204" t="e">
        <f t="shared" si="10"/>
      </c>
      <c r="H204" t="e">
        <f>IFERROR(SUMPRODUCT(--(Dependencies!$A$2:$A$5000=$A204)*--(VALUE(MID(_xludf.XLOOKUP(Dependencies!$C$2:$C$5000,Blueprint_Data!$A:$A,Blueprint_Data!$G:$G,"W-99"),3,99))&gt;VALUE(MID($C204,3,99)))),0)</f>
      </c>
      <c r="I204" t="s">
        <v>77</v>
      </c>
      <c r="J204">
        <v>0</v>
      </c>
      <c r="L204" t="s">
        <v>2435</v>
      </c>
      <c r="M204" t="s">
        <v>2436</v>
      </c>
      <c r="N204" t="str">
        <f t="shared" si="11"/>
      </c>
    </row>
    <row r="205">
      <c r="A205" t="s">
        <v>2695</v>
      </c>
      <c r="B205" t="s">
        <v>1596</v>
      </c>
      <c r="C205" t="s">
        <v>120</v>
      </c>
      <c r="E205" t="str">
        <f t="shared" si="9"/>
        <v>NO</v>
      </c>
      <c r="F205" t="e">
        <f t="shared" si="10"/>
      </c>
      <c r="H205" t="e">
        <f>IFERROR(SUMPRODUCT(--(Dependencies!$A$2:$A$5000=$A205)*--(VALUE(MID(_xludf.XLOOKUP(Dependencies!$C$2:$C$5000,Blueprint_Data!$A:$A,Blueprint_Data!$G:$G,"W-99"),3,99))&gt;VALUE(MID($C205,3,99)))),0)</f>
      </c>
      <c r="I205" t="s">
        <v>77</v>
      </c>
      <c r="J205">
        <v>0</v>
      </c>
      <c r="L205" t="s">
        <v>2435</v>
      </c>
      <c r="M205" t="s">
        <v>2436</v>
      </c>
      <c r="N205" t="str">
        <f t="shared" si="11"/>
      </c>
    </row>
    <row r="206">
      <c r="A206" t="s">
        <v>2698</v>
      </c>
      <c r="B206" t="s">
        <v>1604</v>
      </c>
      <c r="C206" t="s">
        <v>120</v>
      </c>
      <c r="E206" t="str">
        <f t="shared" si="9"/>
        <v>NO</v>
      </c>
      <c r="F206" t="e">
        <f t="shared" si="10"/>
      </c>
      <c r="H206" t="e">
        <f>IFERROR(SUMPRODUCT(--(Dependencies!$A$2:$A$5000=$A206)*--(VALUE(MID(_xludf.XLOOKUP(Dependencies!$C$2:$C$5000,Blueprint_Data!$A:$A,Blueprint_Data!$G:$G,"W-99"),3,99))&gt;VALUE(MID($C206,3,99)))),0)</f>
      </c>
      <c r="I206" t="s">
        <v>77</v>
      </c>
      <c r="J206">
        <v>0</v>
      </c>
      <c r="L206" t="s">
        <v>2435</v>
      </c>
      <c r="M206" t="s">
        <v>2436</v>
      </c>
      <c r="N206" t="str">
        <f t="shared" si="11"/>
      </c>
    </row>
    <row r="207">
      <c r="A207" t="s">
        <v>2701</v>
      </c>
      <c r="B207" t="s">
        <v>1612</v>
      </c>
      <c r="C207" t="s">
        <v>120</v>
      </c>
      <c r="E207" t="str">
        <f t="shared" si="9"/>
        <v>NO</v>
      </c>
      <c r="F207" t="e">
        <f t="shared" si="10"/>
      </c>
      <c r="H207" t="e">
        <f>IFERROR(SUMPRODUCT(--(Dependencies!$A$2:$A$5000=$A207)*--(VALUE(MID(_xludf.XLOOKUP(Dependencies!$C$2:$C$5000,Blueprint_Data!$A:$A,Blueprint_Data!$G:$G,"W-99"),3,99))&gt;VALUE(MID($C207,3,99)))),0)</f>
      </c>
      <c r="I207" t="s">
        <v>77</v>
      </c>
      <c r="J207">
        <v>0</v>
      </c>
      <c r="L207" t="s">
        <v>2435</v>
      </c>
      <c r="M207" t="s">
        <v>2436</v>
      </c>
      <c r="N207" t="str">
        <f t="shared" si="11"/>
      </c>
    </row>
    <row r="208">
      <c r="A208" t="s">
        <v>2704</v>
      </c>
      <c r="B208" t="s">
        <v>1620</v>
      </c>
      <c r="C208" t="s">
        <v>120</v>
      </c>
      <c r="E208" t="str">
        <f t="shared" si="9"/>
        <v>NO</v>
      </c>
      <c r="F208" t="e">
        <f t="shared" si="10"/>
      </c>
      <c r="H208" t="e">
        <f>IFERROR(SUMPRODUCT(--(Dependencies!$A$2:$A$5000=$A208)*--(VALUE(MID(_xludf.XLOOKUP(Dependencies!$C$2:$C$5000,Blueprint_Data!$A:$A,Blueprint_Data!$G:$G,"W-99"),3,99))&gt;VALUE(MID($C208,3,99)))),0)</f>
      </c>
      <c r="I208" t="s">
        <v>77</v>
      </c>
      <c r="J208">
        <v>0</v>
      </c>
      <c r="L208" t="s">
        <v>2435</v>
      </c>
      <c r="M208" t="s">
        <v>2436</v>
      </c>
      <c r="N208" t="str">
        <f t="shared" si="11"/>
      </c>
    </row>
    <row r="209">
      <c r="A209" t="s">
        <v>2707</v>
      </c>
      <c r="B209" t="s">
        <v>1632</v>
      </c>
      <c r="C209" t="s">
        <v>129</v>
      </c>
      <c r="E209" t="str">
        <f t="shared" si="9"/>
        <v>NO</v>
      </c>
      <c r="F209" t="e">
        <f t="shared" si="10"/>
      </c>
      <c r="H209" t="e">
        <f>IFERROR(SUMPRODUCT(--(Dependencies!$A$2:$A$5000=$A209)*--(VALUE(MID(_xludf.XLOOKUP(Dependencies!$C$2:$C$5000,Blueprint_Data!$A:$A,Blueprint_Data!$G:$G,"W-99"),3,99))&gt;VALUE(MID($C209,3,99)))),0)</f>
      </c>
      <c r="I209" t="s">
        <v>77</v>
      </c>
      <c r="J209">
        <v>0</v>
      </c>
      <c r="L209" t="s">
        <v>2435</v>
      </c>
      <c r="M209" t="s">
        <v>2436</v>
      </c>
      <c r="N209" t="str">
        <f t="shared" si="11"/>
      </c>
    </row>
    <row r="210">
      <c r="A210" t="s">
        <v>2712</v>
      </c>
      <c r="B210" t="s">
        <v>1640</v>
      </c>
      <c r="C210" t="s">
        <v>97</v>
      </c>
      <c r="E210" t="str">
        <f t="shared" si="9"/>
        <v>NO</v>
      </c>
      <c r="F210" t="e">
        <f t="shared" si="10"/>
      </c>
      <c r="H210" t="e">
        <f>IFERROR(SUMPRODUCT(--(Dependencies!$A$2:$A$5000=$A210)*--(VALUE(MID(_xludf.XLOOKUP(Dependencies!$C$2:$C$5000,Blueprint_Data!$A:$A,Blueprint_Data!$G:$G,"W-99"),3,99))&gt;VALUE(MID($C210,3,99)))),0)</f>
      </c>
      <c r="I210" t="s">
        <v>77</v>
      </c>
      <c r="J210">
        <v>0</v>
      </c>
      <c r="L210" t="s">
        <v>2435</v>
      </c>
      <c r="M210" t="s">
        <v>2436</v>
      </c>
      <c r="N210" t="str">
        <f t="shared" si="11"/>
      </c>
    </row>
    <row r="211">
      <c r="A211" t="s">
        <v>2715</v>
      </c>
      <c r="B211" t="s">
        <v>1645</v>
      </c>
      <c r="C211" t="s">
        <v>97</v>
      </c>
      <c r="E211" t="str">
        <f t="shared" si="9"/>
        <v>NO</v>
      </c>
      <c r="F211" t="e">
        <f t="shared" si="10"/>
      </c>
      <c r="H211" t="e">
        <f>IFERROR(SUMPRODUCT(--(Dependencies!$A$2:$A$5000=$A211)*--(VALUE(MID(_xludf.XLOOKUP(Dependencies!$C$2:$C$5000,Blueprint_Data!$A:$A,Blueprint_Data!$G:$G,"W-99"),3,99))&gt;VALUE(MID($C211,3,99)))),0)</f>
      </c>
      <c r="I211" t="s">
        <v>77</v>
      </c>
      <c r="J211">
        <v>0</v>
      </c>
      <c r="L211" t="s">
        <v>2435</v>
      </c>
      <c r="M211" t="s">
        <v>2436</v>
      </c>
      <c r="N211" t="str">
        <f t="shared" si="11"/>
      </c>
    </row>
    <row r="212">
      <c r="A212" t="s">
        <v>2718</v>
      </c>
      <c r="B212" t="s">
        <v>1651</v>
      </c>
      <c r="C212" t="s">
        <v>129</v>
      </c>
      <c r="E212" t="str">
        <f t="shared" si="9"/>
        <v>NO</v>
      </c>
      <c r="F212" t="e">
        <f t="shared" si="10"/>
      </c>
      <c r="H212" t="e">
        <f>IFERROR(SUMPRODUCT(--(Dependencies!$A$2:$A$5000=$A212)*--(VALUE(MID(_xludf.XLOOKUP(Dependencies!$C$2:$C$5000,Blueprint_Data!$A:$A,Blueprint_Data!$G:$G,"W-99"),3,99))&gt;VALUE(MID($C212,3,99)))),0)</f>
      </c>
      <c r="I212" t="s">
        <v>77</v>
      </c>
      <c r="J212">
        <v>0</v>
      </c>
      <c r="L212" t="s">
        <v>2435</v>
      </c>
      <c r="M212" t="s">
        <v>2436</v>
      </c>
      <c r="N212" t="str">
        <f t="shared" si="11"/>
      </c>
    </row>
    <row r="213">
      <c r="A213" t="s">
        <v>2721</v>
      </c>
      <c r="B213" t="s">
        <v>1657</v>
      </c>
      <c r="C213" t="s">
        <v>154</v>
      </c>
      <c r="E213" t="str">
        <f t="shared" si="9"/>
        <v>NO</v>
      </c>
      <c r="F213" t="e">
        <f t="shared" si="10"/>
      </c>
      <c r="H213" t="e">
        <f>IFERROR(SUMPRODUCT(--(Dependencies!$A$2:$A$5000=$A213)*--(VALUE(MID(_xludf.XLOOKUP(Dependencies!$C$2:$C$5000,Blueprint_Data!$A:$A,Blueprint_Data!$G:$G,"W-99"),3,99))&gt;VALUE(MID($C213,3,99)))),0)</f>
      </c>
      <c r="I213" t="s">
        <v>77</v>
      </c>
      <c r="J213">
        <v>0</v>
      </c>
      <c r="L213" t="s">
        <v>2435</v>
      </c>
      <c r="M213" t="s">
        <v>2436</v>
      </c>
      <c r="N213" t="str">
        <f t="shared" si="11"/>
      </c>
    </row>
    <row r="214">
      <c r="A214" t="s">
        <v>2724</v>
      </c>
      <c r="B214" t="s">
        <v>1663</v>
      </c>
      <c r="C214" t="s">
        <v>154</v>
      </c>
      <c r="E214" t="str">
        <f t="shared" si="9"/>
        <v>NO</v>
      </c>
      <c r="F214" t="e">
        <f t="shared" si="10"/>
      </c>
      <c r="H214" t="e">
        <f>IFERROR(SUMPRODUCT(--(Dependencies!$A$2:$A$5000=$A214)*--(VALUE(MID(_xludf.XLOOKUP(Dependencies!$C$2:$C$5000,Blueprint_Data!$A:$A,Blueprint_Data!$G:$G,"W-99"),3,99))&gt;VALUE(MID($C214,3,99)))),0)</f>
      </c>
      <c r="I214" t="s">
        <v>77</v>
      </c>
      <c r="J214">
        <v>0</v>
      </c>
      <c r="L214" t="s">
        <v>2435</v>
      </c>
      <c r="M214" t="s">
        <v>2436</v>
      </c>
      <c r="N214" t="str">
        <f t="shared" si="11"/>
      </c>
    </row>
    <row r="215">
      <c r="A215" t="s">
        <v>2727</v>
      </c>
      <c r="B215" t="s">
        <v>1671</v>
      </c>
      <c r="C215" t="s">
        <v>129</v>
      </c>
      <c r="E215" t="str">
        <f t="shared" si="9"/>
        <v>NO</v>
      </c>
      <c r="F215" t="e">
        <f t="shared" si="10"/>
      </c>
      <c r="H215" t="e">
        <f>IFERROR(SUMPRODUCT(--(Dependencies!$A$2:$A$5000=$A215)*--(VALUE(MID(_xludf.XLOOKUP(Dependencies!$C$2:$C$5000,Blueprint_Data!$A:$A,Blueprint_Data!$G:$G,"W-99"),3,99))&gt;VALUE(MID($C215,3,99)))),0)</f>
      </c>
      <c r="I215" t="s">
        <v>77</v>
      </c>
      <c r="J215">
        <v>0</v>
      </c>
      <c r="L215" t="s">
        <v>2435</v>
      </c>
      <c r="M215" t="s">
        <v>2436</v>
      </c>
      <c r="N215" t="str">
        <f t="shared" si="11"/>
      </c>
    </row>
    <row r="216">
      <c r="A216" t="s">
        <v>2730</v>
      </c>
      <c r="B216" t="s">
        <v>1678</v>
      </c>
      <c r="C216" t="s">
        <v>97</v>
      </c>
      <c r="E216" t="str">
        <f t="shared" si="9"/>
        <v>NO</v>
      </c>
      <c r="F216" t="e">
        <f t="shared" si="10"/>
      </c>
      <c r="H216" t="e">
        <f>IFERROR(SUMPRODUCT(--(Dependencies!$A$2:$A$5000=$A216)*--(VALUE(MID(_xludf.XLOOKUP(Dependencies!$C$2:$C$5000,Blueprint_Data!$A:$A,Blueprint_Data!$G:$G,"W-99"),3,99))&gt;VALUE(MID($C216,3,99)))),0)</f>
      </c>
      <c r="I216" t="s">
        <v>77</v>
      </c>
      <c r="J216">
        <v>0</v>
      </c>
      <c r="L216" t="s">
        <v>2435</v>
      </c>
      <c r="M216" t="s">
        <v>2436</v>
      </c>
      <c r="N216" t="str">
        <f t="shared" si="11"/>
      </c>
    </row>
    <row r="217">
      <c r="A217" t="s">
        <v>2733</v>
      </c>
      <c r="B217" t="s">
        <v>1684</v>
      </c>
      <c r="C217" t="s">
        <v>154</v>
      </c>
      <c r="E217" t="str">
        <f t="shared" si="9"/>
        <v>NO</v>
      </c>
      <c r="F217" t="e">
        <f t="shared" si="10"/>
      </c>
      <c r="H217" t="e">
        <f>IFERROR(SUMPRODUCT(--(Dependencies!$A$2:$A$5000=$A217)*--(VALUE(MID(_xludf.XLOOKUP(Dependencies!$C$2:$C$5000,Blueprint_Data!$A:$A,Blueprint_Data!$G:$G,"W-99"),3,99))&gt;VALUE(MID($C217,3,99)))),0)</f>
      </c>
      <c r="I217" t="s">
        <v>77</v>
      </c>
      <c r="J217">
        <v>0</v>
      </c>
      <c r="L217" t="s">
        <v>2435</v>
      </c>
      <c r="M217" t="s">
        <v>2436</v>
      </c>
      <c r="N217" t="str">
        <f t="shared" si="11"/>
      </c>
    </row>
    <row r="218">
      <c r="A218" t="s">
        <v>2736</v>
      </c>
      <c r="B218" t="s">
        <v>1690</v>
      </c>
      <c r="C218" t="s">
        <v>154</v>
      </c>
      <c r="E218" t="str">
        <f t="shared" si="9"/>
        <v>NO</v>
      </c>
      <c r="F218" t="e">
        <f t="shared" si="10"/>
      </c>
      <c r="H218" t="e">
        <f>IFERROR(SUMPRODUCT(--(Dependencies!$A$2:$A$5000=$A218)*--(VALUE(MID(_xludf.XLOOKUP(Dependencies!$C$2:$C$5000,Blueprint_Data!$A:$A,Blueprint_Data!$G:$G,"W-99"),3,99))&gt;VALUE(MID($C218,3,99)))),0)</f>
      </c>
      <c r="I218" t="s">
        <v>77</v>
      </c>
      <c r="J218">
        <v>0</v>
      </c>
      <c r="L218" t="s">
        <v>2435</v>
      </c>
      <c r="M218" t="s">
        <v>2436</v>
      </c>
      <c r="N218" t="str">
        <f t="shared" si="11"/>
      </c>
    </row>
    <row r="219">
      <c r="A219" t="s">
        <v>2739</v>
      </c>
      <c r="B219" t="s">
        <v>1696</v>
      </c>
      <c r="C219" t="s">
        <v>154</v>
      </c>
      <c r="E219" t="str">
        <f t="shared" si="9"/>
        <v>NO</v>
      </c>
      <c r="F219" t="e">
        <f t="shared" si="10"/>
      </c>
      <c r="H219" t="e">
        <f>IFERROR(SUMPRODUCT(--(Dependencies!$A$2:$A$5000=$A219)*--(VALUE(MID(_xludf.XLOOKUP(Dependencies!$C$2:$C$5000,Blueprint_Data!$A:$A,Blueprint_Data!$G:$G,"W-99"),3,99))&gt;VALUE(MID($C219,3,99)))),0)</f>
      </c>
      <c r="I219" t="s">
        <v>77</v>
      </c>
      <c r="J219">
        <v>0</v>
      </c>
      <c r="L219" t="s">
        <v>2435</v>
      </c>
      <c r="M219" t="s">
        <v>2436</v>
      </c>
      <c r="N219" t="str">
        <f t="shared" si="11"/>
      </c>
    </row>
    <row r="220">
      <c r="A220" t="s">
        <v>2742</v>
      </c>
      <c r="B220" t="s">
        <v>1706</v>
      </c>
      <c r="C220" t="s">
        <v>154</v>
      </c>
      <c r="E220" t="str">
        <f t="shared" si="9"/>
        <v>NO</v>
      </c>
      <c r="F220" t="e">
        <f t="shared" si="10"/>
      </c>
      <c r="H220" t="e">
        <f>IFERROR(SUMPRODUCT(--(Dependencies!$A$2:$A$5000=$A220)*--(VALUE(MID(_xludf.XLOOKUP(Dependencies!$C$2:$C$5000,Blueprint_Data!$A:$A,Blueprint_Data!$G:$G,"W-99"),3,99))&gt;VALUE(MID($C220,3,99)))),0)</f>
      </c>
      <c r="I220" t="s">
        <v>77</v>
      </c>
      <c r="J220">
        <v>0</v>
      </c>
      <c r="L220" t="s">
        <v>2435</v>
      </c>
      <c r="M220" t="s">
        <v>2436</v>
      </c>
      <c r="N220" t="str">
        <f t="shared" si="11"/>
      </c>
    </row>
    <row r="221">
      <c r="A221" t="s">
        <v>2745</v>
      </c>
      <c r="B221" t="s">
        <v>1713</v>
      </c>
      <c r="C221" t="s">
        <v>154</v>
      </c>
      <c r="E221" t="str">
        <f t="shared" si="9"/>
        <v>NO</v>
      </c>
      <c r="F221" t="e">
        <f t="shared" si="10"/>
      </c>
      <c r="H221" t="e">
        <f>IFERROR(SUMPRODUCT(--(Dependencies!$A$2:$A$5000=$A221)*--(VALUE(MID(_xludf.XLOOKUP(Dependencies!$C$2:$C$5000,Blueprint_Data!$A:$A,Blueprint_Data!$G:$G,"W-99"),3,99))&gt;VALUE(MID($C221,3,99)))),0)</f>
      </c>
      <c r="I221" t="s">
        <v>77</v>
      </c>
      <c r="J221">
        <v>0</v>
      </c>
      <c r="L221" t="s">
        <v>2435</v>
      </c>
      <c r="M221" t="s">
        <v>2436</v>
      </c>
      <c r="N221" t="str">
        <f t="shared" si="11"/>
      </c>
    </row>
    <row r="222">
      <c r="A222" t="s">
        <v>2748</v>
      </c>
      <c r="B222" t="s">
        <v>1720</v>
      </c>
      <c r="C222" t="s">
        <v>120</v>
      </c>
      <c r="E222" t="str">
        <f t="shared" si="9"/>
        <v>NO</v>
      </c>
      <c r="F222" t="e">
        <f t="shared" si="10"/>
      </c>
      <c r="H222" t="e">
        <f>IFERROR(SUMPRODUCT(--(Dependencies!$A$2:$A$5000=$A222)*--(VALUE(MID(_xludf.XLOOKUP(Dependencies!$C$2:$C$5000,Blueprint_Data!$A:$A,Blueprint_Data!$G:$G,"W-99"),3,99))&gt;VALUE(MID($C222,3,99)))),0)</f>
      </c>
      <c r="I222" t="s">
        <v>77</v>
      </c>
      <c r="J222">
        <v>0</v>
      </c>
      <c r="L222" t="s">
        <v>2435</v>
      </c>
      <c r="M222" t="s">
        <v>2436</v>
      </c>
      <c r="N222" t="str">
        <f t="shared" si="11"/>
      </c>
    </row>
    <row r="223">
      <c r="A223" t="s">
        <v>2751</v>
      </c>
      <c r="B223" t="s">
        <v>1726</v>
      </c>
      <c r="C223" t="s">
        <v>120</v>
      </c>
      <c r="E223" t="str">
        <f t="shared" si="9"/>
        <v>NO</v>
      </c>
      <c r="F223" t="e">
        <f t="shared" si="10"/>
      </c>
      <c r="H223" t="e">
        <f>IFERROR(SUMPRODUCT(--(Dependencies!$A$2:$A$5000=$A223)*--(VALUE(MID(_xludf.XLOOKUP(Dependencies!$C$2:$C$5000,Blueprint_Data!$A:$A,Blueprint_Data!$G:$G,"W-99"),3,99))&gt;VALUE(MID($C223,3,99)))),0)</f>
      </c>
      <c r="I223" t="s">
        <v>77</v>
      </c>
      <c r="J223">
        <v>0</v>
      </c>
      <c r="L223" t="s">
        <v>2435</v>
      </c>
      <c r="M223" t="s">
        <v>2436</v>
      </c>
      <c r="N223" t="str">
        <f t="shared" si="11"/>
      </c>
    </row>
    <row r="224">
      <c r="A224" t="s">
        <v>2754</v>
      </c>
      <c r="B224" t="s">
        <v>1735</v>
      </c>
      <c r="C224" t="s">
        <v>129</v>
      </c>
      <c r="E224" t="str">
        <f t="shared" si="9"/>
        <v>NO</v>
      </c>
      <c r="F224" t="e">
        <f t="shared" si="10"/>
      </c>
      <c r="H224" t="e">
        <f>IFERROR(SUMPRODUCT(--(Dependencies!$A$2:$A$5000=$A224)*--(VALUE(MID(_xludf.XLOOKUP(Dependencies!$C$2:$C$5000,Blueprint_Data!$A:$A,Blueprint_Data!$G:$G,"W-99"),3,99))&gt;VALUE(MID($C224,3,99)))),0)</f>
      </c>
      <c r="I224" t="s">
        <v>77</v>
      </c>
      <c r="J224">
        <v>0</v>
      </c>
      <c r="L224" t="s">
        <v>2435</v>
      </c>
      <c r="M224" t="s">
        <v>2436</v>
      </c>
      <c r="N224" t="str">
        <f t="shared" si="11"/>
      </c>
    </row>
    <row r="225">
      <c r="A225" t="s">
        <v>2757</v>
      </c>
      <c r="B225" t="s">
        <v>1743</v>
      </c>
      <c r="C225" t="s">
        <v>97</v>
      </c>
      <c r="E225" t="str">
        <f t="shared" si="9"/>
        <v>NO</v>
      </c>
      <c r="F225" t="e">
        <f t="shared" si="10"/>
      </c>
      <c r="H225" t="e">
        <f>IFERROR(SUMPRODUCT(--(Dependencies!$A$2:$A$5000=$A225)*--(VALUE(MID(_xludf.XLOOKUP(Dependencies!$C$2:$C$5000,Blueprint_Data!$A:$A,Blueprint_Data!$G:$G,"W-99"),3,99))&gt;VALUE(MID($C225,3,99)))),0)</f>
      </c>
      <c r="I225" t="s">
        <v>77</v>
      </c>
      <c r="J225">
        <v>0</v>
      </c>
      <c r="L225" t="s">
        <v>2435</v>
      </c>
      <c r="M225" t="s">
        <v>2436</v>
      </c>
      <c r="N225" t="str">
        <f t="shared" si="11"/>
      </c>
    </row>
    <row r="226">
      <c r="A226" t="s">
        <v>2760</v>
      </c>
      <c r="B226" t="s">
        <v>1750</v>
      </c>
      <c r="C226" t="s">
        <v>154</v>
      </c>
      <c r="E226" t="str">
        <f t="shared" si="9"/>
        <v>NO</v>
      </c>
      <c r="F226" t="e">
        <f t="shared" si="10"/>
      </c>
      <c r="H226" t="e">
        <f>IFERROR(SUMPRODUCT(--(Dependencies!$A$2:$A$5000=$A226)*--(VALUE(MID(_xludf.XLOOKUP(Dependencies!$C$2:$C$5000,Blueprint_Data!$A:$A,Blueprint_Data!$G:$G,"W-99"),3,99))&gt;VALUE(MID($C226,3,99)))),0)</f>
      </c>
      <c r="I226" t="s">
        <v>77</v>
      </c>
      <c r="J226">
        <v>0</v>
      </c>
      <c r="L226" t="s">
        <v>2435</v>
      </c>
      <c r="M226" t="s">
        <v>2436</v>
      </c>
      <c r="N226" t="str">
        <f t="shared" si="11"/>
      </c>
    </row>
    <row r="227">
      <c r="A227" t="s">
        <v>2763</v>
      </c>
      <c r="B227" t="s">
        <v>1756</v>
      </c>
      <c r="C227" t="s">
        <v>97</v>
      </c>
      <c r="E227" t="str">
        <f t="shared" si="9"/>
        <v>NO</v>
      </c>
      <c r="F227" t="e">
        <f t="shared" si="10"/>
      </c>
      <c r="H227" t="e">
        <f>IFERROR(SUMPRODUCT(--(Dependencies!$A$2:$A$5000=$A227)*--(VALUE(MID(_xludf.XLOOKUP(Dependencies!$C$2:$C$5000,Blueprint_Data!$A:$A,Blueprint_Data!$G:$G,"W-99"),3,99))&gt;VALUE(MID($C227,3,99)))),0)</f>
      </c>
      <c r="I227" t="s">
        <v>77</v>
      </c>
      <c r="J227">
        <v>0</v>
      </c>
      <c r="L227" t="s">
        <v>2435</v>
      </c>
      <c r="M227" t="s">
        <v>2436</v>
      </c>
      <c r="N227" t="str">
        <f t="shared" si="11"/>
      </c>
    </row>
    <row r="228">
      <c r="A228" t="s">
        <v>2766</v>
      </c>
      <c r="B228" t="s">
        <v>1762</v>
      </c>
      <c r="C228" t="s">
        <v>154</v>
      </c>
      <c r="E228" t="str">
        <f t="shared" si="9"/>
        <v>NO</v>
      </c>
      <c r="F228" t="e">
        <f t="shared" si="10"/>
      </c>
      <c r="H228" t="e">
        <f>IFERROR(SUMPRODUCT(--(Dependencies!$A$2:$A$5000=$A228)*--(VALUE(MID(_xludf.XLOOKUP(Dependencies!$C$2:$C$5000,Blueprint_Data!$A:$A,Blueprint_Data!$G:$G,"W-99"),3,99))&gt;VALUE(MID($C228,3,99)))),0)</f>
      </c>
      <c r="I228" t="s">
        <v>77</v>
      </c>
      <c r="J228">
        <v>0</v>
      </c>
      <c r="L228" t="s">
        <v>2435</v>
      </c>
      <c r="M228" t="s">
        <v>2436</v>
      </c>
      <c r="N228" t="str">
        <f t="shared" si="11"/>
      </c>
    </row>
    <row r="229">
      <c r="A229" t="s">
        <v>2769</v>
      </c>
      <c r="B229" t="s">
        <v>1768</v>
      </c>
      <c r="C229" t="s">
        <v>97</v>
      </c>
      <c r="E229" t="str">
        <f t="shared" si="9"/>
        <v>NO</v>
      </c>
      <c r="F229" t="e">
        <f t="shared" si="10"/>
      </c>
      <c r="H229" t="e">
        <f>IFERROR(SUMPRODUCT(--(Dependencies!$A$2:$A$5000=$A229)*--(VALUE(MID(_xludf.XLOOKUP(Dependencies!$C$2:$C$5000,Blueprint_Data!$A:$A,Blueprint_Data!$G:$G,"W-99"),3,99))&gt;VALUE(MID($C229,3,99)))),0)</f>
      </c>
      <c r="I229" t="s">
        <v>77</v>
      </c>
      <c r="J229">
        <v>0</v>
      </c>
      <c r="L229" t="s">
        <v>2435</v>
      </c>
      <c r="M229" t="s">
        <v>2436</v>
      </c>
      <c r="N229" t="str">
        <f t="shared" si="11"/>
      </c>
    </row>
    <row r="230">
      <c r="A230" t="s">
        <v>2772</v>
      </c>
      <c r="B230" t="s">
        <v>1777</v>
      </c>
      <c r="C230" t="s">
        <v>129</v>
      </c>
      <c r="E230" t="str">
        <f t="shared" si="9"/>
        <v>NO</v>
      </c>
      <c r="F230" t="e">
        <f t="shared" si="10"/>
      </c>
      <c r="H230" t="e">
        <f>IFERROR(SUMPRODUCT(--(Dependencies!$A$2:$A$5000=$A230)*--(VALUE(MID(_xludf.XLOOKUP(Dependencies!$C$2:$C$5000,Blueprint_Data!$A:$A,Blueprint_Data!$G:$G,"W-99"),3,99))&gt;VALUE(MID($C230,3,99)))),0)</f>
      </c>
      <c r="I230" t="s">
        <v>77</v>
      </c>
      <c r="J230">
        <v>0</v>
      </c>
      <c r="L230" t="s">
        <v>2220</v>
      </c>
      <c r="M230" t="s">
        <v>2436</v>
      </c>
      <c r="N230" t="str">
        <f t="shared" si="11"/>
      </c>
    </row>
    <row r="231">
      <c r="A231" t="s">
        <v>2776</v>
      </c>
      <c r="B231" t="s">
        <v>1785</v>
      </c>
      <c r="C231" t="s">
        <v>154</v>
      </c>
      <c r="E231" t="str">
        <f t="shared" si="9"/>
        <v>NO</v>
      </c>
      <c r="F231" t="e">
        <f t="shared" si="10"/>
      </c>
      <c r="H231" t="e">
        <f>IFERROR(SUMPRODUCT(--(Dependencies!$A$2:$A$5000=$A231)*--(VALUE(MID(_xludf.XLOOKUP(Dependencies!$C$2:$C$5000,Blueprint_Data!$A:$A,Blueprint_Data!$G:$G,"W-99"),3,99))&gt;VALUE(MID($C231,3,99)))),0)</f>
      </c>
      <c r="I231" t="s">
        <v>77</v>
      </c>
      <c r="J231">
        <v>0</v>
      </c>
      <c r="L231" t="s">
        <v>2220</v>
      </c>
      <c r="M231" t="s">
        <v>2436</v>
      </c>
      <c r="N231" t="str">
        <f t="shared" si="11"/>
      </c>
    </row>
    <row r="232">
      <c r="A232" t="s">
        <v>2779</v>
      </c>
      <c r="B232" t="s">
        <v>1792</v>
      </c>
      <c r="C232" t="s">
        <v>154</v>
      </c>
      <c r="E232" t="str">
        <f t="shared" si="9"/>
        <v>NO</v>
      </c>
      <c r="F232" t="e">
        <f t="shared" si="10"/>
      </c>
      <c r="H232" t="e">
        <f>IFERROR(SUMPRODUCT(--(Dependencies!$A$2:$A$5000=$A232)*--(VALUE(MID(_xludf.XLOOKUP(Dependencies!$C$2:$C$5000,Blueprint_Data!$A:$A,Blueprint_Data!$G:$G,"W-99"),3,99))&gt;VALUE(MID($C232,3,99)))),0)</f>
      </c>
      <c r="I232" t="s">
        <v>77</v>
      </c>
      <c r="J232">
        <v>0</v>
      </c>
      <c r="L232" t="s">
        <v>2220</v>
      </c>
      <c r="M232" t="s">
        <v>2436</v>
      </c>
      <c r="N232" t="str">
        <f t="shared" si="11"/>
      </c>
    </row>
    <row r="233">
      <c r="A233" t="s">
        <v>2782</v>
      </c>
      <c r="B233" t="s">
        <v>1802</v>
      </c>
      <c r="C233" t="s">
        <v>154</v>
      </c>
      <c r="E233" t="str">
        <f t="shared" si="9"/>
        <v>NO</v>
      </c>
      <c r="F233" t="e">
        <f t="shared" si="10"/>
      </c>
      <c r="H233" t="e">
        <f>IFERROR(SUMPRODUCT(--(Dependencies!$A$2:$A$5000=$A233)*--(VALUE(MID(_xludf.XLOOKUP(Dependencies!$C$2:$C$5000,Blueprint_Data!$A:$A,Blueprint_Data!$G:$G,"W-99"),3,99))&gt;VALUE(MID($C233,3,99)))),0)</f>
      </c>
      <c r="I233" t="s">
        <v>77</v>
      </c>
      <c r="J233">
        <v>0</v>
      </c>
      <c r="L233" t="s">
        <v>2435</v>
      </c>
      <c r="M233" t="s">
        <v>2436</v>
      </c>
      <c r="N233" t="str">
        <f t="shared" si="11"/>
      </c>
    </row>
    <row r="234">
      <c r="A234" t="s">
        <v>2785</v>
      </c>
      <c r="B234" t="s">
        <v>1810</v>
      </c>
      <c r="C234" t="s">
        <v>120</v>
      </c>
      <c r="E234" t="str">
        <f t="shared" si="9"/>
        <v>NO</v>
      </c>
      <c r="F234" t="e">
        <f t="shared" si="10"/>
      </c>
      <c r="H234" t="e">
        <f>IFERROR(SUMPRODUCT(--(Dependencies!$A$2:$A$5000=$A234)*--(VALUE(MID(_xludf.XLOOKUP(Dependencies!$C$2:$C$5000,Blueprint_Data!$A:$A,Blueprint_Data!$G:$G,"W-99"),3,99))&gt;VALUE(MID($C234,3,99)))),0)</f>
      </c>
      <c r="I234" t="s">
        <v>77</v>
      </c>
      <c r="J234">
        <v>0</v>
      </c>
      <c r="L234" t="s">
        <v>2435</v>
      </c>
      <c r="M234" t="s">
        <v>2436</v>
      </c>
      <c r="N234" t="str">
        <f t="shared" si="11"/>
      </c>
    </row>
    <row r="235">
      <c r="A235" t="s">
        <v>2788</v>
      </c>
      <c r="B235" t="s">
        <v>1816</v>
      </c>
      <c r="C235" t="s">
        <v>120</v>
      </c>
      <c r="E235" t="str">
        <f t="shared" si="9"/>
        <v>NO</v>
      </c>
      <c r="F235" t="e">
        <f t="shared" si="10"/>
      </c>
      <c r="H235" t="e">
        <f>IFERROR(SUMPRODUCT(--(Dependencies!$A$2:$A$5000=$A235)*--(VALUE(MID(_xludf.XLOOKUP(Dependencies!$C$2:$C$5000,Blueprint_Data!$A:$A,Blueprint_Data!$G:$G,"W-99"),3,99))&gt;VALUE(MID($C235,3,99)))),0)</f>
      </c>
      <c r="I235" t="s">
        <v>77</v>
      </c>
      <c r="J235">
        <v>0</v>
      </c>
      <c r="L235" t="s">
        <v>2435</v>
      </c>
      <c r="M235" t="s">
        <v>2436</v>
      </c>
      <c r="N235" t="str">
        <f t="shared" si="11"/>
      </c>
    </row>
    <row r="236">
      <c r="A236" t="s">
        <v>2790</v>
      </c>
      <c r="B236" t="s">
        <v>1822</v>
      </c>
      <c r="C236" t="s">
        <v>120</v>
      </c>
      <c r="E236" t="str">
        <f t="shared" si="9"/>
        <v>NO</v>
      </c>
      <c r="F236" t="e">
        <f t="shared" si="10"/>
      </c>
      <c r="H236" t="e">
        <f>IFERROR(SUMPRODUCT(--(Dependencies!$A$2:$A$5000=$A236)*--(VALUE(MID(_xludf.XLOOKUP(Dependencies!$C$2:$C$5000,Blueprint_Data!$A:$A,Blueprint_Data!$G:$G,"W-99"),3,99))&gt;VALUE(MID($C236,3,99)))),0)</f>
      </c>
      <c r="I236" t="s">
        <v>77</v>
      </c>
      <c r="J236">
        <v>0</v>
      </c>
      <c r="L236" t="s">
        <v>2435</v>
      </c>
      <c r="M236" t="s">
        <v>2436</v>
      </c>
      <c r="N236" t="str">
        <f t="shared" si="11"/>
      </c>
    </row>
    <row r="237">
      <c r="A237" t="s">
        <v>2793</v>
      </c>
      <c r="B237" t="s">
        <v>1829</v>
      </c>
      <c r="C237" t="s">
        <v>120</v>
      </c>
      <c r="E237" t="str">
        <f t="shared" si="9"/>
        <v>NO</v>
      </c>
      <c r="F237" t="e">
        <f t="shared" si="10"/>
      </c>
      <c r="H237" t="e">
        <f>IFERROR(SUMPRODUCT(--(Dependencies!$A$2:$A$5000=$A237)*--(VALUE(MID(_xludf.XLOOKUP(Dependencies!$C$2:$C$5000,Blueprint_Data!$A:$A,Blueprint_Data!$G:$G,"W-99"),3,99))&gt;VALUE(MID($C237,3,99)))),0)</f>
      </c>
      <c r="I237" t="s">
        <v>77</v>
      </c>
      <c r="J237">
        <v>0</v>
      </c>
      <c r="L237" t="s">
        <v>2435</v>
      </c>
      <c r="M237" t="s">
        <v>2436</v>
      </c>
      <c r="N237" t="str">
        <f t="shared" si="11"/>
      </c>
    </row>
    <row r="238">
      <c r="A238" t="s">
        <v>2796</v>
      </c>
      <c r="B238" t="s">
        <v>1836</v>
      </c>
      <c r="C238" t="s">
        <v>120</v>
      </c>
      <c r="E238" t="str">
        <f t="shared" si="9"/>
        <v>NO</v>
      </c>
      <c r="F238" t="e">
        <f t="shared" si="10"/>
      </c>
      <c r="H238" t="e">
        <f>IFERROR(SUMPRODUCT(--(Dependencies!$A$2:$A$5000=$A238)*--(VALUE(MID(_xludf.XLOOKUP(Dependencies!$C$2:$C$5000,Blueprint_Data!$A:$A,Blueprint_Data!$G:$G,"W-99"),3,99))&gt;VALUE(MID($C238,3,99)))),0)</f>
      </c>
      <c r="I238" t="s">
        <v>77</v>
      </c>
      <c r="J238">
        <v>0</v>
      </c>
      <c r="L238" t="s">
        <v>2435</v>
      </c>
      <c r="M238" t="s">
        <v>2436</v>
      </c>
      <c r="N238" t="str">
        <f t="shared" si="11"/>
      </c>
    </row>
    <row r="239">
      <c r="A239" t="s">
        <v>2799</v>
      </c>
      <c r="B239" t="s">
        <v>1847</v>
      </c>
      <c r="C239" t="s">
        <v>120</v>
      </c>
      <c r="E239" t="str">
        <f t="shared" si="9"/>
        <v>NO</v>
      </c>
      <c r="F239" t="e">
        <f t="shared" si="10"/>
      </c>
      <c r="H239" t="e">
        <f>IFERROR(SUMPRODUCT(--(Dependencies!$A$2:$A$5000=$A239)*--(VALUE(MID(_xludf.XLOOKUP(Dependencies!$C$2:$C$5000,Blueprint_Data!$A:$A,Blueprint_Data!$G:$G,"W-99"),3,99))&gt;VALUE(MID($C239,3,99)))),0)</f>
      </c>
      <c r="I239" t="s">
        <v>77</v>
      </c>
      <c r="J239">
        <v>0</v>
      </c>
      <c r="L239" t="s">
        <v>2435</v>
      </c>
      <c r="M239" t="s">
        <v>2436</v>
      </c>
      <c r="N239" t="str">
        <f t="shared" si="11"/>
      </c>
    </row>
    <row r="240">
      <c r="A240" t="s">
        <v>2802</v>
      </c>
      <c r="B240" t="s">
        <v>1855</v>
      </c>
      <c r="C240" t="s">
        <v>120</v>
      </c>
      <c r="E240" t="str">
        <f t="shared" si="9"/>
        <v>NO</v>
      </c>
      <c r="F240" t="e">
        <f t="shared" si="10"/>
      </c>
      <c r="H240" t="e">
        <f>IFERROR(SUMPRODUCT(--(Dependencies!$A$2:$A$5000=$A240)*--(VALUE(MID(_xludf.XLOOKUP(Dependencies!$C$2:$C$5000,Blueprint_Data!$A:$A,Blueprint_Data!$G:$G,"W-99"),3,99))&gt;VALUE(MID($C240,3,99)))),0)</f>
      </c>
      <c r="I240" t="s">
        <v>77</v>
      </c>
      <c r="J240">
        <v>0</v>
      </c>
      <c r="L240" t="s">
        <v>2435</v>
      </c>
      <c r="M240" t="s">
        <v>2436</v>
      </c>
      <c r="N240" t="str">
        <f t="shared" si="11"/>
      </c>
    </row>
    <row r="241">
      <c r="A241" t="s">
        <v>2804</v>
      </c>
      <c r="B241" t="s">
        <v>1861</v>
      </c>
      <c r="C241" t="s">
        <v>120</v>
      </c>
      <c r="E241" t="str">
        <f t="shared" si="9"/>
        <v>NO</v>
      </c>
      <c r="F241" t="e">
        <f t="shared" si="10"/>
      </c>
      <c r="H241" t="e">
        <f>IFERROR(SUMPRODUCT(--(Dependencies!$A$2:$A$5000=$A241)*--(VALUE(MID(_xludf.XLOOKUP(Dependencies!$C$2:$C$5000,Blueprint_Data!$A:$A,Blueprint_Data!$G:$G,"W-99"),3,99))&gt;VALUE(MID($C241,3,99)))),0)</f>
      </c>
      <c r="I241" t="s">
        <v>77</v>
      </c>
      <c r="J241">
        <v>0</v>
      </c>
      <c r="L241" t="s">
        <v>2435</v>
      </c>
      <c r="M241" t="s">
        <v>2436</v>
      </c>
      <c r="N241" t="str">
        <f t="shared" si="11"/>
      </c>
    </row>
    <row r="242">
      <c r="A242" t="s">
        <v>2806</v>
      </c>
      <c r="B242" t="s">
        <v>1868</v>
      </c>
      <c r="C242" t="s">
        <v>120</v>
      </c>
      <c r="E242" t="str">
        <f t="shared" si="9"/>
        <v>NO</v>
      </c>
      <c r="F242" t="e">
        <f t="shared" si="10"/>
      </c>
      <c r="H242" t="e">
        <f>IFERROR(SUMPRODUCT(--(Dependencies!$A$2:$A$5000=$A242)*--(VALUE(MID(_xludf.XLOOKUP(Dependencies!$C$2:$C$5000,Blueprint_Data!$A:$A,Blueprint_Data!$G:$G,"W-99"),3,99))&gt;VALUE(MID($C242,3,99)))),0)</f>
      </c>
      <c r="I242" t="s">
        <v>77</v>
      </c>
      <c r="J242">
        <v>0</v>
      </c>
      <c r="L242" t="s">
        <v>2435</v>
      </c>
      <c r="M242" t="s">
        <v>2436</v>
      </c>
      <c r="N242" t="str">
        <f t="shared" si="11"/>
      </c>
    </row>
    <row r="243">
      <c r="A243" t="s">
        <v>2809</v>
      </c>
      <c r="B243" t="s">
        <v>1877</v>
      </c>
      <c r="C243" t="s">
        <v>120</v>
      </c>
      <c r="E243" t="str">
        <f t="shared" si="9"/>
        <v>NO</v>
      </c>
      <c r="F243" t="e">
        <f t="shared" si="10"/>
      </c>
      <c r="H243" t="e">
        <f>IFERROR(SUMPRODUCT(--(Dependencies!$A$2:$A$5000=$A243)*--(VALUE(MID(_xludf.XLOOKUP(Dependencies!$C$2:$C$5000,Blueprint_Data!$A:$A,Blueprint_Data!$G:$G,"W-99"),3,99))&gt;VALUE(MID($C243,3,99)))),0)</f>
      </c>
      <c r="I243" t="s">
        <v>77</v>
      </c>
      <c r="J243">
        <v>0</v>
      </c>
      <c r="L243" t="s">
        <v>2435</v>
      </c>
      <c r="M243" t="s">
        <v>2436</v>
      </c>
      <c r="N243" t="str">
        <f t="shared" si="11"/>
      </c>
    </row>
    <row r="244">
      <c r="A244" t="s">
        <v>2812</v>
      </c>
      <c r="B244" t="s">
        <v>1885</v>
      </c>
      <c r="C244" t="s">
        <v>120</v>
      </c>
      <c r="E244" t="str">
        <f t="shared" si="9"/>
        <v>NO</v>
      </c>
      <c r="F244" t="e">
        <f t="shared" si="10"/>
      </c>
      <c r="H244" t="e">
        <f>IFERROR(SUMPRODUCT(--(Dependencies!$A$2:$A$5000=$A244)*--(VALUE(MID(_xludf.XLOOKUP(Dependencies!$C$2:$C$5000,Blueprint_Data!$A:$A,Blueprint_Data!$G:$G,"W-99"),3,99))&gt;VALUE(MID($C244,3,99)))),0)</f>
      </c>
      <c r="I244" t="s">
        <v>77</v>
      </c>
      <c r="J244">
        <v>0</v>
      </c>
      <c r="L244" t="s">
        <v>2435</v>
      </c>
      <c r="M244" t="s">
        <v>2436</v>
      </c>
      <c r="N244" t="str">
        <f t="shared" si="11"/>
      </c>
    </row>
    <row r="245">
      <c r="A245" t="s">
        <v>2814</v>
      </c>
      <c r="B245" t="s">
        <v>1890</v>
      </c>
      <c r="C245" t="s">
        <v>120</v>
      </c>
      <c r="E245" t="str">
        <f t="shared" si="9"/>
        <v>NO</v>
      </c>
      <c r="F245" t="e">
        <f t="shared" si="10"/>
      </c>
      <c r="H245" t="e">
        <f>IFERROR(SUMPRODUCT(--(Dependencies!$A$2:$A$5000=$A245)*--(VALUE(MID(_xludf.XLOOKUP(Dependencies!$C$2:$C$5000,Blueprint_Data!$A:$A,Blueprint_Data!$G:$G,"W-99"),3,99))&gt;VALUE(MID($C245,3,99)))),0)</f>
      </c>
      <c r="I245" t="s">
        <v>77</v>
      </c>
      <c r="J245">
        <v>0</v>
      </c>
      <c r="L245" t="s">
        <v>2435</v>
      </c>
      <c r="M245" t="s">
        <v>2436</v>
      </c>
      <c r="N245" t="str">
        <f t="shared" si="11"/>
      </c>
    </row>
    <row r="246">
      <c r="A246" t="s">
        <v>2816</v>
      </c>
      <c r="B246" t="s">
        <v>1897</v>
      </c>
      <c r="C246" t="s">
        <v>120</v>
      </c>
      <c r="E246" t="str">
        <f t="shared" si="9"/>
        <v>NO</v>
      </c>
      <c r="F246" t="e">
        <f t="shared" si="10"/>
      </c>
      <c r="H246" t="e">
        <f>IFERROR(SUMPRODUCT(--(Dependencies!$A$2:$A$5000=$A246)*--(VALUE(MID(_xludf.XLOOKUP(Dependencies!$C$2:$C$5000,Blueprint_Data!$A:$A,Blueprint_Data!$G:$G,"W-99"),3,99))&gt;VALUE(MID($C246,3,99)))),0)</f>
      </c>
      <c r="I246" t="s">
        <v>80</v>
      </c>
      <c r="J246">
        <v>0</v>
      </c>
      <c r="L246" t="s">
        <v>2435</v>
      </c>
      <c r="M246" t="s">
        <v>2516</v>
      </c>
      <c r="N246" t="str">
        <f t="shared" si="11"/>
      </c>
    </row>
    <row r="247">
      <c r="A247" t="s">
        <v>2819</v>
      </c>
      <c r="B247" t="s">
        <v>1905</v>
      </c>
      <c r="C247" t="s">
        <v>120</v>
      </c>
      <c r="E247" t="str">
        <f t="shared" si="9"/>
        <v>NO</v>
      </c>
      <c r="F247" t="e">
        <f t="shared" si="10"/>
      </c>
      <c r="H247" t="e">
        <f>IFERROR(SUMPRODUCT(--(Dependencies!$A$2:$A$5000=$A247)*--(VALUE(MID(_xludf.XLOOKUP(Dependencies!$C$2:$C$5000,Blueprint_Data!$A:$A,Blueprint_Data!$G:$G,"W-99"),3,99))&gt;VALUE(MID($C247,3,99)))),0)</f>
      </c>
      <c r="I247" t="s">
        <v>80</v>
      </c>
      <c r="J247">
        <v>0</v>
      </c>
      <c r="L247" t="s">
        <v>2435</v>
      </c>
      <c r="M247" t="s">
        <v>2516</v>
      </c>
      <c r="N247" t="str">
        <f t="shared" si="11"/>
      </c>
    </row>
    <row r="248">
      <c r="A248" t="s">
        <v>2821</v>
      </c>
      <c r="B248" t="s">
        <v>1916</v>
      </c>
      <c r="C248" t="s">
        <v>154</v>
      </c>
      <c r="E248" t="str">
        <f t="shared" si="9"/>
        <v>NO</v>
      </c>
      <c r="F248" t="e">
        <f t="shared" si="10"/>
      </c>
      <c r="H248" t="e">
        <f>IFERROR(SUMPRODUCT(--(Dependencies!$A$2:$A$5000=$A248)*--(VALUE(MID(_xludf.XLOOKUP(Dependencies!$C$2:$C$5000,Blueprint_Data!$A:$A,Blueprint_Data!$G:$G,"W-99"),3,99))&gt;VALUE(MID($C248,3,99)))),0)</f>
      </c>
      <c r="I248" t="s">
        <v>80</v>
      </c>
      <c r="J248">
        <v>0</v>
      </c>
      <c r="L248" t="s">
        <v>2074</v>
      </c>
      <c r="M248" t="s">
        <v>2075</v>
      </c>
      <c r="N248" t="str">
        <f t="shared" si="11"/>
      </c>
    </row>
    <row r="249">
      <c r="A249" t="s">
        <v>2823</v>
      </c>
      <c r="B249" t="s">
        <v>1924</v>
      </c>
      <c r="C249" t="s">
        <v>120</v>
      </c>
      <c r="E249" t="str">
        <f t="shared" si="9"/>
        <v>NO</v>
      </c>
      <c r="F249" t="e">
        <f t="shared" si="10"/>
      </c>
      <c r="H249" t="e">
        <f>IFERROR(SUMPRODUCT(--(Dependencies!$A$2:$A$5000=$A249)*--(VALUE(MID(_xludf.XLOOKUP(Dependencies!$C$2:$C$5000,Blueprint_Data!$A:$A,Blueprint_Data!$G:$G,"W-99"),3,99))&gt;VALUE(MID($C249,3,99)))),0)</f>
      </c>
      <c r="I249" t="s">
        <v>77</v>
      </c>
      <c r="J249">
        <v>0</v>
      </c>
      <c r="L249" t="s">
        <v>2435</v>
      </c>
      <c r="M249" t="s">
        <v>2436</v>
      </c>
      <c r="N249" t="str">
        <f t="shared" si="11"/>
      </c>
    </row>
    <row r="250">
      <c r="A250" t="s">
        <v>2826</v>
      </c>
      <c r="B250" t="s">
        <v>1932</v>
      </c>
      <c r="C250" t="s">
        <v>120</v>
      </c>
      <c r="E250" t="str">
        <f t="shared" si="9"/>
        <v>NO</v>
      </c>
      <c r="F250" t="e">
        <f t="shared" si="10"/>
      </c>
      <c r="H250" t="e">
        <f>IFERROR(SUMPRODUCT(--(Dependencies!$A$2:$A$5000=$A250)*--(VALUE(MID(_xludf.XLOOKUP(Dependencies!$C$2:$C$5000,Blueprint_Data!$A:$A,Blueprint_Data!$G:$G,"W-99"),3,99))&gt;VALUE(MID($C250,3,99)))),0)</f>
      </c>
      <c r="I250" t="s">
        <v>77</v>
      </c>
      <c r="J250">
        <v>0</v>
      </c>
      <c r="L250" t="s">
        <v>2074</v>
      </c>
      <c r="M250" t="s">
        <v>2075</v>
      </c>
      <c r="N250" t="str">
        <f t="shared" si="11"/>
      </c>
    </row>
    <row r="251">
      <c r="A251" t="s">
        <v>2830</v>
      </c>
      <c r="B251" t="s">
        <v>1942</v>
      </c>
      <c r="C251" t="s">
        <v>154</v>
      </c>
      <c r="E251" t="str">
        <f t="shared" si="9"/>
        <v>NO</v>
      </c>
      <c r="F251" t="e">
        <f t="shared" si="10"/>
      </c>
      <c r="H251" t="e">
        <f>IFERROR(SUMPRODUCT(--(Dependencies!$A$2:$A$5000=$A251)*--(VALUE(MID(_xludf.XLOOKUP(Dependencies!$C$2:$C$5000,Blueprint_Data!$A:$A,Blueprint_Data!$G:$G,"W-99"),3,99))&gt;VALUE(MID($C251,3,99)))),0)</f>
      </c>
      <c r="I251" t="s">
        <v>77</v>
      </c>
      <c r="J251">
        <v>0</v>
      </c>
      <c r="L251" t="s">
        <v>2832</v>
      </c>
      <c r="M251" t="s">
        <v>2436</v>
      </c>
      <c r="N251" t="str">
        <f t="shared" si="11"/>
      </c>
    </row>
    <row r="252">
      <c r="A252" t="s">
        <v>2835</v>
      </c>
      <c r="B252" t="s">
        <v>1949</v>
      </c>
      <c r="C252" t="s">
        <v>154</v>
      </c>
      <c r="E252" t="str">
        <f t="shared" si="9"/>
        <v>NO</v>
      </c>
      <c r="F252" t="e">
        <f t="shared" si="10"/>
      </c>
      <c r="H252" t="e">
        <f>IFERROR(SUMPRODUCT(--(Dependencies!$A$2:$A$5000=$A252)*--(VALUE(MID(_xludf.XLOOKUP(Dependencies!$C$2:$C$5000,Blueprint_Data!$A:$A,Blueprint_Data!$G:$G,"W-99"),3,99))&gt;VALUE(MID($C252,3,99)))),0)</f>
      </c>
      <c r="I252" t="s">
        <v>77</v>
      </c>
      <c r="J252">
        <v>0</v>
      </c>
      <c r="L252" t="s">
        <v>2832</v>
      </c>
      <c r="M252" t="s">
        <v>2436</v>
      </c>
      <c r="N252" t="str">
        <f t="shared" si="11"/>
      </c>
    </row>
    <row r="253">
      <c r="A253" t="s">
        <v>2837</v>
      </c>
      <c r="B253" t="s">
        <v>1955</v>
      </c>
      <c r="C253" t="s">
        <v>120</v>
      </c>
      <c r="E253" t="str">
        <f t="shared" si="9"/>
        <v>NO</v>
      </c>
      <c r="F253" t="e">
        <f t="shared" si="10"/>
      </c>
      <c r="H253" t="e">
        <f>IFERROR(SUMPRODUCT(--(Dependencies!$A$2:$A$5000=$A253)*--(VALUE(MID(_xludf.XLOOKUP(Dependencies!$C$2:$C$5000,Blueprint_Data!$A:$A,Blueprint_Data!$G:$G,"W-99"),3,99))&gt;VALUE(MID($C253,3,99)))),0)</f>
      </c>
      <c r="I253" t="s">
        <v>77</v>
      </c>
      <c r="J253">
        <v>0</v>
      </c>
      <c r="L253" t="s">
        <v>2832</v>
      </c>
      <c r="M253" t="s">
        <v>2436</v>
      </c>
      <c r="N253" t="str">
        <f t="shared" si="11"/>
      </c>
    </row>
    <row r="254">
      <c r="A254" t="s">
        <v>2839</v>
      </c>
      <c r="B254" t="s">
        <v>2843</v>
      </c>
      <c r="C254" t="s">
        <v>129</v>
      </c>
      <c r="E254" t="str">
        <f t="shared" si="9"/>
        <v>NO</v>
      </c>
      <c r="F254" t="e">
        <f t="shared" si="10"/>
      </c>
      <c r="H254" t="e">
        <f>IFERROR(SUMPRODUCT(--(Dependencies!$A$2:$A$5000=$A254)*--(VALUE(MID(_xludf.XLOOKUP(Dependencies!$C$2:$C$5000,Blueprint_Data!$A:$A,Blueprint_Data!$G:$G,"W-99"),3,99))&gt;VALUE(MID($C254,3,99)))),0)</f>
      </c>
      <c r="I254" t="s">
        <v>77</v>
      </c>
      <c r="J254">
        <v>0</v>
      </c>
      <c r="L254" t="s">
        <v>2851</v>
      </c>
      <c r="M254" t="s">
        <v>2870</v>
      </c>
      <c r="N254" t="str">
        <f t="shared" si="11"/>
      </c>
    </row>
    <row r="255">
      <c r="A255" t="s">
        <v>2857</v>
      </c>
      <c r="B255" t="s">
        <v>2861</v>
      </c>
      <c r="C255" t="s">
        <v>129</v>
      </c>
      <c r="E255" t="str">
        <f t="shared" si="9"/>
        <v>NO</v>
      </c>
      <c r="F255" t="e">
        <f t="shared" si="10"/>
      </c>
      <c r="H255" t="e">
        <f>IFERROR(SUMPRODUCT(--(Dependencies!$A$2:$A$5000=$A255)*--(VALUE(MID(_xludf.XLOOKUP(Dependencies!$C$2:$C$5000,Blueprint_Data!$A:$A,Blueprint_Data!$G:$G,"W-99"),3,99))&gt;VALUE(MID($C255,3,99)))),0)</f>
      </c>
      <c r="I255" t="s">
        <v>77</v>
      </c>
      <c r="J255">
        <v>0</v>
      </c>
      <c r="L255" t="s">
        <v>2869</v>
      </c>
      <c r="M255" t="s">
        <v>2870</v>
      </c>
      <c r="N255" t="str">
        <f t="shared" si="11"/>
      </c>
    </row>
    <row r="256">
      <c r="A256" t="s">
        <v>2871</v>
      </c>
      <c r="B256" t="s">
        <v>2872</v>
      </c>
      <c r="C256" t="s">
        <v>129</v>
      </c>
      <c r="E256" t="str">
        <f t="shared" si="9"/>
        <v>NO</v>
      </c>
      <c r="F256" t="e">
        <f t="shared" si="10"/>
      </c>
      <c r="H256" t="e">
        <f>IFERROR(SUMPRODUCT(--(Dependencies!$A$2:$A$5000=$A256)*--(VALUE(MID(_xludf.XLOOKUP(Dependencies!$C$2:$C$5000,Blueprint_Data!$A:$A,Blueprint_Data!$G:$G,"W-99"),3,99))&gt;VALUE(MID($C256,3,99)))),0)</f>
      </c>
      <c r="I256" t="s">
        <v>77</v>
      </c>
      <c r="J256">
        <v>0</v>
      </c>
      <c r="L256" t="s">
        <v>2876</v>
      </c>
      <c r="M256" t="s">
        <v>2870</v>
      </c>
      <c r="N256" t="str">
        <f t="shared" si="11"/>
      </c>
    </row>
    <row r="257">
      <c r="A257" t="s">
        <v>2877</v>
      </c>
      <c r="B257" t="s">
        <v>2878</v>
      </c>
      <c r="C257" t="s">
        <v>129</v>
      </c>
      <c r="E257" t="str">
        <f t="shared" si="9"/>
        <v>NO</v>
      </c>
      <c r="F257" t="e">
        <f t="shared" si="10"/>
      </c>
      <c r="H257" t="e">
        <f>IFERROR(SUMPRODUCT(--(Dependencies!$A$2:$A$5000=$A257)*--(VALUE(MID(_xludf.XLOOKUP(Dependencies!$C$2:$C$5000,Blueprint_Data!$A:$A,Blueprint_Data!$G:$G,"W-99"),3,99))&gt;VALUE(MID($C257,3,99)))),0)</f>
      </c>
      <c r="I257" t="s">
        <v>77</v>
      </c>
      <c r="J257">
        <v>0</v>
      </c>
      <c r="L257" t="s">
        <v>2882</v>
      </c>
      <c r="M257" t="s">
        <v>2870</v>
      </c>
      <c r="N257" t="str">
        <f t="shared" si="11"/>
      </c>
    </row>
    <row r="258">
      <c r="A258" t="s">
        <v>2883</v>
      </c>
      <c r="B258" t="s">
        <v>2884</v>
      </c>
      <c r="C258" t="s">
        <v>129</v>
      </c>
      <c r="E258" t="str">
        <f t="shared" si="9"/>
        <v>NO</v>
      </c>
      <c r="F258" t="e">
        <f t="shared" si="10"/>
      </c>
      <c r="H258" t="e">
        <f>IFERROR(SUMPRODUCT(--(Dependencies!$A$2:$A$5000=$A258)*--(VALUE(MID(_xludf.XLOOKUP(Dependencies!$C$2:$C$5000,Blueprint_Data!$A:$A,Blueprint_Data!$G:$G,"W-99"),3,99))&gt;VALUE(MID($C258,3,99)))),0)</f>
      </c>
      <c r="I258" t="s">
        <v>77</v>
      </c>
      <c r="J258">
        <v>0</v>
      </c>
      <c r="L258" t="s">
        <v>2888</v>
      </c>
      <c r="M258" t="s">
        <v>2870</v>
      </c>
      <c r="N258" t="str">
        <f t="shared" si="11"/>
      </c>
    </row>
    <row r="259">
      <c r="A259" t="s">
        <v>2889</v>
      </c>
      <c r="B259" t="s">
        <v>2890</v>
      </c>
      <c r="C259" t="s">
        <v>129</v>
      </c>
      <c r="E259" t="str">
        <f t="shared" si="9"/>
        <v>NO</v>
      </c>
      <c r="F259" t="e">
        <f t="shared" si="10"/>
      </c>
      <c r="H259" t="e">
        <f>IFERROR(SUMPRODUCT(--(Dependencies!$A$2:$A$5000=$A259)*--(VALUE(MID(_xludf.XLOOKUP(Dependencies!$C$2:$C$5000,Blueprint_Data!$A:$A,Blueprint_Data!$G:$G,"W-99"),3,99))&gt;VALUE(MID($C259,3,99)))),0)</f>
      </c>
      <c r="I259" t="s">
        <v>77</v>
      </c>
      <c r="J259">
        <v>0</v>
      </c>
      <c r="L259" t="s">
        <v>2073</v>
      </c>
      <c r="M259" t="s">
        <v>2870</v>
      </c>
      <c r="N259" t="str">
        <f t="shared" si="11"/>
      </c>
    </row>
    <row r="260">
      <c r="A260" t="s">
        <v>2894</v>
      </c>
      <c r="B260" t="s">
        <v>2895</v>
      </c>
      <c r="C260" t="s">
        <v>129</v>
      </c>
      <c r="E260" t="e">
        <f t="shared" ref="E260:E281" si="12">IF(OR($G260&gt;0,$H260&gt;0),"YES","NO")</f>
      </c>
      <c r="F260" t="e">
        <f t="shared" ref="F260:F281" si="13">_xludf.TEXTJOIN("; ",TRUE,IF($G260&gt;0,"Missing Dependency",""),IF($H260&gt;0,"Out-of-Sequence",""))</f>
      </c>
      <c r="H260" t="e">
        <f>IFERROR(SUMPRODUCT(--(Dependencies!$A$2:$A$5000=$A260)*--(VALUE(MID(_xludf.XLOOKUP(Dependencies!$C$2:$C$5000,Blueprint_Data!$A:$A,Blueprint_Data!$G:$G,"W-99"),3,99))&gt;VALUE(MID($C260,3,99)))),0)</f>
      </c>
      <c r="I260" t="s">
        <v>77</v>
      </c>
      <c r="J260">
        <v>0</v>
      </c>
      <c r="L260" t="s">
        <v>2899</v>
      </c>
      <c r="M260" t="s">
        <v>2870</v>
      </c>
      <c r="N260" t="e">
        <f t="shared" ref="N260:N281" si="14">IF($E260="YES",IF($G260&gt;0,"Assign/enable prerequisite module(s) OR correct dependency mapping.","Re-sequence wave OR approve out-of-seq waiver."),"")</f>
      </c>
    </row>
    <row r="261">
      <c r="A261" t="s">
        <v>2900</v>
      </c>
      <c r="B261" t="s">
        <v>2901</v>
      </c>
      <c r="C261" t="s">
        <v>129</v>
      </c>
      <c r="E261" t="str">
        <f t="shared" si="12"/>
        <v>NO</v>
      </c>
      <c r="F261" t="e">
        <f t="shared" si="13"/>
      </c>
      <c r="H261" t="e">
        <f>IFERROR(SUMPRODUCT(--(Dependencies!$A$2:$A$5000=$A261)*--(VALUE(MID(_xludf.XLOOKUP(Dependencies!$C$2:$C$5000,Blueprint_Data!$A:$A,Blueprint_Data!$G:$G,"W-99"),3,99))&gt;VALUE(MID($C261,3,99)))),0)</f>
      </c>
      <c r="I261" t="s">
        <v>77</v>
      </c>
      <c r="J261">
        <v>0</v>
      </c>
      <c r="L261" t="s">
        <v>2905</v>
      </c>
      <c r="M261" t="s">
        <v>2870</v>
      </c>
      <c r="N261" t="str">
        <f t="shared" si="14"/>
      </c>
    </row>
    <row r="262">
      <c r="A262" t="s">
        <v>2906</v>
      </c>
      <c r="B262" t="s">
        <v>2907</v>
      </c>
      <c r="C262" t="s">
        <v>129</v>
      </c>
      <c r="E262" t="str">
        <f t="shared" si="12"/>
        <v>NO</v>
      </c>
      <c r="F262" t="e">
        <f t="shared" si="13"/>
      </c>
      <c r="H262" t="e">
        <f>IFERROR(SUMPRODUCT(--(Dependencies!$A$2:$A$5000=$A262)*--(VALUE(MID(_xludf.XLOOKUP(Dependencies!$C$2:$C$5000,Blueprint_Data!$A:$A,Blueprint_Data!$G:$G,"W-99"),3,99))&gt;VALUE(MID($C262,3,99)))),0)</f>
      </c>
      <c r="I262" t="s">
        <v>77</v>
      </c>
      <c r="J262">
        <v>0</v>
      </c>
      <c r="L262" t="s">
        <v>2911</v>
      </c>
      <c r="M262" t="s">
        <v>2870</v>
      </c>
      <c r="N262" t="str">
        <f t="shared" si="14"/>
      </c>
    </row>
    <row r="263">
      <c r="A263" t="s">
        <v>2912</v>
      </c>
      <c r="B263" t="s">
        <v>2913</v>
      </c>
      <c r="C263" t="s">
        <v>129</v>
      </c>
      <c r="E263" t="str">
        <f t="shared" si="12"/>
        <v>NO</v>
      </c>
      <c r="F263" t="e">
        <f t="shared" si="13"/>
      </c>
      <c r="H263" t="e">
        <f>IFERROR(SUMPRODUCT(--(Dependencies!$A$2:$A$5000=$A263)*--(VALUE(MID(_xludf.XLOOKUP(Dependencies!$C$2:$C$5000,Blueprint_Data!$A:$A,Blueprint_Data!$G:$G,"W-99"),3,99))&gt;VALUE(MID($C263,3,99)))),0)</f>
      </c>
      <c r="I263" t="s">
        <v>77</v>
      </c>
      <c r="J263">
        <v>0</v>
      </c>
      <c r="L263" t="s">
        <v>2917</v>
      </c>
      <c r="M263" t="s">
        <v>2870</v>
      </c>
      <c r="N263" t="str">
        <f t="shared" si="14"/>
      </c>
    </row>
    <row r="264">
      <c r="A264" t="s">
        <v>2918</v>
      </c>
      <c r="B264" t="s">
        <v>2919</v>
      </c>
      <c r="C264" t="s">
        <v>129</v>
      </c>
      <c r="D264" t="s">
        <v>2077</v>
      </c>
      <c r="E264" t="str">
        <f t="shared" si="12"/>
        <v>NO</v>
      </c>
      <c r="F264" t="e">
        <f t="shared" si="13"/>
      </c>
      <c r="H264" t="e">
        <f>IFERROR(SUMPRODUCT(--(Dependencies!$A$2:$A$5000=$A264)*--(VALUE(MID(_xludf.XLOOKUP(Dependencies!$C$2:$C$5000,Blueprint_Data!$A:$A,Blueprint_Data!$G:$G,"W-99"),3,99))&gt;VALUE(MID($C264,3,99)))),0)</f>
      </c>
      <c r="I264" t="s">
        <v>77</v>
      </c>
      <c r="J264">
        <v>0</v>
      </c>
      <c r="L264" t="s">
        <v>2924</v>
      </c>
      <c r="M264" t="s">
        <v>2870</v>
      </c>
      <c r="N264" t="str">
        <f t="shared" si="14"/>
      </c>
    </row>
    <row r="265">
      <c r="A265" t="s">
        <v>2925</v>
      </c>
      <c r="B265" t="s">
        <v>2929</v>
      </c>
      <c r="C265" t="s">
        <v>129</v>
      </c>
      <c r="D265" t="s">
        <v>2077</v>
      </c>
      <c r="E265" t="str">
        <f t="shared" si="12"/>
        <v>NO</v>
      </c>
      <c r="F265" t="e">
        <f t="shared" si="13"/>
      </c>
      <c r="H265" t="e">
        <f>IFERROR(SUMPRODUCT(--(Dependencies!$A$2:$A$5000=$A265)*--(VALUE(MID(_xludf.XLOOKUP(Dependencies!$C$2:$C$5000,Blueprint_Data!$A:$A,Blueprint_Data!$G:$G,"W-99"),3,99))&gt;VALUE(MID($C265,3,99)))),0)</f>
      </c>
      <c r="I265" t="s">
        <v>77</v>
      </c>
      <c r="J265">
        <v>0</v>
      </c>
      <c r="L265" t="s">
        <v>2938</v>
      </c>
      <c r="M265" t="s">
        <v>2870</v>
      </c>
      <c r="N265" t="str">
        <f t="shared" si="14"/>
      </c>
    </row>
    <row r="266">
      <c r="A266" t="s">
        <v>2940</v>
      </c>
      <c r="B266" t="s">
        <v>2941</v>
      </c>
      <c r="C266" t="s">
        <v>129</v>
      </c>
      <c r="E266" t="str">
        <f t="shared" si="12"/>
        <v>NO</v>
      </c>
      <c r="F266" t="e">
        <f t="shared" si="13"/>
      </c>
      <c r="H266" t="e">
        <f>IFERROR(SUMPRODUCT(--(Dependencies!$A$2:$A$5000=$A266)*--(VALUE(MID(_xludf.XLOOKUP(Dependencies!$C$2:$C$5000,Blueprint_Data!$A:$A,Blueprint_Data!$G:$G,"W-99"),3,99))&gt;VALUE(MID($C266,3,99)))),0)</f>
      </c>
      <c r="I266" t="s">
        <v>77</v>
      </c>
      <c r="J266">
        <v>0</v>
      </c>
      <c r="L266" t="s">
        <v>2074</v>
      </c>
      <c r="M266" t="s">
        <v>2870</v>
      </c>
      <c r="N266" t="str">
        <f t="shared" si="14"/>
      </c>
    </row>
    <row r="267">
      <c r="A267" t="s">
        <v>2945</v>
      </c>
      <c r="B267" t="s">
        <v>2946</v>
      </c>
      <c r="C267" t="s">
        <v>129</v>
      </c>
      <c r="E267" t="str">
        <f t="shared" si="12"/>
        <v>NO</v>
      </c>
      <c r="F267" t="e">
        <f t="shared" si="13"/>
      </c>
      <c r="H267" t="e">
        <f>IFERROR(SUMPRODUCT(--(Dependencies!$A$2:$A$5000=$A267)*--(VALUE(MID(_xludf.XLOOKUP(Dependencies!$C$2:$C$5000,Blueprint_Data!$A:$A,Blueprint_Data!$G:$G,"W-99"),3,99))&gt;VALUE(MID($C267,3,99)))),0)</f>
      </c>
      <c r="I267" t="s">
        <v>77</v>
      </c>
      <c r="J267">
        <v>0</v>
      </c>
      <c r="L267" t="s">
        <v>2074</v>
      </c>
      <c r="M267" t="s">
        <v>2870</v>
      </c>
      <c r="N267" t="str">
        <f t="shared" si="14"/>
      </c>
    </row>
    <row r="268">
      <c r="A268" t="s">
        <v>2948</v>
      </c>
      <c r="B268" t="s">
        <v>2949</v>
      </c>
      <c r="C268" t="s">
        <v>129</v>
      </c>
      <c r="E268" t="str">
        <f t="shared" si="12"/>
        <v>NO</v>
      </c>
      <c r="F268" t="e">
        <f t="shared" si="13"/>
      </c>
      <c r="H268" t="e">
        <f>IFERROR(SUMPRODUCT(--(Dependencies!$A$2:$A$5000=$A268)*--(VALUE(MID(_xludf.XLOOKUP(Dependencies!$C$2:$C$5000,Blueprint_Data!$A:$A,Blueprint_Data!$G:$G,"W-99"),3,99))&gt;VALUE(MID($C268,3,99)))),0)</f>
      </c>
      <c r="I268" t="s">
        <v>77</v>
      </c>
      <c r="J268">
        <v>0</v>
      </c>
      <c r="L268" t="s">
        <v>2953</v>
      </c>
      <c r="M268" t="s">
        <v>2870</v>
      </c>
      <c r="N268" t="str">
        <f t="shared" si="14"/>
      </c>
    </row>
    <row r="269">
      <c r="A269" t="s">
        <v>2954</v>
      </c>
      <c r="B269" t="s">
        <v>2955</v>
      </c>
      <c r="C269" t="s">
        <v>129</v>
      </c>
      <c r="E269" t="str">
        <f t="shared" si="12"/>
        <v>NO</v>
      </c>
      <c r="F269" t="e">
        <f t="shared" si="13"/>
      </c>
      <c r="H269" t="e">
        <f>IFERROR(SUMPRODUCT(--(Dependencies!$A$2:$A$5000=$A269)*--(VALUE(MID(_xludf.XLOOKUP(Dependencies!$C$2:$C$5000,Blueprint_Data!$A:$A,Blueprint_Data!$G:$G,"W-99"),3,99))&gt;VALUE(MID($C269,3,99)))),0)</f>
      </c>
      <c r="I269" t="s">
        <v>77</v>
      </c>
      <c r="J269">
        <v>0</v>
      </c>
      <c r="L269" t="s">
        <v>2959</v>
      </c>
      <c r="M269" t="s">
        <v>2870</v>
      </c>
      <c r="N269" t="str">
        <f t="shared" si="14"/>
      </c>
    </row>
    <row r="270">
      <c r="A270" t="s">
        <v>2960</v>
      </c>
      <c r="B270" t="s">
        <v>2961</v>
      </c>
      <c r="C270" t="s">
        <v>129</v>
      </c>
      <c r="E270" t="str">
        <f t="shared" si="12"/>
        <v>NO</v>
      </c>
      <c r="F270" t="e">
        <f t="shared" si="13"/>
      </c>
      <c r="H270" t="e">
        <f>IFERROR(SUMPRODUCT(--(Dependencies!$A$2:$A$5000=$A270)*--(VALUE(MID(_xludf.XLOOKUP(Dependencies!$C$2:$C$5000,Blueprint_Data!$A:$A,Blueprint_Data!$G:$G,"W-99"),3,99))&gt;VALUE(MID($C270,3,99)))),0)</f>
      </c>
      <c r="I270" t="s">
        <v>77</v>
      </c>
      <c r="J270">
        <v>0</v>
      </c>
      <c r="L270" t="s">
        <v>2965</v>
      </c>
      <c r="M270" t="s">
        <v>2870</v>
      </c>
      <c r="N270" t="str">
        <f t="shared" si="14"/>
      </c>
    </row>
    <row r="271">
      <c r="A271" t="s">
        <v>2966</v>
      </c>
      <c r="B271" t="s">
        <v>2967</v>
      </c>
      <c r="C271" t="s">
        <v>129</v>
      </c>
      <c r="E271" t="str">
        <f t="shared" si="12"/>
        <v>NO</v>
      </c>
      <c r="F271" t="e">
        <f t="shared" si="13"/>
      </c>
      <c r="H271" t="e">
        <f>IFERROR(SUMPRODUCT(--(Dependencies!$A$2:$A$5000=$A271)*--(VALUE(MID(_xludf.XLOOKUP(Dependencies!$C$2:$C$5000,Blueprint_Data!$A:$A,Blueprint_Data!$G:$G,"W-99"),3,99))&gt;VALUE(MID($C271,3,99)))),0)</f>
      </c>
      <c r="I271" t="s">
        <v>77</v>
      </c>
      <c r="J271">
        <v>0</v>
      </c>
      <c r="L271" t="s">
        <v>2965</v>
      </c>
      <c r="M271" t="s">
        <v>2870</v>
      </c>
      <c r="N271" t="str">
        <f t="shared" si="14"/>
      </c>
    </row>
    <row r="272">
      <c r="A272" t="s">
        <v>2970</v>
      </c>
      <c r="B272" t="s">
        <v>2971</v>
      </c>
      <c r="C272" t="s">
        <v>129</v>
      </c>
      <c r="E272" t="str">
        <f t="shared" si="12"/>
        <v>NO</v>
      </c>
      <c r="F272" t="e">
        <f t="shared" si="13"/>
      </c>
      <c r="H272" t="e">
        <f>IFERROR(SUMPRODUCT(--(Dependencies!$A$2:$A$5000=$A272)*--(VALUE(MID(_xludf.XLOOKUP(Dependencies!$C$2:$C$5000,Blueprint_Data!$A:$A,Blueprint_Data!$G:$G,"W-99"),3,99))&gt;VALUE(MID($C272,3,99)))),0)</f>
      </c>
      <c r="I272" t="s">
        <v>77</v>
      </c>
      <c r="J272">
        <v>0</v>
      </c>
      <c r="L272" t="s">
        <v>2975</v>
      </c>
      <c r="M272" t="s">
        <v>2870</v>
      </c>
      <c r="N272" t="str">
        <f t="shared" si="14"/>
      </c>
    </row>
    <row r="273">
      <c r="A273" t="s">
        <v>2976</v>
      </c>
      <c r="B273" t="s">
        <v>2977</v>
      </c>
      <c r="C273" t="s">
        <v>129</v>
      </c>
      <c r="E273" t="str">
        <f t="shared" si="12"/>
        <v>NO</v>
      </c>
      <c r="F273" t="e">
        <f t="shared" si="13"/>
      </c>
      <c r="H273" t="e">
        <f>IFERROR(SUMPRODUCT(--(Dependencies!$A$2:$A$5000=$A273)*--(VALUE(MID(_xludf.XLOOKUP(Dependencies!$C$2:$C$5000,Blueprint_Data!$A:$A,Blueprint_Data!$G:$G,"W-99"),3,99))&gt;VALUE(MID($C273,3,99)))),0)</f>
      </c>
      <c r="I273" t="s">
        <v>77</v>
      </c>
      <c r="J273">
        <v>0</v>
      </c>
      <c r="L273" t="s">
        <v>2981</v>
      </c>
      <c r="M273" t="s">
        <v>2870</v>
      </c>
      <c r="N273" t="str">
        <f t="shared" si="14"/>
      </c>
    </row>
    <row r="274">
      <c r="A274" t="s">
        <v>2982</v>
      </c>
      <c r="B274" t="s">
        <v>2983</v>
      </c>
      <c r="C274" t="s">
        <v>129</v>
      </c>
      <c r="E274" t="str">
        <f t="shared" si="12"/>
        <v>NO</v>
      </c>
      <c r="F274" t="e">
        <f t="shared" si="13"/>
      </c>
      <c r="H274" t="e">
        <f>IFERROR(SUMPRODUCT(--(Dependencies!$A$2:$A$5000=$A274)*--(VALUE(MID(_xludf.XLOOKUP(Dependencies!$C$2:$C$5000,Blueprint_Data!$A:$A,Blueprint_Data!$G:$G,"W-99"),3,99))&gt;VALUE(MID($C274,3,99)))),0)</f>
      </c>
      <c r="I274" t="s">
        <v>77</v>
      </c>
      <c r="J274">
        <v>0</v>
      </c>
      <c r="L274" t="s">
        <v>2987</v>
      </c>
      <c r="M274" t="s">
        <v>2870</v>
      </c>
      <c r="N274" t="str">
        <f t="shared" si="14"/>
      </c>
    </row>
    <row r="275">
      <c r="A275" t="s">
        <v>2988</v>
      </c>
      <c r="B275" t="s">
        <v>2989</v>
      </c>
      <c r="C275" t="s">
        <v>129</v>
      </c>
      <c r="E275" t="str">
        <f t="shared" si="12"/>
        <v>NO</v>
      </c>
      <c r="F275" t="e">
        <f t="shared" si="13"/>
      </c>
      <c r="H275" t="e">
        <f>IFERROR(SUMPRODUCT(--(Dependencies!$A$2:$A$5000=$A275)*--(VALUE(MID(_xludf.XLOOKUP(Dependencies!$C$2:$C$5000,Blueprint_Data!$A:$A,Blueprint_Data!$G:$G,"W-99"),3,99))&gt;VALUE(MID($C275,3,99)))),0)</f>
      </c>
      <c r="I275" t="s">
        <v>77</v>
      </c>
      <c r="J275">
        <v>0</v>
      </c>
      <c r="L275" t="s">
        <v>2993</v>
      </c>
      <c r="M275" t="s">
        <v>2870</v>
      </c>
      <c r="N275" t="str">
        <f t="shared" si="14"/>
      </c>
    </row>
    <row r="276">
      <c r="A276" t="s">
        <v>2994</v>
      </c>
      <c r="B276" t="s">
        <v>2995</v>
      </c>
      <c r="C276" t="s">
        <v>129</v>
      </c>
      <c r="E276" t="str">
        <f t="shared" si="12"/>
        <v>NO</v>
      </c>
      <c r="F276" t="e">
        <f t="shared" si="13"/>
      </c>
      <c r="H276" t="e">
        <f>IFERROR(SUMPRODUCT(--(Dependencies!$A$2:$A$5000=$A276)*--(VALUE(MID(_xludf.XLOOKUP(Dependencies!$C$2:$C$5000,Blueprint_Data!$A:$A,Blueprint_Data!$G:$G,"W-99"),3,99))&gt;VALUE(MID($C276,3,99)))),0)</f>
      </c>
      <c r="I276" t="s">
        <v>77</v>
      </c>
      <c r="J276">
        <v>0</v>
      </c>
      <c r="L276" t="s">
        <v>2917</v>
      </c>
      <c r="M276" t="s">
        <v>2870</v>
      </c>
      <c r="N276" t="str">
        <f t="shared" si="14"/>
      </c>
    </row>
    <row r="277">
      <c r="A277" t="s">
        <v>2998</v>
      </c>
      <c r="B277" t="s">
        <v>2999</v>
      </c>
      <c r="C277" t="s">
        <v>129</v>
      </c>
      <c r="E277" t="str">
        <f t="shared" si="12"/>
        <v>NO</v>
      </c>
      <c r="F277" t="e">
        <f t="shared" si="13"/>
      </c>
      <c r="H277" t="e">
        <f>IFERROR(SUMPRODUCT(--(Dependencies!$A$2:$A$5000=$A277)*--(VALUE(MID(_xludf.XLOOKUP(Dependencies!$C$2:$C$5000,Blueprint_Data!$A:$A,Blueprint_Data!$G:$G,"W-99"),3,99))&gt;VALUE(MID($C277,3,99)))),0)</f>
      </c>
      <c r="I277" t="s">
        <v>77</v>
      </c>
      <c r="J277">
        <v>0</v>
      </c>
      <c r="L277" t="s">
        <v>3003</v>
      </c>
      <c r="M277" t="s">
        <v>2870</v>
      </c>
      <c r="N277" t="str">
        <f t="shared" si="14"/>
      </c>
    </row>
    <row r="278">
      <c r="A278" t="s">
        <v>3004</v>
      </c>
      <c r="B278" t="s">
        <v>3005</v>
      </c>
      <c r="C278" t="s">
        <v>129</v>
      </c>
      <c r="E278" t="str">
        <f t="shared" si="12"/>
        <v>NO</v>
      </c>
      <c r="F278" t="e">
        <f t="shared" si="13"/>
      </c>
      <c r="H278" t="e">
        <f>IFERROR(SUMPRODUCT(--(Dependencies!$A$2:$A$5000=$A278)*--(VALUE(MID(_xludf.XLOOKUP(Dependencies!$C$2:$C$5000,Blueprint_Data!$A:$A,Blueprint_Data!$G:$G,"W-99"),3,99))&gt;VALUE(MID($C278,3,99)))),0)</f>
      </c>
      <c r="I278" t="s">
        <v>77</v>
      </c>
      <c r="J278">
        <v>0</v>
      </c>
      <c r="L278" t="s">
        <v>3009</v>
      </c>
      <c r="M278" t="s">
        <v>2870</v>
      </c>
      <c r="N278" t="str">
        <f t="shared" si="14"/>
      </c>
    </row>
    <row r="279">
      <c r="A279" t="s">
        <v>3010</v>
      </c>
      <c r="B279" t="s">
        <v>3011</v>
      </c>
      <c r="C279" t="s">
        <v>129</v>
      </c>
      <c r="E279" t="str">
        <f t="shared" si="12"/>
        <v>NO</v>
      </c>
      <c r="F279" t="e">
        <f t="shared" si="13"/>
      </c>
      <c r="H279" t="e">
        <f>IFERROR(SUMPRODUCT(--(Dependencies!$A$2:$A$5000=$A279)*--(VALUE(MID(_xludf.XLOOKUP(Dependencies!$C$2:$C$5000,Blueprint_Data!$A:$A,Blueprint_Data!$G:$G,"W-99"),3,99))&gt;VALUE(MID($C279,3,99)))),0)</f>
      </c>
      <c r="I279" t="s">
        <v>77</v>
      </c>
      <c r="J279">
        <v>0</v>
      </c>
      <c r="L279" t="s">
        <v>2226</v>
      </c>
      <c r="M279" t="s">
        <v>2870</v>
      </c>
      <c r="N279" t="str">
        <f t="shared" si="14"/>
      </c>
    </row>
    <row r="280">
      <c r="A280" t="s">
        <v>3015</v>
      </c>
      <c r="B280" t="s">
        <v>3016</v>
      </c>
      <c r="C280" t="s">
        <v>129</v>
      </c>
      <c r="E280" t="str">
        <f t="shared" si="12"/>
        <v>NO</v>
      </c>
      <c r="F280" t="e">
        <f t="shared" si="13"/>
      </c>
      <c r="H280" t="e">
        <f>IFERROR(SUMPRODUCT(--(Dependencies!$A$2:$A$5000=$A280)*--(VALUE(MID(_xludf.XLOOKUP(Dependencies!$C$2:$C$5000,Blueprint_Data!$A:$A,Blueprint_Data!$G:$G,"W-99"),3,99))&gt;VALUE(MID($C280,3,99)))),0)</f>
      </c>
      <c r="I280" t="s">
        <v>77</v>
      </c>
      <c r="J280">
        <v>0</v>
      </c>
      <c r="L280" t="s">
        <v>2975</v>
      </c>
      <c r="M280" t="s">
        <v>2870</v>
      </c>
      <c r="N280" t="str">
        <f t="shared" si="14"/>
      </c>
    </row>
    <row r="281">
      <c r="A281" t="s">
        <v>3019</v>
      </c>
      <c r="B281" t="s">
        <v>3020</v>
      </c>
      <c r="C281" t="s">
        <v>129</v>
      </c>
      <c r="E281" t="str">
        <f t="shared" si="12"/>
        <v>NO</v>
      </c>
      <c r="F281" t="e">
        <f t="shared" si="13"/>
      </c>
      <c r="H281" t="e">
        <f>IFERROR(SUMPRODUCT(--(Dependencies!$A$2:$A$5000=$A281)*--(VALUE(MID(_xludf.XLOOKUP(Dependencies!$C$2:$C$5000,Blueprint_Data!$A:$A,Blueprint_Data!$G:$G,"W-99"),3,99))&gt;VALUE(MID($C281,3,99)))),0)</f>
      </c>
      <c r="I281" t="s">
        <v>77</v>
      </c>
      <c r="J281">
        <v>0</v>
      </c>
      <c r="L281" t="s">
        <v>3024</v>
      </c>
      <c r="M281" t="s">
        <v>2870</v>
      </c>
      <c r="N281" t="str">
        <f t="shared" si="14"/>
      </c>
    </row>
    <row r="282" ht="14">
      <c r="A282" s="10" t="s">
        <v>3112</v>
      </c>
      <c r="B282" s="10" t="s">
        <v>3115</v>
      </c>
      <c r="C282" s="10" t="s">
        <v>129</v>
      </c>
      <c r="D282" s="10" t="s">
        <v>2077</v>
      </c>
      <c r="E282" s="10" t="s">
        <v>77</v>
      </c>
      <c r="F282" s="10"/>
      <c r="G282" s="10">
        <v>0</v>
      </c>
      <c r="H282" s="10">
        <v>0</v>
      </c>
      <c r="I282" s="10" t="s">
        <v>77</v>
      </c>
      <c r="J282" s="10">
        <v>0</v>
      </c>
      <c r="K282" s="10"/>
      <c r="L282" s="10" t="s">
        <v>2074</v>
      </c>
      <c r="M282" s="10" t="s">
        <v>2075</v>
      </c>
      <c r="N282" s="10" t="s">
        <v>3955</v>
      </c>
    </row>
    <row r="283">
      <c r="A283" t="s">
        <v>3124</v>
      </c>
      <c r="B283" t="s">
        <v>3125</v>
      </c>
      <c r="C283" t="s">
        <v>129</v>
      </c>
      <c r="D283" t="s">
        <v>2077</v>
      </c>
      <c r="E283" t="s">
        <v>77</v>
      </c>
      <c r="G283">
        <v>0</v>
      </c>
      <c r="H283">
        <v>0</v>
      </c>
      <c r="I283" t="s">
        <v>77</v>
      </c>
      <c r="J283">
        <v>0</v>
      </c>
      <c r="L283" t="s">
        <v>2074</v>
      </c>
      <c r="M283" t="s">
        <v>2075</v>
      </c>
      <c r="N283" t="s">
        <v>3956</v>
      </c>
    </row>
    <row r="284">
      <c r="A284" t="s">
        <v>3135</v>
      </c>
      <c r="B284" t="s">
        <v>3138</v>
      </c>
      <c r="C284" t="s">
        <v>97</v>
      </c>
      <c r="E284" t="s">
        <v>77</v>
      </c>
      <c r="G284">
        <v>0</v>
      </c>
      <c r="H284">
        <v>0</v>
      </c>
      <c r="I284" t="s">
        <v>77</v>
      </c>
      <c r="J284">
        <v>0</v>
      </c>
      <c r="L284" t="s">
        <v>2074</v>
      </c>
      <c r="M284" t="s">
        <v>2075</v>
      </c>
      <c r="N284" t="s">
        <v>3956</v>
      </c>
    </row>
    <row r="285">
      <c r="A285" t="s">
        <v>3147</v>
      </c>
      <c r="B285" t="s">
        <v>3148</v>
      </c>
      <c r="C285" t="s">
        <v>97</v>
      </c>
      <c r="E285" t="s">
        <v>77</v>
      </c>
      <c r="G285">
        <v>0</v>
      </c>
      <c r="H285">
        <v>0</v>
      </c>
      <c r="I285" t="s">
        <v>77</v>
      </c>
      <c r="J285">
        <v>0</v>
      </c>
      <c r="L285" t="s">
        <v>3158</v>
      </c>
      <c r="M285" t="s">
        <v>2075</v>
      </c>
      <c r="N285" t="s">
        <v>3956</v>
      </c>
    </row>
    <row r="286">
      <c r="A286" t="s">
        <v>3162</v>
      </c>
      <c r="B286" t="s">
        <v>3164</v>
      </c>
      <c r="C286" t="s">
        <v>154</v>
      </c>
      <c r="E286" t="s">
        <v>77</v>
      </c>
      <c r="G286">
        <v>0</v>
      </c>
      <c r="H286">
        <v>0</v>
      </c>
      <c r="I286" t="s">
        <v>77</v>
      </c>
      <c r="J286">
        <v>0</v>
      </c>
      <c r="L286" t="s">
        <v>2975</v>
      </c>
      <c r="M286" t="s">
        <v>3174</v>
      </c>
      <c r="N286" t="s">
        <v>3957</v>
      </c>
    </row>
    <row r="287">
      <c r="A287" t="s">
        <v>3179</v>
      </c>
      <c r="B287" t="s">
        <v>3183</v>
      </c>
      <c r="C287" t="s">
        <v>154</v>
      </c>
      <c r="E287" t="s">
        <v>77</v>
      </c>
      <c r="G287">
        <v>0</v>
      </c>
      <c r="H287">
        <v>0</v>
      </c>
      <c r="I287" t="s">
        <v>77</v>
      </c>
      <c r="J287">
        <v>0</v>
      </c>
      <c r="L287" t="s">
        <v>3193</v>
      </c>
      <c r="M287" t="s">
        <v>3194</v>
      </c>
      <c r="N287" t="s">
        <v>3957</v>
      </c>
    </row>
    <row r="288">
      <c r="A288" t="s">
        <v>3200</v>
      </c>
      <c r="B288" t="s">
        <v>3202</v>
      </c>
      <c r="C288" t="s">
        <v>154</v>
      </c>
      <c r="E288" t="s">
        <v>77</v>
      </c>
      <c r="G288">
        <v>0</v>
      </c>
      <c r="H288">
        <v>0</v>
      </c>
      <c r="I288" t="s">
        <v>77</v>
      </c>
      <c r="J288">
        <v>0</v>
      </c>
      <c r="L288" t="s">
        <v>3212</v>
      </c>
      <c r="M288" t="s">
        <v>3174</v>
      </c>
      <c r="N288" t="s">
        <v>3957</v>
      </c>
    </row>
    <row r="289">
      <c r="A289" t="s">
        <v>3216</v>
      </c>
      <c r="B289" t="s">
        <v>3219</v>
      </c>
      <c r="C289" t="s">
        <v>97</v>
      </c>
      <c r="D289" t="s">
        <v>2078</v>
      </c>
      <c r="E289" t="s">
        <v>77</v>
      </c>
      <c r="G289">
        <v>0</v>
      </c>
      <c r="H289">
        <v>0</v>
      </c>
      <c r="I289" t="s">
        <v>77</v>
      </c>
      <c r="J289">
        <v>0</v>
      </c>
      <c r="L289" t="s">
        <v>3227</v>
      </c>
      <c r="M289" t="s">
        <v>3228</v>
      </c>
      <c r="N289" t="s">
        <v>3958</v>
      </c>
    </row>
    <row r="290">
      <c r="A290" t="s">
        <v>3234</v>
      </c>
      <c r="B290" t="s">
        <v>3236</v>
      </c>
      <c r="C290" t="s">
        <v>154</v>
      </c>
      <c r="D290" t="s">
        <v>2078</v>
      </c>
      <c r="E290" t="s">
        <v>77</v>
      </c>
      <c r="G290">
        <v>0</v>
      </c>
      <c r="H290">
        <v>0</v>
      </c>
      <c r="I290" t="s">
        <v>77</v>
      </c>
      <c r="J290">
        <v>0</v>
      </c>
      <c r="L290" t="s">
        <v>3227</v>
      </c>
      <c r="M290" t="s">
        <v>3228</v>
      </c>
      <c r="N290" t="s">
        <v>3958</v>
      </c>
    </row>
    <row r="291">
      <c r="A291" t="s">
        <v>3248</v>
      </c>
      <c r="B291" t="s">
        <v>3250</v>
      </c>
      <c r="C291" t="s">
        <v>154</v>
      </c>
      <c r="D291" t="s">
        <v>2078</v>
      </c>
      <c r="E291" t="s">
        <v>77</v>
      </c>
      <c r="G291">
        <v>0</v>
      </c>
      <c r="H291">
        <v>0</v>
      </c>
      <c r="I291" t="s">
        <v>77</v>
      </c>
      <c r="J291">
        <v>0</v>
      </c>
      <c r="L291" t="s">
        <v>3258</v>
      </c>
      <c r="M291" t="s">
        <v>3259</v>
      </c>
      <c r="N291" t="s">
        <v>3958</v>
      </c>
    </row>
    <row r="292">
      <c r="A292" t="s">
        <v>3264</v>
      </c>
      <c r="B292" t="s">
        <v>3266</v>
      </c>
      <c r="C292" t="s">
        <v>154</v>
      </c>
      <c r="D292" t="s">
        <v>2078</v>
      </c>
      <c r="E292" t="s">
        <v>77</v>
      </c>
      <c r="G292">
        <v>0</v>
      </c>
      <c r="H292">
        <v>0</v>
      </c>
      <c r="I292" t="s">
        <v>77</v>
      </c>
      <c r="J292">
        <v>0</v>
      </c>
      <c r="L292" t="s">
        <v>3227</v>
      </c>
      <c r="M292" t="s">
        <v>3274</v>
      </c>
      <c r="N292" t="s">
        <v>3958</v>
      </c>
    </row>
    <row r="293">
      <c r="A293" t="s">
        <v>3280</v>
      </c>
      <c r="B293" t="s">
        <v>3282</v>
      </c>
      <c r="C293" t="s">
        <v>97</v>
      </c>
      <c r="D293" t="s">
        <v>2078</v>
      </c>
      <c r="E293" t="s">
        <v>77</v>
      </c>
      <c r="G293">
        <v>0</v>
      </c>
      <c r="H293">
        <v>0</v>
      </c>
      <c r="I293" t="s">
        <v>77</v>
      </c>
      <c r="J293">
        <v>0</v>
      </c>
      <c r="L293" t="s">
        <v>3290</v>
      </c>
      <c r="M293" t="s">
        <v>3228</v>
      </c>
      <c r="N293" t="s">
        <v>3958</v>
      </c>
    </row>
    <row r="294" ht="42">
      <c r="A294" s="28" t="s">
        <v>3295</v>
      </c>
      <c r="B294" s="25" t="s">
        <v>3298</v>
      </c>
      <c r="C294" s="25" t="s">
        <v>97</v>
      </c>
      <c r="D294" s="25" t="s">
        <v>2078</v>
      </c>
      <c r="E294" s="25" t="s">
        <v>77</v>
      </c>
      <c r="F294" s="25"/>
      <c r="G294" s="25">
        <v>0</v>
      </c>
      <c r="H294" s="25">
        <v>0</v>
      </c>
      <c r="I294" s="25" t="s">
        <v>77</v>
      </c>
      <c r="J294" s="25">
        <v>0</v>
      </c>
      <c r="K294" s="25"/>
      <c r="L294" s="25" t="s">
        <v>3304</v>
      </c>
      <c r="M294" s="25" t="s">
        <v>2852</v>
      </c>
      <c r="N294" s="25" t="s">
        <v>3959</v>
      </c>
    </row>
    <row r="295" ht="42">
      <c r="A295" s="28" t="s">
        <v>3308</v>
      </c>
      <c r="B295" s="25" t="s">
        <v>3310</v>
      </c>
      <c r="C295" s="25" t="s">
        <v>97</v>
      </c>
      <c r="D295" s="25" t="s">
        <v>2078</v>
      </c>
      <c r="E295" s="25" t="s">
        <v>77</v>
      </c>
      <c r="F295" s="25"/>
      <c r="G295" s="25">
        <v>0</v>
      </c>
      <c r="H295" s="25">
        <v>0</v>
      </c>
      <c r="I295" s="25" t="s">
        <v>77</v>
      </c>
      <c r="J295" s="25">
        <v>0</v>
      </c>
      <c r="K295" s="25"/>
      <c r="L295" s="25" t="s">
        <v>3304</v>
      </c>
      <c r="M295" s="25" t="s">
        <v>2852</v>
      </c>
      <c r="N295" s="25" t="s">
        <v>3959</v>
      </c>
    </row>
    <row r="296" ht="42">
      <c r="A296" s="28" t="s">
        <v>3319</v>
      </c>
      <c r="B296" s="25" t="s">
        <v>3320</v>
      </c>
      <c r="C296" s="25" t="s">
        <v>97</v>
      </c>
      <c r="D296" s="25" t="s">
        <v>2078</v>
      </c>
      <c r="E296" s="25" t="s">
        <v>77</v>
      </c>
      <c r="F296" s="25"/>
      <c r="G296" s="25">
        <v>0</v>
      </c>
      <c r="H296" s="25">
        <v>0</v>
      </c>
      <c r="I296" s="25" t="s">
        <v>77</v>
      </c>
      <c r="J296" s="25">
        <v>0</v>
      </c>
      <c r="K296" s="25"/>
      <c r="L296" s="25" t="s">
        <v>3304</v>
      </c>
      <c r="M296" s="25" t="s">
        <v>2852</v>
      </c>
      <c r="N296" s="25" t="s">
        <v>3959</v>
      </c>
    </row>
    <row r="297" ht="42">
      <c r="A297" s="28" t="s">
        <v>3329</v>
      </c>
      <c r="B297" s="25" t="s">
        <v>3332</v>
      </c>
      <c r="C297" s="25" t="s">
        <v>120</v>
      </c>
      <c r="D297" s="25" t="s">
        <v>2078</v>
      </c>
      <c r="E297" s="25" t="s">
        <v>77</v>
      </c>
      <c r="F297" s="25"/>
      <c r="G297" s="25">
        <v>0</v>
      </c>
      <c r="H297" s="25">
        <v>0</v>
      </c>
      <c r="I297" s="25" t="s">
        <v>77</v>
      </c>
      <c r="J297" s="25">
        <v>0</v>
      </c>
      <c r="K297" s="25"/>
      <c r="L297" s="25" t="s">
        <v>3304</v>
      </c>
      <c r="M297" s="25" t="s">
        <v>2852</v>
      </c>
      <c r="N297" s="25" t="s">
        <v>3960</v>
      </c>
    </row>
    <row r="298" ht="42">
      <c r="A298" s="28" t="s">
        <v>3344</v>
      </c>
      <c r="B298" s="25" t="s">
        <v>3345</v>
      </c>
      <c r="C298" s="25" t="s">
        <v>120</v>
      </c>
      <c r="D298" s="25" t="s">
        <v>2078</v>
      </c>
      <c r="E298" s="25" t="s">
        <v>77</v>
      </c>
      <c r="F298" s="25"/>
      <c r="G298" s="25">
        <v>0</v>
      </c>
      <c r="H298" s="25">
        <v>0</v>
      </c>
      <c r="I298" s="25" t="s">
        <v>77</v>
      </c>
      <c r="J298" s="25">
        <v>0</v>
      </c>
      <c r="K298" s="25"/>
      <c r="L298" s="25" t="s">
        <v>3304</v>
      </c>
      <c r="M298" s="25" t="s">
        <v>2852</v>
      </c>
      <c r="N298" s="25" t="s">
        <v>3960</v>
      </c>
    </row>
    <row r="299" ht="42">
      <c r="A299" s="28" t="s">
        <v>3356</v>
      </c>
      <c r="B299" s="25" t="s">
        <v>3357</v>
      </c>
      <c r="C299" s="25" t="s">
        <v>120</v>
      </c>
      <c r="D299" s="25" t="s">
        <v>2078</v>
      </c>
      <c r="E299" s="25" t="s">
        <v>77</v>
      </c>
      <c r="F299" s="25"/>
      <c r="G299" s="25">
        <v>0</v>
      </c>
      <c r="H299" s="25">
        <v>0</v>
      </c>
      <c r="I299" s="25" t="s">
        <v>77</v>
      </c>
      <c r="J299" s="25">
        <v>0</v>
      </c>
      <c r="K299" s="25"/>
      <c r="L299" s="25" t="s">
        <v>3304</v>
      </c>
      <c r="M299" s="25" t="s">
        <v>2852</v>
      </c>
      <c r="N299" s="25" t="s">
        <v>3960</v>
      </c>
    </row>
    <row r="300" ht="42">
      <c r="A300" s="28" t="s">
        <v>3366</v>
      </c>
      <c r="B300" s="25" t="s">
        <v>3367</v>
      </c>
      <c r="C300" s="25" t="s">
        <v>97</v>
      </c>
      <c r="D300" s="25" t="s">
        <v>2078</v>
      </c>
      <c r="E300" s="25" t="s">
        <v>77</v>
      </c>
      <c r="F300" s="25"/>
      <c r="G300" s="25">
        <v>0</v>
      </c>
      <c r="H300" s="25">
        <v>0</v>
      </c>
      <c r="I300" s="25" t="s">
        <v>77</v>
      </c>
      <c r="J300" s="25">
        <v>0</v>
      </c>
      <c r="K300" s="25"/>
      <c r="L300" s="25" t="s">
        <v>3304</v>
      </c>
      <c r="M300" s="25" t="s">
        <v>2852</v>
      </c>
      <c r="N300" s="25" t="s">
        <v>3960</v>
      </c>
    </row>
    <row r="301" ht="42">
      <c r="A301" s="28" t="s">
        <v>3379</v>
      </c>
      <c r="B301" s="25" t="s">
        <v>3382</v>
      </c>
      <c r="C301" s="25" t="s">
        <v>120</v>
      </c>
      <c r="D301" s="25" t="s">
        <v>2078</v>
      </c>
      <c r="E301" s="25" t="s">
        <v>77</v>
      </c>
      <c r="F301" s="25"/>
      <c r="G301" s="25">
        <v>0</v>
      </c>
      <c r="H301" s="25">
        <v>0</v>
      </c>
      <c r="I301" s="25" t="s">
        <v>77</v>
      </c>
      <c r="J301" s="25">
        <v>0</v>
      </c>
      <c r="K301" s="25"/>
      <c r="L301" s="25" t="s">
        <v>3304</v>
      </c>
      <c r="M301" s="25" t="s">
        <v>2852</v>
      </c>
      <c r="N301" s="25" t="s">
        <v>3961</v>
      </c>
    </row>
    <row r="302" ht="42">
      <c r="A302" s="28" t="s">
        <v>3391</v>
      </c>
      <c r="B302" s="25" t="s">
        <v>3392</v>
      </c>
      <c r="C302" s="25" t="s">
        <v>97</v>
      </c>
      <c r="D302" s="25" t="s">
        <v>2078</v>
      </c>
      <c r="E302" s="25" t="s">
        <v>77</v>
      </c>
      <c r="F302" s="25"/>
      <c r="G302" s="25">
        <v>0</v>
      </c>
      <c r="H302" s="25">
        <v>0</v>
      </c>
      <c r="I302" s="25" t="s">
        <v>77</v>
      </c>
      <c r="J302" s="25">
        <v>0</v>
      </c>
      <c r="K302" s="25"/>
      <c r="L302" s="25" t="s">
        <v>3304</v>
      </c>
      <c r="M302" s="25" t="s">
        <v>2852</v>
      </c>
      <c r="N302" s="25" t="s">
        <v>3961</v>
      </c>
    </row>
    <row r="303" ht="42">
      <c r="A303" s="28" t="s">
        <v>3403</v>
      </c>
      <c r="B303" s="25" t="s">
        <v>3406</v>
      </c>
      <c r="C303" s="25" t="s">
        <v>97</v>
      </c>
      <c r="D303" s="25" t="s">
        <v>2078</v>
      </c>
      <c r="E303" s="25" t="s">
        <v>77</v>
      </c>
      <c r="F303" s="25"/>
      <c r="G303" s="25">
        <v>0</v>
      </c>
      <c r="H303" s="25">
        <v>0</v>
      </c>
      <c r="I303" s="25" t="s">
        <v>77</v>
      </c>
      <c r="J303" s="25">
        <v>0</v>
      </c>
      <c r="K303" s="25"/>
      <c r="L303" s="25" t="s">
        <v>3304</v>
      </c>
      <c r="M303" s="25" t="s">
        <v>2852</v>
      </c>
      <c r="N303" s="25" t="s">
        <v>3962</v>
      </c>
    </row>
    <row r="304" ht="42">
      <c r="A304" s="28" t="s">
        <v>3417</v>
      </c>
      <c r="B304" s="25" t="s">
        <v>3418</v>
      </c>
      <c r="C304" s="25" t="s">
        <v>97</v>
      </c>
      <c r="D304" s="25" t="s">
        <v>2078</v>
      </c>
      <c r="E304" s="25" t="s">
        <v>77</v>
      </c>
      <c r="F304" s="25"/>
      <c r="G304" s="25">
        <v>0</v>
      </c>
      <c r="H304" s="25">
        <v>0</v>
      </c>
      <c r="I304" s="25" t="s">
        <v>77</v>
      </c>
      <c r="J304" s="25">
        <v>0</v>
      </c>
      <c r="K304" s="25"/>
      <c r="L304" s="25" t="s">
        <v>3304</v>
      </c>
      <c r="M304" s="25" t="s">
        <v>2852</v>
      </c>
      <c r="N304" s="25" t="s">
        <v>3962</v>
      </c>
    </row>
    <row r="305" ht="42">
      <c r="A305" s="28" t="s">
        <v>3429</v>
      </c>
      <c r="B305" s="25" t="s">
        <v>3430</v>
      </c>
      <c r="C305" s="25" t="s">
        <v>120</v>
      </c>
      <c r="D305" s="25" t="s">
        <v>2078</v>
      </c>
      <c r="E305" s="25" t="s">
        <v>77</v>
      </c>
      <c r="F305" s="25"/>
      <c r="G305" s="25">
        <v>0</v>
      </c>
      <c r="H305" s="25">
        <v>0</v>
      </c>
      <c r="I305" s="25" t="s">
        <v>77</v>
      </c>
      <c r="J305" s="25">
        <v>0</v>
      </c>
      <c r="K305" s="25"/>
      <c r="L305" s="25" t="s">
        <v>3304</v>
      </c>
      <c r="M305" s="25" t="s">
        <v>2852</v>
      </c>
      <c r="N305" s="25" t="s">
        <v>3962</v>
      </c>
    </row>
    <row r="306" ht="42">
      <c r="A306" s="28" t="s">
        <v>3440</v>
      </c>
      <c r="B306" s="25" t="s">
        <v>3441</v>
      </c>
      <c r="C306" s="25" t="s">
        <v>120</v>
      </c>
      <c r="D306" s="25" t="s">
        <v>2078</v>
      </c>
      <c r="E306" s="25" t="s">
        <v>77</v>
      </c>
      <c r="F306" s="25"/>
      <c r="G306" s="25">
        <v>0</v>
      </c>
      <c r="H306" s="25">
        <v>0</v>
      </c>
      <c r="I306" s="25" t="s">
        <v>77</v>
      </c>
      <c r="J306" s="25">
        <v>0</v>
      </c>
      <c r="K306" s="25"/>
      <c r="L306" s="25" t="s">
        <v>3304</v>
      </c>
      <c r="M306" s="25" t="s">
        <v>2852</v>
      </c>
      <c r="N306" s="25" t="s">
        <v>3962</v>
      </c>
    </row>
    <row r="307" ht="42">
      <c r="A307" s="28" t="s">
        <v>3451</v>
      </c>
      <c r="B307" s="25" t="s">
        <v>3452</v>
      </c>
      <c r="C307" s="25" t="s">
        <v>97</v>
      </c>
      <c r="D307" s="25" t="s">
        <v>2078</v>
      </c>
      <c r="E307" s="25" t="s">
        <v>77</v>
      </c>
      <c r="F307" s="25"/>
      <c r="G307" s="25">
        <v>0</v>
      </c>
      <c r="H307" s="25">
        <v>0</v>
      </c>
      <c r="I307" s="25" t="s">
        <v>77</v>
      </c>
      <c r="J307" s="25">
        <v>0</v>
      </c>
      <c r="K307" s="25"/>
      <c r="L307" s="25" t="s">
        <v>3304</v>
      </c>
      <c r="M307" s="25" t="s">
        <v>2852</v>
      </c>
      <c r="N307" s="25" t="s">
        <v>3963</v>
      </c>
    </row>
    <row r="308" ht="42">
      <c r="A308" s="28" t="s">
        <v>3465</v>
      </c>
      <c r="B308" s="25" t="s">
        <v>3466</v>
      </c>
      <c r="C308" s="25" t="s">
        <v>97</v>
      </c>
      <c r="D308" s="25" t="s">
        <v>2078</v>
      </c>
      <c r="E308" s="25" t="s">
        <v>77</v>
      </c>
      <c r="F308" s="25"/>
      <c r="G308" s="25">
        <v>0</v>
      </c>
      <c r="H308" s="25">
        <v>0</v>
      </c>
      <c r="I308" s="25" t="s">
        <v>77</v>
      </c>
      <c r="J308" s="25">
        <v>0</v>
      </c>
      <c r="K308" s="25"/>
      <c r="L308" s="25" t="s">
        <v>3304</v>
      </c>
      <c r="M308" s="25" t="s">
        <v>2852</v>
      </c>
      <c r="N308" s="25" t="s">
        <v>3963</v>
      </c>
    </row>
    <row r="309" ht="42">
      <c r="A309" s="28" t="s">
        <v>3477</v>
      </c>
      <c r="B309" s="25" t="s">
        <v>3480</v>
      </c>
      <c r="C309" s="25" t="s">
        <v>97</v>
      </c>
      <c r="D309" s="25" t="s">
        <v>2078</v>
      </c>
      <c r="E309" s="25" t="s">
        <v>77</v>
      </c>
      <c r="F309" s="25"/>
      <c r="G309" s="25">
        <v>0</v>
      </c>
      <c r="H309" s="25">
        <v>0</v>
      </c>
      <c r="I309" s="25" t="s">
        <v>77</v>
      </c>
      <c r="J309" s="25">
        <v>0</v>
      </c>
      <c r="K309" s="25"/>
      <c r="L309" s="25" t="s">
        <v>3304</v>
      </c>
      <c r="M309" s="25" t="s">
        <v>2852</v>
      </c>
      <c r="N309" s="25" t="s">
        <v>3964</v>
      </c>
    </row>
    <row r="310" ht="42">
      <c r="A310" s="28" t="s">
        <v>3492</v>
      </c>
      <c r="B310" s="25" t="s">
        <v>3493</v>
      </c>
      <c r="C310" s="25" t="s">
        <v>97</v>
      </c>
      <c r="D310" s="25" t="s">
        <v>2078</v>
      </c>
      <c r="E310" s="25" t="s">
        <v>77</v>
      </c>
      <c r="F310" s="25"/>
      <c r="G310" s="25">
        <v>0</v>
      </c>
      <c r="H310" s="25">
        <v>0</v>
      </c>
      <c r="I310" s="25" t="s">
        <v>77</v>
      </c>
      <c r="J310" s="25">
        <v>0</v>
      </c>
      <c r="K310" s="25"/>
      <c r="L310" s="25" t="s">
        <v>3304</v>
      </c>
      <c r="M310" s="25" t="s">
        <v>2852</v>
      </c>
      <c r="N310" s="25" t="s">
        <v>3964</v>
      </c>
    </row>
    <row r="311" ht="42">
      <c r="A311" s="28" t="s">
        <v>3505</v>
      </c>
      <c r="B311" s="25" t="s">
        <v>3506</v>
      </c>
      <c r="C311" s="25" t="s">
        <v>97</v>
      </c>
      <c r="D311" s="25" t="s">
        <v>2078</v>
      </c>
      <c r="E311" s="25" t="s">
        <v>77</v>
      </c>
      <c r="F311" s="25"/>
      <c r="G311" s="25">
        <v>0</v>
      </c>
      <c r="H311" s="25">
        <v>0</v>
      </c>
      <c r="I311" s="25" t="s">
        <v>77</v>
      </c>
      <c r="J311" s="25">
        <v>0</v>
      </c>
      <c r="K311" s="25"/>
      <c r="L311" s="25" t="s">
        <v>3304</v>
      </c>
      <c r="M311" s="25" t="s">
        <v>2852</v>
      </c>
      <c r="N311" s="25" t="s">
        <v>3964</v>
      </c>
    </row>
    <row r="312" ht="42">
      <c r="A312" s="28" t="s">
        <v>3516</v>
      </c>
      <c r="B312" s="25" t="s">
        <v>3518</v>
      </c>
      <c r="C312" s="25" t="s">
        <v>154</v>
      </c>
      <c r="D312" s="25" t="s">
        <v>2078</v>
      </c>
      <c r="E312" s="25" t="s">
        <v>77</v>
      </c>
      <c r="F312" s="25"/>
      <c r="G312" s="25">
        <v>0</v>
      </c>
      <c r="H312" s="25">
        <v>0</v>
      </c>
      <c r="I312" s="25" t="s">
        <v>77</v>
      </c>
      <c r="J312" s="25">
        <v>0</v>
      </c>
      <c r="K312" s="25"/>
      <c r="L312" s="25" t="s">
        <v>3304</v>
      </c>
      <c r="M312" s="25" t="s">
        <v>2852</v>
      </c>
      <c r="N312" s="25" t="s">
        <v>3965</v>
      </c>
    </row>
    <row r="313" ht="42">
      <c r="A313" s="28" t="s">
        <v>3530</v>
      </c>
      <c r="B313" s="25" t="s">
        <v>3532</v>
      </c>
      <c r="C313" s="25" t="s">
        <v>120</v>
      </c>
      <c r="D313" s="25" t="s">
        <v>2078</v>
      </c>
      <c r="E313" s="25" t="s">
        <v>77</v>
      </c>
      <c r="F313" s="25"/>
      <c r="G313" s="25">
        <v>0</v>
      </c>
      <c r="H313" s="25">
        <v>0</v>
      </c>
      <c r="I313" s="25" t="s">
        <v>77</v>
      </c>
      <c r="J313" s="25">
        <v>0</v>
      </c>
      <c r="K313" s="25"/>
      <c r="L313" s="25" t="s">
        <v>3304</v>
      </c>
      <c r="M313" s="25" t="s">
        <v>2852</v>
      </c>
      <c r="N313" s="25" t="s">
        <v>3965</v>
      </c>
    </row>
    <row r="314" ht="42">
      <c r="A314" s="28" t="s">
        <v>3544</v>
      </c>
      <c r="B314" s="25" t="s">
        <v>3547</v>
      </c>
      <c r="C314" s="25" t="s">
        <v>154</v>
      </c>
      <c r="D314" s="25" t="s">
        <v>2078</v>
      </c>
      <c r="E314" s="25" t="s">
        <v>77</v>
      </c>
      <c r="F314" s="25"/>
      <c r="G314" s="25">
        <v>0</v>
      </c>
      <c r="H314" s="25">
        <v>0</v>
      </c>
      <c r="I314" s="25" t="s">
        <v>77</v>
      </c>
      <c r="J314" s="25">
        <v>0</v>
      </c>
      <c r="K314" s="25"/>
      <c r="L314" s="25" t="s">
        <v>3304</v>
      </c>
      <c r="M314" s="25" t="s">
        <v>2852</v>
      </c>
      <c r="N314" s="25" t="s">
        <v>3966</v>
      </c>
    </row>
    <row r="315" ht="42">
      <c r="A315" s="28" t="s">
        <v>3560</v>
      </c>
      <c r="B315" s="25" t="s">
        <v>3561</v>
      </c>
      <c r="C315" s="25" t="s">
        <v>120</v>
      </c>
      <c r="D315" s="25" t="s">
        <v>2078</v>
      </c>
      <c r="E315" s="25" t="s">
        <v>77</v>
      </c>
      <c r="F315" s="25"/>
      <c r="G315" s="25">
        <v>0</v>
      </c>
      <c r="H315" s="25">
        <v>0</v>
      </c>
      <c r="I315" s="25" t="s">
        <v>77</v>
      </c>
      <c r="J315" s="25">
        <v>0</v>
      </c>
      <c r="K315" s="25"/>
      <c r="L315" s="25" t="s">
        <v>3304</v>
      </c>
      <c r="M315" s="25" t="s">
        <v>2852</v>
      </c>
      <c r="N315" s="25" t="s">
        <v>3966</v>
      </c>
    </row>
    <row r="316" ht="28">
      <c r="A316" s="28" t="s">
        <v>3573</v>
      </c>
      <c r="B316" s="25" t="s">
        <v>3576</v>
      </c>
      <c r="C316" s="25" t="s">
        <v>97</v>
      </c>
      <c r="D316" s="25" t="s">
        <v>2078</v>
      </c>
      <c r="E316" s="25" t="s">
        <v>77</v>
      </c>
      <c r="F316" s="25"/>
      <c r="G316" s="25">
        <v>0</v>
      </c>
      <c r="H316" s="25">
        <v>0</v>
      </c>
      <c r="I316" s="25" t="s">
        <v>77</v>
      </c>
      <c r="J316" s="25">
        <v>0</v>
      </c>
      <c r="K316" s="25"/>
      <c r="L316" s="25" t="s">
        <v>3304</v>
      </c>
      <c r="M316" s="25" t="s">
        <v>2852</v>
      </c>
      <c r="N316" s="25" t="s">
        <v>3967</v>
      </c>
    </row>
    <row r="317" ht="42">
      <c r="A317" s="28" t="s">
        <v>3587</v>
      </c>
      <c r="B317" s="25" t="s">
        <v>3588</v>
      </c>
      <c r="C317" s="25" t="s">
        <v>120</v>
      </c>
      <c r="D317" s="25" t="s">
        <v>2078</v>
      </c>
      <c r="E317" s="25" t="s">
        <v>77</v>
      </c>
      <c r="F317" s="25"/>
      <c r="G317" s="25">
        <v>0</v>
      </c>
      <c r="H317" s="25">
        <v>0</v>
      </c>
      <c r="I317" s="25" t="s">
        <v>77</v>
      </c>
      <c r="J317" s="25">
        <v>0</v>
      </c>
      <c r="K317" s="25"/>
      <c r="L317" s="25" t="s">
        <v>3304</v>
      </c>
      <c r="M317" s="25" t="s">
        <v>2852</v>
      </c>
      <c r="N317" s="25" t="s">
        <v>3962</v>
      </c>
    </row>
    <row r="318">
      <c r="A318" t="s">
        <v>3598</v>
      </c>
      <c r="B318" t="s">
        <v>3602</v>
      </c>
      <c r="C318" t="s">
        <v>97</v>
      </c>
      <c r="D318" t="s">
        <v>2078</v>
      </c>
      <c r="E318" t="s">
        <v>77</v>
      </c>
      <c r="F318" t="s">
        <v>3939</v>
      </c>
      <c r="G318" t="s">
        <v>3939</v>
      </c>
      <c r="H318" t="s">
        <v>3939</v>
      </c>
      <c r="I318" t="s">
        <v>77</v>
      </c>
      <c r="J318" t="s">
        <v>3939</v>
      </c>
      <c r="K318" t="s">
        <v>3940</v>
      </c>
      <c r="L318" t="s">
        <v>3610</v>
      </c>
      <c r="M318" t="s">
        <v>3611</v>
      </c>
      <c r="N318" t="s">
        <v>3968</v>
      </c>
    </row>
    <row r="319">
      <c r="A319" t="s">
        <v>3619</v>
      </c>
      <c r="B319" t="s">
        <v>3620</v>
      </c>
      <c r="C319" t="s">
        <v>97</v>
      </c>
      <c r="D319" t="s">
        <v>2078</v>
      </c>
      <c r="E319" t="s">
        <v>77</v>
      </c>
      <c r="F319" t="s">
        <v>3939</v>
      </c>
      <c r="G319" t="s">
        <v>3939</v>
      </c>
      <c r="H319" t="s">
        <v>3939</v>
      </c>
      <c r="I319" t="s">
        <v>77</v>
      </c>
      <c r="J319" t="s">
        <v>3939</v>
      </c>
      <c r="K319" t="s">
        <v>3940</v>
      </c>
      <c r="L319" t="s">
        <v>3610</v>
      </c>
      <c r="M319" t="s">
        <v>3611</v>
      </c>
      <c r="N319" t="s">
        <v>3968</v>
      </c>
    </row>
    <row r="320">
      <c r="A320" t="s">
        <v>3626</v>
      </c>
      <c r="B320" t="s">
        <v>3627</v>
      </c>
      <c r="C320" t="s">
        <v>97</v>
      </c>
      <c r="D320" t="s">
        <v>2078</v>
      </c>
      <c r="E320" t="s">
        <v>77</v>
      </c>
      <c r="F320" t="s">
        <v>3939</v>
      </c>
      <c r="G320" t="s">
        <v>3939</v>
      </c>
      <c r="H320" t="s">
        <v>3939</v>
      </c>
      <c r="I320" t="s">
        <v>77</v>
      </c>
      <c r="J320" t="s">
        <v>3939</v>
      </c>
      <c r="K320" t="s">
        <v>3940</v>
      </c>
      <c r="L320" t="s">
        <v>3610</v>
      </c>
      <c r="M320" t="s">
        <v>3611</v>
      </c>
      <c r="N320" t="s">
        <v>3968</v>
      </c>
    </row>
    <row r="321">
      <c r="A321" t="s">
        <v>3633</v>
      </c>
      <c r="B321" t="s">
        <v>3634</v>
      </c>
      <c r="C321" t="s">
        <v>97</v>
      </c>
      <c r="D321" t="s">
        <v>2078</v>
      </c>
      <c r="E321" t="s">
        <v>77</v>
      </c>
      <c r="F321" t="s">
        <v>3939</v>
      </c>
      <c r="G321" t="s">
        <v>3939</v>
      </c>
      <c r="H321" t="s">
        <v>3939</v>
      </c>
      <c r="I321" t="s">
        <v>77</v>
      </c>
      <c r="J321" t="s">
        <v>3939</v>
      </c>
      <c r="K321" t="s">
        <v>3940</v>
      </c>
      <c r="L321" t="s">
        <v>3610</v>
      </c>
      <c r="M321" t="s">
        <v>3611</v>
      </c>
      <c r="N321" t="s">
        <v>3968</v>
      </c>
    </row>
    <row r="322">
      <c r="A322" t="s">
        <v>3640</v>
      </c>
      <c r="B322" t="s">
        <v>3641</v>
      </c>
      <c r="C322" t="s">
        <v>97</v>
      </c>
      <c r="D322" t="s">
        <v>2078</v>
      </c>
      <c r="E322" t="s">
        <v>77</v>
      </c>
      <c r="F322" t="s">
        <v>3939</v>
      </c>
      <c r="G322" t="s">
        <v>3939</v>
      </c>
      <c r="H322" t="s">
        <v>3939</v>
      </c>
      <c r="I322" t="s">
        <v>77</v>
      </c>
      <c r="J322" t="s">
        <v>3939</v>
      </c>
      <c r="K322" t="s">
        <v>3940</v>
      </c>
      <c r="L322" t="s">
        <v>3610</v>
      </c>
      <c r="M322" t="s">
        <v>3611</v>
      </c>
      <c r="N322" t="s">
        <v>3968</v>
      </c>
    </row>
    <row r="323">
      <c r="A323" t="s">
        <v>3647</v>
      </c>
      <c r="B323" t="s">
        <v>3648</v>
      </c>
      <c r="C323" t="s">
        <v>97</v>
      </c>
      <c r="D323" t="s">
        <v>2078</v>
      </c>
      <c r="E323" t="s">
        <v>77</v>
      </c>
      <c r="F323" t="s">
        <v>3939</v>
      </c>
      <c r="G323" t="s">
        <v>3939</v>
      </c>
      <c r="H323" t="s">
        <v>3939</v>
      </c>
      <c r="I323" t="s">
        <v>77</v>
      </c>
      <c r="J323" t="s">
        <v>3939</v>
      </c>
      <c r="K323" t="s">
        <v>3940</v>
      </c>
      <c r="L323" t="s">
        <v>3610</v>
      </c>
      <c r="M323" t="s">
        <v>3611</v>
      </c>
      <c r="N323" t="s">
        <v>3968</v>
      </c>
    </row>
    <row r="324">
      <c r="A324" t="s">
        <v>3654</v>
      </c>
      <c r="B324" t="s">
        <v>3657</v>
      </c>
      <c r="C324" t="s">
        <v>97</v>
      </c>
      <c r="D324" t="s">
        <v>2078</v>
      </c>
      <c r="E324" t="s">
        <v>77</v>
      </c>
      <c r="F324" t="s">
        <v>3939</v>
      </c>
      <c r="G324" t="s">
        <v>3939</v>
      </c>
      <c r="H324" t="s">
        <v>3939</v>
      </c>
      <c r="I324" t="s">
        <v>77</v>
      </c>
      <c r="J324" t="s">
        <v>3939</v>
      </c>
      <c r="K324" t="s">
        <v>3940</v>
      </c>
      <c r="L324" t="s">
        <v>3610</v>
      </c>
      <c r="M324" t="s">
        <v>3611</v>
      </c>
      <c r="N324" t="s">
        <v>3969</v>
      </c>
    </row>
    <row r="325">
      <c r="A325" t="s">
        <v>3664</v>
      </c>
      <c r="B325" t="s">
        <v>3665</v>
      </c>
      <c r="C325" t="s">
        <v>97</v>
      </c>
      <c r="D325" t="s">
        <v>2078</v>
      </c>
      <c r="E325" t="s">
        <v>77</v>
      </c>
      <c r="F325" t="s">
        <v>3939</v>
      </c>
      <c r="G325" t="s">
        <v>3939</v>
      </c>
      <c r="H325" t="s">
        <v>3939</v>
      </c>
      <c r="I325" t="s">
        <v>77</v>
      </c>
      <c r="J325" t="s">
        <v>3939</v>
      </c>
      <c r="K325" t="s">
        <v>3940</v>
      </c>
      <c r="L325" t="s">
        <v>3610</v>
      </c>
      <c r="M325" t="s">
        <v>3611</v>
      </c>
      <c r="N325" t="s">
        <v>3969</v>
      </c>
    </row>
    <row r="326">
      <c r="A326" t="s">
        <v>3671</v>
      </c>
      <c r="B326" t="s">
        <v>3672</v>
      </c>
      <c r="C326" t="s">
        <v>97</v>
      </c>
      <c r="D326" t="s">
        <v>2078</v>
      </c>
      <c r="E326" t="s">
        <v>77</v>
      </c>
      <c r="F326" t="s">
        <v>3939</v>
      </c>
      <c r="G326" t="s">
        <v>3939</v>
      </c>
      <c r="H326" t="s">
        <v>3939</v>
      </c>
      <c r="I326" t="s">
        <v>77</v>
      </c>
      <c r="J326" t="s">
        <v>3939</v>
      </c>
      <c r="K326" t="s">
        <v>3940</v>
      </c>
      <c r="L326" t="s">
        <v>3610</v>
      </c>
      <c r="M326" t="s">
        <v>3611</v>
      </c>
      <c r="N326" t="s">
        <v>3969</v>
      </c>
    </row>
    <row r="327">
      <c r="A327" t="s">
        <v>3678</v>
      </c>
      <c r="B327" t="s">
        <v>3679</v>
      </c>
      <c r="C327" t="s">
        <v>97</v>
      </c>
      <c r="D327" t="s">
        <v>2078</v>
      </c>
      <c r="E327" t="s">
        <v>77</v>
      </c>
      <c r="F327" t="s">
        <v>3939</v>
      </c>
      <c r="G327" t="s">
        <v>3939</v>
      </c>
      <c r="H327" t="s">
        <v>3939</v>
      </c>
      <c r="I327" t="s">
        <v>77</v>
      </c>
      <c r="J327" t="s">
        <v>3939</v>
      </c>
      <c r="K327" t="s">
        <v>3940</v>
      </c>
      <c r="L327" t="s">
        <v>3610</v>
      </c>
      <c r="M327" t="s">
        <v>3611</v>
      </c>
      <c r="N327" t="s">
        <v>3969</v>
      </c>
    </row>
    <row r="328">
      <c r="A328" t="s">
        <v>3685</v>
      </c>
      <c r="B328" t="s">
        <v>3686</v>
      </c>
      <c r="C328" t="s">
        <v>97</v>
      </c>
      <c r="D328" t="s">
        <v>2078</v>
      </c>
      <c r="E328" t="s">
        <v>77</v>
      </c>
      <c r="F328" t="s">
        <v>3939</v>
      </c>
      <c r="G328" t="s">
        <v>3939</v>
      </c>
      <c r="H328" t="s">
        <v>3939</v>
      </c>
      <c r="I328" t="s">
        <v>77</v>
      </c>
      <c r="J328" t="s">
        <v>3939</v>
      </c>
      <c r="K328" t="s">
        <v>3940</v>
      </c>
      <c r="L328" t="s">
        <v>3610</v>
      </c>
      <c r="M328" t="s">
        <v>3611</v>
      </c>
      <c r="N328" t="s">
        <v>3969</v>
      </c>
    </row>
    <row r="329">
      <c r="A329" t="s">
        <v>3692</v>
      </c>
      <c r="B329" t="s">
        <v>3693</v>
      </c>
      <c r="C329" t="s">
        <v>97</v>
      </c>
      <c r="D329" t="s">
        <v>2078</v>
      </c>
      <c r="E329" t="s">
        <v>77</v>
      </c>
      <c r="F329" t="s">
        <v>3939</v>
      </c>
      <c r="G329" t="s">
        <v>3939</v>
      </c>
      <c r="H329" t="s">
        <v>3939</v>
      </c>
      <c r="I329" t="s">
        <v>77</v>
      </c>
      <c r="J329" t="s">
        <v>3939</v>
      </c>
      <c r="K329" t="s">
        <v>3940</v>
      </c>
      <c r="L329" t="s">
        <v>3610</v>
      </c>
      <c r="M329" t="s">
        <v>3611</v>
      </c>
      <c r="N329" t="s">
        <v>3969</v>
      </c>
    </row>
    <row r="330">
      <c r="A330" t="s">
        <v>3699</v>
      </c>
      <c r="B330" t="s">
        <v>3700</v>
      </c>
      <c r="C330" t="s">
        <v>154</v>
      </c>
      <c r="D330" t="s">
        <v>2078</v>
      </c>
      <c r="E330" t="s">
        <v>77</v>
      </c>
      <c r="F330" t="s">
        <v>3939</v>
      </c>
      <c r="G330" t="s">
        <v>3939</v>
      </c>
      <c r="H330" t="s">
        <v>3939</v>
      </c>
      <c r="I330" t="s">
        <v>77</v>
      </c>
      <c r="J330" t="s">
        <v>3939</v>
      </c>
      <c r="K330" t="s">
        <v>3940</v>
      </c>
      <c r="L330" t="s">
        <v>3610</v>
      </c>
      <c r="M330" t="s">
        <v>3611</v>
      </c>
      <c r="N330" t="s">
        <v>3969</v>
      </c>
    </row>
    <row r="331">
      <c r="A331" t="s">
        <v>3706</v>
      </c>
      <c r="B331" t="s">
        <v>3707</v>
      </c>
      <c r="C331" t="s">
        <v>154</v>
      </c>
      <c r="D331" t="s">
        <v>2078</v>
      </c>
      <c r="E331" t="s">
        <v>77</v>
      </c>
      <c r="F331" t="s">
        <v>3939</v>
      </c>
      <c r="G331" t="s">
        <v>3939</v>
      </c>
      <c r="H331" t="s">
        <v>3939</v>
      </c>
      <c r="I331" t="s">
        <v>77</v>
      </c>
      <c r="J331" t="s">
        <v>3939</v>
      </c>
      <c r="K331" t="s">
        <v>3940</v>
      </c>
      <c r="L331" t="s">
        <v>3610</v>
      </c>
      <c r="M331" t="s">
        <v>3611</v>
      </c>
      <c r="N331" t="s">
        <v>3969</v>
      </c>
    </row>
    <row r="332">
      <c r="A332" t="s">
        <v>3713</v>
      </c>
      <c r="B332" t="s">
        <v>3714</v>
      </c>
      <c r="C332" t="s">
        <v>97</v>
      </c>
      <c r="D332" t="s">
        <v>2078</v>
      </c>
      <c r="E332" t="s">
        <v>77</v>
      </c>
      <c r="F332" t="s">
        <v>3939</v>
      </c>
      <c r="G332" t="s">
        <v>3939</v>
      </c>
      <c r="H332" t="s">
        <v>3939</v>
      </c>
      <c r="I332" t="s">
        <v>77</v>
      </c>
      <c r="J332" t="s">
        <v>3939</v>
      </c>
      <c r="K332" t="s">
        <v>3940</v>
      </c>
      <c r="L332" t="s">
        <v>3610</v>
      </c>
      <c r="M332" t="s">
        <v>3611</v>
      </c>
      <c r="N332" t="s">
        <v>3969</v>
      </c>
    </row>
    <row r="333">
      <c r="A333" t="s">
        <v>3720</v>
      </c>
      <c r="B333" t="s">
        <v>3721</v>
      </c>
      <c r="C333" t="s">
        <v>97</v>
      </c>
      <c r="D333" t="s">
        <v>2078</v>
      </c>
      <c r="E333" t="s">
        <v>77</v>
      </c>
      <c r="F333" t="s">
        <v>3939</v>
      </c>
      <c r="G333" t="s">
        <v>3939</v>
      </c>
      <c r="H333" t="s">
        <v>3939</v>
      </c>
      <c r="I333" t="s">
        <v>77</v>
      </c>
      <c r="J333" t="s">
        <v>3939</v>
      </c>
      <c r="K333" t="s">
        <v>3940</v>
      </c>
      <c r="L333" t="s">
        <v>3610</v>
      </c>
      <c r="M333" t="s">
        <v>3611</v>
      </c>
      <c r="N333" t="s">
        <v>3969</v>
      </c>
    </row>
    <row r="334">
      <c r="A334" t="s">
        <v>3727</v>
      </c>
      <c r="B334" t="s">
        <v>3730</v>
      </c>
      <c r="C334" t="s">
        <v>120</v>
      </c>
      <c r="D334" t="s">
        <v>2078</v>
      </c>
      <c r="E334" t="s">
        <v>77</v>
      </c>
      <c r="F334" t="s">
        <v>3939</v>
      </c>
      <c r="G334" t="s">
        <v>3939</v>
      </c>
      <c r="H334" t="s">
        <v>3939</v>
      </c>
      <c r="I334" t="s">
        <v>77</v>
      </c>
      <c r="J334" t="s">
        <v>3939</v>
      </c>
      <c r="K334" t="s">
        <v>3940</v>
      </c>
      <c r="L334" t="s">
        <v>3610</v>
      </c>
      <c r="M334" t="s">
        <v>3611</v>
      </c>
      <c r="N334" t="s">
        <v>3970</v>
      </c>
    </row>
    <row r="335">
      <c r="A335" t="s">
        <v>3737</v>
      </c>
      <c r="B335" t="s">
        <v>3738</v>
      </c>
      <c r="C335" t="s">
        <v>120</v>
      </c>
      <c r="D335" t="s">
        <v>2078</v>
      </c>
      <c r="E335" t="s">
        <v>77</v>
      </c>
      <c r="F335" t="s">
        <v>3939</v>
      </c>
      <c r="G335" t="s">
        <v>3939</v>
      </c>
      <c r="H335" t="s">
        <v>3939</v>
      </c>
      <c r="I335" t="s">
        <v>77</v>
      </c>
      <c r="J335" t="s">
        <v>3939</v>
      </c>
      <c r="K335" t="s">
        <v>3940</v>
      </c>
      <c r="L335" t="s">
        <v>3610</v>
      </c>
      <c r="M335" t="s">
        <v>3611</v>
      </c>
      <c r="N335" t="s">
        <v>3970</v>
      </c>
    </row>
    <row r="336">
      <c r="A336" t="s">
        <v>3744</v>
      </c>
      <c r="B336" t="s">
        <v>3745</v>
      </c>
      <c r="C336" t="s">
        <v>120</v>
      </c>
      <c r="D336" t="s">
        <v>2078</v>
      </c>
      <c r="E336" t="s">
        <v>77</v>
      </c>
      <c r="F336" t="s">
        <v>3939</v>
      </c>
      <c r="G336" t="s">
        <v>3939</v>
      </c>
      <c r="H336" t="s">
        <v>3939</v>
      </c>
      <c r="I336" t="s">
        <v>77</v>
      </c>
      <c r="J336" t="s">
        <v>3939</v>
      </c>
      <c r="K336" t="s">
        <v>3940</v>
      </c>
      <c r="L336" t="s">
        <v>3610</v>
      </c>
      <c r="M336" t="s">
        <v>3611</v>
      </c>
      <c r="N336" t="s">
        <v>3970</v>
      </c>
    </row>
    <row r="337">
      <c r="A337" t="s">
        <v>3751</v>
      </c>
      <c r="B337" t="s">
        <v>3752</v>
      </c>
      <c r="C337" t="s">
        <v>120</v>
      </c>
      <c r="D337" t="s">
        <v>2078</v>
      </c>
      <c r="E337" t="s">
        <v>77</v>
      </c>
      <c r="F337" t="s">
        <v>3939</v>
      </c>
      <c r="G337" t="s">
        <v>3939</v>
      </c>
      <c r="H337" t="s">
        <v>3939</v>
      </c>
      <c r="I337" t="s">
        <v>77</v>
      </c>
      <c r="J337" t="s">
        <v>3939</v>
      </c>
      <c r="K337" t="s">
        <v>3940</v>
      </c>
      <c r="L337" t="s">
        <v>3610</v>
      </c>
      <c r="M337" t="s">
        <v>3611</v>
      </c>
      <c r="N337" t="s">
        <v>3970</v>
      </c>
    </row>
    <row r="338">
      <c r="A338" t="s">
        <v>3758</v>
      </c>
      <c r="B338" t="s">
        <v>3759</v>
      </c>
      <c r="C338" t="s">
        <v>120</v>
      </c>
      <c r="D338" t="s">
        <v>2078</v>
      </c>
      <c r="E338" t="s">
        <v>77</v>
      </c>
      <c r="F338" t="s">
        <v>3939</v>
      </c>
      <c r="G338" t="s">
        <v>3939</v>
      </c>
      <c r="H338" t="s">
        <v>3939</v>
      </c>
      <c r="I338" t="s">
        <v>77</v>
      </c>
      <c r="J338" t="s">
        <v>3939</v>
      </c>
      <c r="K338" t="s">
        <v>3940</v>
      </c>
      <c r="L338" t="s">
        <v>3610</v>
      </c>
      <c r="M338" t="s">
        <v>3611</v>
      </c>
      <c r="N338" t="s">
        <v>3970</v>
      </c>
    </row>
    <row r="339">
      <c r="A339" t="s">
        <v>3765</v>
      </c>
      <c r="B339" t="s">
        <v>3766</v>
      </c>
      <c r="C339" t="s">
        <v>120</v>
      </c>
      <c r="D339" t="s">
        <v>2078</v>
      </c>
      <c r="E339" t="s">
        <v>77</v>
      </c>
      <c r="F339" t="s">
        <v>3939</v>
      </c>
      <c r="G339" t="s">
        <v>3939</v>
      </c>
      <c r="H339" t="s">
        <v>3939</v>
      </c>
      <c r="I339" t="s">
        <v>77</v>
      </c>
      <c r="J339" t="s">
        <v>3939</v>
      </c>
      <c r="K339" t="s">
        <v>3940</v>
      </c>
      <c r="L339" t="s">
        <v>3610</v>
      </c>
      <c r="M339" t="s">
        <v>3611</v>
      </c>
      <c r="N339" t="s">
        <v>3970</v>
      </c>
    </row>
    <row r="340">
      <c r="A340" t="s">
        <v>3772</v>
      </c>
      <c r="B340" t="s">
        <v>3773</v>
      </c>
      <c r="C340" t="s">
        <v>120</v>
      </c>
      <c r="D340" t="s">
        <v>2078</v>
      </c>
      <c r="E340" t="s">
        <v>77</v>
      </c>
      <c r="F340" t="s">
        <v>3939</v>
      </c>
      <c r="G340" t="s">
        <v>3939</v>
      </c>
      <c r="H340" t="s">
        <v>3939</v>
      </c>
      <c r="I340" t="s">
        <v>77</v>
      </c>
      <c r="J340" t="s">
        <v>3939</v>
      </c>
      <c r="K340" t="s">
        <v>3940</v>
      </c>
      <c r="L340" t="s">
        <v>3610</v>
      </c>
      <c r="M340" t="s">
        <v>3611</v>
      </c>
      <c r="N340" t="s">
        <v>3970</v>
      </c>
    </row>
    <row r="341">
      <c r="A341" t="s">
        <v>3779</v>
      </c>
      <c r="B341" t="s">
        <v>3782</v>
      </c>
      <c r="C341" t="s">
        <v>3783</v>
      </c>
      <c r="D341" t="s">
        <v>2078</v>
      </c>
      <c r="E341" t="s">
        <v>77</v>
      </c>
      <c r="F341" t="s">
        <v>3939</v>
      </c>
      <c r="G341" t="s">
        <v>3939</v>
      </c>
      <c r="H341" t="s">
        <v>3939</v>
      </c>
      <c r="I341" t="s">
        <v>77</v>
      </c>
      <c r="J341" t="s">
        <v>3939</v>
      </c>
      <c r="K341" t="s">
        <v>3940</v>
      </c>
      <c r="L341" t="s">
        <v>3610</v>
      </c>
      <c r="M341" t="s">
        <v>3611</v>
      </c>
      <c r="N341" t="s">
        <v>3971</v>
      </c>
    </row>
    <row r="342">
      <c r="A342" t="s">
        <v>3792</v>
      </c>
      <c r="B342" t="s">
        <v>3793</v>
      </c>
      <c r="C342" t="s">
        <v>3783</v>
      </c>
      <c r="D342" t="s">
        <v>2078</v>
      </c>
      <c r="E342" t="s">
        <v>77</v>
      </c>
      <c r="F342" t="s">
        <v>3939</v>
      </c>
      <c r="G342" t="s">
        <v>3939</v>
      </c>
      <c r="H342" t="s">
        <v>3939</v>
      </c>
      <c r="I342" t="s">
        <v>77</v>
      </c>
      <c r="J342" t="s">
        <v>3939</v>
      </c>
      <c r="K342" t="s">
        <v>3940</v>
      </c>
      <c r="L342" t="s">
        <v>3610</v>
      </c>
      <c r="M342" t="s">
        <v>3611</v>
      </c>
      <c r="N342" t="s">
        <v>3971</v>
      </c>
    </row>
    <row r="343">
      <c r="A343" t="s">
        <v>3799</v>
      </c>
      <c r="B343" t="s">
        <v>3800</v>
      </c>
      <c r="C343" t="s">
        <v>3783</v>
      </c>
      <c r="D343" t="s">
        <v>2078</v>
      </c>
      <c r="E343" t="s">
        <v>77</v>
      </c>
      <c r="F343" t="s">
        <v>3939</v>
      </c>
      <c r="G343" t="s">
        <v>3939</v>
      </c>
      <c r="H343" t="s">
        <v>3939</v>
      </c>
      <c r="I343" t="s">
        <v>77</v>
      </c>
      <c r="J343" t="s">
        <v>3939</v>
      </c>
      <c r="K343" t="s">
        <v>3940</v>
      </c>
      <c r="L343" t="s">
        <v>3610</v>
      </c>
      <c r="M343" t="s">
        <v>3611</v>
      </c>
      <c r="N343" t="s">
        <v>3971</v>
      </c>
    </row>
    <row r="344">
      <c r="A344" t="s">
        <v>3806</v>
      </c>
      <c r="B344" t="s">
        <v>3807</v>
      </c>
      <c r="C344" t="s">
        <v>3783</v>
      </c>
      <c r="D344" t="s">
        <v>2078</v>
      </c>
      <c r="E344" t="s">
        <v>77</v>
      </c>
      <c r="F344" t="s">
        <v>3939</v>
      </c>
      <c r="G344" t="s">
        <v>3939</v>
      </c>
      <c r="H344" t="s">
        <v>3939</v>
      </c>
      <c r="I344" t="s">
        <v>77</v>
      </c>
      <c r="J344" t="s">
        <v>3939</v>
      </c>
      <c r="K344" t="s">
        <v>3940</v>
      </c>
      <c r="L344" t="s">
        <v>3610</v>
      </c>
      <c r="M344" t="s">
        <v>3611</v>
      </c>
      <c r="N344" t="s">
        <v>3971</v>
      </c>
    </row>
    <row r="345">
      <c r="A345" t="s">
        <v>3813</v>
      </c>
      <c r="B345" t="s">
        <v>3814</v>
      </c>
      <c r="C345" t="s">
        <v>3783</v>
      </c>
      <c r="D345" t="s">
        <v>2078</v>
      </c>
      <c r="E345" t="s">
        <v>77</v>
      </c>
      <c r="F345" t="s">
        <v>3939</v>
      </c>
      <c r="G345" t="s">
        <v>3939</v>
      </c>
      <c r="H345" t="s">
        <v>3939</v>
      </c>
      <c r="I345" t="s">
        <v>77</v>
      </c>
      <c r="J345" t="s">
        <v>3939</v>
      </c>
      <c r="K345" t="s">
        <v>3940</v>
      </c>
      <c r="L345" t="s">
        <v>3610</v>
      </c>
      <c r="M345" t="s">
        <v>3611</v>
      </c>
      <c r="N345" t="s">
        <v>3971</v>
      </c>
    </row>
    <row r="346">
      <c r="A346" t="s">
        <v>3820</v>
      </c>
      <c r="B346" t="s">
        <v>3821</v>
      </c>
      <c r="C346" t="s">
        <v>3783</v>
      </c>
      <c r="D346" t="s">
        <v>2078</v>
      </c>
      <c r="E346" t="s">
        <v>77</v>
      </c>
      <c r="F346" t="s">
        <v>3939</v>
      </c>
      <c r="G346" t="s">
        <v>3939</v>
      </c>
      <c r="H346" t="s">
        <v>3939</v>
      </c>
      <c r="I346" t="s">
        <v>77</v>
      </c>
      <c r="J346" t="s">
        <v>3939</v>
      </c>
      <c r="K346" t="s">
        <v>3940</v>
      </c>
      <c r="L346" t="s">
        <v>3610</v>
      </c>
      <c r="M346" t="s">
        <v>3611</v>
      </c>
      <c r="N346" t="s">
        <v>3971</v>
      </c>
    </row>
    <row r="347">
      <c r="A347" t="s">
        <v>3827</v>
      </c>
      <c r="B347" t="s">
        <v>3830</v>
      </c>
      <c r="C347" t="s">
        <v>97</v>
      </c>
      <c r="D347" t="s">
        <v>2078</v>
      </c>
      <c r="E347" t="s">
        <v>77</v>
      </c>
      <c r="F347" t="s">
        <v>3939</v>
      </c>
      <c r="G347" t="s">
        <v>3939</v>
      </c>
      <c r="H347" t="s">
        <v>3939</v>
      </c>
      <c r="I347" t="s">
        <v>77</v>
      </c>
      <c r="J347" t="s">
        <v>3939</v>
      </c>
      <c r="K347" t="s">
        <v>3940</v>
      </c>
      <c r="L347" t="s">
        <v>3610</v>
      </c>
      <c r="M347" t="s">
        <v>3611</v>
      </c>
      <c r="N347" t="s">
        <v>3972</v>
      </c>
    </row>
    <row r="348">
      <c r="A348" t="s">
        <v>3837</v>
      </c>
      <c r="B348" t="s">
        <v>3838</v>
      </c>
      <c r="C348" t="s">
        <v>120</v>
      </c>
      <c r="D348" t="s">
        <v>2078</v>
      </c>
      <c r="E348" t="s">
        <v>77</v>
      </c>
      <c r="F348" t="s">
        <v>3939</v>
      </c>
      <c r="G348" t="s">
        <v>3939</v>
      </c>
      <c r="H348" t="s">
        <v>3939</v>
      </c>
      <c r="I348" t="s">
        <v>77</v>
      </c>
      <c r="J348" t="s">
        <v>3939</v>
      </c>
      <c r="K348" t="s">
        <v>3940</v>
      </c>
      <c r="L348" t="s">
        <v>3610</v>
      </c>
      <c r="M348" t="s">
        <v>3611</v>
      </c>
      <c r="N348" t="s">
        <v>3972</v>
      </c>
    </row>
    <row r="349" ht="38" customHeight="1">
      <c r="A349" s="74" t="s">
        <v>7286</v>
      </c>
      <c r="B349" s="74" t="s">
        <v>7291</v>
      </c>
      <c r="C349" s="74" t="s">
        <v>120</v>
      </c>
      <c r="D349" s="74" t="s">
        <v>7303</v>
      </c>
      <c r="E349" s="74" t="str">
        <v>NO</v>
      </c>
      <c r="F349" s="74"/>
      <c r="G349" s="74" t="n">
        <v>0</v>
      </c>
      <c r="H349" s="74" t="n">
        <v>0</v>
      </c>
      <c r="I349" s="74" t="str">
        <v>NO</v>
      </c>
      <c r="J349" s="74" t="n">
        <v>0</v>
      </c>
      <c r="K349" s="74"/>
      <c r="L349" s="74" t="s">
        <v>7300</v>
      </c>
      <c r="M349" s="74" t="s">
        <v>7301</v>
      </c>
      <c r="N349" s="74" t="s">
        <v>7369</v>
      </c>
    </row>
    <row r="350" ht="38" customHeight="1">
      <c r="A350" s="74" t="s">
        <v>7308</v>
      </c>
      <c r="B350" s="74" t="s">
        <v>7311</v>
      </c>
      <c r="C350" s="74" t="s">
        <v>154</v>
      </c>
      <c r="D350" s="74" t="s">
        <v>7318</v>
      </c>
      <c r="E350" s="74" t="str">
        <v>NO</v>
      </c>
      <c r="F350" s="74"/>
      <c r="G350" s="74" t="n">
        <v>0</v>
      </c>
      <c r="H350" s="74" t="n">
        <v>0</v>
      </c>
      <c r="I350" s="74" t="str">
        <v>NO</v>
      </c>
      <c r="J350" s="74" t="n">
        <v>0</v>
      </c>
      <c r="K350" s="74"/>
      <c r="L350" s="74" t="s">
        <v>7300</v>
      </c>
      <c r="M350" s="74" t="s">
        <v>7301</v>
      </c>
      <c r="N350" s="74" t="s">
        <v>7369</v>
      </c>
    </row>
    <row r="351" ht="38" customHeight="1">
      <c r="A351" s="74" t="s">
        <v>7321</v>
      </c>
      <c r="B351" s="74" t="s">
        <v>7324</v>
      </c>
      <c r="C351" s="74" t="s">
        <v>120</v>
      </c>
      <c r="D351" s="74" t="s">
        <v>7303</v>
      </c>
      <c r="E351" s="74" t="str">
        <v>NO</v>
      </c>
      <c r="F351" s="74"/>
      <c r="G351" s="74" t="n">
        <v>0</v>
      </c>
      <c r="H351" s="74" t="n">
        <v>0</v>
      </c>
      <c r="I351" s="74" t="str">
        <v>NO</v>
      </c>
      <c r="J351" s="74" t="n">
        <v>0</v>
      </c>
      <c r="K351" s="74"/>
      <c r="L351" s="74" t="s">
        <v>7300</v>
      </c>
      <c r="M351" s="74" t="s">
        <v>7301</v>
      </c>
      <c r="N351" s="74" t="s">
        <v>7369</v>
      </c>
    </row>
    <row r="352" ht="38" customHeight="1">
      <c r="A352" s="74" t="s">
        <v>7334</v>
      </c>
      <c r="B352" s="74" t="s">
        <v>7337</v>
      </c>
      <c r="C352" s="74" t="s">
        <v>3783</v>
      </c>
      <c r="D352" s="74" t="s">
        <v>7303</v>
      </c>
      <c r="E352" s="74" t="str">
        <v>NO</v>
      </c>
      <c r="F352" s="74"/>
      <c r="G352" s="74" t="n">
        <v>0</v>
      </c>
      <c r="H352" s="74" t="n">
        <v>0</v>
      </c>
      <c r="I352" s="74" t="str">
        <v>NO</v>
      </c>
      <c r="J352" s="74" t="n">
        <v>0</v>
      </c>
      <c r="K352" s="74"/>
      <c r="L352" s="74" t="s">
        <v>7300</v>
      </c>
      <c r="M352" s="74" t="s">
        <v>7301</v>
      </c>
      <c r="N352" s="74" t="s">
        <v>7369</v>
      </c>
    </row>
    <row r="353" ht="38" customHeight="1">
      <c r="A353" s="74" t="s">
        <v>7346</v>
      </c>
      <c r="B353" s="74" t="s">
        <v>7349</v>
      </c>
      <c r="C353" s="74" t="s">
        <v>154</v>
      </c>
      <c r="D353" s="74" t="s">
        <v>7318</v>
      </c>
      <c r="E353" s="74" t="str">
        <v>NO</v>
      </c>
      <c r="F353" s="74"/>
      <c r="G353" s="74" t="n">
        <v>0</v>
      </c>
      <c r="H353" s="74" t="n">
        <v>0</v>
      </c>
      <c r="I353" s="74" t="str">
        <v>NO</v>
      </c>
      <c r="J353" s="74" t="n">
        <v>0</v>
      </c>
      <c r="K353" s="74"/>
      <c r="L353" s="74" t="s">
        <v>7300</v>
      </c>
      <c r="M353" s="74" t="s">
        <v>7301</v>
      </c>
      <c r="N353" s="74" t="s">
        <v>7369</v>
      </c>
    </row>
    <row r="354" ht="38" customHeight="1">
      <c r="A354" s="74" t="s">
        <v>7358</v>
      </c>
      <c r="B354" s="74" t="s">
        <v>7360</v>
      </c>
      <c r="C354" s="74" t="s">
        <v>154</v>
      </c>
      <c r="D354" s="74" t="s">
        <v>7303</v>
      </c>
      <c r="E354" s="74" t="str">
        <v>NO</v>
      </c>
      <c r="F354" s="74"/>
      <c r="G354" s="74" t="n">
        <v>0</v>
      </c>
      <c r="H354" s="74" t="n">
        <v>0</v>
      </c>
      <c r="I354" s="74" t="str">
        <v>NO</v>
      </c>
      <c r="J354" s="74" t="n">
        <v>0</v>
      </c>
      <c r="K354" s="74"/>
      <c r="L354" s="74" t="s">
        <v>7300</v>
      </c>
      <c r="M354" s="74" t="s">
        <v>7301</v>
      </c>
      <c r="N354" s="74" t="s">
        <v>7369</v>
      </c>
    </row>
    <row r="999" ht="38" customHeight="1">
      <c r="A999" s="74"/>
      <c r="B999" s="74"/>
      <c r="C999" s="74"/>
      <c r="D999" s="74"/>
      <c r="E999" s="74"/>
      <c r="F999" s="74"/>
      <c r="G999" s="74"/>
      <c r="H999" s="74"/>
      <c r="I999" s="74"/>
      <c r="J999" s="74"/>
      <c r="K999" s="74"/>
      <c r="L999" s="74"/>
      <c r="M999" s="74"/>
      <c r="N999" s="74"/>
    </row>
    <row r="1000" ht="38" customHeight="1">
      <c r="A1000" s="74"/>
      <c r="B1000" s="74"/>
      <c r="C1000" s="74"/>
      <c r="D1000" s="74"/>
      <c r="E1000" s="74"/>
      <c r="F1000" s="74"/>
      <c r="G1000" s="74"/>
      <c r="H1000" s="74"/>
      <c r="I1000" s="74"/>
      <c r="J1000" s="74"/>
      <c r="K1000" s="74"/>
      <c r="L1000" s="74"/>
      <c r="M1000" s="74"/>
      <c r="N1000" s="74"/>
    </row>
    <row r="1001" ht="38" customHeight="1">
      <c r="A1001" s="74"/>
      <c r="B1001" s="74"/>
      <c r="C1001" s="74"/>
      <c r="D1001" s="74"/>
      <c r="E1001" s="74"/>
      <c r="F1001" s="74"/>
      <c r="G1001" s="74"/>
      <c r="H1001" s="74"/>
      <c r="I1001" s="74"/>
      <c r="J1001" s="74"/>
      <c r="K1001" s="74"/>
      <c r="L1001" s="74"/>
      <c r="M1001" s="74"/>
      <c r="N1001" s="74"/>
    </row>
    <row r="1002" ht="38" customHeight="1">
      <c r="A1002" s="74"/>
      <c r="B1002" s="74"/>
      <c r="C1002" s="74"/>
      <c r="D1002" s="74"/>
      <c r="E1002" s="74"/>
      <c r="F1002" s="74"/>
      <c r="G1002" s="74"/>
      <c r="H1002" s="74"/>
      <c r="I1002" s="74"/>
      <c r="J1002" s="74"/>
      <c r="K1002" s="74"/>
      <c r="L1002" s="74"/>
      <c r="M1002" s="74"/>
      <c r="N1002" s="74"/>
    </row>
    <row r="1003" ht="38" customHeight="1">
      <c r="A1003" s="74"/>
      <c r="B1003" s="74"/>
      <c r="C1003" s="74"/>
      <c r="D1003" s="74"/>
      <c r="E1003" s="74"/>
      <c r="F1003" s="74"/>
      <c r="G1003" s="74"/>
      <c r="H1003" s="74"/>
      <c r="I1003" s="74"/>
      <c r="J1003" s="74"/>
      <c r="K1003" s="74"/>
      <c r="L1003" s="74"/>
      <c r="M1003" s="74"/>
      <c r="N1003" s="74"/>
    </row>
    <row r="1004" ht="38" customHeight="1">
      <c r="A1004" s="74"/>
      <c r="B1004" s="74"/>
      <c r="C1004" s="74"/>
      <c r="D1004" s="74"/>
      <c r="E1004" s="74"/>
      <c r="F1004" s="74"/>
      <c r="G1004" s="74"/>
      <c r="H1004" s="74"/>
      <c r="I1004" s="74"/>
      <c r="J1004" s="74"/>
      <c r="K1004" s="74"/>
      <c r="L1004" s="74"/>
      <c r="M1004" s="74"/>
      <c r="N1004" s="74"/>
    </row>
    <row r="1005" ht="38" customHeight="1">
      <c r="A1005" s="74"/>
      <c r="B1005" s="74"/>
      <c r="C1005" s="74"/>
      <c r="D1005" s="74"/>
      <c r="E1005" s="74"/>
      <c r="F1005" s="74"/>
      <c r="G1005" s="74"/>
      <c r="H1005" s="74"/>
      <c r="I1005" s="74"/>
      <c r="J1005" s="74"/>
      <c r="K1005" s="74"/>
      <c r="L1005" s="74"/>
      <c r="M1005" s="74"/>
      <c r="N1005" s="74"/>
    </row>
    <row r="1006" ht="38" customHeight="1">
      <c r="A1006" s="74"/>
      <c r="B1006" s="74"/>
      <c r="C1006" s="74"/>
      <c r="D1006" s="74"/>
      <c r="E1006" s="74"/>
      <c r="F1006" s="74"/>
      <c r="G1006" s="74"/>
      <c r="H1006" s="74"/>
      <c r="I1006" s="74"/>
      <c r="J1006" s="74"/>
      <c r="K1006" s="74"/>
      <c r="L1006" s="74"/>
      <c r="M1006" s="74"/>
      <c r="N1006" s="74"/>
    </row>
  </sheetData>
  <mergeCells>
    <mergeCell ref="A1:N1"/>
  </mergeCells>
  <pageMargins left="0.7" right="0.7" top="0.75" bottom="0.75" header="0.3" footer="0.3"/>
</worksheet>
</file>

<file path=xl/worksheets/sheet11.xml><?xml version="1.0" encoding="utf-8"?>
<worksheet xmlns="http://schemas.openxmlformats.org/spreadsheetml/2006/main">
  <sheetFormatPr baseColWidth="10" defaultColWidth="8.83203125" defaultRowHeight="13"/>
  <sheetData>
    <row r="1">
      <c r="A1" t="s">
        <v>2063</v>
      </c>
      <c r="B1" t="s">
        <v>3973</v>
      </c>
      <c r="C1" t="s">
        <v>3974</v>
      </c>
      <c r="D1" t="s">
        <v>3975</v>
      </c>
      <c r="E1" s="16" t="s">
        <v>3976</v>
      </c>
    </row>
    <row r="2">
      <c r="A2" t="s">
        <v>2175</v>
      </c>
      <c r="B2" t="s">
        <v>2174</v>
      </c>
      <c r="C2" t="s">
        <v>351</v>
      </c>
      <c r="D2">
        <v>0</v>
      </c>
    </row>
    <row r="3">
      <c r="A3" t="s">
        <v>2400</v>
      </c>
      <c r="B3" t="s">
        <v>2399</v>
      </c>
      <c r="C3" t="s">
        <v>882</v>
      </c>
      <c r="D3">
        <v>0</v>
      </c>
    </row>
    <row r="4">
      <c r="A4" t="s">
        <v>2204</v>
      </c>
      <c r="B4" t="s">
        <v>2203</v>
      </c>
      <c r="C4" t="s">
        <v>417</v>
      </c>
      <c r="D4">
        <v>0</v>
      </c>
    </row>
    <row r="5">
      <c r="A5" t="s">
        <v>2418</v>
      </c>
      <c r="B5" t="s">
        <v>2417</v>
      </c>
      <c r="C5" t="s">
        <v>925</v>
      </c>
      <c r="D5">
        <v>0</v>
      </c>
    </row>
    <row r="6">
      <c r="A6" t="s">
        <v>2134</v>
      </c>
      <c r="B6" t="s">
        <v>2133</v>
      </c>
      <c r="C6" t="s">
        <v>248</v>
      </c>
      <c r="D6">
        <v>0</v>
      </c>
    </row>
    <row r="7">
      <c r="A7" t="s">
        <v>2222</v>
      </c>
      <c r="B7" t="s">
        <v>2218</v>
      </c>
      <c r="C7" t="s">
        <v>455</v>
      </c>
      <c r="D7">
        <v>0</v>
      </c>
    </row>
    <row r="8">
      <c r="A8" t="s">
        <v>2668</v>
      </c>
      <c r="B8" t="s">
        <v>2667</v>
      </c>
      <c r="C8" t="s">
        <v>1524</v>
      </c>
      <c r="D8">
        <v>0</v>
      </c>
    </row>
    <row r="9">
      <c r="A9" t="s">
        <v>2210</v>
      </c>
      <c r="B9" t="s">
        <v>2209</v>
      </c>
      <c r="C9" t="s">
        <v>432</v>
      </c>
      <c r="D9">
        <v>0</v>
      </c>
    </row>
    <row r="10">
      <c r="A10" t="s">
        <v>2147</v>
      </c>
      <c r="B10" t="s">
        <v>2146</v>
      </c>
      <c r="C10" t="s">
        <v>279</v>
      </c>
      <c r="D10">
        <v>0</v>
      </c>
    </row>
    <row r="11">
      <c r="A11" t="s">
        <v>2716</v>
      </c>
      <c r="B11" t="s">
        <v>2715</v>
      </c>
      <c r="C11" t="s">
        <v>1645</v>
      </c>
      <c r="D11">
        <v>0</v>
      </c>
    </row>
    <row r="12">
      <c r="A12" t="s">
        <v>2318</v>
      </c>
      <c r="B12" t="s">
        <v>2317</v>
      </c>
      <c r="C12" t="s">
        <v>697</v>
      </c>
      <c r="D12">
        <v>0</v>
      </c>
    </row>
    <row r="13">
      <c r="A13" t="s">
        <v>2767</v>
      </c>
      <c r="B13" t="s">
        <v>2766</v>
      </c>
      <c r="C13" t="s">
        <v>1762</v>
      </c>
      <c r="D13">
        <v>0</v>
      </c>
    </row>
    <row r="14">
      <c r="A14" t="s">
        <v>2580</v>
      </c>
      <c r="B14" t="s">
        <v>2579</v>
      </c>
      <c r="C14" t="s">
        <v>1302</v>
      </c>
      <c r="D14">
        <v>0</v>
      </c>
    </row>
    <row r="15">
      <c r="A15" t="s">
        <v>2197</v>
      </c>
      <c r="B15" t="s">
        <v>2196</v>
      </c>
      <c r="C15" t="s">
        <v>400</v>
      </c>
      <c r="D15">
        <v>0</v>
      </c>
    </row>
    <row r="16">
      <c r="A16" t="s">
        <v>2096</v>
      </c>
      <c r="B16" t="s">
        <v>2095</v>
      </c>
      <c r="C16" t="s">
        <v>153</v>
      </c>
      <c r="D16">
        <v>0</v>
      </c>
    </row>
    <row r="17">
      <c r="A17" t="s">
        <v>2216</v>
      </c>
      <c r="B17" t="s">
        <v>2215</v>
      </c>
      <c r="C17" t="s">
        <v>447</v>
      </c>
      <c r="D17">
        <v>0</v>
      </c>
    </row>
    <row r="18">
      <c r="A18" t="s">
        <v>2118</v>
      </c>
      <c r="B18" t="s">
        <v>2117</v>
      </c>
      <c r="C18" t="s">
        <v>211</v>
      </c>
      <c r="D18">
        <v>0</v>
      </c>
    </row>
    <row r="19">
      <c r="A19" t="s">
        <v>2397</v>
      </c>
      <c r="B19" t="s">
        <v>2396</v>
      </c>
      <c r="C19" t="s">
        <v>877</v>
      </c>
      <c r="D19">
        <v>0</v>
      </c>
    </row>
    <row r="20">
      <c r="A20" t="s">
        <v>2327</v>
      </c>
      <c r="B20" t="s">
        <v>2326</v>
      </c>
      <c r="C20" t="s">
        <v>713</v>
      </c>
      <c r="D20">
        <v>0</v>
      </c>
    </row>
    <row r="21">
      <c r="A21" t="s">
        <v>2789</v>
      </c>
      <c r="B21" t="s">
        <v>2788</v>
      </c>
      <c r="C21" t="s">
        <v>1816</v>
      </c>
      <c r="D21">
        <v>0</v>
      </c>
    </row>
    <row r="22">
      <c r="A22" t="s">
        <v>2394</v>
      </c>
      <c r="B22" t="s">
        <v>2393</v>
      </c>
      <c r="C22" t="s">
        <v>870</v>
      </c>
      <c r="D22">
        <v>0</v>
      </c>
    </row>
    <row r="23">
      <c r="A23" t="s">
        <v>2194</v>
      </c>
      <c r="B23" t="s">
        <v>2193</v>
      </c>
      <c r="C23" t="s">
        <v>394</v>
      </c>
      <c r="D23">
        <v>0</v>
      </c>
    </row>
    <row r="24">
      <c r="A24" t="s">
        <v>2321</v>
      </c>
      <c r="B24" t="s">
        <v>2320</v>
      </c>
      <c r="C24" t="s">
        <v>702</v>
      </c>
      <c r="D24">
        <v>0</v>
      </c>
    </row>
    <row r="25">
      <c r="A25" t="s">
        <v>2358</v>
      </c>
      <c r="B25" t="s">
        <v>2357</v>
      </c>
      <c r="C25" t="s">
        <v>790</v>
      </c>
      <c r="D25">
        <v>0</v>
      </c>
    </row>
    <row r="26">
      <c r="A26" t="s">
        <v>2807</v>
      </c>
      <c r="B26" t="s">
        <v>2806</v>
      </c>
      <c r="C26" t="s">
        <v>1868</v>
      </c>
      <c r="D26">
        <v>0</v>
      </c>
    </row>
    <row r="27">
      <c r="A27" t="s">
        <v>2237</v>
      </c>
      <c r="B27" t="s">
        <v>2236</v>
      </c>
      <c r="C27" t="s">
        <v>488</v>
      </c>
      <c r="D27">
        <v>0</v>
      </c>
    </row>
    <row r="28">
      <c r="A28" t="s">
        <v>2213</v>
      </c>
      <c r="B28" t="s">
        <v>2212</v>
      </c>
      <c r="C28" t="s">
        <v>439</v>
      </c>
      <c r="D28">
        <v>0</v>
      </c>
    </row>
    <row r="29">
      <c r="A29" t="s">
        <v>2082</v>
      </c>
      <c r="B29" t="s">
        <v>2081</v>
      </c>
      <c r="C29" t="s">
        <v>113</v>
      </c>
      <c r="D29">
        <v>0</v>
      </c>
    </row>
    <row r="30">
      <c r="A30" t="s">
        <v>2093</v>
      </c>
      <c r="B30" t="s">
        <v>2092</v>
      </c>
      <c r="C30" t="s">
        <v>145</v>
      </c>
      <c r="D30">
        <v>0</v>
      </c>
    </row>
    <row r="31">
      <c r="A31" t="s">
        <v>2159</v>
      </c>
      <c r="B31" t="s">
        <v>2156</v>
      </c>
      <c r="C31" t="s">
        <v>306</v>
      </c>
      <c r="D31">
        <v>0</v>
      </c>
    </row>
    <row r="32">
      <c r="A32" t="s">
        <v>2800</v>
      </c>
      <c r="B32" t="s">
        <v>2799</v>
      </c>
      <c r="C32" t="s">
        <v>1847</v>
      </c>
      <c r="D32">
        <v>0</v>
      </c>
    </row>
    <row r="33">
      <c r="A33" t="s">
        <v>2406</v>
      </c>
      <c r="B33" t="s">
        <v>2405</v>
      </c>
      <c r="C33" t="s">
        <v>899</v>
      </c>
      <c r="D33">
        <v>0</v>
      </c>
    </row>
    <row r="34">
      <c r="A34" t="s">
        <v>2192</v>
      </c>
      <c r="B34" t="s">
        <v>2191</v>
      </c>
      <c r="C34" t="s">
        <v>387</v>
      </c>
      <c r="D34">
        <v>0</v>
      </c>
    </row>
    <row r="35">
      <c r="A35" t="s">
        <v>2168</v>
      </c>
      <c r="B35" t="s">
        <v>2167</v>
      </c>
      <c r="C35" t="s">
        <v>332</v>
      </c>
      <c r="D35">
        <v>0</v>
      </c>
    </row>
    <row r="36">
      <c r="A36" t="s">
        <v>2105</v>
      </c>
      <c r="B36" t="s">
        <v>2104</v>
      </c>
      <c r="C36" t="s">
        <v>177</v>
      </c>
      <c r="D36">
        <v>0</v>
      </c>
    </row>
    <row r="37">
      <c r="A37" t="s">
        <v>2324</v>
      </c>
      <c r="B37" t="s">
        <v>2323</v>
      </c>
      <c r="C37" t="s">
        <v>707</v>
      </c>
      <c r="D37">
        <v>0</v>
      </c>
    </row>
    <row r="38">
      <c r="A38" t="s">
        <v>2350</v>
      </c>
      <c r="B38" t="s">
        <v>2349</v>
      </c>
      <c r="C38" t="s">
        <v>769</v>
      </c>
      <c r="D38">
        <v>0</v>
      </c>
    </row>
    <row r="39">
      <c r="A39" t="s">
        <v>2764</v>
      </c>
      <c r="B39" t="s">
        <v>2763</v>
      </c>
      <c r="C39" t="s">
        <v>1756</v>
      </c>
      <c r="D39">
        <v>0</v>
      </c>
    </row>
    <row r="40">
      <c r="A40" t="s">
        <v>2122</v>
      </c>
      <c r="B40" t="s">
        <v>2120</v>
      </c>
      <c r="C40" t="s">
        <v>219</v>
      </c>
      <c r="D40">
        <v>0</v>
      </c>
    </row>
    <row r="41">
      <c r="A41" t="s">
        <v>2391</v>
      </c>
      <c r="B41" t="s">
        <v>2390</v>
      </c>
      <c r="C41" t="s">
        <v>864</v>
      </c>
      <c r="D41">
        <v>0</v>
      </c>
    </row>
    <row r="42">
      <c r="A42" t="s">
        <v>2189</v>
      </c>
      <c r="B42" t="s">
        <v>2188</v>
      </c>
      <c r="C42" t="s">
        <v>378</v>
      </c>
      <c r="D42">
        <v>0</v>
      </c>
    </row>
    <row r="43">
      <c r="A43" t="s">
        <v>2080</v>
      </c>
      <c r="B43" t="s">
        <v>2079</v>
      </c>
      <c r="C43" t="s">
        <v>106</v>
      </c>
      <c r="D43">
        <v>0</v>
      </c>
    </row>
    <row r="44">
      <c r="A44" t="s">
        <v>2150</v>
      </c>
      <c r="B44" t="s">
        <v>2149</v>
      </c>
      <c r="C44" t="s">
        <v>287</v>
      </c>
      <c r="D44">
        <v>0</v>
      </c>
    </row>
    <row r="45">
      <c r="A45" t="s">
        <v>2421</v>
      </c>
      <c r="B45" t="s">
        <v>2420</v>
      </c>
      <c r="C45" t="s">
        <v>935</v>
      </c>
      <c r="D45">
        <v>0</v>
      </c>
    </row>
    <row r="46">
      <c r="A46" t="s">
        <v>2258</v>
      </c>
      <c r="B46" t="s">
        <v>2257</v>
      </c>
      <c r="C46" t="s">
        <v>538</v>
      </c>
      <c r="D46">
        <v>0</v>
      </c>
    </row>
    <row r="47">
      <c r="A47" t="s">
        <v>2261</v>
      </c>
      <c r="B47" t="s">
        <v>2260</v>
      </c>
      <c r="C47" t="s">
        <v>548</v>
      </c>
      <c r="D47">
        <v>0</v>
      </c>
    </row>
    <row r="48">
      <c r="A48" t="s">
        <v>2805</v>
      </c>
      <c r="B48" t="s">
        <v>2804</v>
      </c>
      <c r="C48" t="s">
        <v>1861</v>
      </c>
      <c r="D48">
        <v>0</v>
      </c>
    </row>
    <row r="49">
      <c r="A49" t="s">
        <v>2330</v>
      </c>
      <c r="B49" t="s">
        <v>2329</v>
      </c>
      <c r="C49" t="s">
        <v>721</v>
      </c>
      <c r="D49">
        <v>0</v>
      </c>
    </row>
    <row r="50">
      <c r="A50" t="s">
        <v>2352</v>
      </c>
      <c r="B50" t="s">
        <v>2351</v>
      </c>
      <c r="C50" t="s">
        <v>775</v>
      </c>
      <c r="D50">
        <v>0</v>
      </c>
    </row>
    <row r="51">
      <c r="A51" t="s">
        <v>2656</v>
      </c>
      <c r="B51" t="s">
        <v>2655</v>
      </c>
      <c r="C51" t="s">
        <v>1497</v>
      </c>
      <c r="D51">
        <v>0</v>
      </c>
    </row>
    <row r="52">
      <c r="A52" t="s">
        <v>2128</v>
      </c>
      <c r="B52" t="s">
        <v>2127</v>
      </c>
      <c r="C52" t="s">
        <v>231</v>
      </c>
      <c r="D52">
        <v>0</v>
      </c>
    </row>
    <row r="53">
      <c r="A53" t="s">
        <v>2344</v>
      </c>
      <c r="B53" t="s">
        <v>2343</v>
      </c>
      <c r="C53" t="s">
        <v>758</v>
      </c>
      <c r="D53">
        <v>0</v>
      </c>
    </row>
    <row r="54">
      <c r="A54" t="s">
        <v>2347</v>
      </c>
      <c r="B54" t="s">
        <v>2346</v>
      </c>
      <c r="C54" t="s">
        <v>764</v>
      </c>
      <c r="D54">
        <v>0</v>
      </c>
    </row>
    <row r="55">
      <c r="A55" t="s">
        <v>2085</v>
      </c>
      <c r="B55" t="s">
        <v>2084</v>
      </c>
      <c r="C55" t="s">
        <v>119</v>
      </c>
      <c r="D55">
        <v>0</v>
      </c>
    </row>
    <row r="56">
      <c r="A56" t="s">
        <v>2113</v>
      </c>
      <c r="B56" t="s">
        <v>2112</v>
      </c>
      <c r="C56" t="s">
        <v>198</v>
      </c>
      <c r="D56">
        <v>0</v>
      </c>
    </row>
    <row r="57">
      <c r="A57" t="s">
        <v>2815</v>
      </c>
      <c r="B57" t="s">
        <v>2814</v>
      </c>
      <c r="C57" t="s">
        <v>1890</v>
      </c>
      <c r="D57">
        <v>0</v>
      </c>
    </row>
    <row r="58">
      <c r="A58" t="s">
        <v>2367</v>
      </c>
      <c r="B58" t="s">
        <v>2366</v>
      </c>
      <c r="C58" t="s">
        <v>808</v>
      </c>
      <c r="D58">
        <v>0</v>
      </c>
    </row>
    <row r="59">
      <c r="A59" t="s">
        <v>2818</v>
      </c>
      <c r="B59" t="s">
        <v>3977</v>
      </c>
      <c r="C59" t="s">
        <v>3978</v>
      </c>
      <c r="D59">
        <v>2</v>
      </c>
    </row>
    <row r="60">
      <c r="A60" t="s">
        <v>2428</v>
      </c>
      <c r="B60" t="s">
        <v>2426</v>
      </c>
      <c r="C60" t="s">
        <v>946</v>
      </c>
      <c r="D60">
        <v>0</v>
      </c>
    </row>
    <row r="61">
      <c r="A61" t="s">
        <v>2413</v>
      </c>
      <c r="B61" t="s">
        <v>2411</v>
      </c>
      <c r="C61" t="s">
        <v>912</v>
      </c>
      <c r="D61">
        <v>0</v>
      </c>
    </row>
    <row r="62">
      <c r="A62" t="s">
        <v>2304</v>
      </c>
      <c r="B62" t="s">
        <v>2302</v>
      </c>
      <c r="C62" t="s">
        <v>656</v>
      </c>
      <c r="D62">
        <v>0</v>
      </c>
    </row>
    <row r="63">
      <c r="A63" t="s">
        <v>2268</v>
      </c>
      <c r="B63" t="s">
        <v>2266</v>
      </c>
      <c r="C63" t="s">
        <v>561</v>
      </c>
      <c r="D63">
        <v>0</v>
      </c>
    </row>
    <row r="64">
      <c r="A64" t="s">
        <v>2116</v>
      </c>
      <c r="B64" t="s">
        <v>2114</v>
      </c>
      <c r="C64" t="s">
        <v>204</v>
      </c>
      <c r="D64">
        <v>0</v>
      </c>
    </row>
    <row r="65">
      <c r="A65" t="s">
        <v>2778</v>
      </c>
      <c r="B65" t="s">
        <v>2776</v>
      </c>
      <c r="C65" t="s">
        <v>1785</v>
      </c>
      <c r="D65">
        <v>0</v>
      </c>
    </row>
    <row r="66">
      <c r="A66" t="s">
        <v>2334</v>
      </c>
      <c r="B66" t="s">
        <v>2332</v>
      </c>
      <c r="C66" t="s">
        <v>728</v>
      </c>
      <c r="D66">
        <v>0</v>
      </c>
    </row>
    <row r="67">
      <c r="A67" t="s">
        <v>2627</v>
      </c>
      <c r="B67" t="s">
        <v>2626</v>
      </c>
      <c r="C67" t="s">
        <v>1428</v>
      </c>
      <c r="D67">
        <v>0</v>
      </c>
    </row>
    <row r="68">
      <c r="A68" t="s">
        <v>2377</v>
      </c>
      <c r="B68" t="s">
        <v>2375</v>
      </c>
      <c r="C68" t="s">
        <v>826</v>
      </c>
      <c r="D68">
        <v>0</v>
      </c>
    </row>
    <row r="69">
      <c r="A69" t="s">
        <v>2416</v>
      </c>
      <c r="B69" t="s">
        <v>3979</v>
      </c>
      <c r="C69" t="s">
        <v>3980</v>
      </c>
      <c r="D69">
        <v>1</v>
      </c>
    </row>
    <row r="70">
      <c r="A70" t="s">
        <v>2566</v>
      </c>
      <c r="B70" t="s">
        <v>2564</v>
      </c>
      <c r="C70" t="s">
        <v>1263</v>
      </c>
      <c r="D70">
        <v>0</v>
      </c>
    </row>
    <row r="71">
      <c r="A71" t="s">
        <v>2530</v>
      </c>
      <c r="B71" t="s">
        <v>2528</v>
      </c>
      <c r="C71" t="s">
        <v>1174</v>
      </c>
      <c r="D71">
        <v>0</v>
      </c>
    </row>
    <row r="72">
      <c r="A72" t="s">
        <v>2536</v>
      </c>
      <c r="B72" t="s">
        <v>2534</v>
      </c>
      <c r="C72" t="s">
        <v>1190</v>
      </c>
      <c r="D72">
        <v>0</v>
      </c>
    </row>
    <row r="73">
      <c r="A73" t="s">
        <v>2337</v>
      </c>
      <c r="B73" t="s">
        <v>3981</v>
      </c>
      <c r="C73" t="s">
        <v>3982</v>
      </c>
      <c r="D73">
        <v>1</v>
      </c>
    </row>
    <row r="74">
      <c r="A74" t="s">
        <v>2173</v>
      </c>
      <c r="B74" t="s">
        <v>2170</v>
      </c>
      <c r="C74" t="s">
        <v>343</v>
      </c>
      <c r="D74">
        <v>0</v>
      </c>
    </row>
    <row r="75">
      <c r="A75" t="s">
        <v>2307</v>
      </c>
      <c r="B75" t="s">
        <v>2305</v>
      </c>
      <c r="C75" t="s">
        <v>664</v>
      </c>
      <c r="D75">
        <v>0</v>
      </c>
    </row>
    <row r="76">
      <c r="A76" t="s">
        <v>2253</v>
      </c>
      <c r="B76" t="s">
        <v>2251</v>
      </c>
      <c r="C76" t="s">
        <v>524</v>
      </c>
      <c r="D76">
        <v>0</v>
      </c>
    </row>
    <row r="77">
      <c r="A77" t="s">
        <v>2383</v>
      </c>
      <c r="B77" t="s">
        <v>2381</v>
      </c>
      <c r="C77" t="s">
        <v>843</v>
      </c>
      <c r="D77">
        <v>0</v>
      </c>
    </row>
    <row r="78">
      <c r="A78" t="s">
        <v>2380</v>
      </c>
      <c r="B78" t="s">
        <v>2378</v>
      </c>
      <c r="C78" t="s">
        <v>836</v>
      </c>
      <c r="D78">
        <v>0</v>
      </c>
    </row>
    <row r="79">
      <c r="A79" t="s">
        <v>2154</v>
      </c>
      <c r="B79" t="s">
        <v>2152</v>
      </c>
      <c r="C79" t="s">
        <v>295</v>
      </c>
      <c r="D79">
        <v>0</v>
      </c>
    </row>
    <row r="80">
      <c r="A80" t="s">
        <v>2076</v>
      </c>
      <c r="B80" t="s">
        <v>2071</v>
      </c>
      <c r="C80" t="s">
        <v>96</v>
      </c>
      <c r="D80">
        <v>0</v>
      </c>
    </row>
    <row r="81">
      <c r="A81" t="s">
        <v>2684</v>
      </c>
      <c r="B81" t="s">
        <v>2683</v>
      </c>
      <c r="C81" t="s">
        <v>1566</v>
      </c>
      <c r="D81">
        <v>0</v>
      </c>
    </row>
    <row r="82">
      <c r="A82" t="s">
        <v>2797</v>
      </c>
      <c r="B82" t="s">
        <v>2796</v>
      </c>
      <c r="C82" t="s">
        <v>1836</v>
      </c>
      <c r="D82">
        <v>0</v>
      </c>
    </row>
    <row r="83">
      <c r="A83" t="s">
        <v>2186</v>
      </c>
      <c r="B83" t="s">
        <v>2184</v>
      </c>
      <c r="C83" t="s">
        <v>369</v>
      </c>
      <c r="D83">
        <v>0</v>
      </c>
    </row>
    <row r="84">
      <c r="A84" t="s">
        <v>2370</v>
      </c>
      <c r="B84" t="s">
        <v>2369</v>
      </c>
      <c r="C84" t="s">
        <v>815</v>
      </c>
      <c r="D84">
        <v>0</v>
      </c>
    </row>
    <row r="85">
      <c r="A85" t="s">
        <v>2088</v>
      </c>
      <c r="B85" t="s">
        <v>2087</v>
      </c>
      <c r="C85" t="s">
        <v>128</v>
      </c>
      <c r="D85">
        <v>0</v>
      </c>
    </row>
    <row r="86">
      <c r="A86" t="s">
        <v>2341</v>
      </c>
      <c r="B86" t="s">
        <v>2340</v>
      </c>
      <c r="C86" t="s">
        <v>749</v>
      </c>
      <c r="D86">
        <v>0</v>
      </c>
    </row>
    <row r="87">
      <c r="A87" t="s">
        <v>2836</v>
      </c>
      <c r="B87" t="s">
        <v>2835</v>
      </c>
      <c r="C87" t="s">
        <v>1949</v>
      </c>
      <c r="D87">
        <v>0</v>
      </c>
    </row>
    <row r="88">
      <c r="A88" t="s">
        <v>2526</v>
      </c>
      <c r="B88" t="s">
        <v>2525</v>
      </c>
      <c r="C88" t="s">
        <v>1168</v>
      </c>
      <c r="D88">
        <v>0</v>
      </c>
    </row>
    <row r="89">
      <c r="A89" t="s">
        <v>2600</v>
      </c>
      <c r="B89" t="s">
        <v>2599</v>
      </c>
      <c r="C89" t="s">
        <v>1359</v>
      </c>
      <c r="D89">
        <v>0</v>
      </c>
    </row>
    <row r="90">
      <c r="A90" t="s">
        <v>2361</v>
      </c>
      <c r="B90" t="s">
        <v>2360</v>
      </c>
      <c r="C90" t="s">
        <v>795</v>
      </c>
      <c r="D90">
        <v>0</v>
      </c>
    </row>
    <row r="91">
      <c r="A91" t="s">
        <v>2102</v>
      </c>
      <c r="B91" t="s">
        <v>2100</v>
      </c>
      <c r="C91" t="s">
        <v>172</v>
      </c>
      <c r="D91">
        <v>0</v>
      </c>
    </row>
    <row r="92">
      <c r="A92" t="s">
        <v>2385</v>
      </c>
      <c r="B92" t="s">
        <v>2384</v>
      </c>
      <c r="C92" t="s">
        <v>850</v>
      </c>
      <c r="D92">
        <v>0</v>
      </c>
    </row>
    <row r="93">
      <c r="A93" t="s">
        <v>2165</v>
      </c>
      <c r="B93" t="s">
        <v>2164</v>
      </c>
      <c r="C93" t="s">
        <v>322</v>
      </c>
      <c r="D93">
        <v>0</v>
      </c>
    </row>
    <row r="94">
      <c r="A94" t="s">
        <v>2388</v>
      </c>
      <c r="B94" t="s">
        <v>2387</v>
      </c>
      <c r="C94" t="s">
        <v>857</v>
      </c>
      <c r="D94">
        <v>0</v>
      </c>
    </row>
    <row r="95">
      <c r="A95" t="s">
        <v>2315</v>
      </c>
      <c r="B95" t="s">
        <v>2314</v>
      </c>
      <c r="C95" t="s">
        <v>691</v>
      </c>
      <c r="D95">
        <v>0</v>
      </c>
    </row>
    <row r="96">
      <c r="A96" t="s">
        <v>2125</v>
      </c>
      <c r="B96" t="s">
        <v>2124</v>
      </c>
      <c r="C96" t="s">
        <v>226</v>
      </c>
      <c r="D96">
        <v>0</v>
      </c>
    </row>
    <row r="97">
      <c r="A97" t="s">
        <v>2659</v>
      </c>
      <c r="B97" t="s">
        <v>2658</v>
      </c>
      <c r="C97" t="s">
        <v>1502</v>
      </c>
      <c r="D97">
        <v>0</v>
      </c>
    </row>
    <row r="98">
      <c r="A98" t="s">
        <v>2722</v>
      </c>
      <c r="B98" t="s">
        <v>2721</v>
      </c>
      <c r="C98" t="s">
        <v>1657</v>
      </c>
      <c r="D98">
        <v>0</v>
      </c>
    </row>
    <row r="99">
      <c r="A99" t="s">
        <v>2574</v>
      </c>
      <c r="B99" t="s">
        <v>2573</v>
      </c>
      <c r="C99" t="s">
        <v>1287</v>
      </c>
      <c r="D99">
        <v>0</v>
      </c>
    </row>
    <row r="100">
      <c r="A100" t="s">
        <v>2207</v>
      </c>
      <c r="B100" t="s">
        <v>2206</v>
      </c>
      <c r="C100" t="s">
        <v>423</v>
      </c>
      <c r="D100">
        <v>0</v>
      </c>
    </row>
    <row r="101">
      <c r="A101" t="s">
        <v>2162</v>
      </c>
      <c r="B101" t="s">
        <v>2161</v>
      </c>
      <c r="C101" t="s">
        <v>313</v>
      </c>
      <c r="D101">
        <v>0</v>
      </c>
    </row>
    <row r="102">
      <c r="A102" t="s">
        <v>2312</v>
      </c>
      <c r="B102" t="s">
        <v>2311</v>
      </c>
      <c r="C102" t="s">
        <v>683</v>
      </c>
      <c r="D102">
        <v>0</v>
      </c>
    </row>
    <row r="103">
      <c r="A103" t="s">
        <v>2786</v>
      </c>
      <c r="B103" t="s">
        <v>2785</v>
      </c>
      <c r="C103" t="s">
        <v>1810</v>
      </c>
      <c r="D103">
        <v>0</v>
      </c>
    </row>
    <row r="104">
      <c r="A104" t="s">
        <v>2783</v>
      </c>
      <c r="B104" t="s">
        <v>2782</v>
      </c>
      <c r="C104" t="s">
        <v>1802</v>
      </c>
      <c r="D104">
        <v>0</v>
      </c>
    </row>
    <row r="105">
      <c r="A105" t="s">
        <v>2108</v>
      </c>
      <c r="B105" t="s">
        <v>2107</v>
      </c>
      <c r="C105" t="s">
        <v>184</v>
      </c>
      <c r="D105">
        <v>0</v>
      </c>
    </row>
    <row r="106">
      <c r="A106" t="s">
        <v>2794</v>
      </c>
      <c r="B106" t="s">
        <v>2793</v>
      </c>
      <c r="C106" t="s">
        <v>1829</v>
      </c>
      <c r="D106">
        <v>0</v>
      </c>
    </row>
    <row r="107">
      <c r="A107" t="s">
        <v>2138</v>
      </c>
      <c r="B107" t="s">
        <v>2136</v>
      </c>
      <c r="C107" t="s">
        <v>254</v>
      </c>
      <c r="D107">
        <v>0</v>
      </c>
    </row>
    <row r="108">
      <c r="A108" t="s">
        <v>2813</v>
      </c>
      <c r="B108" t="s">
        <v>2812</v>
      </c>
      <c r="C108" t="s">
        <v>1885</v>
      </c>
      <c r="D108">
        <v>0</v>
      </c>
    </row>
    <row r="109">
      <c r="A109" t="s">
        <v>2131</v>
      </c>
      <c r="B109" t="s">
        <v>2130</v>
      </c>
      <c r="C109" t="s">
        <v>240</v>
      </c>
      <c r="D109">
        <v>0</v>
      </c>
    </row>
    <row r="110">
      <c r="A110" t="s">
        <v>2355</v>
      </c>
      <c r="B110" t="s">
        <v>2354</v>
      </c>
      <c r="C110" t="s">
        <v>783</v>
      </c>
      <c r="D110">
        <v>0</v>
      </c>
    </row>
    <row r="111">
      <c r="A111" t="s">
        <v>2111</v>
      </c>
      <c r="B111" t="s">
        <v>2110</v>
      </c>
      <c r="C111" t="s">
        <v>192</v>
      </c>
      <c r="D111">
        <v>0</v>
      </c>
    </row>
    <row r="112">
      <c r="A112" t="s">
        <v>2810</v>
      </c>
      <c r="B112" t="s">
        <v>2809</v>
      </c>
      <c r="C112" t="s">
        <v>1877</v>
      </c>
      <c r="D112">
        <v>0</v>
      </c>
    </row>
    <row r="113">
      <c r="A113" t="s">
        <v>2828</v>
      </c>
      <c r="B113" t="s">
        <v>2826</v>
      </c>
      <c r="C113" t="s">
        <v>1932</v>
      </c>
      <c r="D113">
        <v>0</v>
      </c>
    </row>
    <row r="114">
      <c r="A114" t="s">
        <v>2792</v>
      </c>
      <c r="B114" t="s">
        <v>2790</v>
      </c>
      <c r="C114" t="s">
        <v>1822</v>
      </c>
      <c r="D114">
        <v>0</v>
      </c>
    </row>
    <row r="115">
      <c r="A115" t="s">
        <v>2484</v>
      </c>
      <c r="B115" t="s">
        <v>2483</v>
      </c>
      <c r="C115" t="s">
        <v>1064</v>
      </c>
      <c r="D115">
        <v>0</v>
      </c>
    </row>
    <row r="116">
      <c r="A116" t="s">
        <v>2144</v>
      </c>
      <c r="B116" t="s">
        <v>2143</v>
      </c>
      <c r="C116" t="s">
        <v>271</v>
      </c>
      <c r="D116">
        <v>0</v>
      </c>
    </row>
    <row r="117">
      <c r="A117" t="s">
        <v>2201</v>
      </c>
      <c r="B117" t="s">
        <v>2199</v>
      </c>
      <c r="C117" t="s">
        <v>410</v>
      </c>
      <c r="D117">
        <v>0</v>
      </c>
    </row>
    <row r="118">
      <c r="A118" t="s">
        <v>2098</v>
      </c>
      <c r="B118" t="s">
        <v>2097</v>
      </c>
      <c r="C118" t="s">
        <v>164</v>
      </c>
      <c r="D118">
        <v>0</v>
      </c>
    </row>
    <row r="119">
      <c r="A119" t="s">
        <v>2373</v>
      </c>
      <c r="B119" t="s">
        <v>2372</v>
      </c>
      <c r="C119" t="s">
        <v>820</v>
      </c>
      <c r="D119">
        <v>0</v>
      </c>
    </row>
    <row r="120">
      <c r="A120" t="s">
        <v>2182</v>
      </c>
      <c r="B120" t="s">
        <v>2180</v>
      </c>
      <c r="C120" t="s">
        <v>363</v>
      </c>
      <c r="D120">
        <v>0</v>
      </c>
    </row>
    <row r="121">
      <c r="A121" t="s">
        <v>2409</v>
      </c>
      <c r="B121" t="s">
        <v>2408</v>
      </c>
      <c r="C121" t="s">
        <v>906</v>
      </c>
      <c r="D121">
        <v>0</v>
      </c>
    </row>
    <row r="122">
      <c r="A122" t="s">
        <v>2403</v>
      </c>
      <c r="B122" t="s">
        <v>2402</v>
      </c>
      <c r="C122" t="s">
        <v>889</v>
      </c>
      <c r="D122">
        <v>0</v>
      </c>
    </row>
    <row r="123">
      <c r="A123" t="s">
        <v>2833</v>
      </c>
      <c r="B123" t="s">
        <v>2830</v>
      </c>
      <c r="C123" t="s">
        <v>1942</v>
      </c>
      <c r="D123">
        <v>0</v>
      </c>
    </row>
    <row r="124">
      <c r="A124" t="s">
        <v>2838</v>
      </c>
      <c r="B124" t="s">
        <v>2837</v>
      </c>
      <c r="C124" t="s">
        <v>1955</v>
      </c>
      <c r="D124">
        <v>0</v>
      </c>
    </row>
    <row r="125">
      <c r="A125" t="s">
        <v>2364</v>
      </c>
      <c r="B125" t="s">
        <v>2363</v>
      </c>
      <c r="C125" t="s">
        <v>800</v>
      </c>
      <c r="D125">
        <v>0</v>
      </c>
    </row>
    <row r="126">
      <c r="A126" t="s">
        <v>2803</v>
      </c>
      <c r="B126" t="s">
        <v>2802</v>
      </c>
      <c r="C126" t="s">
        <v>1855</v>
      </c>
      <c r="D126">
        <v>0</v>
      </c>
    </row>
    <row r="127">
      <c r="A127" t="s">
        <v>2824</v>
      </c>
      <c r="B127" t="s">
        <v>2823</v>
      </c>
      <c r="C127" t="s">
        <v>1924</v>
      </c>
      <c r="D127">
        <v>0</v>
      </c>
    </row>
    <row r="128">
      <c r="A128" t="s">
        <v>2424</v>
      </c>
      <c r="B128" t="s">
        <v>2423</v>
      </c>
      <c r="C128" t="s">
        <v>940</v>
      </c>
      <c r="D128">
        <v>0</v>
      </c>
    </row>
    <row r="129">
      <c r="A129" t="s">
        <v>2090</v>
      </c>
      <c r="B129" t="s">
        <v>2089</v>
      </c>
      <c r="C129" t="s">
        <v>137</v>
      </c>
      <c r="D129">
        <v>0</v>
      </c>
    </row>
    <row r="130">
      <c r="A130" t="s">
        <v>2178</v>
      </c>
      <c r="B130" t="s">
        <v>2177</v>
      </c>
      <c r="C130" t="s">
        <v>357</v>
      </c>
      <c r="D130">
        <v>0</v>
      </c>
    </row>
    <row r="131">
      <c r="A131" t="s">
        <v>2141</v>
      </c>
      <c r="B131" t="s">
        <v>2140</v>
      </c>
      <c r="C131" t="s">
        <v>263</v>
      </c>
      <c r="D131">
        <v>0</v>
      </c>
    </row>
    <row r="132">
      <c r="A132" t="s">
        <v>2440</v>
      </c>
      <c r="B132" t="s">
        <v>2439</v>
      </c>
      <c r="C132" t="s">
        <v>973</v>
      </c>
      <c r="D132">
        <v>0</v>
      </c>
    </row>
    <row r="133">
      <c r="A133" t="s">
        <v>2539</v>
      </c>
      <c r="B133" t="s">
        <v>2537</v>
      </c>
      <c r="C133" t="s">
        <v>1201</v>
      </c>
      <c r="D133">
        <v>0</v>
      </c>
    </row>
    <row r="134">
      <c r="A134" t="s">
        <v>2606</v>
      </c>
      <c r="B134" t="s">
        <v>2605</v>
      </c>
      <c r="C134" t="s">
        <v>1372</v>
      </c>
      <c r="D134">
        <v>0</v>
      </c>
    </row>
    <row r="135">
      <c r="A135" t="s">
        <v>2780</v>
      </c>
      <c r="B135" t="s">
        <v>2779</v>
      </c>
      <c r="C135" t="s">
        <v>1792</v>
      </c>
      <c r="D135">
        <v>0</v>
      </c>
    </row>
    <row r="136">
      <c r="A136" t="s">
        <v>2734</v>
      </c>
      <c r="B136" t="s">
        <v>2733</v>
      </c>
      <c r="C136" t="s">
        <v>1684</v>
      </c>
      <c r="D136">
        <v>0</v>
      </c>
    </row>
    <row r="137">
      <c r="A137" t="s">
        <v>2597</v>
      </c>
      <c r="B137" t="s">
        <v>2596</v>
      </c>
      <c r="C137" t="s">
        <v>1352</v>
      </c>
      <c r="D137">
        <v>0</v>
      </c>
    </row>
    <row r="138">
      <c r="A138" t="s">
        <v>2499</v>
      </c>
      <c r="B138" t="s">
        <v>2498</v>
      </c>
      <c r="C138" t="s">
        <v>1101</v>
      </c>
      <c r="D138">
        <v>0</v>
      </c>
    </row>
    <row r="139">
      <c r="A139" t="s">
        <v>2243</v>
      </c>
      <c r="B139" t="s">
        <v>2242</v>
      </c>
      <c r="C139" t="s">
        <v>502</v>
      </c>
      <c r="D139">
        <v>0</v>
      </c>
    </row>
    <row r="140">
      <c r="A140" t="s">
        <v>2690</v>
      </c>
      <c r="B140" t="s">
        <v>2689</v>
      </c>
      <c r="C140" t="s">
        <v>1578</v>
      </c>
      <c r="D140">
        <v>0</v>
      </c>
    </row>
    <row r="141">
      <c r="A141" t="s">
        <v>2586</v>
      </c>
      <c r="B141" t="s">
        <v>2585</v>
      </c>
      <c r="C141" t="s">
        <v>1320</v>
      </c>
      <c r="D141">
        <v>0</v>
      </c>
    </row>
    <row r="142">
      <c r="A142" t="s">
        <v>2665</v>
      </c>
      <c r="B142" t="s">
        <v>2664</v>
      </c>
      <c r="C142" t="s">
        <v>1515</v>
      </c>
      <c r="D142">
        <v>0</v>
      </c>
    </row>
    <row r="143">
      <c r="A143" t="s">
        <v>2490</v>
      </c>
      <c r="B143" t="s">
        <v>2489</v>
      </c>
      <c r="C143" t="s">
        <v>1081</v>
      </c>
      <c r="D143">
        <v>0</v>
      </c>
    </row>
    <row r="144">
      <c r="A144" t="s">
        <v>2641</v>
      </c>
      <c r="B144" t="s">
        <v>2640</v>
      </c>
      <c r="C144" t="s">
        <v>1463</v>
      </c>
      <c r="D144">
        <v>0</v>
      </c>
    </row>
    <row r="145">
      <c r="A145" t="s">
        <v>2571</v>
      </c>
      <c r="B145" t="s">
        <v>2570</v>
      </c>
      <c r="C145" t="s">
        <v>1279</v>
      </c>
      <c r="D145">
        <v>0</v>
      </c>
    </row>
    <row r="146">
      <c r="A146" t="s">
        <v>2462</v>
      </c>
      <c r="B146" t="s">
        <v>2461</v>
      </c>
      <c r="C146" t="s">
        <v>1015</v>
      </c>
      <c r="D146">
        <v>0</v>
      </c>
    </row>
    <row r="147">
      <c r="A147" t="s">
        <v>2746</v>
      </c>
      <c r="B147" t="s">
        <v>2745</v>
      </c>
      <c r="C147" t="s">
        <v>1713</v>
      </c>
      <c r="D147">
        <v>0</v>
      </c>
    </row>
    <row r="148">
      <c r="A148" t="s">
        <v>2456</v>
      </c>
      <c r="B148" t="s">
        <v>2455</v>
      </c>
      <c r="C148" t="s">
        <v>1001</v>
      </c>
      <c r="D148">
        <v>0</v>
      </c>
    </row>
    <row r="149">
      <c r="A149" t="s">
        <v>2681</v>
      </c>
      <c r="B149" t="s">
        <v>2680</v>
      </c>
      <c r="C149" t="s">
        <v>1555</v>
      </c>
      <c r="D149">
        <v>0</v>
      </c>
    </row>
    <row r="150">
      <c r="A150" t="s">
        <v>2725</v>
      </c>
      <c r="B150" t="s">
        <v>2724</v>
      </c>
      <c r="C150" t="s">
        <v>1663</v>
      </c>
      <c r="D150">
        <v>0</v>
      </c>
    </row>
    <row r="151">
      <c r="A151" t="s">
        <v>2583</v>
      </c>
      <c r="B151" t="s">
        <v>2582</v>
      </c>
      <c r="C151" t="s">
        <v>1312</v>
      </c>
      <c r="D151">
        <v>0</v>
      </c>
    </row>
    <row r="152">
      <c r="A152" t="s">
        <v>2542</v>
      </c>
      <c r="B152" t="s">
        <v>2541</v>
      </c>
      <c r="C152" t="s">
        <v>1209</v>
      </c>
      <c r="D152">
        <v>0</v>
      </c>
    </row>
    <row r="153">
      <c r="A153" t="s">
        <v>2743</v>
      </c>
      <c r="B153" t="s">
        <v>2742</v>
      </c>
      <c r="C153" t="s">
        <v>1706</v>
      </c>
      <c r="D153">
        <v>0</v>
      </c>
    </row>
    <row r="154">
      <c r="A154" t="s">
        <v>2708</v>
      </c>
      <c r="B154" t="s">
        <v>2707</v>
      </c>
      <c r="C154" t="s">
        <v>1632</v>
      </c>
      <c r="D154">
        <v>0</v>
      </c>
    </row>
    <row r="155">
      <c r="A155" t="s">
        <v>2774</v>
      </c>
      <c r="B155" t="s">
        <v>2772</v>
      </c>
      <c r="C155" t="s">
        <v>1777</v>
      </c>
      <c r="D155">
        <v>0</v>
      </c>
    </row>
    <row r="156">
      <c r="A156" t="s">
        <v>2632</v>
      </c>
      <c r="B156" t="s">
        <v>2631</v>
      </c>
      <c r="C156" t="s">
        <v>1440</v>
      </c>
      <c r="D156">
        <v>0</v>
      </c>
    </row>
    <row r="157">
      <c r="A157" t="s">
        <v>2246</v>
      </c>
      <c r="B157" t="s">
        <v>2245</v>
      </c>
      <c r="C157" t="s">
        <v>508</v>
      </c>
      <c r="D157">
        <v>0</v>
      </c>
    </row>
    <row r="158">
      <c r="A158" t="s">
        <v>2273</v>
      </c>
      <c r="B158" t="s">
        <v>2272</v>
      </c>
      <c r="C158" t="s">
        <v>580</v>
      </c>
      <c r="D158">
        <v>0</v>
      </c>
    </row>
    <row r="159">
      <c r="A159" t="s">
        <v>2437</v>
      </c>
      <c r="B159" t="s">
        <v>2431</v>
      </c>
      <c r="C159" t="s">
        <v>962</v>
      </c>
      <c r="D159">
        <v>0</v>
      </c>
    </row>
    <row r="160">
      <c r="A160" t="s">
        <v>2653</v>
      </c>
      <c r="B160" t="s">
        <v>2652</v>
      </c>
      <c r="C160" t="s">
        <v>1489</v>
      </c>
      <c r="D160">
        <v>0</v>
      </c>
    </row>
    <row r="161">
      <c r="A161" t="s">
        <v>2713</v>
      </c>
      <c r="B161" t="s">
        <v>2712</v>
      </c>
      <c r="C161" t="s">
        <v>1640</v>
      </c>
      <c r="D161">
        <v>0</v>
      </c>
    </row>
    <row r="162">
      <c r="A162" t="s">
        <v>2603</v>
      </c>
      <c r="B162" t="s">
        <v>2602</v>
      </c>
      <c r="C162" t="s">
        <v>1366</v>
      </c>
      <c r="D162">
        <v>0</v>
      </c>
    </row>
    <row r="163">
      <c r="A163" t="s">
        <v>2678</v>
      </c>
      <c r="B163" t="s">
        <v>2677</v>
      </c>
      <c r="C163" t="s">
        <v>1547</v>
      </c>
      <c r="D163">
        <v>0</v>
      </c>
    </row>
    <row r="164">
      <c r="A164" t="s">
        <v>2478</v>
      </c>
      <c r="B164" t="s">
        <v>2477</v>
      </c>
      <c r="C164" t="s">
        <v>1050</v>
      </c>
      <c r="D164">
        <v>0</v>
      </c>
    </row>
    <row r="165">
      <c r="A165" t="s">
        <v>2675</v>
      </c>
      <c r="B165" t="s">
        <v>2674</v>
      </c>
      <c r="C165" t="s">
        <v>1539</v>
      </c>
      <c r="D165">
        <v>0</v>
      </c>
    </row>
    <row r="166">
      <c r="A166" t="s">
        <v>2285</v>
      </c>
      <c r="B166" t="s">
        <v>2284</v>
      </c>
      <c r="C166" t="s">
        <v>610</v>
      </c>
      <c r="D166">
        <v>0</v>
      </c>
    </row>
    <row r="167">
      <c r="A167" t="s">
        <v>2309</v>
      </c>
      <c r="B167" t="s">
        <v>2308</v>
      </c>
      <c r="C167" t="s">
        <v>671</v>
      </c>
      <c r="D167">
        <v>0</v>
      </c>
    </row>
    <row r="168">
      <c r="A168" t="s">
        <v>2487</v>
      </c>
      <c r="B168" t="s">
        <v>2486</v>
      </c>
      <c r="C168" t="s">
        <v>1074</v>
      </c>
      <c r="D168">
        <v>0</v>
      </c>
    </row>
    <row r="169">
      <c r="A169" t="s">
        <v>2270</v>
      </c>
      <c r="B169" t="s">
        <v>2269</v>
      </c>
      <c r="C169" t="s">
        <v>569</v>
      </c>
      <c r="D169">
        <v>0</v>
      </c>
    </row>
    <row r="170">
      <c r="A170" t="s">
        <v>2618</v>
      </c>
      <c r="B170" t="s">
        <v>2617</v>
      </c>
      <c r="C170" t="s">
        <v>1402</v>
      </c>
      <c r="D170">
        <v>0</v>
      </c>
    </row>
    <row r="171">
      <c r="A171" t="s">
        <v>2472</v>
      </c>
      <c r="B171" t="s">
        <v>2471</v>
      </c>
      <c r="C171" t="s">
        <v>1035</v>
      </c>
      <c r="D171">
        <v>0</v>
      </c>
    </row>
    <row r="172">
      <c r="A172" t="s">
        <v>2737</v>
      </c>
      <c r="B172" t="s">
        <v>2736</v>
      </c>
      <c r="C172" t="s">
        <v>1690</v>
      </c>
      <c r="D172">
        <v>0</v>
      </c>
    </row>
    <row r="173">
      <c r="A173" t="s">
        <v>2493</v>
      </c>
      <c r="B173" t="s">
        <v>2492</v>
      </c>
      <c r="C173" t="s">
        <v>1087</v>
      </c>
      <c r="D173">
        <v>0</v>
      </c>
    </row>
    <row r="174">
      <c r="A174" t="s">
        <v>2465</v>
      </c>
      <c r="B174" t="s">
        <v>2464</v>
      </c>
      <c r="C174" t="s">
        <v>1022</v>
      </c>
      <c r="D174">
        <v>0</v>
      </c>
    </row>
    <row r="175">
      <c r="A175" t="s">
        <v>2502</v>
      </c>
      <c r="B175" t="s">
        <v>3983</v>
      </c>
      <c r="C175" t="s">
        <v>3984</v>
      </c>
      <c r="D175">
        <v>1</v>
      </c>
      <c r="E175" s="15" t="s">
        <v>3985</v>
      </c>
    </row>
    <row r="176">
      <c r="A176" t="s">
        <v>2231</v>
      </c>
      <c r="B176" t="s">
        <v>2230</v>
      </c>
      <c r="C176" t="s">
        <v>475</v>
      </c>
      <c r="D176">
        <v>0</v>
      </c>
    </row>
    <row r="177">
      <c r="A177" t="s">
        <v>2517</v>
      </c>
      <c r="B177" t="s">
        <v>2514</v>
      </c>
      <c r="C177" t="s">
        <v>1145</v>
      </c>
      <c r="D177">
        <v>0</v>
      </c>
    </row>
    <row r="178">
      <c r="A178" t="s">
        <v>2755</v>
      </c>
      <c r="B178" t="s">
        <v>2754</v>
      </c>
      <c r="C178" t="s">
        <v>1735</v>
      </c>
      <c r="D178">
        <v>0</v>
      </c>
    </row>
    <row r="179">
      <c r="A179" t="s">
        <v>2459</v>
      </c>
      <c r="B179" t="s">
        <v>2458</v>
      </c>
      <c r="C179" t="s">
        <v>1007</v>
      </c>
      <c r="D179">
        <v>0</v>
      </c>
    </row>
    <row r="180">
      <c r="A180" t="s">
        <v>2609</v>
      </c>
      <c r="B180" t="s">
        <v>2608</v>
      </c>
      <c r="C180" t="s">
        <v>1383</v>
      </c>
      <c r="D180">
        <v>0</v>
      </c>
    </row>
    <row r="181">
      <c r="A181" t="s">
        <v>2450</v>
      </c>
      <c r="B181" t="s">
        <v>2449</v>
      </c>
      <c r="C181" t="s">
        <v>987</v>
      </c>
      <c r="D181">
        <v>0</v>
      </c>
    </row>
    <row r="182">
      <c r="A182" t="s">
        <v>2589</v>
      </c>
      <c r="B182" t="s">
        <v>2588</v>
      </c>
      <c r="C182" t="s">
        <v>1328</v>
      </c>
      <c r="D182">
        <v>0</v>
      </c>
    </row>
    <row r="183">
      <c r="A183" t="s">
        <v>2577</v>
      </c>
      <c r="B183" t="s">
        <v>2576</v>
      </c>
      <c r="C183" t="s">
        <v>1294</v>
      </c>
      <c r="D183">
        <v>0</v>
      </c>
    </row>
    <row r="184">
      <c r="A184" t="s">
        <v>2548</v>
      </c>
      <c r="B184" t="s">
        <v>2547</v>
      </c>
      <c r="C184" t="s">
        <v>1223</v>
      </c>
      <c r="D184">
        <v>0</v>
      </c>
    </row>
    <row r="185">
      <c r="A185" t="s">
        <v>2496</v>
      </c>
      <c r="B185" t="s">
        <v>2495</v>
      </c>
      <c r="C185" t="s">
        <v>1094</v>
      </c>
      <c r="D185">
        <v>0</v>
      </c>
    </row>
    <row r="186">
      <c r="A186" t="s">
        <v>2752</v>
      </c>
      <c r="B186" t="s">
        <v>2751</v>
      </c>
      <c r="C186" t="s">
        <v>1726</v>
      </c>
      <c r="D186">
        <v>0</v>
      </c>
    </row>
    <row r="187">
      <c r="A187" t="s">
        <v>2249</v>
      </c>
      <c r="B187" t="s">
        <v>2248</v>
      </c>
      <c r="C187" t="s">
        <v>515</v>
      </c>
      <c r="D187">
        <v>0</v>
      </c>
    </row>
    <row r="188">
      <c r="A188" t="s">
        <v>2650</v>
      </c>
      <c r="B188" t="s">
        <v>2649</v>
      </c>
      <c r="C188" t="s">
        <v>1481</v>
      </c>
      <c r="D188">
        <v>0</v>
      </c>
    </row>
    <row r="189">
      <c r="A189" t="s">
        <v>2612</v>
      </c>
      <c r="B189" t="s">
        <v>2611</v>
      </c>
      <c r="C189" t="s">
        <v>1390</v>
      </c>
      <c r="D189">
        <v>0</v>
      </c>
    </row>
    <row r="190">
      <c r="A190" t="s">
        <v>2687</v>
      </c>
      <c r="B190" t="s">
        <v>2686</v>
      </c>
      <c r="C190" t="s">
        <v>1532</v>
      </c>
      <c r="D190">
        <v>0</v>
      </c>
    </row>
    <row r="191">
      <c r="A191" t="s">
        <v>2506</v>
      </c>
      <c r="B191" t="s">
        <v>2505</v>
      </c>
      <c r="C191" t="s">
        <v>1121</v>
      </c>
      <c r="D191">
        <v>0</v>
      </c>
    </row>
    <row r="192">
      <c r="A192" t="s">
        <v>2520</v>
      </c>
      <c r="B192" t="s">
        <v>2519</v>
      </c>
      <c r="C192" t="s">
        <v>1152</v>
      </c>
      <c r="D192">
        <v>0</v>
      </c>
    </row>
    <row r="193">
      <c r="A193" t="s">
        <v>2240</v>
      </c>
      <c r="B193" t="s">
        <v>2239</v>
      </c>
      <c r="C193" t="s">
        <v>496</v>
      </c>
      <c r="D193">
        <v>0</v>
      </c>
    </row>
    <row r="194">
      <c r="A194" t="s">
        <v>2264</v>
      </c>
      <c r="B194" t="s">
        <v>2263</v>
      </c>
      <c r="C194" t="s">
        <v>556</v>
      </c>
      <c r="D194">
        <v>0</v>
      </c>
    </row>
    <row r="195">
      <c r="A195" t="s">
        <v>2282</v>
      </c>
      <c r="B195" t="s">
        <v>2281</v>
      </c>
      <c r="C195" t="s">
        <v>602</v>
      </c>
      <c r="D195">
        <v>0</v>
      </c>
    </row>
    <row r="196">
      <c r="A196" t="s">
        <v>2749</v>
      </c>
      <c r="B196" t="s">
        <v>2748</v>
      </c>
      <c r="C196" t="s">
        <v>1720</v>
      </c>
      <c r="D196">
        <v>0</v>
      </c>
    </row>
    <row r="197">
      <c r="A197" t="s">
        <v>2551</v>
      </c>
      <c r="B197" t="s">
        <v>2550</v>
      </c>
      <c r="C197" t="s">
        <v>1229</v>
      </c>
      <c r="D197">
        <v>0</v>
      </c>
    </row>
    <row r="198">
      <c r="A198" t="s">
        <v>2297</v>
      </c>
      <c r="B198" t="s">
        <v>2296</v>
      </c>
      <c r="C198" t="s">
        <v>641</v>
      </c>
      <c r="D198">
        <v>0</v>
      </c>
    </row>
    <row r="199">
      <c r="A199" t="s">
        <v>2594</v>
      </c>
      <c r="B199" t="s">
        <v>2593</v>
      </c>
      <c r="C199" t="s">
        <v>1344</v>
      </c>
      <c r="D199">
        <v>0</v>
      </c>
    </row>
    <row r="200">
      <c r="A200" t="s">
        <v>2300</v>
      </c>
      <c r="B200" t="s">
        <v>2299</v>
      </c>
      <c r="C200" t="s">
        <v>647</v>
      </c>
      <c r="D200">
        <v>0</v>
      </c>
    </row>
    <row r="201">
      <c r="A201" t="s">
        <v>2469</v>
      </c>
      <c r="B201" t="s">
        <v>2467</v>
      </c>
      <c r="C201" t="s">
        <v>1029</v>
      </c>
      <c r="D201">
        <v>0</v>
      </c>
    </row>
    <row r="202">
      <c r="A202" t="s">
        <v>2276</v>
      </c>
      <c r="B202" t="s">
        <v>2275</v>
      </c>
      <c r="C202" t="s">
        <v>587</v>
      </c>
      <c r="D202">
        <v>0</v>
      </c>
    </row>
    <row r="203">
      <c r="A203" t="s">
        <v>2728</v>
      </c>
      <c r="B203" t="s">
        <v>2727</v>
      </c>
      <c r="C203" t="s">
        <v>1671</v>
      </c>
      <c r="D203">
        <v>0</v>
      </c>
    </row>
    <row r="204">
      <c r="A204" t="s">
        <v>2559</v>
      </c>
      <c r="B204" t="s">
        <v>2558</v>
      </c>
      <c r="C204" t="s">
        <v>1250</v>
      </c>
      <c r="D204">
        <v>0</v>
      </c>
    </row>
    <row r="205">
      <c r="A205" t="s">
        <v>2761</v>
      </c>
      <c r="B205" t="s">
        <v>2760</v>
      </c>
      <c r="C205" t="s">
        <v>1750</v>
      </c>
      <c r="D205">
        <v>0</v>
      </c>
    </row>
    <row r="206">
      <c r="A206" t="s">
        <v>2568</v>
      </c>
      <c r="B206" t="s">
        <v>2567</v>
      </c>
      <c r="C206" t="s">
        <v>1271</v>
      </c>
      <c r="D206">
        <v>0</v>
      </c>
    </row>
    <row r="207">
      <c r="A207" t="s">
        <v>2288</v>
      </c>
      <c r="B207" t="s">
        <v>2287</v>
      </c>
      <c r="C207" t="s">
        <v>617</v>
      </c>
      <c r="D207">
        <v>0</v>
      </c>
    </row>
    <row r="208">
      <c r="A208" t="s">
        <v>2615</v>
      </c>
      <c r="B208" t="s">
        <v>2614</v>
      </c>
      <c r="C208" t="s">
        <v>1396</v>
      </c>
      <c r="D208">
        <v>0</v>
      </c>
    </row>
    <row r="209">
      <c r="A209" t="s">
        <v>2562</v>
      </c>
      <c r="B209" t="s">
        <v>2561</v>
      </c>
      <c r="C209" t="s">
        <v>1257</v>
      </c>
      <c r="D209">
        <v>0</v>
      </c>
    </row>
    <row r="210">
      <c r="A210" t="s">
        <v>2621</v>
      </c>
      <c r="B210" t="s">
        <v>2620</v>
      </c>
      <c r="C210" t="s">
        <v>1410</v>
      </c>
      <c r="D210">
        <v>0</v>
      </c>
    </row>
    <row r="211">
      <c r="A211" t="s">
        <v>2453</v>
      </c>
      <c r="B211" t="s">
        <v>2452</v>
      </c>
      <c r="C211" t="s">
        <v>993</v>
      </c>
      <c r="D211">
        <v>0</v>
      </c>
    </row>
    <row r="212">
      <c r="A212" t="s">
        <v>2228</v>
      </c>
      <c r="B212" t="s">
        <v>2224</v>
      </c>
      <c r="C212" t="s">
        <v>467</v>
      </c>
      <c r="D212">
        <v>0</v>
      </c>
    </row>
    <row r="213">
      <c r="A213" t="s">
        <v>2719</v>
      </c>
      <c r="B213" t="s">
        <v>2718</v>
      </c>
      <c r="C213" t="s">
        <v>1651</v>
      </c>
      <c r="D213">
        <v>0</v>
      </c>
    </row>
    <row r="214">
      <c r="A214" t="s">
        <v>2512</v>
      </c>
      <c r="B214" t="s">
        <v>2510</v>
      </c>
      <c r="C214" t="s">
        <v>1139</v>
      </c>
      <c r="D214">
        <v>0</v>
      </c>
    </row>
    <row r="215">
      <c r="A215" t="s">
        <v>2647</v>
      </c>
      <c r="B215" t="s">
        <v>2646</v>
      </c>
      <c r="C215" t="s">
        <v>1473</v>
      </c>
      <c r="D215">
        <v>0</v>
      </c>
    </row>
    <row r="216">
      <c r="A216" t="s">
        <v>2291</v>
      </c>
      <c r="B216" t="s">
        <v>2290</v>
      </c>
      <c r="C216" t="s">
        <v>624</v>
      </c>
      <c r="D216">
        <v>0</v>
      </c>
    </row>
    <row r="217">
      <c r="A217" t="s">
        <v>2731</v>
      </c>
      <c r="B217" t="s">
        <v>2730</v>
      </c>
      <c r="C217" t="s">
        <v>1678</v>
      </c>
      <c r="D217">
        <v>0</v>
      </c>
    </row>
    <row r="218">
      <c r="A218" t="s">
        <v>2644</v>
      </c>
      <c r="B218" t="s">
        <v>2643</v>
      </c>
      <c r="C218" t="s">
        <v>1468</v>
      </c>
      <c r="D218">
        <v>0</v>
      </c>
    </row>
    <row r="219">
      <c r="A219" t="s">
        <v>2662</v>
      </c>
      <c r="B219" t="s">
        <v>2661</v>
      </c>
      <c r="C219" t="s">
        <v>1509</v>
      </c>
      <c r="D219">
        <v>0</v>
      </c>
    </row>
    <row r="220">
      <c r="A220" t="s">
        <v>2696</v>
      </c>
      <c r="B220" t="s">
        <v>2695</v>
      </c>
      <c r="C220" t="s">
        <v>1596</v>
      </c>
      <c r="D220">
        <v>0</v>
      </c>
    </row>
    <row r="221">
      <c r="A221" t="s">
        <v>2635</v>
      </c>
      <c r="B221" t="s">
        <v>2634</v>
      </c>
      <c r="C221" t="s">
        <v>1445</v>
      </c>
      <c r="D221">
        <v>0</v>
      </c>
    </row>
    <row r="222">
      <c r="A222" t="s">
        <v>2294</v>
      </c>
      <c r="B222" t="s">
        <v>3986</v>
      </c>
      <c r="C222" t="s">
        <v>3987</v>
      </c>
      <c r="D222">
        <v>1</v>
      </c>
      <c r="E222" s="15" t="s">
        <v>3988</v>
      </c>
    </row>
    <row r="223">
      <c r="A223" t="s">
        <v>2591</v>
      </c>
      <c r="B223" t="s">
        <v>2590</v>
      </c>
      <c r="C223" t="s">
        <v>1334</v>
      </c>
      <c r="D223">
        <v>0</v>
      </c>
    </row>
    <row r="224">
      <c r="A224" t="s">
        <v>2770</v>
      </c>
      <c r="B224" t="s">
        <v>2769</v>
      </c>
      <c r="C224" t="s">
        <v>1768</v>
      </c>
      <c r="D224">
        <v>0</v>
      </c>
    </row>
    <row r="225">
      <c r="A225" t="s">
        <v>2758</v>
      </c>
      <c r="B225" t="s">
        <v>2757</v>
      </c>
      <c r="C225" t="s">
        <v>1743</v>
      </c>
      <c r="D225">
        <v>0</v>
      </c>
    </row>
    <row r="226">
      <c r="A226" t="s">
        <v>2638</v>
      </c>
      <c r="B226" t="s">
        <v>2637</v>
      </c>
      <c r="C226" t="s">
        <v>1455</v>
      </c>
      <c r="D226">
        <v>0</v>
      </c>
    </row>
    <row r="227">
      <c r="A227" t="s">
        <v>2523</v>
      </c>
      <c r="B227" t="s">
        <v>2522</v>
      </c>
      <c r="C227" t="s">
        <v>1160</v>
      </c>
      <c r="D227">
        <v>0</v>
      </c>
    </row>
    <row r="228">
      <c r="A228" t="s">
        <v>2693</v>
      </c>
      <c r="B228" t="s">
        <v>2692</v>
      </c>
      <c r="C228" t="s">
        <v>1586</v>
      </c>
      <c r="D228">
        <v>0</v>
      </c>
    </row>
    <row r="229">
      <c r="A229" t="s">
        <v>2702</v>
      </c>
      <c r="B229" t="s">
        <v>2701</v>
      </c>
      <c r="C229" t="s">
        <v>1612</v>
      </c>
      <c r="D229">
        <v>0</v>
      </c>
    </row>
    <row r="230">
      <c r="A230" t="s">
        <v>2481</v>
      </c>
      <c r="B230" t="s">
        <v>2480</v>
      </c>
      <c r="C230" t="s">
        <v>1058</v>
      </c>
      <c r="D230">
        <v>0</v>
      </c>
    </row>
    <row r="231">
      <c r="A231" t="s">
        <v>2234</v>
      </c>
      <c r="B231" t="s">
        <v>2233</v>
      </c>
      <c r="C231" t="s">
        <v>481</v>
      </c>
      <c r="D231">
        <v>0</v>
      </c>
    </row>
    <row r="232">
      <c r="A232" t="s">
        <v>2279</v>
      </c>
      <c r="B232" t="s">
        <v>2278</v>
      </c>
      <c r="C232" t="s">
        <v>593</v>
      </c>
      <c r="D232">
        <v>0</v>
      </c>
    </row>
    <row r="233">
      <c r="A233" t="s">
        <v>2532</v>
      </c>
      <c r="B233" t="s">
        <v>2531</v>
      </c>
      <c r="C233" t="s">
        <v>1182</v>
      </c>
      <c r="D233">
        <v>0</v>
      </c>
    </row>
    <row r="234">
      <c r="A234" t="s">
        <v>2447</v>
      </c>
      <c r="B234" t="s">
        <v>3989</v>
      </c>
      <c r="C234" t="s">
        <v>3990</v>
      </c>
      <c r="D234">
        <v>1</v>
      </c>
      <c r="E234" s="15" t="s">
        <v>3991</v>
      </c>
    </row>
    <row r="235">
      <c r="A235" t="s">
        <v>2475</v>
      </c>
      <c r="B235" t="s">
        <v>2474</v>
      </c>
      <c r="C235" t="s">
        <v>1043</v>
      </c>
      <c r="D235">
        <v>0</v>
      </c>
    </row>
    <row r="236">
      <c r="A236" t="s">
        <v>2255</v>
      </c>
      <c r="B236" t="s">
        <v>2254</v>
      </c>
      <c r="C236" t="s">
        <v>532</v>
      </c>
      <c r="D236">
        <v>0</v>
      </c>
    </row>
    <row r="237">
      <c r="A237" t="s">
        <v>2545</v>
      </c>
      <c r="B237" t="s">
        <v>2544</v>
      </c>
      <c r="C237" t="s">
        <v>1215</v>
      </c>
      <c r="D237">
        <v>0</v>
      </c>
    </row>
    <row r="238">
      <c r="A238" t="s">
        <v>2699</v>
      </c>
      <c r="B238" t="s">
        <v>2698</v>
      </c>
      <c r="C238" t="s">
        <v>1604</v>
      </c>
      <c r="D238">
        <v>0</v>
      </c>
    </row>
    <row r="239">
      <c r="A239" t="s">
        <v>2740</v>
      </c>
      <c r="B239" t="s">
        <v>2739</v>
      </c>
      <c r="C239" t="s">
        <v>1696</v>
      </c>
      <c r="D239">
        <v>0</v>
      </c>
    </row>
    <row r="240">
      <c r="A240" t="s">
        <v>2705</v>
      </c>
      <c r="B240" t="s">
        <v>2704</v>
      </c>
      <c r="C240" t="s">
        <v>1620</v>
      </c>
      <c r="D240">
        <v>0</v>
      </c>
    </row>
    <row r="241">
      <c r="A241" t="s">
        <v>2556</v>
      </c>
      <c r="B241" t="s">
        <v>2555</v>
      </c>
      <c r="C241" t="s">
        <v>1242</v>
      </c>
      <c r="D241">
        <v>0</v>
      </c>
    </row>
    <row r="242">
      <c r="A242" t="s">
        <v>2624</v>
      </c>
      <c r="B242" t="s">
        <v>2623</v>
      </c>
      <c r="C242" t="s">
        <v>1420</v>
      </c>
      <c r="D242">
        <v>0</v>
      </c>
    </row>
    <row r="243">
      <c r="A243" t="s">
        <v>2629</v>
      </c>
      <c r="B243" t="s">
        <v>2628</v>
      </c>
      <c r="C243" t="s">
        <v>1435</v>
      </c>
      <c r="D243">
        <v>0</v>
      </c>
    </row>
    <row r="244">
      <c r="A244" t="s">
        <v>2672</v>
      </c>
      <c r="B244" t="s">
        <v>2671</v>
      </c>
      <c r="C244" t="s">
        <v>1532</v>
      </c>
      <c r="D244">
        <v>0</v>
      </c>
    </row>
    <row r="245" ht="182">
      <c r="A245" s="10" t="s">
        <v>3992</v>
      </c>
      <c r="B245" s="10" t="s">
        <v>3112</v>
      </c>
      <c r="C245" s="10" t="s">
        <v>3115</v>
      </c>
      <c r="D245" s="10">
        <v>0</v>
      </c>
      <c r="E245" s="10" t="s">
        <v>3993</v>
      </c>
    </row>
    <row r="246" ht="182">
      <c r="A246" s="10" t="s">
        <v>3994</v>
      </c>
      <c r="B246" s="10" t="s">
        <v>3112</v>
      </c>
      <c r="C246" s="10" t="s">
        <v>3115</v>
      </c>
      <c r="D246" s="10">
        <v>0</v>
      </c>
      <c r="E246" s="10" t="s">
        <v>3995</v>
      </c>
    </row>
    <row r="247" ht="154">
      <c r="A247" s="10" t="s">
        <v>3996</v>
      </c>
      <c r="B247" s="10" t="s">
        <v>3112</v>
      </c>
      <c r="C247" s="10" t="s">
        <v>3115</v>
      </c>
      <c r="D247" s="10">
        <v>0</v>
      </c>
      <c r="E247" s="10" t="s">
        <v>3997</v>
      </c>
    </row>
    <row r="248" ht="140">
      <c r="A248" s="10" t="s">
        <v>3998</v>
      </c>
      <c r="B248" s="10" t="s">
        <v>3112</v>
      </c>
      <c r="C248" s="10" t="s">
        <v>3115</v>
      </c>
      <c r="D248" s="10">
        <v>0</v>
      </c>
      <c r="E248" s="10" t="s">
        <v>3999</v>
      </c>
    </row>
    <row r="249" ht="112">
      <c r="A249" s="10" t="s">
        <v>4000</v>
      </c>
      <c r="B249" s="10" t="s">
        <v>3112</v>
      </c>
      <c r="C249" s="10" t="s">
        <v>3115</v>
      </c>
      <c r="D249" s="10">
        <v>0</v>
      </c>
      <c r="E249" s="10" t="s">
        <v>4001</v>
      </c>
    </row>
    <row r="250" ht="154">
      <c r="A250" s="10" t="s">
        <v>4002</v>
      </c>
      <c r="B250" s="10" t="s">
        <v>3112</v>
      </c>
      <c r="C250" s="10" t="s">
        <v>3115</v>
      </c>
      <c r="D250" s="10">
        <v>0</v>
      </c>
      <c r="E250" s="10" t="s">
        <v>4003</v>
      </c>
    </row>
    <row r="251" ht="98">
      <c r="A251" s="10" t="s">
        <v>4004</v>
      </c>
      <c r="B251" s="10" t="s">
        <v>3112</v>
      </c>
      <c r="C251" s="10" t="s">
        <v>3115</v>
      </c>
      <c r="D251" s="10">
        <v>0</v>
      </c>
      <c r="E251" s="10" t="s">
        <v>4005</v>
      </c>
    </row>
    <row r="252">
      <c r="A252" t="s">
        <v>4006</v>
      </c>
      <c r="B252" t="s">
        <v>3124</v>
      </c>
      <c r="C252" t="s">
        <v>3125</v>
      </c>
      <c r="D252">
        <v>0</v>
      </c>
      <c r="E252" t="s">
        <v>4007</v>
      </c>
    </row>
    <row r="253">
      <c r="A253" t="s">
        <v>4008</v>
      </c>
      <c r="B253" t="s">
        <v>3135</v>
      </c>
      <c r="C253" t="s">
        <v>3138</v>
      </c>
      <c r="D253">
        <v>0</v>
      </c>
      <c r="E253" t="s">
        <v>4009</v>
      </c>
    </row>
    <row r="254">
      <c r="A254" t="s">
        <v>4010</v>
      </c>
      <c r="B254" t="s">
        <v>3147</v>
      </c>
      <c r="C254" t="s">
        <v>3148</v>
      </c>
      <c r="D254">
        <v>0</v>
      </c>
      <c r="E254" t="s">
        <v>4011</v>
      </c>
    </row>
    <row r="255">
      <c r="A255" t="s">
        <v>4012</v>
      </c>
      <c r="B255" t="s">
        <v>3162</v>
      </c>
      <c r="C255" t="s">
        <v>3164</v>
      </c>
      <c r="D255">
        <v>0</v>
      </c>
      <c r="E255" t="s">
        <v>4013</v>
      </c>
    </row>
    <row r="256">
      <c r="A256" t="s">
        <v>4014</v>
      </c>
      <c r="B256" t="s">
        <v>3179</v>
      </c>
      <c r="C256" t="s">
        <v>3183</v>
      </c>
      <c r="D256">
        <v>0</v>
      </c>
      <c r="E256" t="s">
        <v>4015</v>
      </c>
    </row>
    <row r="257">
      <c r="A257" t="s">
        <v>4016</v>
      </c>
      <c r="B257" t="s">
        <v>3200</v>
      </c>
      <c r="C257" t="s">
        <v>3202</v>
      </c>
      <c r="D257">
        <v>0</v>
      </c>
      <c r="E257" t="s">
        <v>4017</v>
      </c>
    </row>
    <row r="258">
      <c r="A258" t="s">
        <v>4018</v>
      </c>
      <c r="B258" t="s">
        <v>3216</v>
      </c>
      <c r="C258" t="s">
        <v>3219</v>
      </c>
      <c r="D258">
        <v>0</v>
      </c>
      <c r="E258" t="s">
        <v>4019</v>
      </c>
    </row>
    <row r="259">
      <c r="A259" t="s">
        <v>4020</v>
      </c>
      <c r="B259" t="s">
        <v>3234</v>
      </c>
      <c r="C259" t="s">
        <v>3236</v>
      </c>
      <c r="D259">
        <v>0</v>
      </c>
      <c r="E259" t="s">
        <v>4021</v>
      </c>
    </row>
    <row r="260">
      <c r="A260" t="s">
        <v>4022</v>
      </c>
      <c r="B260" t="s">
        <v>3248</v>
      </c>
      <c r="C260" t="s">
        <v>3250</v>
      </c>
      <c r="D260">
        <v>0</v>
      </c>
      <c r="E260" t="s">
        <v>4023</v>
      </c>
    </row>
    <row r="261">
      <c r="A261" t="s">
        <v>4024</v>
      </c>
      <c r="B261" t="s">
        <v>3264</v>
      </c>
      <c r="C261" t="s">
        <v>3266</v>
      </c>
      <c r="D261">
        <v>0</v>
      </c>
      <c r="E261" t="s">
        <v>4025</v>
      </c>
    </row>
    <row r="262">
      <c r="A262" t="s">
        <v>3291</v>
      </c>
      <c r="B262" t="s">
        <v>3280</v>
      </c>
      <c r="C262" t="s">
        <v>3282</v>
      </c>
      <c r="D262">
        <v>0</v>
      </c>
      <c r="E262" t="s">
        <v>4026</v>
      </c>
    </row>
    <row r="263" ht="126">
      <c r="A263" s="25" t="s">
        <v>3305</v>
      </c>
      <c r="B263" s="28" t="s">
        <v>3295</v>
      </c>
      <c r="C263" s="25" t="s">
        <v>3298</v>
      </c>
      <c r="D263" s="25">
        <v>0</v>
      </c>
      <c r="E263" s="25" t="s">
        <v>3307</v>
      </c>
    </row>
    <row r="264" ht="182">
      <c r="A264" s="25" t="s">
        <v>3316</v>
      </c>
      <c r="B264" s="28" t="s">
        <v>3308</v>
      </c>
      <c r="C264" s="25" t="s">
        <v>3310</v>
      </c>
      <c r="D264" s="25">
        <v>0</v>
      </c>
      <c r="E264" s="25" t="s">
        <v>3318</v>
      </c>
    </row>
    <row r="265" ht="182">
      <c r="A265" s="25" t="s">
        <v>3326</v>
      </c>
      <c r="B265" s="28" t="s">
        <v>3319</v>
      </c>
      <c r="C265" s="25" t="s">
        <v>3320</v>
      </c>
      <c r="D265" s="25">
        <v>0</v>
      </c>
      <c r="E265" s="25" t="s">
        <v>3328</v>
      </c>
    </row>
    <row r="266" ht="210">
      <c r="A266" s="25" t="s">
        <v>3339</v>
      </c>
      <c r="B266" s="28" t="s">
        <v>3329</v>
      </c>
      <c r="C266" s="25" t="s">
        <v>3332</v>
      </c>
      <c r="D266" s="25">
        <v>0</v>
      </c>
      <c r="E266" s="25" t="s">
        <v>3343</v>
      </c>
    </row>
    <row r="267" ht="182">
      <c r="A267" s="25" t="s">
        <v>3351</v>
      </c>
      <c r="B267" s="28" t="s">
        <v>3344</v>
      </c>
      <c r="C267" s="25" t="s">
        <v>3345</v>
      </c>
      <c r="D267" s="25">
        <v>0</v>
      </c>
      <c r="E267" s="25" t="s">
        <v>3355</v>
      </c>
    </row>
    <row r="268" ht="182">
      <c r="A268" s="25" t="s">
        <v>3363</v>
      </c>
      <c r="B268" s="28" t="s">
        <v>3356</v>
      </c>
      <c r="C268" s="25" t="s">
        <v>3357</v>
      </c>
      <c r="D268" s="25">
        <v>0</v>
      </c>
      <c r="E268" s="25" t="s">
        <v>3365</v>
      </c>
    </row>
    <row r="269" ht="182">
      <c r="A269" s="25" t="s">
        <v>3374</v>
      </c>
      <c r="B269" s="28" t="s">
        <v>3366</v>
      </c>
      <c r="C269" s="25" t="s">
        <v>3367</v>
      </c>
      <c r="D269" s="25">
        <v>0</v>
      </c>
      <c r="E269" s="25" t="s">
        <v>3378</v>
      </c>
    </row>
    <row r="270" ht="182">
      <c r="A270" s="25" t="s">
        <v>3388</v>
      </c>
      <c r="B270" s="28" t="s">
        <v>3379</v>
      </c>
      <c r="C270" s="25" t="s">
        <v>3382</v>
      </c>
      <c r="D270" s="25">
        <v>0</v>
      </c>
      <c r="E270" s="25" t="s">
        <v>3390</v>
      </c>
    </row>
    <row r="271" ht="252">
      <c r="A271" s="25" t="s">
        <v>3398</v>
      </c>
      <c r="B271" s="28" t="s">
        <v>3391</v>
      </c>
      <c r="C271" s="25" t="s">
        <v>3392</v>
      </c>
      <c r="D271" s="25">
        <v>0</v>
      </c>
      <c r="E271" s="25" t="s">
        <v>3402</v>
      </c>
    </row>
    <row r="272" ht="196">
      <c r="A272" s="25" t="s">
        <v>3413</v>
      </c>
      <c r="B272" s="28" t="s">
        <v>3403</v>
      </c>
      <c r="C272" s="25" t="s">
        <v>3406</v>
      </c>
      <c r="D272" s="25">
        <v>0</v>
      </c>
      <c r="E272" s="25" t="s">
        <v>3416</v>
      </c>
    </row>
    <row r="273" ht="182">
      <c r="A273" s="25" t="s">
        <v>3424</v>
      </c>
      <c r="B273" s="28" t="s">
        <v>3417</v>
      </c>
      <c r="C273" s="25" t="s">
        <v>3418</v>
      </c>
      <c r="D273" s="25">
        <v>0</v>
      </c>
      <c r="E273" s="25" t="s">
        <v>3428</v>
      </c>
    </row>
    <row r="274" ht="126">
      <c r="A274" s="25" t="s">
        <v>3436</v>
      </c>
      <c r="B274" s="28" t="s">
        <v>3429</v>
      </c>
      <c r="C274" s="25" t="s">
        <v>3430</v>
      </c>
      <c r="D274" s="25">
        <v>0</v>
      </c>
      <c r="E274" s="25" t="s">
        <v>3439</v>
      </c>
    </row>
    <row r="275" ht="210">
      <c r="A275" s="25" t="s">
        <v>3447</v>
      </c>
      <c r="B275" s="28" t="s">
        <v>3440</v>
      </c>
      <c r="C275" s="25" t="s">
        <v>3441</v>
      </c>
      <c r="D275" s="25">
        <v>0</v>
      </c>
      <c r="E275" s="25" t="s">
        <v>3450</v>
      </c>
    </row>
    <row r="276" ht="182">
      <c r="A276" s="25" t="s">
        <v>3460</v>
      </c>
      <c r="B276" s="28" t="s">
        <v>3451</v>
      </c>
      <c r="C276" s="25" t="s">
        <v>3452</v>
      </c>
      <c r="D276" s="25">
        <v>0</v>
      </c>
      <c r="E276" s="25" t="s">
        <v>3464</v>
      </c>
    </row>
    <row r="277" ht="168">
      <c r="A277" s="25" t="s">
        <v>3472</v>
      </c>
      <c r="B277" s="28" t="s">
        <v>3465</v>
      </c>
      <c r="C277" s="25" t="s">
        <v>3466</v>
      </c>
      <c r="D277" s="25">
        <v>0</v>
      </c>
      <c r="E277" s="25" t="s">
        <v>3476</v>
      </c>
    </row>
    <row r="278" ht="182">
      <c r="A278" s="25" t="s">
        <v>3487</v>
      </c>
      <c r="B278" s="28" t="s">
        <v>3477</v>
      </c>
      <c r="C278" s="25" t="s">
        <v>3480</v>
      </c>
      <c r="D278" s="25">
        <v>0</v>
      </c>
      <c r="E278" s="25" t="s">
        <v>3491</v>
      </c>
    </row>
    <row r="279" ht="182">
      <c r="A279" s="25" t="s">
        <v>3500</v>
      </c>
      <c r="B279" s="28" t="s">
        <v>3492</v>
      </c>
      <c r="C279" s="25" t="s">
        <v>3493</v>
      </c>
      <c r="D279" s="25">
        <v>0</v>
      </c>
      <c r="E279" s="25" t="s">
        <v>3504</v>
      </c>
    </row>
    <row r="280" ht="182">
      <c r="A280" s="25" t="s">
        <v>3513</v>
      </c>
      <c r="B280" s="28" t="s">
        <v>3505</v>
      </c>
      <c r="C280" s="25" t="s">
        <v>3506</v>
      </c>
      <c r="D280" s="25">
        <v>0</v>
      </c>
      <c r="E280" s="25" t="s">
        <v>3515</v>
      </c>
    </row>
    <row r="281" ht="154">
      <c r="A281" s="25" t="s">
        <v>3525</v>
      </c>
      <c r="B281" s="28" t="s">
        <v>3516</v>
      </c>
      <c r="C281" s="25" t="s">
        <v>3518</v>
      </c>
      <c r="D281" s="25">
        <v>0</v>
      </c>
      <c r="E281" s="25" t="s">
        <v>3529</v>
      </c>
    </row>
    <row r="282" ht="182">
      <c r="A282" s="25" t="s">
        <v>3540</v>
      </c>
      <c r="B282" s="28" t="s">
        <v>3530</v>
      </c>
      <c r="C282" s="25" t="s">
        <v>3532</v>
      </c>
      <c r="D282" s="25">
        <v>0</v>
      </c>
      <c r="E282" s="25" t="s">
        <v>4027</v>
      </c>
    </row>
    <row r="283" ht="168">
      <c r="A283" s="25" t="s">
        <v>3554</v>
      </c>
      <c r="B283" s="28" t="s">
        <v>3544</v>
      </c>
      <c r="C283" s="25" t="s">
        <v>3547</v>
      </c>
      <c r="D283" s="25">
        <v>0</v>
      </c>
      <c r="E283" s="25" t="s">
        <v>3559</v>
      </c>
    </row>
    <row r="284" ht="168">
      <c r="A284" s="25" t="s">
        <v>3568</v>
      </c>
      <c r="B284" s="28" t="s">
        <v>3560</v>
      </c>
      <c r="C284" s="25" t="s">
        <v>3561</v>
      </c>
      <c r="D284" s="25">
        <v>0</v>
      </c>
      <c r="E284" s="25" t="s">
        <v>3572</v>
      </c>
    </row>
    <row r="285" ht="154">
      <c r="A285" s="25" t="s">
        <v>3583</v>
      </c>
      <c r="B285" s="28" t="s">
        <v>3573</v>
      </c>
      <c r="C285" s="25" t="s">
        <v>3576</v>
      </c>
      <c r="D285" s="25">
        <v>0</v>
      </c>
      <c r="E285" s="25" t="s">
        <v>3586</v>
      </c>
    </row>
    <row r="286" ht="210">
      <c r="A286" s="25" t="s">
        <v>3594</v>
      </c>
      <c r="B286" s="28" t="s">
        <v>3587</v>
      </c>
      <c r="C286" s="25" t="s">
        <v>3588</v>
      </c>
      <c r="D286" s="25">
        <v>0</v>
      </c>
      <c r="E286" s="25" t="s">
        <v>3597</v>
      </c>
    </row>
    <row r="287">
      <c r="A287" t="s">
        <v>3612</v>
      </c>
      <c r="B287" t="s">
        <v>3598</v>
      </c>
      <c r="C287" t="s">
        <v>3602</v>
      </c>
      <c r="D287" t="s">
        <v>3939</v>
      </c>
      <c r="E287" t="s">
        <v>4028</v>
      </c>
    </row>
    <row r="288">
      <c r="A288" t="s">
        <v>3625</v>
      </c>
      <c r="B288" t="s">
        <v>3619</v>
      </c>
      <c r="C288" t="s">
        <v>3620</v>
      </c>
      <c r="D288" t="s">
        <v>3939</v>
      </c>
      <c r="E288" t="s">
        <v>4028</v>
      </c>
    </row>
    <row r="289">
      <c r="A289" t="s">
        <v>3632</v>
      </c>
      <c r="B289" t="s">
        <v>3626</v>
      </c>
      <c r="C289" t="s">
        <v>3627</v>
      </c>
      <c r="D289" t="s">
        <v>3939</v>
      </c>
      <c r="E289" t="s">
        <v>4028</v>
      </c>
    </row>
    <row r="290">
      <c r="A290" t="s">
        <v>3639</v>
      </c>
      <c r="B290" t="s">
        <v>3633</v>
      </c>
      <c r="C290" t="s">
        <v>3634</v>
      </c>
      <c r="D290" t="s">
        <v>3939</v>
      </c>
      <c r="E290" t="s">
        <v>4028</v>
      </c>
    </row>
    <row r="291">
      <c r="A291" t="s">
        <v>3646</v>
      </c>
      <c r="B291" t="s">
        <v>3640</v>
      </c>
      <c r="C291" t="s">
        <v>3641</v>
      </c>
      <c r="D291" t="s">
        <v>3939</v>
      </c>
      <c r="E291" t="s">
        <v>4028</v>
      </c>
    </row>
    <row r="292">
      <c r="A292" t="s">
        <v>3653</v>
      </c>
      <c r="B292" t="s">
        <v>3647</v>
      </c>
      <c r="C292" t="s">
        <v>3648</v>
      </c>
      <c r="D292" t="s">
        <v>3939</v>
      </c>
      <c r="E292" t="s">
        <v>4028</v>
      </c>
    </row>
    <row r="293">
      <c r="A293" t="s">
        <v>3663</v>
      </c>
      <c r="B293" t="s">
        <v>3654</v>
      </c>
      <c r="C293" t="s">
        <v>3657</v>
      </c>
      <c r="D293" t="s">
        <v>3939</v>
      </c>
      <c r="E293" t="s">
        <v>4028</v>
      </c>
    </row>
    <row r="294">
      <c r="A294" t="s">
        <v>3670</v>
      </c>
      <c r="B294" t="s">
        <v>3664</v>
      </c>
      <c r="C294" t="s">
        <v>3665</v>
      </c>
      <c r="D294" t="s">
        <v>3939</v>
      </c>
      <c r="E294" t="s">
        <v>4028</v>
      </c>
    </row>
    <row r="295">
      <c r="A295" t="s">
        <v>3677</v>
      </c>
      <c r="B295" t="s">
        <v>3671</v>
      </c>
      <c r="C295" t="s">
        <v>3672</v>
      </c>
      <c r="D295" t="s">
        <v>3939</v>
      </c>
      <c r="E295" t="s">
        <v>4028</v>
      </c>
    </row>
    <row r="296">
      <c r="A296" t="s">
        <v>3684</v>
      </c>
      <c r="B296" t="s">
        <v>3678</v>
      </c>
      <c r="C296" t="s">
        <v>3679</v>
      </c>
      <c r="D296" t="s">
        <v>3939</v>
      </c>
      <c r="E296" t="s">
        <v>4028</v>
      </c>
    </row>
    <row r="297">
      <c r="A297" t="s">
        <v>3691</v>
      </c>
      <c r="B297" t="s">
        <v>3685</v>
      </c>
      <c r="C297" t="s">
        <v>3686</v>
      </c>
      <c r="D297" t="s">
        <v>3939</v>
      </c>
      <c r="E297" t="s">
        <v>4028</v>
      </c>
    </row>
    <row r="298">
      <c r="A298" t="s">
        <v>3698</v>
      </c>
      <c r="B298" t="s">
        <v>3692</v>
      </c>
      <c r="C298" t="s">
        <v>3693</v>
      </c>
      <c r="D298" t="s">
        <v>3939</v>
      </c>
      <c r="E298" t="s">
        <v>4028</v>
      </c>
    </row>
    <row r="299">
      <c r="A299" t="s">
        <v>3705</v>
      </c>
      <c r="B299" t="s">
        <v>3699</v>
      </c>
      <c r="C299" t="s">
        <v>3700</v>
      </c>
      <c r="D299" t="s">
        <v>3939</v>
      </c>
      <c r="E299" t="s">
        <v>4028</v>
      </c>
    </row>
    <row r="300">
      <c r="A300" t="s">
        <v>3712</v>
      </c>
      <c r="B300" t="s">
        <v>3706</v>
      </c>
      <c r="C300" t="s">
        <v>3707</v>
      </c>
      <c r="D300" t="s">
        <v>3939</v>
      </c>
      <c r="E300" t="s">
        <v>4028</v>
      </c>
    </row>
    <row r="301">
      <c r="A301" t="s">
        <v>3719</v>
      </c>
      <c r="B301" t="s">
        <v>3713</v>
      </c>
      <c r="C301" t="s">
        <v>3714</v>
      </c>
      <c r="D301" t="s">
        <v>3939</v>
      </c>
      <c r="E301" t="s">
        <v>4028</v>
      </c>
    </row>
    <row r="302">
      <c r="A302" t="s">
        <v>3726</v>
      </c>
      <c r="B302" t="s">
        <v>3720</v>
      </c>
      <c r="C302" t="s">
        <v>3721</v>
      </c>
      <c r="D302" t="s">
        <v>3939</v>
      </c>
      <c r="E302" t="s">
        <v>4028</v>
      </c>
    </row>
    <row r="303">
      <c r="A303" t="s">
        <v>3736</v>
      </c>
      <c r="B303" t="s">
        <v>3727</v>
      </c>
      <c r="C303" t="s">
        <v>3730</v>
      </c>
      <c r="D303" t="s">
        <v>3939</v>
      </c>
      <c r="E303" t="s">
        <v>4028</v>
      </c>
    </row>
    <row r="304">
      <c r="A304" t="s">
        <v>3743</v>
      </c>
      <c r="B304" t="s">
        <v>3737</v>
      </c>
      <c r="C304" t="s">
        <v>3738</v>
      </c>
      <c r="D304" t="s">
        <v>3939</v>
      </c>
      <c r="E304" t="s">
        <v>4028</v>
      </c>
    </row>
    <row r="305">
      <c r="A305" t="s">
        <v>3750</v>
      </c>
      <c r="B305" t="s">
        <v>3744</v>
      </c>
      <c r="C305" t="s">
        <v>3745</v>
      </c>
      <c r="D305" t="s">
        <v>3939</v>
      </c>
      <c r="E305" t="s">
        <v>4028</v>
      </c>
    </row>
    <row r="306">
      <c r="A306" t="s">
        <v>3757</v>
      </c>
      <c r="B306" t="s">
        <v>3751</v>
      </c>
      <c r="C306" t="s">
        <v>3752</v>
      </c>
      <c r="D306" t="s">
        <v>3939</v>
      </c>
      <c r="E306" t="s">
        <v>4028</v>
      </c>
    </row>
    <row r="307">
      <c r="A307" t="s">
        <v>3764</v>
      </c>
      <c r="B307" t="s">
        <v>3758</v>
      </c>
      <c r="C307" t="s">
        <v>3759</v>
      </c>
      <c r="D307" t="s">
        <v>3939</v>
      </c>
      <c r="E307" t="s">
        <v>4028</v>
      </c>
    </row>
    <row r="308">
      <c r="A308" t="s">
        <v>3771</v>
      </c>
      <c r="B308" t="s">
        <v>3765</v>
      </c>
      <c r="C308" t="s">
        <v>3766</v>
      </c>
      <c r="D308" t="s">
        <v>3939</v>
      </c>
      <c r="E308" t="s">
        <v>4028</v>
      </c>
    </row>
    <row r="309">
      <c r="A309" t="s">
        <v>3778</v>
      </c>
      <c r="B309" t="s">
        <v>3772</v>
      </c>
      <c r="C309" t="s">
        <v>3773</v>
      </c>
      <c r="D309" t="s">
        <v>3939</v>
      </c>
      <c r="E309" t="s">
        <v>4028</v>
      </c>
    </row>
    <row r="310">
      <c r="A310" t="s">
        <v>3789</v>
      </c>
      <c r="B310" t="s">
        <v>3779</v>
      </c>
      <c r="C310" t="s">
        <v>3782</v>
      </c>
      <c r="D310" t="s">
        <v>3939</v>
      </c>
      <c r="E310" t="s">
        <v>4028</v>
      </c>
    </row>
    <row r="311">
      <c r="A311" t="s">
        <v>3798</v>
      </c>
      <c r="B311" t="s">
        <v>3792</v>
      </c>
      <c r="C311" t="s">
        <v>3793</v>
      </c>
      <c r="D311" t="s">
        <v>3939</v>
      </c>
      <c r="E311" t="s">
        <v>4028</v>
      </c>
    </row>
    <row r="312">
      <c r="A312" t="s">
        <v>3805</v>
      </c>
      <c r="B312" t="s">
        <v>3799</v>
      </c>
      <c r="C312" t="s">
        <v>3800</v>
      </c>
      <c r="D312" t="s">
        <v>3939</v>
      </c>
      <c r="E312" t="s">
        <v>4028</v>
      </c>
    </row>
    <row r="313">
      <c r="A313" t="s">
        <v>3812</v>
      </c>
      <c r="B313" t="s">
        <v>3806</v>
      </c>
      <c r="C313" t="s">
        <v>3807</v>
      </c>
      <c r="D313" t="s">
        <v>3939</v>
      </c>
      <c r="E313" t="s">
        <v>4028</v>
      </c>
    </row>
    <row r="314">
      <c r="A314" t="s">
        <v>3819</v>
      </c>
      <c r="B314" t="s">
        <v>3813</v>
      </c>
      <c r="C314" t="s">
        <v>3814</v>
      </c>
      <c r="D314" t="s">
        <v>3939</v>
      </c>
      <c r="E314" t="s">
        <v>4028</v>
      </c>
    </row>
    <row r="315">
      <c r="A315" t="s">
        <v>3826</v>
      </c>
      <c r="B315" t="s">
        <v>3820</v>
      </c>
      <c r="C315" t="s">
        <v>3821</v>
      </c>
      <c r="D315" t="s">
        <v>3939</v>
      </c>
      <c r="E315" t="s">
        <v>4028</v>
      </c>
    </row>
    <row r="316">
      <c r="A316" t="s">
        <v>3836</v>
      </c>
      <c r="B316" t="s">
        <v>3827</v>
      </c>
      <c r="C316" t="s">
        <v>3830</v>
      </c>
      <c r="D316" t="s">
        <v>3939</v>
      </c>
      <c r="E316" t="s">
        <v>4028</v>
      </c>
    </row>
    <row r="317">
      <c r="A317" t="s">
        <v>3843</v>
      </c>
      <c r="B317" t="s">
        <v>3837</v>
      </c>
      <c r="C317" t="s">
        <v>3838</v>
      </c>
      <c r="D317" t="s">
        <v>3939</v>
      </c>
      <c r="E317" t="s">
        <v>4028</v>
      </c>
    </row>
    <row r="318" ht="42" customHeight="1">
      <c r="A318" s="74" t="s">
        <v>7302</v>
      </c>
      <c r="B318" s="74" t="s">
        <v>7286</v>
      </c>
      <c r="C318" s="74" t="s">
        <v>7291</v>
      </c>
      <c r="D318" s="74">
        <v>0</v>
      </c>
      <c r="E318" s="74" t="s">
        <v>7307</v>
      </c>
    </row>
    <row r="319" ht="42" customHeight="1">
      <c r="A319" s="74" t="s">
        <v>7317</v>
      </c>
      <c r="B319" s="74" t="s">
        <v>7308</v>
      </c>
      <c r="C319" s="74" t="s">
        <v>7311</v>
      </c>
      <c r="D319" s="74">
        <v>0</v>
      </c>
      <c r="E319" s="74" t="s">
        <v>7320</v>
      </c>
    </row>
    <row r="320" ht="42" customHeight="1">
      <c r="A320" s="74" t="s">
        <v>7330</v>
      </c>
      <c r="B320" s="74" t="s">
        <v>7321</v>
      </c>
      <c r="C320" s="74" t="s">
        <v>7324</v>
      </c>
      <c r="D320" s="74">
        <v>0</v>
      </c>
      <c r="E320" s="74" t="s">
        <v>7331</v>
      </c>
    </row>
    <row r="321" ht="42" customHeight="1">
      <c r="A321" s="74" t="s">
        <v>7343</v>
      </c>
      <c r="B321" s="74" t="s">
        <v>7334</v>
      </c>
      <c r="C321" s="74" t="s">
        <v>7337</v>
      </c>
      <c r="D321" s="74">
        <v>0</v>
      </c>
      <c r="E321" s="74" t="s">
        <v>7344</v>
      </c>
    </row>
    <row r="322" ht="42" customHeight="1">
      <c r="A322" s="74" t="s">
        <v>7355</v>
      </c>
      <c r="B322" s="74" t="s">
        <v>7346</v>
      </c>
      <c r="C322" s="74" t="s">
        <v>7349</v>
      </c>
      <c r="D322" s="74">
        <v>0</v>
      </c>
      <c r="E322" s="74" t="s">
        <v>7356</v>
      </c>
    </row>
    <row r="323" ht="42" customHeight="1">
      <c r="A323" s="74" t="s">
        <v>7366</v>
      </c>
      <c r="B323" s="74" t="s">
        <v>7358</v>
      </c>
      <c r="C323" s="74" t="s">
        <v>7360</v>
      </c>
      <c r="D323" s="74">
        <v>0</v>
      </c>
      <c r="E323" s="74" t="s">
        <v>7367</v>
      </c>
    </row>
  </sheetData>
  <pageMargins left="0.7" right="0.7" top="0.75" bottom="0.75" header="0.3" footer="0.3"/>
</worksheet>
</file>

<file path=xl/worksheets/sheet12.xml><?xml version="1.0" encoding="utf-8"?>
<x:worksheet xmlns:x="http://schemas.openxmlformats.org/spreadsheetml/2006/main">
  <x:sheetFormatPr baseColWidth="10" defaultColWidth="8.83203125" defaultRowHeight="13"/>
  <x:sheetData>
    <x:row r="1" ht="37.75" customHeight="1">
      <x:c r="A1" s="7" t="s">
        <x:v>63</x:v>
      </x:c>
      <x:c r="B1" s="7" t="s">
        <x:v>1979</x:v>
      </x:c>
      <x:c r="C1" s="7" t="s">
        <x:v>1981</x:v>
      </x:c>
      <x:c r="D1" s="7" t="s">
        <x:v>1984</x:v>
      </x:c>
      <x:c r="E1" s="7" t="s">
        <x:v>1985</x:v>
      </x:c>
      <x:c r="F1" s="7" t="s">
        <x:v>1980</x:v>
      </x:c>
      <x:c r="G1" s="7" t="s">
        <x:v>1983</x:v>
      </x:c>
      <x:c r="H1" s="7" t="s">
        <x:v>1982</x:v>
      </x:c>
    </x:row>
    <x:row r="2" ht="37.75" customHeight="1">
      <x:c r="A2" s="7" t="s">
        <x:v>129</x:v>
      </x:c>
      <x:c r="B2">
        <x:v>4</x:v>
      </x:c>
      <x:c r="C2">
        <x:v>0</x:v>
      </x:c>
      <x:c r="D2">
        <x:v>8</x:v>
      </x:c>
      <x:c r="E2">
        <x:v>0</x:v>
      </x:c>
      <x:c r="F2">
        <x:v>10</x:v>
      </x:c>
      <x:c r="G2">
        <x:v>0</x:v>
      </x:c>
      <x:c r="H2">
        <x:v>1</x:v>
      </x:c>
    </x:row>
    <x:row r="3" ht="37.75" customHeight="1">
      <x:c r="A3" s="7" t="s">
        <x:v>97</x:v>
      </x:c>
      <x:c r="B3" s="8">
        <x:v>7</x:v>
      </x:c>
      <x:c r="C3" s="8">
        <x:v>0</x:v>
      </x:c>
      <x:c r="D3" s="8" t="n">
        <x:v>15</x:v>
      </x:c>
      <x:c r="E3" s="8">
        <x:v>0</x:v>
      </x:c>
      <x:c r="F3" s="8">
        <x:v>9</x:v>
      </x:c>
      <x:c r="G3" s="8">
        <x:v>0</x:v>
      </x:c>
      <x:c r="H3">
        <x:v>0</x:v>
      </x:c>
    </x:row>
    <x:row r="4" ht="37.75" customHeight="1">
      <x:c r="A4" s="7" t="s">
        <x:v>154</x:v>
      </x:c>
      <x:c r="B4">
        <x:v>1</x:v>
      </x:c>
      <x:c r="C4">
        <x:v>6</x:v>
      </x:c>
      <x:c r="D4" t="n">
        <x:v>31</x:v>
      </x:c>
      <x:c r="E4">
        <x:v>1</x:v>
      </x:c>
      <x:c r="F4">
        <x:v>8</x:v>
      </x:c>
      <x:c r="G4">
        <x:v>2</x:v>
      </x:c>
      <x:c r="H4">
        <x:v>2</x:v>
      </x:c>
    </x:row>
    <x:row r="5" ht="37.75" customHeight="1">
      <x:c r="A5" s="7" t="s">
        <x:v>120</x:v>
      </x:c>
      <x:c r="B5">
        <x:v>1</x:v>
      </x:c>
      <x:c r="C5">
        <x:v>22</x:v>
      </x:c>
      <x:c r="D5" t="n">
        <x:v>69</x:v>
      </x:c>
      <x:c r="E5">
        <x:v>2</x:v>
      </x:c>
      <x:c r="F5">
        <x:v>8</x:v>
      </x:c>
      <x:c r="G5">
        <x:v>1</x:v>
      </x:c>
      <x:c r="H5">
        <x:v>42</x:v>
      </x:c>
    </x:row>
    <x:row r="6" ht="37.75" customHeight="1">
      <x:c r="A6" s="7" t="s">
        <x:v>4029</x:v>
      </x:c>
      <x:c r="B6">
        <x:v>13</x:v>
      </x:c>
      <x:c r="C6">
        <x:v>28</x:v>
      </x:c>
      <x:c r="D6" t="n">
        <x:v>123</x:v>
      </x:c>
      <x:c r="E6">
        <x:v>3</x:v>
      </x:c>
      <x:c r="F6">
        <x:v>35</x:v>
      </x:c>
      <x:c r="G6">
        <x:v>3</x:v>
      </x:c>
      <x:c r="H6">
        <x:v>45</x:v>
      </x:c>
    </x:row>
    <x:row r="7">
      <x:c r="A7" t="s">
        <x:v>1982</x:v>
      </x:c>
      <x:c r="B7" t="n">
        <x:f>COUNTIFS(Blueprint_Data!$P:$P,$A7,Blueprint_Data!$G:$G,B$3)</x:f>
        <x:v>0</x:v>
      </x:c>
      <x:c r="C7" t="n">
        <x:f>COUNTIFS(Blueprint_Data!$P:$P,$A7,Blueprint_Data!$G:$G,B$3)</x:f>
        <x:v>0</x:v>
      </x:c>
      <x:c r="D7" t="n">
        <x:f>COUNTIFS(Blueprint_Data!$P:$P,$A7,Blueprint_Data!$G:$G,B$3)</x:f>
        <x:v>0</x:v>
      </x:c>
      <x:c r="E7" t="n">
        <x:f>COUNTIFS(Blueprint_Data!$P:$P,$A7,Blueprint_Data!$G:$G,B$3)</x:f>
        <x:v>0</x:v>
      </x:c>
    </x:row>
    <x:row r="8" ht="37.75" customHeight="1">
      <x:c r="A8" s="7" t="s">
        <x:v>4030</x:v>
      </x:c>
      <x:c r="B8" s="7" t="s">
        <x:v>1971</x:v>
      </x:c>
      <x:c r="C8" s="7" t="s">
        <x:v>1997</x:v>
      </x:c>
      <x:c r="D8" s="7" t="s">
        <x:v>1998</x:v>
      </x:c>
      <x:c r="E8" s="7" t="s">
        <x:v>1973</x:v>
      </x:c>
    </x:row>
    <x:row r="9">
      <x:c r="A9" t="s">
        <x:v>92</x:v>
      </x:c>
      <x:c r="B9">
        <x:v>8</x:v>
      </x:c>
      <x:c r="C9">
        <x:v>0</x:v>
      </x:c>
      <x:c r="D9">
        <x:v>0</x:v>
      </x:c>
      <x:c r="E9">
        <x:v>0</x:v>
      </x:c>
    </x:row>
    <x:row r="10">
      <x:c r="A10" t="s">
        <x:v>160</x:v>
      </x:c>
      <x:c r="B10">
        <x:v>39</x:v>
      </x:c>
      <x:c r="C10">
        <x:v>0</x:v>
      </x:c>
      <x:c r="D10">
        <x:v>0</x:v>
      </x:c>
      <x:c r="E10">
        <x:v>0</x:v>
      </x:c>
    </x:row>
    <x:row r="11">
      <x:c r="A11" t="s">
        <x:v>463</x:v>
      </x:c>
      <x:c r="B11">
        <x:v>28</x:v>
      </x:c>
      <x:c r="C11">
        <x:v>0</x:v>
      </x:c>
      <x:c r="D11">
        <x:v>0</x:v>
      </x:c>
      <x:c r="E11">
        <x:v>0</x:v>
      </x:c>
    </x:row>
    <x:row r="12">
      <x:c r="A12" t="s">
        <x:v>679</x:v>
      </x:c>
      <x:c r="B12">
        <x:v>41</x:v>
      </x:c>
      <x:c r="C12">
        <x:v>0</x:v>
      </x:c>
      <x:c r="D12">
        <x:v>0</x:v>
      </x:c>
      <x:c r="E12">
        <x:v>0</x:v>
      </x:c>
    </x:row>
    <x:row r="13">
      <x:c r="A13" t="s">
        <x:v>958</x:v>
      </x:c>
      <x:c r="B13">
        <x:v>10</x:v>
      </x:c>
      <x:c r="C13">
        <x:v>0</x:v>
      </x:c>
      <x:c r="D13">
        <x:v>0</x:v>
      </x:c>
      <x:c r="E13">
        <x:v>0</x:v>
      </x:c>
    </x:row>
    <x:row r="14" ht="37.75" customHeight="1">
      <x:c r="A14" s="7" t="s">
        <x:v>1628</x:v>
      </x:c>
      <x:c r="B14">
        <x:v>0</x:v>
      </x:c>
      <x:c r="C14">
        <x:v>0</x:v>
      </x:c>
      <x:c r="D14">
        <x:v>0</x:v>
      </x:c>
      <x:c r="E14">
        <x:v>0</x:v>
      </x:c>
    </x:row>
    <x:row r="15">
      <x:c r="A15" t="s">
        <x:v>1798</x:v>
      </x:c>
      <x:c r="B15">
        <x:v>4</x:v>
      </x:c>
      <x:c r="C15">
        <x:v>0</x:v>
      </x:c>
      <x:c r="D15">
        <x:v>0</x:v>
      </x:c>
      <x:c r="E15">
        <x:v>0</x:v>
      </x:c>
    </x:row>
    <x:row r="16" ht="37.75" customHeight="1">
      <x:c r="A16" s="7" t="s">
        <x:v>4029</x:v>
      </x:c>
      <x:c r="B16" s="8">
        <x:v>130</x:v>
      </x:c>
      <x:c r="C16" s="8">
        <x:v>0</x:v>
      </x:c>
      <x:c r="D16" s="8">
        <x:v>0</x:v>
      </x:c>
      <x:c r="E16" s="8">
        <x:v>0</x:v>
      </x:c>
      <x:c r="F16" s="8" t="s">
        <x:v>1967</x:v>
      </x:c>
      <x:c r="G16" s="8" t="s">
        <x:v>1968</x:v>
      </x:c>
    </x:row>
    <x:row r="17">
      <x:c r="A17" t="s">
        <x:v>92</x:v>
      </x:c>
      <x:c r="B17" t="n">
        <x:f>COUNTIFS(Blueprint_Data!$B:$B,$A17,Blueprint_Data!$O:$O,B$16)</x:f>
        <x:v>0</x:v>
      </x:c>
      <x:c r="C17" t="n">
        <x:f>COUNTIFS(Blueprint_Data!$B:$B,$A17,Blueprint_Data!$O:$O,B$16)</x:f>
        <x:v>0</x:v>
      </x:c>
      <x:c r="D17" t="n">
        <x:f>COUNTIFS(Blueprint_Data!$B:$B,$A17,Blueprint_Data!$O:$O,B$16)</x:f>
        <x:v>0</x:v>
      </x:c>
      <x:c r="E17" t="n">
        <x:f>COUNTIFS(Blueprint_Data!$B:$B,$A17,Blueprint_Data!$O:$O,B$16)</x:f>
        <x:v>0</x:v>
      </x:c>
      <x:c r="F17" t="n">
        <x:f>COUNTIFS(Blueprint_Data!$B:$B,$A17,Blueprint_Data!$O:$O,B$16)</x:f>
        <x:v>0</x:v>
      </x:c>
      <x:c r="G17" t="n">
        <x:f>COUNTIFS(Blueprint_Data!$B:$B,$A17,Blueprint_Data!$O:$O,B$16)</x:f>
        <x:v>0</x:v>
      </x:c>
    </x:row>
    <x:row r="18">
      <x:c r="A18" t="s">
        <x:v>160</x:v>
      </x:c>
      <x:c r="B18" t="n">
        <x:f>COUNTIFS(Blueprint_Data!$B:$B,$A18,Blueprint_Data!$O:$O,B$16)</x:f>
        <x:v>0</x:v>
      </x:c>
      <x:c r="C18" t="n">
        <x:f>COUNTIFS(Blueprint_Data!$B:$B,$A18,Blueprint_Data!$O:$O,B$16)</x:f>
        <x:v>0</x:v>
      </x:c>
      <x:c r="D18" t="n">
        <x:f>COUNTIFS(Blueprint_Data!$B:$B,$A18,Blueprint_Data!$O:$O,B$16)</x:f>
        <x:v>0</x:v>
      </x:c>
      <x:c r="E18" t="n">
        <x:f>COUNTIFS(Blueprint_Data!$B:$B,$A18,Blueprint_Data!$O:$O,B$16)</x:f>
        <x:v>0</x:v>
      </x:c>
      <x:c r="F18" t="n">
        <x:f>COUNTIFS(Blueprint_Data!$B:$B,$A18,Blueprint_Data!$O:$O,B$16)</x:f>
        <x:v>0</x:v>
      </x:c>
      <x:c r="G18" t="n">
        <x:f>COUNTIFS(Blueprint_Data!$B:$B,$A18,Blueprint_Data!$O:$O,B$16)</x:f>
        <x:v>0</x:v>
      </x:c>
    </x:row>
    <x:row r="19">
      <x:c r="A19" t="s">
        <x:v>463</x:v>
      </x:c>
      <x:c r="B19" t="n">
        <x:f>COUNTIFS(Blueprint_Data!$B:$B,$A19,Blueprint_Data!$O:$O,B$16)</x:f>
        <x:v>0</x:v>
      </x:c>
      <x:c r="C19" t="n">
        <x:f>COUNTIFS(Blueprint_Data!$B:$B,$A19,Blueprint_Data!$O:$O,B$16)</x:f>
        <x:v>0</x:v>
      </x:c>
      <x:c r="D19" t="n">
        <x:f>COUNTIFS(Blueprint_Data!$B:$B,$A19,Blueprint_Data!$O:$O,B$16)</x:f>
        <x:v>0</x:v>
      </x:c>
      <x:c r="E19" t="n">
        <x:f>COUNTIFS(Blueprint_Data!$B:$B,$A19,Blueprint_Data!$O:$O,B$16)</x:f>
        <x:v>0</x:v>
      </x:c>
      <x:c r="F19" t="n">
        <x:f>COUNTIFS(Blueprint_Data!$B:$B,$A19,Blueprint_Data!$O:$O,B$16)</x:f>
        <x:v>0</x:v>
      </x:c>
      <x:c r="G19" t="n">
        <x:f>COUNTIFS(Blueprint_Data!$B:$B,$A19,Blueprint_Data!$O:$O,B$16)</x:f>
        <x:v>0</x:v>
      </x:c>
    </x:row>
    <x:row r="20">
      <x:c r="A20" t="s">
        <x:v>679</x:v>
      </x:c>
      <x:c r="B20" t="n">
        <x:f>COUNTIFS(Blueprint_Data!$B:$B,$A20,Blueprint_Data!$O:$O,B$16)</x:f>
        <x:v>0</x:v>
      </x:c>
      <x:c r="C20" t="n">
        <x:f>COUNTIFS(Blueprint_Data!$B:$B,$A20,Blueprint_Data!$O:$O,B$16)</x:f>
        <x:v>0</x:v>
      </x:c>
      <x:c r="D20" t="n">
        <x:f>COUNTIFS(Blueprint_Data!$B:$B,$A20,Blueprint_Data!$O:$O,B$16)</x:f>
        <x:v>0</x:v>
      </x:c>
      <x:c r="E20" t="n">
        <x:f>COUNTIFS(Blueprint_Data!$B:$B,$A20,Blueprint_Data!$O:$O,B$16)</x:f>
        <x:v>0</x:v>
      </x:c>
      <x:c r="F20" t="n">
        <x:f>COUNTIFS(Blueprint_Data!$B:$B,$A20,Blueprint_Data!$O:$O,B$16)</x:f>
        <x:v>0</x:v>
      </x:c>
      <x:c r="G20" t="n">
        <x:f>COUNTIFS(Blueprint_Data!$B:$B,$A20,Blueprint_Data!$O:$O,B$16)</x:f>
        <x:v>0</x:v>
      </x:c>
    </x:row>
    <x:row r="21">
      <x:c r="A21" t="s">
        <x:v>958</x:v>
      </x:c>
      <x:c r="B21" t="n">
        <x:f>COUNTIFS(Blueprint_Data!$B:$B,$A21,Blueprint_Data!$O:$O,B$16)</x:f>
        <x:v>0</x:v>
      </x:c>
      <x:c r="C21" t="n">
        <x:f>COUNTIFS(Blueprint_Data!$B:$B,$A21,Blueprint_Data!$O:$O,B$16)</x:f>
        <x:v>0</x:v>
      </x:c>
      <x:c r="D21" t="n">
        <x:f>COUNTIFS(Blueprint_Data!$B:$B,$A21,Blueprint_Data!$O:$O,B$16)</x:f>
        <x:v>0</x:v>
      </x:c>
      <x:c r="E21" t="n">
        <x:f>COUNTIFS(Blueprint_Data!$B:$B,$A21,Blueprint_Data!$O:$O,B$16)</x:f>
        <x:v>0</x:v>
      </x:c>
      <x:c r="F21" t="n">
        <x:f>COUNTIFS(Blueprint_Data!$B:$B,$A21,Blueprint_Data!$O:$O,B$16)</x:f>
        <x:v>0</x:v>
      </x:c>
      <x:c r="G21" t="n">
        <x:f>COUNTIFS(Blueprint_Data!$B:$B,$A21,Blueprint_Data!$O:$O,B$16)</x:f>
        <x:v>0</x:v>
      </x:c>
    </x:row>
    <x:row r="22">
      <x:c r="A22" t="s">
        <x:v>1628</x:v>
      </x:c>
      <x:c r="B22" t="n">
        <x:f>COUNTIFS(Blueprint_Data!$B:$B,$A22,Blueprint_Data!$O:$O,B$16)</x:f>
        <x:v>0</x:v>
      </x:c>
      <x:c r="C22" t="n">
        <x:f>COUNTIFS(Blueprint_Data!$B:$B,$A22,Blueprint_Data!$O:$O,B$16)</x:f>
        <x:v>0</x:v>
      </x:c>
      <x:c r="D22" t="n">
        <x:f>COUNTIFS(Blueprint_Data!$B:$B,$A22,Blueprint_Data!$O:$O,B$16)</x:f>
        <x:v>0</x:v>
      </x:c>
      <x:c r="E22" t="n">
        <x:f>COUNTIFS(Blueprint_Data!$B:$B,$A22,Blueprint_Data!$O:$O,B$16)</x:f>
        <x:v>0</x:v>
      </x:c>
      <x:c r="F22" t="n">
        <x:f>COUNTIFS(Blueprint_Data!$B:$B,$A22,Blueprint_Data!$O:$O,B$16)</x:f>
        <x:v>0</x:v>
      </x:c>
      <x:c r="G22" t="n">
        <x:f>COUNTIFS(Blueprint_Data!$B:$B,$A22,Blueprint_Data!$O:$O,B$16)</x:f>
        <x:v>0</x:v>
      </x:c>
    </x:row>
    <x:row r="23">
      <x:c r="A23" t="s">
        <x:v>1798</x:v>
      </x:c>
      <x:c r="B23" t="n">
        <x:f>COUNTIFS(Blueprint_Data!$B:$B,$A23,Blueprint_Data!$O:$O,B$16)</x:f>
        <x:v>0</x:v>
      </x:c>
      <x:c r="C23" t="n">
        <x:f>COUNTIFS(Blueprint_Data!$B:$B,$A23,Blueprint_Data!$O:$O,B$16)</x:f>
        <x:v>0</x:v>
      </x:c>
      <x:c r="D23" t="n">
        <x:f>COUNTIFS(Blueprint_Data!$B:$B,$A23,Blueprint_Data!$O:$O,B$16)</x:f>
        <x:v>0</x:v>
      </x:c>
      <x:c r="E23" t="n">
        <x:f>COUNTIFS(Blueprint_Data!$B:$B,$A23,Blueprint_Data!$O:$O,B$16)</x:f>
        <x:v>0</x:v>
      </x:c>
      <x:c r="F23" t="n">
        <x:f>COUNTIFS(Blueprint_Data!$B:$B,$A23,Blueprint_Data!$O:$O,B$16)</x:f>
        <x:v>0</x:v>
      </x:c>
      <x:c r="G23" t="n">
        <x:f>COUNTIFS(Blueprint_Data!$B:$B,$A23,Blueprint_Data!$O:$O,B$16)</x:f>
        <x:v>0</x:v>
      </x:c>
    </x:row>
  </x:sheetData>
  <x:pageMargins left="0.7" right="0.7" top="0.75" bottom="0.75" header="0.3" footer="0.3"/>
</x:worksheet>
</file>

<file path=xl/worksheets/sheet13.xml><?xml version="1.0" encoding="utf-8"?>
<worksheet xmlns="http://schemas.openxmlformats.org/spreadsheetml/2006/main">
  <sheetViews>
    <sheetView showGridLines="0" workbookViewId="0"/>
  </sheetViews>
  <sheetFormatPr baseColWidth="10" defaultColWidth="8.83203125" defaultRowHeight="13"/>
  <cols>
    <col min="1" max="1" width="28" customWidth="1"/>
    <col min="2" max="2" width="60" customWidth="1"/>
  </cols>
  <sheetData>
    <row r="1" ht="24" customHeight="1">
      <c r="A1" s="9" t="s">
        <v>4031</v>
      </c>
    </row>
    <row r="2">
      <c r="A2" t="s">
        <v>4032</v>
      </c>
      <c r="B2" t="s">
        <v>7405</v>
      </c>
    </row>
    <row r="3">
      <c r="A3" s="8" t="s">
        <v>4033</v>
      </c>
      <c r="B3" t="s">
        <v>4034</v>
      </c>
    </row>
    <row r="4">
      <c r="A4" s="8" t="s">
        <v>4035</v>
      </c>
      <c r="B4" t="s">
        <v>4036</v>
      </c>
    </row>
    <row r="5">
      <c r="A5" s="8" t="s">
        <v>4037</v>
      </c>
      <c r="B5" t="s">
        <v>4038</v>
      </c>
    </row>
    <row r="6">
      <c r="A6" s="8" t="s">
        <v>4039</v>
      </c>
      <c r="B6" t="str">
        <v>System Capability &amp; Implementation Blueprint - master 7.xlsx</v>
      </c>
    </row>
    <row r="8">
      <c r="A8" s="8" t="s">
        <v>4040</v>
      </c>
    </row>
    <row r="9" ht="60" customHeight="1">
      <c r="A9" s="10" t="s">
        <v>4041</v>
      </c>
    </row>
    <row r="10" ht="40" customHeight="1">
      <c r="A10" s="74" t="str">
        <v>Management &amp; Governance Update</v>
      </c>
      <c r="B10" s="74" t="s">
        <v>7442</v>
      </c>
    </row>
  </sheetData>
  <pageMargins left="0.7" right="0.7" top="0.75" bottom="0.75" header="0.3" footer="0.3"/>
</worksheet>
</file>

<file path=xl/worksheets/sheet14.xml><?xml version="1.0" encoding="utf-8"?>
<worksheet xmlns="http://schemas.openxmlformats.org/spreadsheetml/2006/main">
  <sheetViews>
    <sheetView showGridLines="0" workbookViewId="0"/>
  </sheetViews>
  <sheetFormatPr baseColWidth="10" defaultColWidth="8.83203125" defaultRowHeight="13"/>
  <cols>
    <col min="1" max="1" width="14" customWidth="1"/>
    <col min="2" max="2" width="16" customWidth="1"/>
    <col min="3" max="3" width="46" customWidth="1"/>
    <col min="4" max="4" width="70" customWidth="1"/>
    <col min="5" max="5" width="20" customWidth="1"/>
    <col min="6" max="6" width="80" customWidth="1"/>
  </cols>
  <sheetData>
    <row r="1">
      <c r="A1" s="11"/>
      <c r="B1" s="11"/>
      <c r="C1" s="11"/>
      <c r="D1" s="11"/>
      <c r="E1" s="11"/>
      <c r="F1" s="11"/>
    </row>
    <row r="2" ht="14" customHeight="1">
      <c r="A2" t="s">
        <v>4042</v>
      </c>
      <c r="B2" t="s">
        <v>4043</v>
      </c>
      <c r="C2" t="s">
        <v>4044</v>
      </c>
      <c r="D2" t="s">
        <v>4045</v>
      </c>
      <c r="E2" t="s">
        <v>4039</v>
      </c>
      <c r="F2" s="10" t="s">
        <v>4046</v>
      </c>
    </row>
    <row r="3">
      <c r="F3" s="10"/>
    </row>
    <row r="6">
      <c r="A6" t="s">
        <v>4047</v>
      </c>
      <c r="B6" t="s">
        <v>4048</v>
      </c>
      <c r="C6" t="s">
        <v>4049</v>
      </c>
      <c r="D6" t="s">
        <v>4050</v>
      </c>
      <c r="E6" t="s">
        <v>4051</v>
      </c>
      <c r="F6" t="s">
        <v>4052</v>
      </c>
    </row>
    <row r="7">
      <c r="A7" t="s">
        <v>4053</v>
      </c>
      <c r="B7" t="s">
        <v>4054</v>
      </c>
      <c r="C7" t="s">
        <v>4055</v>
      </c>
    </row>
    <row r="8">
      <c r="A8" t="s">
        <v>4056</v>
      </c>
      <c r="B8" t="s">
        <v>4057</v>
      </c>
      <c r="C8" t="s">
        <v>4058</v>
      </c>
    </row>
    <row r="9">
      <c r="A9" s="17" t="s">
        <v>4059</v>
      </c>
      <c r="B9" s="17" t="s">
        <v>4060</v>
      </c>
      <c r="C9" s="17" t="s">
        <v>4061</v>
      </c>
      <c r="D9" s="17" t="s">
        <v>4062</v>
      </c>
    </row>
    <row r="10">
      <c r="A10" t="s">
        <v>4059</v>
      </c>
      <c r="B10" t="s">
        <v>4063</v>
      </c>
      <c r="C10" t="s">
        <v>4064</v>
      </c>
      <c r="D10" t="s">
        <v>4065</v>
      </c>
    </row>
    <row r="11">
      <c r="A11" t="s">
        <v>4059</v>
      </c>
      <c r="B11" t="s">
        <v>4063</v>
      </c>
      <c r="C11" t="s">
        <v>4066</v>
      </c>
      <c r="D11" t="s">
        <v>4065</v>
      </c>
      <c r="E11" t="s">
        <v>4067</v>
      </c>
    </row>
    <row r="12">
      <c r="A12" t="s">
        <v>4059</v>
      </c>
      <c r="B12" t="s">
        <v>4063</v>
      </c>
      <c r="C12" t="s">
        <v>4068</v>
      </c>
      <c r="D12" t="s">
        <v>4065</v>
      </c>
      <c r="E12" t="s">
        <v>4069</v>
      </c>
    </row>
    <row r="13">
      <c r="A13" t="s">
        <v>4059</v>
      </c>
      <c r="B13" t="s">
        <v>4070</v>
      </c>
      <c r="C13" t="s">
        <v>4071</v>
      </c>
      <c r="D13" t="s">
        <v>4065</v>
      </c>
      <c r="E13" t="s">
        <v>4072</v>
      </c>
    </row>
    <row r="14">
      <c r="A14" t="s">
        <v>4059</v>
      </c>
      <c r="B14" t="s">
        <v>4070</v>
      </c>
      <c r="C14" t="s">
        <v>4073</v>
      </c>
      <c r="D14" t="s">
        <v>4065</v>
      </c>
      <c r="E14" t="s">
        <v>4074</v>
      </c>
    </row>
    <row r="15">
      <c r="A15" t="s">
        <v>4075</v>
      </c>
      <c r="B15" t="s">
        <v>4070</v>
      </c>
      <c r="C15" t="s">
        <v>4076</v>
      </c>
      <c r="E15" t="s">
        <v>4077</v>
      </c>
      <c r="F15" t="s">
        <v>4078</v>
      </c>
    </row>
    <row r="16">
      <c r="A16" t="s">
        <v>4079</v>
      </c>
      <c r="B16" t="s">
        <v>4080</v>
      </c>
      <c r="C16" t="s">
        <v>4081</v>
      </c>
      <c r="D16" t="s">
        <v>4082</v>
      </c>
      <c r="E16" t="s">
        <v>4065</v>
      </c>
      <c r="F16" t="s">
        <v>4083</v>
      </c>
    </row>
    <row r="17" ht="52" customHeight="1">
      <c r="A17" s="74" t="str">
        <v>v8.0-management-governance</v>
      </c>
      <c r="B17" s="74" t="str">
        <v>2026-07-27</v>
      </c>
      <c r="C17" s="74" t="str">
        <v>System Capability &amp; Implementation Blueprint - master 8.xlsx</v>
      </c>
      <c r="D17" s="74"/>
      <c r="E17" s="74" t="str">
        <v>System Capability &amp; Implementation Blueprint - master 7.xlsx</v>
      </c>
      <c r="F17" s="74" t="str">
        <v>Added Management &amp; Governance domain mapping and eight canonical modules MOD-0352–MOD-0359; updated Blueprint_Data/View, dependencies, checks, release views, SoR map, page map, object catalog, contract dictionary, standards and gap register.</v>
      </c>
    </row>
    <row r="18" ht="52" customHeight="1">
      <c r="A18" s="74" t="s">
        <v>7443</v>
      </c>
      <c r="B18" s="74" t="s">
        <v>7404</v>
      </c>
      <c r="C18" s="74" t="s">
        <v>7405</v>
      </c>
      <c r="D18" s="74" t="s">
        <v>7444</v>
      </c>
      <c r="E18" s="74" t="s">
        <v>7445</v>
      </c>
      <c r="F18" s="74" t="s">
        <v>7446</v>
      </c>
    </row>
  </sheetData>
  <pageMargins left="0.7" right="0.7" top="0.75" bottom="0.75" header="0.3" footer="0.3"/>
</worksheet>
</file>

<file path=xl/worksheets/sheet15.xml><?xml version="1.0" encoding="utf-8"?>
<worksheet xmlns="http://schemas.openxmlformats.org/spreadsheetml/2006/main">
  <sheetFormatPr baseColWidth="10" defaultColWidth="8.83203125" defaultRowHeight="13"/>
  <cols>
    <col min="1" max="1" width="14" customWidth="1"/>
    <col min="2" max="2" width="17" customWidth="1"/>
    <col min="3" max="3" width="21" customWidth="1"/>
    <col min="4" max="4" width="15" customWidth="1"/>
    <col min="5" max="5" width="31" customWidth="1"/>
    <col min="6" max="6" width="20" customWidth="1"/>
    <col min="7" max="7" width="22" customWidth="1"/>
    <col min="8" max="8" width="21" customWidth="1"/>
    <col min="9" max="9" width="30" customWidth="1"/>
    <col min="10" max="10" width="15" customWidth="1"/>
    <col min="11" max="11" width="14" customWidth="1"/>
  </cols>
  <sheetData>
    <row r="1" ht="33.25" customHeight="1">
      <c r="A1" s="11" t="s">
        <v>4084</v>
      </c>
      <c r="B1" s="11" t="s">
        <v>4085</v>
      </c>
      <c r="C1" s="11" t="s">
        <v>4086</v>
      </c>
      <c r="D1" s="11" t="s">
        <v>4087</v>
      </c>
      <c r="E1" s="11" t="s">
        <v>4088</v>
      </c>
      <c r="F1" s="11" t="s">
        <v>4089</v>
      </c>
      <c r="G1" s="11" t="s">
        <v>4090</v>
      </c>
      <c r="H1" s="11" t="s">
        <v>4091</v>
      </c>
      <c r="I1" s="11" t="s">
        <v>4092</v>
      </c>
      <c r="J1" s="11" t="s">
        <v>2061</v>
      </c>
      <c r="K1" s="11" t="s">
        <v>4093</v>
      </c>
      <c r="L1" t="s">
        <v>4094</v>
      </c>
      <c r="M1" t="s">
        <v>4095</v>
      </c>
      <c r="N1" t="s">
        <v>4096</v>
      </c>
      <c r="O1" t="s">
        <v>4097</v>
      </c>
      <c r="P1" t="s">
        <v>4098</v>
      </c>
    </row>
    <row r="2">
      <c r="A2" t="s">
        <v>4099</v>
      </c>
      <c r="B2" t="s">
        <v>4100</v>
      </c>
      <c r="C2" t="s">
        <v>4101</v>
      </c>
      <c r="D2" t="s">
        <v>4102</v>
      </c>
      <c r="E2" t="s">
        <v>4103</v>
      </c>
      <c r="F2" t="s">
        <v>4104</v>
      </c>
      <c r="G2" t="s">
        <v>113</v>
      </c>
      <c r="H2" t="s">
        <v>4105</v>
      </c>
      <c r="I2" t="s">
        <v>4106</v>
      </c>
      <c r="J2" t="s">
        <v>2226</v>
      </c>
      <c r="K2" t="s">
        <v>4107</v>
      </c>
      <c r="L2" t="s">
        <v>4108</v>
      </c>
      <c r="M2" t="s">
        <v>4109</v>
      </c>
      <c r="N2" t="s">
        <v>4110</v>
      </c>
      <c r="O2" t="s">
        <v>4111</v>
      </c>
      <c r="P2" t="s">
        <v>4112</v>
      </c>
    </row>
    <row r="3">
      <c r="A3" t="s">
        <v>4113</v>
      </c>
      <c r="B3" t="s">
        <v>4114</v>
      </c>
      <c r="C3" t="s">
        <v>1201</v>
      </c>
      <c r="D3" t="s">
        <v>2537</v>
      </c>
      <c r="E3" t="s">
        <v>4115</v>
      </c>
      <c r="F3" t="s">
        <v>4116</v>
      </c>
      <c r="G3" t="s">
        <v>113</v>
      </c>
      <c r="H3" t="s">
        <v>4117</v>
      </c>
      <c r="I3" t="s">
        <v>4118</v>
      </c>
      <c r="J3" t="s">
        <v>4119</v>
      </c>
      <c r="K3" t="s">
        <v>4120</v>
      </c>
      <c r="L3" t="s">
        <v>4121</v>
      </c>
      <c r="M3" t="s">
        <v>4109</v>
      </c>
      <c r="N3" t="s">
        <v>4110</v>
      </c>
      <c r="O3" t="s">
        <v>4111</v>
      </c>
      <c r="P3" t="s">
        <v>4112</v>
      </c>
    </row>
    <row r="4">
      <c r="A4" t="s">
        <v>4122</v>
      </c>
      <c r="B4" t="s">
        <v>4123</v>
      </c>
      <c r="C4" t="s">
        <v>1131</v>
      </c>
      <c r="D4" t="s">
        <v>2508</v>
      </c>
      <c r="E4" t="s">
        <v>4115</v>
      </c>
      <c r="F4" t="s">
        <v>4124</v>
      </c>
      <c r="G4" t="s">
        <v>113</v>
      </c>
      <c r="H4" t="s">
        <v>4117</v>
      </c>
      <c r="I4" t="s">
        <v>2888</v>
      </c>
      <c r="J4" t="s">
        <v>4125</v>
      </c>
      <c r="K4" t="s">
        <v>4126</v>
      </c>
      <c r="L4" t="s">
        <v>4121</v>
      </c>
      <c r="M4" t="s">
        <v>4127</v>
      </c>
      <c r="N4" t="s">
        <v>4110</v>
      </c>
      <c r="O4" t="s">
        <v>4111</v>
      </c>
      <c r="P4" t="s">
        <v>4112</v>
      </c>
    </row>
    <row r="5">
      <c r="A5" t="s">
        <v>4128</v>
      </c>
      <c r="B5" t="s">
        <v>4129</v>
      </c>
      <c r="C5" t="s">
        <v>1726</v>
      </c>
      <c r="D5" t="s">
        <v>2751</v>
      </c>
      <c r="E5" t="s">
        <v>4115</v>
      </c>
      <c r="F5" t="s">
        <v>4130</v>
      </c>
      <c r="G5" t="s">
        <v>113</v>
      </c>
      <c r="H5" t="s">
        <v>4131</v>
      </c>
      <c r="I5" t="s">
        <v>4132</v>
      </c>
      <c r="J5" t="s">
        <v>4133</v>
      </c>
      <c r="K5" t="s">
        <v>4134</v>
      </c>
      <c r="L5" t="s">
        <v>4135</v>
      </c>
      <c r="M5" t="s">
        <v>4136</v>
      </c>
      <c r="N5" t="s">
        <v>4110</v>
      </c>
      <c r="O5" t="s">
        <v>4137</v>
      </c>
      <c r="P5" t="s">
        <v>4112</v>
      </c>
    </row>
    <row r="6">
      <c r="A6" t="s">
        <v>4138</v>
      </c>
      <c r="B6" t="s">
        <v>4139</v>
      </c>
      <c r="C6" t="s">
        <v>2843</v>
      </c>
      <c r="D6" t="s">
        <v>2839</v>
      </c>
      <c r="E6" t="s">
        <v>4140</v>
      </c>
      <c r="F6" t="s">
        <v>4141</v>
      </c>
      <c r="G6" t="s">
        <v>113</v>
      </c>
      <c r="H6" t="s">
        <v>4142</v>
      </c>
      <c r="I6" t="s">
        <v>3304</v>
      </c>
      <c r="J6" t="s">
        <v>4143</v>
      </c>
      <c r="K6" t="s">
        <v>4144</v>
      </c>
      <c r="L6" t="s">
        <v>4121</v>
      </c>
      <c r="M6" t="s">
        <v>4145</v>
      </c>
      <c r="N6" t="s">
        <v>4112</v>
      </c>
      <c r="O6" t="s">
        <v>165</v>
      </c>
      <c r="P6" t="s">
        <v>165</v>
      </c>
    </row>
    <row r="7">
      <c r="A7" t="s">
        <v>4</v>
      </c>
      <c r="B7" t="s">
        <v>4146</v>
      </c>
      <c r="C7" t="s">
        <v>962</v>
      </c>
      <c r="D7" t="s">
        <v>2431</v>
      </c>
      <c r="E7" t="s">
        <v>165</v>
      </c>
      <c r="F7" t="s">
        <v>4147</v>
      </c>
      <c r="G7" t="s">
        <v>113</v>
      </c>
      <c r="H7" t="s">
        <v>4148</v>
      </c>
      <c r="I7" t="s">
        <v>4149</v>
      </c>
      <c r="J7" t="s">
        <v>4150</v>
      </c>
      <c r="K7" t="s">
        <v>4151</v>
      </c>
      <c r="L7" t="s">
        <v>4121</v>
      </c>
      <c r="M7" t="s">
        <v>4152</v>
      </c>
      <c r="N7" t="s">
        <v>4110</v>
      </c>
      <c r="O7" t="s">
        <v>4137</v>
      </c>
      <c r="P7" t="s">
        <v>4112</v>
      </c>
    </row>
    <row r="8">
      <c r="A8" t="s">
        <v>4153</v>
      </c>
      <c r="B8" t="s">
        <v>4146</v>
      </c>
      <c r="C8" t="s">
        <v>962</v>
      </c>
      <c r="D8" t="s">
        <v>2431</v>
      </c>
      <c r="E8" t="s">
        <v>165</v>
      </c>
      <c r="F8" t="s">
        <v>4154</v>
      </c>
      <c r="G8" t="s">
        <v>113</v>
      </c>
      <c r="H8" t="s">
        <v>4148</v>
      </c>
      <c r="I8" t="s">
        <v>4149</v>
      </c>
      <c r="J8" t="s">
        <v>4150</v>
      </c>
      <c r="L8" t="s">
        <v>4121</v>
      </c>
      <c r="M8" t="s">
        <v>4152</v>
      </c>
      <c r="N8" t="s">
        <v>4110</v>
      </c>
      <c r="O8" t="s">
        <v>4137</v>
      </c>
      <c r="P8" t="s">
        <v>4112</v>
      </c>
    </row>
    <row r="9">
      <c r="A9" t="s">
        <v>4155</v>
      </c>
      <c r="B9" t="s">
        <v>4146</v>
      </c>
      <c r="C9" t="s">
        <v>962</v>
      </c>
      <c r="D9" t="s">
        <v>2431</v>
      </c>
      <c r="E9" t="s">
        <v>165</v>
      </c>
      <c r="F9" t="s">
        <v>4156</v>
      </c>
      <c r="G9" t="s">
        <v>113</v>
      </c>
      <c r="H9" t="s">
        <v>4148</v>
      </c>
      <c r="I9" t="s">
        <v>4149</v>
      </c>
      <c r="J9" t="s">
        <v>4150</v>
      </c>
      <c r="K9" t="s">
        <v>4157</v>
      </c>
      <c r="L9" t="s">
        <v>4121</v>
      </c>
      <c r="M9" t="s">
        <v>4152</v>
      </c>
      <c r="N9" t="s">
        <v>4110</v>
      </c>
      <c r="O9" t="s">
        <v>4137</v>
      </c>
      <c r="P9" t="s">
        <v>4112</v>
      </c>
    </row>
    <row r="10">
      <c r="A10" t="s">
        <v>4158</v>
      </c>
      <c r="B10" t="s">
        <v>4159</v>
      </c>
      <c r="C10" t="s">
        <v>145</v>
      </c>
      <c r="D10" t="s">
        <v>2092</v>
      </c>
      <c r="E10" t="s">
        <v>3874</v>
      </c>
      <c r="F10" t="s">
        <v>4160</v>
      </c>
      <c r="G10" t="s">
        <v>165</v>
      </c>
      <c r="H10" t="s">
        <v>4148</v>
      </c>
      <c r="I10" t="s">
        <v>4161</v>
      </c>
      <c r="J10" t="s">
        <v>2220</v>
      </c>
      <c r="K10" t="s">
        <v>4162</v>
      </c>
      <c r="L10" t="s">
        <v>4163</v>
      </c>
      <c r="M10" t="s">
        <v>4164</v>
      </c>
      <c r="N10" t="s">
        <v>4112</v>
      </c>
      <c r="O10" t="s">
        <v>165</v>
      </c>
      <c r="P10" t="s">
        <v>165</v>
      </c>
    </row>
    <row r="11">
      <c r="A11" t="s">
        <v>4165</v>
      </c>
      <c r="B11" t="s">
        <v>4166</v>
      </c>
      <c r="C11" t="s">
        <v>306</v>
      </c>
      <c r="D11" t="s">
        <v>2156</v>
      </c>
      <c r="E11" t="s">
        <v>4167</v>
      </c>
      <c r="F11" t="s">
        <v>4168</v>
      </c>
      <c r="G11" t="s">
        <v>165</v>
      </c>
      <c r="H11" t="s">
        <v>4169</v>
      </c>
      <c r="I11" t="s">
        <v>4170</v>
      </c>
      <c r="J11" t="s">
        <v>4170</v>
      </c>
      <c r="K11" t="s">
        <v>4171</v>
      </c>
      <c r="L11" t="s">
        <v>4112</v>
      </c>
      <c r="M11" t="s">
        <v>4172</v>
      </c>
      <c r="N11" t="s">
        <v>4112</v>
      </c>
      <c r="O11" t="s">
        <v>165</v>
      </c>
      <c r="P11" t="s">
        <v>165</v>
      </c>
    </row>
    <row r="12">
      <c r="A12" t="s">
        <v>4173</v>
      </c>
      <c r="B12" t="s">
        <v>4174</v>
      </c>
      <c r="C12" t="s">
        <v>128</v>
      </c>
      <c r="D12" t="s">
        <v>2087</v>
      </c>
      <c r="E12" t="s">
        <v>2418</v>
      </c>
      <c r="F12" t="s">
        <v>4175</v>
      </c>
      <c r="G12" t="s">
        <v>165</v>
      </c>
      <c r="H12" t="s">
        <v>4148</v>
      </c>
      <c r="I12" t="s">
        <v>1668</v>
      </c>
      <c r="J12" t="s">
        <v>4176</v>
      </c>
      <c r="L12" t="s">
        <v>4163</v>
      </c>
      <c r="M12" t="s">
        <v>4177</v>
      </c>
      <c r="N12" t="s">
        <v>4112</v>
      </c>
      <c r="O12" t="s">
        <v>165</v>
      </c>
      <c r="P12" t="s">
        <v>165</v>
      </c>
    </row>
    <row r="13">
      <c r="A13" t="s">
        <v>4178</v>
      </c>
      <c r="B13" t="s">
        <v>4174</v>
      </c>
      <c r="C13" t="s">
        <v>128</v>
      </c>
      <c r="D13" t="s">
        <v>2087</v>
      </c>
      <c r="E13" t="s">
        <v>4179</v>
      </c>
      <c r="F13" t="s">
        <v>4180</v>
      </c>
      <c r="G13" t="s">
        <v>165</v>
      </c>
      <c r="H13" t="s">
        <v>4148</v>
      </c>
      <c r="I13" t="s">
        <v>1668</v>
      </c>
      <c r="J13" t="s">
        <v>4176</v>
      </c>
      <c r="L13" t="s">
        <v>4163</v>
      </c>
      <c r="M13" t="s">
        <v>4181</v>
      </c>
      <c r="N13" t="s">
        <v>4182</v>
      </c>
      <c r="O13" t="s">
        <v>165</v>
      </c>
      <c r="P13" t="s">
        <v>165</v>
      </c>
    </row>
    <row r="14">
      <c r="A14" t="s">
        <v>4183</v>
      </c>
      <c r="B14" t="s">
        <v>4174</v>
      </c>
      <c r="C14" t="s">
        <v>137</v>
      </c>
      <c r="D14" t="s">
        <v>2089</v>
      </c>
      <c r="E14" t="s">
        <v>3874</v>
      </c>
      <c r="F14" t="s">
        <v>4184</v>
      </c>
      <c r="G14" t="s">
        <v>165</v>
      </c>
      <c r="H14" t="s">
        <v>4148</v>
      </c>
      <c r="I14" t="s">
        <v>1668</v>
      </c>
      <c r="J14" t="s">
        <v>4176</v>
      </c>
      <c r="K14" t="s">
        <v>4185</v>
      </c>
      <c r="L14" t="s">
        <v>4163</v>
      </c>
      <c r="M14" t="s">
        <v>4186</v>
      </c>
      <c r="N14" t="s">
        <v>4110</v>
      </c>
      <c r="O14" t="s">
        <v>165</v>
      </c>
      <c r="P14" t="s">
        <v>165</v>
      </c>
    </row>
    <row r="15">
      <c r="A15" t="s">
        <v>4187</v>
      </c>
      <c r="B15" t="s">
        <v>4188</v>
      </c>
      <c r="C15" t="s">
        <v>332</v>
      </c>
      <c r="D15" t="s">
        <v>2167</v>
      </c>
      <c r="E15" t="s">
        <v>4189</v>
      </c>
      <c r="F15" t="s">
        <v>4190</v>
      </c>
      <c r="G15" t="s">
        <v>165</v>
      </c>
      <c r="H15" t="s">
        <v>4169</v>
      </c>
      <c r="I15" t="s">
        <v>4191</v>
      </c>
      <c r="J15" t="s">
        <v>4192</v>
      </c>
      <c r="K15" t="s">
        <v>4193</v>
      </c>
      <c r="L15" t="s">
        <v>4112</v>
      </c>
      <c r="M15" t="s">
        <v>4194</v>
      </c>
      <c r="N15" t="s">
        <v>4112</v>
      </c>
      <c r="O15" t="s">
        <v>165</v>
      </c>
      <c r="P15" t="s">
        <v>165</v>
      </c>
    </row>
    <row r="16">
      <c r="A16" t="s">
        <v>4195</v>
      </c>
      <c r="B16" t="s">
        <v>4196</v>
      </c>
      <c r="C16" t="s">
        <v>1735</v>
      </c>
      <c r="D16" t="s">
        <v>2754</v>
      </c>
      <c r="E16" t="s">
        <v>4197</v>
      </c>
      <c r="F16" t="s">
        <v>4198</v>
      </c>
      <c r="G16" t="s">
        <v>165</v>
      </c>
      <c r="H16" t="s">
        <v>4148</v>
      </c>
      <c r="I16" t="s">
        <v>4199</v>
      </c>
      <c r="J16" t="s">
        <v>4200</v>
      </c>
      <c r="K16" t="s">
        <v>4201</v>
      </c>
      <c r="L16" t="s">
        <v>4135</v>
      </c>
      <c r="M16" t="s">
        <v>4202</v>
      </c>
      <c r="N16" t="s">
        <v>4203</v>
      </c>
      <c r="O16" t="s">
        <v>165</v>
      </c>
      <c r="P16" t="s">
        <v>165</v>
      </c>
    </row>
    <row r="17">
      <c r="A17" t="s">
        <v>2843</v>
      </c>
      <c r="B17" t="s">
        <v>4204</v>
      </c>
      <c r="C17" t="s">
        <v>2843</v>
      </c>
      <c r="D17" t="s">
        <v>2839</v>
      </c>
      <c r="E17" t="s">
        <v>4205</v>
      </c>
      <c r="F17" t="s">
        <v>4206</v>
      </c>
      <c r="G17" t="s">
        <v>113</v>
      </c>
      <c r="H17" t="s">
        <v>4142</v>
      </c>
      <c r="I17" t="s">
        <v>3304</v>
      </c>
      <c r="J17" t="s">
        <v>4143</v>
      </c>
      <c r="K17" t="s">
        <v>4207</v>
      </c>
      <c r="L17" t="s">
        <v>4121</v>
      </c>
      <c r="M17" t="s">
        <v>4208</v>
      </c>
      <c r="N17" t="s">
        <v>160</v>
      </c>
      <c r="O17" t="s">
        <v>165</v>
      </c>
      <c r="P17" t="s">
        <v>165</v>
      </c>
    </row>
    <row r="18">
      <c r="A18" t="s">
        <v>4209</v>
      </c>
      <c r="B18" t="s">
        <v>4210</v>
      </c>
      <c r="C18" t="s">
        <v>4101</v>
      </c>
      <c r="D18" t="s">
        <v>4211</v>
      </c>
      <c r="E18" t="s">
        <v>4212</v>
      </c>
      <c r="F18" t="s">
        <v>4104</v>
      </c>
      <c r="G18" t="s">
        <v>113</v>
      </c>
      <c r="H18" t="s">
        <v>4105</v>
      </c>
      <c r="I18" t="s">
        <v>4106</v>
      </c>
      <c r="J18" t="s">
        <v>4213</v>
      </c>
      <c r="K18" t="s">
        <v>4214</v>
      </c>
      <c r="L18" t="s">
        <v>4215</v>
      </c>
      <c r="M18" t="s">
        <v>4216</v>
      </c>
      <c r="N18" t="s">
        <v>4217</v>
      </c>
      <c r="O18" t="s">
        <v>4218</v>
      </c>
      <c r="P18" t="s">
        <v>160</v>
      </c>
    </row>
    <row r="19">
      <c r="A19" t="s">
        <v>4219</v>
      </c>
      <c r="B19" t="s">
        <v>4210</v>
      </c>
      <c r="C19" t="s">
        <v>4220</v>
      </c>
      <c r="D19" t="s">
        <v>4221</v>
      </c>
      <c r="E19" t="s">
        <v>4222</v>
      </c>
      <c r="F19" t="s">
        <v>4223</v>
      </c>
      <c r="G19" t="s">
        <v>4224</v>
      </c>
      <c r="H19" t="s">
        <v>4131</v>
      </c>
      <c r="I19" t="s">
        <v>4225</v>
      </c>
      <c r="J19" t="s">
        <v>2869</v>
      </c>
      <c r="K19" t="s">
        <v>4226</v>
      </c>
      <c r="L19" t="s">
        <v>4215</v>
      </c>
      <c r="M19" t="s">
        <v>4227</v>
      </c>
      <c r="N19" t="s">
        <v>4217</v>
      </c>
      <c r="O19" t="s">
        <v>4228</v>
      </c>
      <c r="P19" t="s">
        <v>160</v>
      </c>
    </row>
    <row r="20">
      <c r="A20" t="s">
        <v>4229</v>
      </c>
      <c r="B20" t="s">
        <v>4210</v>
      </c>
      <c r="C20" t="s">
        <v>4230</v>
      </c>
      <c r="D20" t="s">
        <v>4231</v>
      </c>
      <c r="E20" t="s">
        <v>4232</v>
      </c>
      <c r="F20" t="s">
        <v>4233</v>
      </c>
      <c r="G20" t="s">
        <v>4224</v>
      </c>
      <c r="H20" t="s">
        <v>4117</v>
      </c>
      <c r="I20" t="s">
        <v>4114</v>
      </c>
      <c r="J20" t="s">
        <v>4119</v>
      </c>
      <c r="K20" t="s">
        <v>4234</v>
      </c>
      <c r="L20" t="s">
        <v>4215</v>
      </c>
      <c r="M20" t="s">
        <v>4235</v>
      </c>
      <c r="N20" t="s">
        <v>4236</v>
      </c>
      <c r="O20" t="s">
        <v>4237</v>
      </c>
      <c r="P20" t="s">
        <v>958</v>
      </c>
    </row>
    <row r="21">
      <c r="A21" t="s">
        <v>4238</v>
      </c>
      <c r="B21" t="s">
        <v>4210</v>
      </c>
      <c r="C21" t="s">
        <v>4239</v>
      </c>
      <c r="D21" t="s">
        <v>4240</v>
      </c>
      <c r="E21" t="s">
        <v>4241</v>
      </c>
      <c r="F21" t="s">
        <v>4242</v>
      </c>
      <c r="G21" t="s">
        <v>4224</v>
      </c>
      <c r="H21" t="s">
        <v>4117</v>
      </c>
      <c r="I21" t="s">
        <v>4123</v>
      </c>
      <c r="J21" t="s">
        <v>4125</v>
      </c>
      <c r="K21" t="s">
        <v>4243</v>
      </c>
      <c r="L21" t="s">
        <v>4215</v>
      </c>
      <c r="M21" t="s">
        <v>4244</v>
      </c>
      <c r="N21" t="s">
        <v>4217</v>
      </c>
      <c r="O21" t="s">
        <v>4245</v>
      </c>
      <c r="P21" t="s">
        <v>958</v>
      </c>
    </row>
    <row r="22">
      <c r="A22" t="s">
        <v>4246</v>
      </c>
      <c r="B22" t="s">
        <v>4210</v>
      </c>
      <c r="C22" t="s">
        <v>4247</v>
      </c>
      <c r="D22" t="s">
        <v>4248</v>
      </c>
      <c r="E22" t="s">
        <v>165</v>
      </c>
      <c r="F22" t="s">
        <v>4249</v>
      </c>
      <c r="G22" t="s">
        <v>4224</v>
      </c>
      <c r="H22" t="s">
        <v>4148</v>
      </c>
      <c r="I22" t="s">
        <v>4199</v>
      </c>
      <c r="J22" t="s">
        <v>4200</v>
      </c>
      <c r="K22" t="s">
        <v>4250</v>
      </c>
      <c r="L22" t="s">
        <v>4215</v>
      </c>
      <c r="M22" t="s">
        <v>4251</v>
      </c>
      <c r="N22" t="s">
        <v>160</v>
      </c>
      <c r="O22" t="s">
        <v>4252</v>
      </c>
      <c r="P22" t="s">
        <v>1628</v>
      </c>
    </row>
    <row r="23">
      <c r="A23" t="s">
        <v>2843</v>
      </c>
      <c r="B23" t="s">
        <v>4204</v>
      </c>
      <c r="C23" t="s">
        <v>2843</v>
      </c>
      <c r="D23" t="s">
        <v>2839</v>
      </c>
      <c r="E23" t="s">
        <v>4253</v>
      </c>
      <c r="F23" t="s">
        <v>4254</v>
      </c>
      <c r="G23" t="s">
        <v>4255</v>
      </c>
      <c r="H23" t="s">
        <v>4142</v>
      </c>
      <c r="I23" t="s">
        <v>4256</v>
      </c>
      <c r="J23" t="s">
        <v>2851</v>
      </c>
      <c r="K23" t="s">
        <v>4257</v>
      </c>
      <c r="L23" t="s">
        <v>4121</v>
      </c>
      <c r="M23" t="s">
        <v>4208</v>
      </c>
      <c r="N23" t="s">
        <v>160</v>
      </c>
      <c r="O23" t="s">
        <v>165</v>
      </c>
      <c r="P23" t="s">
        <v>165</v>
      </c>
    </row>
    <row r="24">
      <c r="A24" t="s">
        <v>4258</v>
      </c>
      <c r="B24" t="s">
        <v>4259</v>
      </c>
      <c r="C24" t="s">
        <v>4260</v>
      </c>
      <c r="D24" t="s">
        <v>4261</v>
      </c>
      <c r="E24" t="s">
        <v>4262</v>
      </c>
      <c r="F24" t="s">
        <v>4263</v>
      </c>
      <c r="G24" t="s">
        <v>4264</v>
      </c>
      <c r="H24" t="s">
        <v>4142</v>
      </c>
      <c r="I24" t="s">
        <v>4265</v>
      </c>
      <c r="J24" t="s">
        <v>2924</v>
      </c>
      <c r="K24" t="s">
        <v>4266</v>
      </c>
      <c r="L24" t="s">
        <v>4267</v>
      </c>
      <c r="M24" t="s">
        <v>130</v>
      </c>
      <c r="N24" t="s">
        <v>160</v>
      </c>
      <c r="O24" t="s">
        <v>4268</v>
      </c>
      <c r="P24" t="s">
        <v>160</v>
      </c>
    </row>
    <row r="25">
      <c r="A25" t="s">
        <v>4269</v>
      </c>
      <c r="B25" t="s">
        <v>4210</v>
      </c>
      <c r="C25" t="s">
        <v>4270</v>
      </c>
      <c r="D25" t="s">
        <v>4271</v>
      </c>
      <c r="E25" t="s">
        <v>4272</v>
      </c>
      <c r="F25" t="s">
        <v>4273</v>
      </c>
      <c r="G25" t="s">
        <v>4274</v>
      </c>
      <c r="H25" t="s">
        <v>4275</v>
      </c>
      <c r="I25" t="s">
        <v>4276</v>
      </c>
      <c r="J25" t="s">
        <v>2869</v>
      </c>
      <c r="K25" t="s">
        <v>4277</v>
      </c>
      <c r="L25" t="s">
        <v>4267</v>
      </c>
      <c r="M25" t="s">
        <v>4278</v>
      </c>
      <c r="N25" t="s">
        <v>4217</v>
      </c>
      <c r="O25" t="s">
        <v>4279</v>
      </c>
      <c r="P25" t="s">
        <v>160</v>
      </c>
    </row>
    <row r="26">
      <c r="A26" t="s">
        <v>4280</v>
      </c>
      <c r="B26" t="s">
        <v>4210</v>
      </c>
      <c r="C26" t="s">
        <v>4281</v>
      </c>
      <c r="D26" t="s">
        <v>4102</v>
      </c>
      <c r="E26" t="s">
        <v>4282</v>
      </c>
      <c r="F26" t="s">
        <v>4283</v>
      </c>
      <c r="G26" t="s">
        <v>4284</v>
      </c>
      <c r="H26" t="s">
        <v>4285</v>
      </c>
      <c r="I26" t="s">
        <v>4286</v>
      </c>
      <c r="J26" t="s">
        <v>2876</v>
      </c>
      <c r="K26" t="s">
        <v>4287</v>
      </c>
      <c r="L26" t="s">
        <v>4267</v>
      </c>
      <c r="M26" t="s">
        <v>4288</v>
      </c>
      <c r="N26" t="s">
        <v>4217</v>
      </c>
      <c r="O26" t="s">
        <v>4289</v>
      </c>
      <c r="P26" t="s">
        <v>160</v>
      </c>
    </row>
    <row r="27">
      <c r="A27" t="s">
        <v>4290</v>
      </c>
      <c r="B27" t="s">
        <v>4210</v>
      </c>
      <c r="C27" t="s">
        <v>4291</v>
      </c>
      <c r="D27" t="s">
        <v>4231</v>
      </c>
      <c r="E27" t="s">
        <v>4282</v>
      </c>
      <c r="F27" t="s">
        <v>4292</v>
      </c>
      <c r="G27" t="s">
        <v>4293</v>
      </c>
      <c r="H27" t="s">
        <v>4142</v>
      </c>
      <c r="I27" t="s">
        <v>4114</v>
      </c>
      <c r="J27" t="s">
        <v>2882</v>
      </c>
      <c r="K27" t="s">
        <v>4294</v>
      </c>
      <c r="L27" t="s">
        <v>4267</v>
      </c>
      <c r="M27" t="s">
        <v>4295</v>
      </c>
      <c r="N27" t="s">
        <v>4296</v>
      </c>
      <c r="O27" t="s">
        <v>4297</v>
      </c>
      <c r="P27" t="s">
        <v>160</v>
      </c>
    </row>
    <row r="28">
      <c r="A28" t="s">
        <v>4298</v>
      </c>
      <c r="B28" t="s">
        <v>4210</v>
      </c>
      <c r="C28" t="s">
        <v>4299</v>
      </c>
      <c r="D28" t="s">
        <v>4240</v>
      </c>
      <c r="E28" t="s">
        <v>4282</v>
      </c>
      <c r="F28" t="s">
        <v>4300</v>
      </c>
      <c r="G28" t="s">
        <v>4301</v>
      </c>
      <c r="H28" t="s">
        <v>4302</v>
      </c>
      <c r="I28" t="s">
        <v>4123</v>
      </c>
      <c r="J28" t="s">
        <v>2888</v>
      </c>
      <c r="K28" t="s">
        <v>4303</v>
      </c>
      <c r="L28" t="s">
        <v>4267</v>
      </c>
      <c r="M28" t="s">
        <v>4304</v>
      </c>
      <c r="N28" t="s">
        <v>4217</v>
      </c>
      <c r="O28" t="s">
        <v>4305</v>
      </c>
      <c r="P28" t="s">
        <v>160</v>
      </c>
    </row>
    <row r="29">
      <c r="A29" t="s">
        <v>4306</v>
      </c>
      <c r="B29" t="s">
        <v>4210</v>
      </c>
      <c r="C29" t="s">
        <v>4307</v>
      </c>
      <c r="D29" t="s">
        <v>4248</v>
      </c>
      <c r="E29" t="s">
        <v>4262</v>
      </c>
      <c r="F29" t="s">
        <v>4249</v>
      </c>
      <c r="G29" t="s">
        <v>4308</v>
      </c>
      <c r="H29" t="s">
        <v>4309</v>
      </c>
      <c r="I29" t="s">
        <v>4310</v>
      </c>
      <c r="J29" t="s">
        <v>4311</v>
      </c>
      <c r="K29" t="s">
        <v>4312</v>
      </c>
      <c r="L29" t="s">
        <v>4267</v>
      </c>
      <c r="M29" t="s">
        <v>4313</v>
      </c>
      <c r="N29" t="s">
        <v>4314</v>
      </c>
      <c r="O29" t="s">
        <v>4315</v>
      </c>
      <c r="P29" t="s">
        <v>160</v>
      </c>
    </row>
    <row r="30">
      <c r="A30" t="s">
        <v>4316</v>
      </c>
      <c r="B30" t="s">
        <v>4259</v>
      </c>
      <c r="C30" t="s">
        <v>4317</v>
      </c>
      <c r="D30" t="s">
        <v>4318</v>
      </c>
      <c r="E30" t="s">
        <v>4262</v>
      </c>
      <c r="F30" t="s">
        <v>4319</v>
      </c>
      <c r="G30" t="s">
        <v>4320</v>
      </c>
      <c r="H30" t="s">
        <v>4321</v>
      </c>
      <c r="I30" t="s">
        <v>4322</v>
      </c>
      <c r="J30" t="s">
        <v>2074</v>
      </c>
      <c r="K30" t="s">
        <v>4323</v>
      </c>
      <c r="L30" t="s">
        <v>4324</v>
      </c>
      <c r="M30" t="s">
        <v>4325</v>
      </c>
      <c r="N30" t="s">
        <v>160</v>
      </c>
      <c r="O30" t="s">
        <v>4326</v>
      </c>
      <c r="P30" t="s">
        <v>160</v>
      </c>
    </row>
    <row r="31">
      <c r="A31" t="s">
        <v>4327</v>
      </c>
      <c r="B31" t="s">
        <v>4259</v>
      </c>
      <c r="C31" t="s">
        <v>4328</v>
      </c>
      <c r="D31" t="s">
        <v>4329</v>
      </c>
      <c r="E31" t="s">
        <v>4262</v>
      </c>
      <c r="F31" t="s">
        <v>4330</v>
      </c>
      <c r="G31" t="s">
        <v>4331</v>
      </c>
      <c r="H31" t="s">
        <v>4142</v>
      </c>
      <c r="I31" t="s">
        <v>4332</v>
      </c>
      <c r="J31" t="s">
        <v>2074</v>
      </c>
      <c r="K31" t="s">
        <v>4333</v>
      </c>
      <c r="L31" t="s">
        <v>4324</v>
      </c>
      <c r="M31" t="s">
        <v>4334</v>
      </c>
      <c r="N31" t="s">
        <v>4335</v>
      </c>
      <c r="O31" t="s">
        <v>4336</v>
      </c>
      <c r="P31" t="s">
        <v>160</v>
      </c>
    </row>
    <row r="32">
      <c r="A32" t="s">
        <v>4337</v>
      </c>
      <c r="B32" t="s">
        <v>4259</v>
      </c>
      <c r="C32" t="s">
        <v>4338</v>
      </c>
      <c r="D32" t="s">
        <v>4339</v>
      </c>
      <c r="E32" t="s">
        <v>4262</v>
      </c>
      <c r="F32" t="s">
        <v>4340</v>
      </c>
      <c r="G32" t="s">
        <v>4341</v>
      </c>
      <c r="H32" t="s">
        <v>4275</v>
      </c>
      <c r="I32" t="s">
        <v>4342</v>
      </c>
      <c r="J32" t="s">
        <v>2975</v>
      </c>
      <c r="K32" t="s">
        <v>4343</v>
      </c>
      <c r="L32" t="s">
        <v>4324</v>
      </c>
      <c r="M32" t="s">
        <v>4344</v>
      </c>
      <c r="N32" t="s">
        <v>4345</v>
      </c>
      <c r="O32" t="s">
        <v>4346</v>
      </c>
      <c r="P32" t="s">
        <v>160</v>
      </c>
    </row>
    <row r="33">
      <c r="A33" t="s">
        <v>4347</v>
      </c>
      <c r="B33" t="s">
        <v>4259</v>
      </c>
      <c r="C33" t="s">
        <v>4348</v>
      </c>
      <c r="D33" t="s">
        <v>4349</v>
      </c>
      <c r="E33" t="s">
        <v>4262</v>
      </c>
      <c r="F33" t="s">
        <v>4350</v>
      </c>
      <c r="G33" t="s">
        <v>4351</v>
      </c>
      <c r="H33" t="s">
        <v>4142</v>
      </c>
      <c r="I33" t="s">
        <v>4352</v>
      </c>
      <c r="J33" t="s">
        <v>2981</v>
      </c>
      <c r="K33" t="s">
        <v>4353</v>
      </c>
      <c r="L33" t="s">
        <v>4324</v>
      </c>
      <c r="M33" t="s">
        <v>4354</v>
      </c>
      <c r="N33" t="s">
        <v>4355</v>
      </c>
      <c r="O33" t="s">
        <v>4356</v>
      </c>
      <c r="P33" t="s">
        <v>160</v>
      </c>
    </row>
    <row r="34">
      <c r="A34" t="s">
        <v>4357</v>
      </c>
      <c r="B34" t="s">
        <v>4259</v>
      </c>
      <c r="C34" t="s">
        <v>4358</v>
      </c>
      <c r="D34" t="s">
        <v>4359</v>
      </c>
      <c r="E34" t="s">
        <v>4262</v>
      </c>
      <c r="F34" t="s">
        <v>4360</v>
      </c>
      <c r="G34" t="s">
        <v>4361</v>
      </c>
      <c r="H34" t="s">
        <v>4275</v>
      </c>
      <c r="I34" t="s">
        <v>4362</v>
      </c>
      <c r="J34" t="s">
        <v>2987</v>
      </c>
      <c r="K34" t="s">
        <v>4363</v>
      </c>
      <c r="L34" t="s">
        <v>4324</v>
      </c>
      <c r="M34" t="s">
        <v>4364</v>
      </c>
      <c r="N34" t="s">
        <v>4345</v>
      </c>
      <c r="O34" t="s">
        <v>1429</v>
      </c>
      <c r="P34" t="s">
        <v>160</v>
      </c>
    </row>
    <row r="35">
      <c r="A35" t="s">
        <v>4365</v>
      </c>
      <c r="B35" t="s">
        <v>4259</v>
      </c>
      <c r="C35" t="s">
        <v>4366</v>
      </c>
      <c r="D35" t="s">
        <v>4367</v>
      </c>
      <c r="E35" t="s">
        <v>4262</v>
      </c>
      <c r="F35" t="s">
        <v>4368</v>
      </c>
      <c r="G35" t="s">
        <v>4369</v>
      </c>
      <c r="H35" t="s">
        <v>4309</v>
      </c>
      <c r="I35" t="s">
        <v>4370</v>
      </c>
      <c r="J35" t="s">
        <v>4371</v>
      </c>
      <c r="K35" t="s">
        <v>4372</v>
      </c>
      <c r="L35" t="s">
        <v>4324</v>
      </c>
      <c r="M35" t="s">
        <v>4373</v>
      </c>
      <c r="N35" t="s">
        <v>160</v>
      </c>
      <c r="O35" t="s">
        <v>4326</v>
      </c>
      <c r="P35" t="s">
        <v>160</v>
      </c>
    </row>
    <row r="36">
      <c r="A36" t="s">
        <v>2929</v>
      </c>
      <c r="B36" t="s">
        <v>2937</v>
      </c>
      <c r="C36" t="s">
        <v>2929</v>
      </c>
      <c r="D36" t="s">
        <v>2925</v>
      </c>
      <c r="E36" t="s">
        <v>4262</v>
      </c>
      <c r="F36" t="s">
        <v>4168</v>
      </c>
      <c r="G36" t="s">
        <v>4374</v>
      </c>
      <c r="H36" t="s">
        <v>4375</v>
      </c>
      <c r="I36" t="s">
        <v>4376</v>
      </c>
      <c r="J36" t="s">
        <v>2938</v>
      </c>
      <c r="K36" t="s">
        <v>4377</v>
      </c>
      <c r="L36" t="s">
        <v>4112</v>
      </c>
      <c r="M36" t="s">
        <v>4378</v>
      </c>
      <c r="N36" t="s">
        <v>160</v>
      </c>
      <c r="O36" t="s">
        <v>165</v>
      </c>
      <c r="P36" t="s">
        <v>165</v>
      </c>
    </row>
    <row r="37">
      <c r="A37" t="s">
        <v>4379</v>
      </c>
      <c r="B37" t="s">
        <v>4259</v>
      </c>
      <c r="C37" t="s">
        <v>4380</v>
      </c>
      <c r="D37" t="s">
        <v>4381</v>
      </c>
      <c r="E37" t="s">
        <v>4262</v>
      </c>
      <c r="F37" t="s">
        <v>4382</v>
      </c>
      <c r="G37" t="s">
        <v>4383</v>
      </c>
      <c r="H37" t="s">
        <v>4384</v>
      </c>
      <c r="I37" t="s">
        <v>4385</v>
      </c>
      <c r="J37" t="s">
        <v>2993</v>
      </c>
      <c r="K37" t="s">
        <v>4386</v>
      </c>
      <c r="L37" t="s">
        <v>4324</v>
      </c>
      <c r="M37" t="s">
        <v>4387</v>
      </c>
      <c r="N37" t="s">
        <v>4388</v>
      </c>
      <c r="O37" t="s">
        <v>4305</v>
      </c>
      <c r="P37" t="s">
        <v>160</v>
      </c>
    </row>
    <row r="38">
      <c r="A38" t="s">
        <v>4389</v>
      </c>
      <c r="B38" t="s">
        <v>4259</v>
      </c>
      <c r="C38" t="s">
        <v>4390</v>
      </c>
      <c r="D38" t="s">
        <v>4391</v>
      </c>
      <c r="E38" t="s">
        <v>4262</v>
      </c>
      <c r="F38" t="s">
        <v>4392</v>
      </c>
      <c r="G38" t="s">
        <v>4393</v>
      </c>
      <c r="H38" t="s">
        <v>4384</v>
      </c>
      <c r="I38" t="s">
        <v>4394</v>
      </c>
      <c r="J38" t="s">
        <v>2917</v>
      </c>
      <c r="K38" t="s">
        <v>4395</v>
      </c>
      <c r="L38" t="s">
        <v>4324</v>
      </c>
      <c r="M38" t="s">
        <v>4396</v>
      </c>
      <c r="N38" t="s">
        <v>4388</v>
      </c>
      <c r="O38" t="s">
        <v>4397</v>
      </c>
      <c r="P38" t="s">
        <v>160</v>
      </c>
    </row>
    <row r="39">
      <c r="A39" t="s">
        <v>4398</v>
      </c>
      <c r="B39" t="s">
        <v>4259</v>
      </c>
      <c r="C39" t="s">
        <v>4399</v>
      </c>
      <c r="D39" t="s">
        <v>4400</v>
      </c>
      <c r="E39" t="s">
        <v>165</v>
      </c>
      <c r="F39" t="s">
        <v>165</v>
      </c>
      <c r="G39" t="s">
        <v>4401</v>
      </c>
      <c r="H39" t="s">
        <v>4402</v>
      </c>
      <c r="I39" t="s">
        <v>2075</v>
      </c>
      <c r="J39" t="s">
        <v>2959</v>
      </c>
      <c r="K39" t="s">
        <v>4403</v>
      </c>
      <c r="L39" t="s">
        <v>4267</v>
      </c>
      <c r="M39" t="s">
        <v>4404</v>
      </c>
      <c r="N39" t="s">
        <v>4405</v>
      </c>
      <c r="O39" t="s">
        <v>4406</v>
      </c>
      <c r="P39" t="s">
        <v>4405</v>
      </c>
    </row>
    <row r="40">
      <c r="A40" t="s">
        <v>4407</v>
      </c>
      <c r="B40" t="s">
        <v>4259</v>
      </c>
      <c r="C40" t="s">
        <v>4408</v>
      </c>
      <c r="D40" t="s">
        <v>4409</v>
      </c>
      <c r="E40" t="s">
        <v>165</v>
      </c>
      <c r="F40" t="s">
        <v>4410</v>
      </c>
      <c r="G40" t="s">
        <v>4411</v>
      </c>
      <c r="H40" t="s">
        <v>4412</v>
      </c>
      <c r="I40" t="s">
        <v>4413</v>
      </c>
      <c r="J40" t="s">
        <v>2965</v>
      </c>
      <c r="K40" t="s">
        <v>4414</v>
      </c>
      <c r="L40" t="s">
        <v>4267</v>
      </c>
      <c r="M40" t="s">
        <v>4415</v>
      </c>
      <c r="N40" t="s">
        <v>4405</v>
      </c>
      <c r="O40" t="s">
        <v>357</v>
      </c>
      <c r="P40" t="s">
        <v>4405</v>
      </c>
    </row>
    <row r="41">
      <c r="A41" t="s">
        <v>4416</v>
      </c>
      <c r="B41" t="s">
        <v>4259</v>
      </c>
      <c r="C41" t="s">
        <v>4417</v>
      </c>
      <c r="D41" t="s">
        <v>4418</v>
      </c>
      <c r="E41" t="s">
        <v>165</v>
      </c>
      <c r="F41" t="s">
        <v>4419</v>
      </c>
      <c r="G41" t="s">
        <v>4420</v>
      </c>
      <c r="H41" t="s">
        <v>4412</v>
      </c>
      <c r="I41" t="s">
        <v>4413</v>
      </c>
      <c r="J41" t="s">
        <v>2965</v>
      </c>
      <c r="K41" t="s">
        <v>4421</v>
      </c>
      <c r="L41" t="s">
        <v>4267</v>
      </c>
      <c r="M41" t="s">
        <v>4415</v>
      </c>
      <c r="N41" t="s">
        <v>4405</v>
      </c>
      <c r="O41" t="s">
        <v>343</v>
      </c>
      <c r="P41" t="s">
        <v>4405</v>
      </c>
    </row>
    <row r="42">
      <c r="A42" t="s">
        <v>4422</v>
      </c>
      <c r="B42" t="s">
        <v>4259</v>
      </c>
      <c r="C42" t="s">
        <v>4423</v>
      </c>
      <c r="D42" t="s">
        <v>4424</v>
      </c>
      <c r="E42" t="s">
        <v>165</v>
      </c>
      <c r="F42" t="s">
        <v>4425</v>
      </c>
      <c r="G42" t="s">
        <v>4426</v>
      </c>
      <c r="H42" t="s">
        <v>4375</v>
      </c>
      <c r="I42" t="s">
        <v>4342</v>
      </c>
      <c r="J42" t="s">
        <v>4427</v>
      </c>
      <c r="K42" t="s">
        <v>4428</v>
      </c>
      <c r="L42" t="s">
        <v>4267</v>
      </c>
      <c r="M42" t="s">
        <v>4429</v>
      </c>
      <c r="N42" t="s">
        <v>4430</v>
      </c>
      <c r="O42" t="s">
        <v>4406</v>
      </c>
      <c r="P42" t="s">
        <v>4405</v>
      </c>
    </row>
    <row r="43">
      <c r="A43" t="s">
        <v>4431</v>
      </c>
      <c r="B43" t="s">
        <v>4259</v>
      </c>
      <c r="C43" t="s">
        <v>4432</v>
      </c>
      <c r="D43" t="s">
        <v>4433</v>
      </c>
      <c r="E43" t="s">
        <v>165</v>
      </c>
      <c r="F43" t="s">
        <v>4434</v>
      </c>
      <c r="G43" t="s">
        <v>4435</v>
      </c>
      <c r="H43" t="s">
        <v>4412</v>
      </c>
      <c r="I43" t="s">
        <v>4436</v>
      </c>
      <c r="J43" t="s">
        <v>3003</v>
      </c>
      <c r="K43" t="s">
        <v>4437</v>
      </c>
      <c r="L43" t="s">
        <v>4267</v>
      </c>
      <c r="M43" t="s">
        <v>4438</v>
      </c>
      <c r="N43" t="s">
        <v>4439</v>
      </c>
      <c r="O43" t="s">
        <v>4440</v>
      </c>
      <c r="P43" t="s">
        <v>4405</v>
      </c>
    </row>
    <row r="44">
      <c r="A44" t="s">
        <v>4441</v>
      </c>
      <c r="B44" t="s">
        <v>4259</v>
      </c>
      <c r="C44" t="s">
        <v>4442</v>
      </c>
      <c r="D44" t="s">
        <v>4443</v>
      </c>
      <c r="E44" t="s">
        <v>165</v>
      </c>
      <c r="F44" t="s">
        <v>4444</v>
      </c>
      <c r="G44" t="s">
        <v>4445</v>
      </c>
      <c r="H44" t="s">
        <v>4375</v>
      </c>
      <c r="I44" t="s">
        <v>4446</v>
      </c>
      <c r="J44" t="s">
        <v>4447</v>
      </c>
      <c r="K44" t="s">
        <v>4448</v>
      </c>
      <c r="L44" t="s">
        <v>4267</v>
      </c>
      <c r="M44" t="s">
        <v>4449</v>
      </c>
      <c r="N44" t="s">
        <v>4439</v>
      </c>
      <c r="O44" t="s">
        <v>343</v>
      </c>
      <c r="P44" t="s">
        <v>4405</v>
      </c>
    </row>
    <row r="45">
      <c r="A45" t="s">
        <v>4450</v>
      </c>
      <c r="B45" t="s">
        <v>4210</v>
      </c>
      <c r="C45" t="s">
        <v>3028</v>
      </c>
      <c r="D45" t="s">
        <v>3025</v>
      </c>
      <c r="E45" t="s">
        <v>165</v>
      </c>
      <c r="F45" t="s">
        <v>4451</v>
      </c>
      <c r="G45" t="s">
        <v>4452</v>
      </c>
      <c r="H45" t="s">
        <v>4453</v>
      </c>
      <c r="I45" t="s">
        <v>4454</v>
      </c>
      <c r="J45" t="s">
        <v>3003</v>
      </c>
      <c r="K45" t="s">
        <v>4455</v>
      </c>
      <c r="L45" t="s">
        <v>4121</v>
      </c>
      <c r="M45" t="s">
        <v>4456</v>
      </c>
      <c r="N45" t="s">
        <v>160</v>
      </c>
      <c r="O45" t="s">
        <v>3057</v>
      </c>
      <c r="P45" t="s">
        <v>4121</v>
      </c>
    </row>
    <row r="46">
      <c r="A46" t="s">
        <v>4457</v>
      </c>
      <c r="B46" t="s">
        <v>4458</v>
      </c>
      <c r="C46" t="s">
        <v>3044</v>
      </c>
      <c r="D46" t="s">
        <v>3042</v>
      </c>
      <c r="E46" t="s">
        <v>2843</v>
      </c>
      <c r="F46" t="s">
        <v>4451</v>
      </c>
      <c r="G46" t="s">
        <v>4459</v>
      </c>
      <c r="H46" t="s">
        <v>4453</v>
      </c>
      <c r="I46" t="s">
        <v>4256</v>
      </c>
      <c r="J46" t="s">
        <v>3003</v>
      </c>
      <c r="K46" t="s">
        <v>4460</v>
      </c>
      <c r="L46" t="s">
        <v>4121</v>
      </c>
      <c r="M46" t="s">
        <v>165</v>
      </c>
      <c r="N46" t="s">
        <v>165</v>
      </c>
      <c r="O46" t="s">
        <v>165</v>
      </c>
      <c r="P46" t="s">
        <v>165</v>
      </c>
    </row>
    <row r="47">
      <c r="A47" t="s">
        <v>4450</v>
      </c>
      <c r="B47" t="s">
        <v>4458</v>
      </c>
      <c r="C47" t="s">
        <v>3028</v>
      </c>
      <c r="D47" t="s">
        <v>3025</v>
      </c>
      <c r="E47" t="s">
        <v>2843</v>
      </c>
      <c r="F47" t="s">
        <v>4461</v>
      </c>
      <c r="G47" t="s">
        <v>4462</v>
      </c>
      <c r="H47" t="s">
        <v>4453</v>
      </c>
      <c r="I47" t="s">
        <v>4454</v>
      </c>
      <c r="J47" t="s">
        <v>3003</v>
      </c>
      <c r="K47" t="s">
        <v>4463</v>
      </c>
      <c r="L47" t="s">
        <v>4121</v>
      </c>
      <c r="M47" t="s">
        <v>4456</v>
      </c>
      <c r="N47" t="s">
        <v>160</v>
      </c>
      <c r="O47" t="s">
        <v>3057</v>
      </c>
      <c r="P47" t="s">
        <v>4121</v>
      </c>
    </row>
    <row r="48">
      <c r="A48" t="s">
        <v>4464</v>
      </c>
      <c r="B48" t="s">
        <v>4465</v>
      </c>
      <c r="C48" t="s">
        <v>3125</v>
      </c>
      <c r="D48" t="s">
        <v>3124</v>
      </c>
      <c r="E48" t="s">
        <v>192</v>
      </c>
      <c r="F48" t="s">
        <v>4466</v>
      </c>
      <c r="G48" t="s">
        <v>2004</v>
      </c>
      <c r="H48" t="s">
        <v>4148</v>
      </c>
      <c r="I48" t="s">
        <v>4332</v>
      </c>
      <c r="J48" t="s">
        <v>2074</v>
      </c>
      <c r="K48" t="s">
        <v>4467</v>
      </c>
      <c r="L48" t="s">
        <v>160</v>
      </c>
      <c r="M48" t="s">
        <v>4468</v>
      </c>
      <c r="N48" t="s">
        <v>160</v>
      </c>
      <c r="O48" t="s">
        <v>4469</v>
      </c>
      <c r="P48" t="s">
        <v>160</v>
      </c>
    </row>
    <row r="49">
      <c r="A49" t="s">
        <v>4470</v>
      </c>
      <c r="B49" t="s">
        <v>4465</v>
      </c>
      <c r="C49" t="s">
        <v>3138</v>
      </c>
      <c r="D49" t="s">
        <v>3135</v>
      </c>
      <c r="E49" t="s">
        <v>4471</v>
      </c>
      <c r="F49" t="s">
        <v>4472</v>
      </c>
      <c r="G49" t="s">
        <v>2005</v>
      </c>
      <c r="H49" t="s">
        <v>4473</v>
      </c>
      <c r="I49" t="s">
        <v>4332</v>
      </c>
      <c r="J49" t="s">
        <v>2074</v>
      </c>
      <c r="K49" t="s">
        <v>4474</v>
      </c>
      <c r="L49" t="s">
        <v>160</v>
      </c>
      <c r="M49" t="s">
        <v>4475</v>
      </c>
      <c r="N49" t="s">
        <v>160</v>
      </c>
      <c r="O49" t="s">
        <v>4397</v>
      </c>
      <c r="P49" t="s">
        <v>160</v>
      </c>
    </row>
    <row r="50">
      <c r="A50" t="s">
        <v>4476</v>
      </c>
      <c r="B50" t="s">
        <v>4477</v>
      </c>
      <c r="C50" t="s">
        <v>3148</v>
      </c>
      <c r="D50" t="s">
        <v>3147</v>
      </c>
      <c r="E50" t="s">
        <v>2843</v>
      </c>
      <c r="F50" t="s">
        <v>4478</v>
      </c>
      <c r="G50" t="s">
        <v>2006</v>
      </c>
      <c r="H50" t="s">
        <v>4142</v>
      </c>
      <c r="I50" t="s">
        <v>4479</v>
      </c>
      <c r="J50" t="s">
        <v>3158</v>
      </c>
      <c r="K50" t="s">
        <v>4480</v>
      </c>
      <c r="L50" t="s">
        <v>160</v>
      </c>
      <c r="M50" t="s">
        <v>4481</v>
      </c>
      <c r="N50" t="s">
        <v>160</v>
      </c>
      <c r="O50" t="s">
        <v>1429</v>
      </c>
      <c r="P50" t="s">
        <v>160</v>
      </c>
    </row>
    <row r="51">
      <c r="A51" t="s">
        <v>4482</v>
      </c>
      <c r="B51" t="s">
        <v>4483</v>
      </c>
      <c r="C51" t="s">
        <v>3164</v>
      </c>
      <c r="D51" t="s">
        <v>3162</v>
      </c>
      <c r="E51" t="s">
        <v>4484</v>
      </c>
      <c r="F51" t="s">
        <v>4485</v>
      </c>
      <c r="G51" t="s">
        <v>2007</v>
      </c>
      <c r="H51" t="s">
        <v>4486</v>
      </c>
      <c r="I51" t="s">
        <v>4342</v>
      </c>
      <c r="J51" t="s">
        <v>2975</v>
      </c>
      <c r="K51" t="s">
        <v>4487</v>
      </c>
      <c r="L51" t="s">
        <v>958</v>
      </c>
      <c r="M51" t="s">
        <v>4488</v>
      </c>
      <c r="N51" t="s">
        <v>958</v>
      </c>
      <c r="O51" t="s">
        <v>4489</v>
      </c>
      <c r="P51" t="s">
        <v>160</v>
      </c>
    </row>
    <row r="52">
      <c r="A52" t="s">
        <v>4490</v>
      </c>
      <c r="B52" t="s">
        <v>4100</v>
      </c>
      <c r="C52" t="s">
        <v>3183</v>
      </c>
      <c r="D52" t="s">
        <v>3179</v>
      </c>
      <c r="E52" t="s">
        <v>4491</v>
      </c>
      <c r="F52" t="s">
        <v>4492</v>
      </c>
      <c r="G52" t="s">
        <v>2008</v>
      </c>
      <c r="H52" t="s">
        <v>4105</v>
      </c>
      <c r="I52" t="s">
        <v>4106</v>
      </c>
      <c r="J52" t="s">
        <v>3193</v>
      </c>
      <c r="K52" t="s">
        <v>4493</v>
      </c>
      <c r="L52" t="s">
        <v>958</v>
      </c>
      <c r="M52" t="s">
        <v>4494</v>
      </c>
      <c r="N52" t="s">
        <v>4217</v>
      </c>
      <c r="O52" t="s">
        <v>4495</v>
      </c>
      <c r="P52" t="s">
        <v>160</v>
      </c>
    </row>
    <row r="53">
      <c r="A53" t="s">
        <v>4496</v>
      </c>
      <c r="B53" t="s">
        <v>4483</v>
      </c>
      <c r="C53" t="s">
        <v>3202</v>
      </c>
      <c r="D53" t="s">
        <v>3200</v>
      </c>
      <c r="E53" t="s">
        <v>4497</v>
      </c>
      <c r="F53" t="s">
        <v>4498</v>
      </c>
      <c r="G53" t="s">
        <v>2009</v>
      </c>
      <c r="H53" t="s">
        <v>4275</v>
      </c>
      <c r="I53" t="s">
        <v>4225</v>
      </c>
      <c r="J53" t="s">
        <v>3212</v>
      </c>
      <c r="K53" t="s">
        <v>4499</v>
      </c>
      <c r="L53" t="s">
        <v>958</v>
      </c>
      <c r="M53" t="s">
        <v>4500</v>
      </c>
      <c r="N53" t="s">
        <v>4345</v>
      </c>
      <c r="O53" t="s">
        <v>4501</v>
      </c>
      <c r="P53" t="s">
        <v>160</v>
      </c>
    </row>
    <row r="54">
      <c r="A54" t="s">
        <v>4502</v>
      </c>
      <c r="B54" t="s">
        <v>4465</v>
      </c>
      <c r="C54" t="s">
        <v>3219</v>
      </c>
      <c r="D54" t="s">
        <v>3216</v>
      </c>
      <c r="E54" t="s">
        <v>4503</v>
      </c>
      <c r="F54" t="s">
        <v>4504</v>
      </c>
      <c r="G54" t="s">
        <v>2010</v>
      </c>
      <c r="H54" t="s">
        <v>4505</v>
      </c>
      <c r="I54" t="s">
        <v>4506</v>
      </c>
      <c r="J54" t="s">
        <v>3227</v>
      </c>
      <c r="K54" t="s">
        <v>4507</v>
      </c>
      <c r="L54" t="s">
        <v>160</v>
      </c>
      <c r="M54" t="s">
        <v>4508</v>
      </c>
      <c r="N54" t="s">
        <v>4509</v>
      </c>
      <c r="O54" t="s">
        <v>4397</v>
      </c>
      <c r="P54" t="s">
        <v>160</v>
      </c>
    </row>
    <row r="55">
      <c r="A55" t="s">
        <v>4510</v>
      </c>
      <c r="B55" t="s">
        <v>4511</v>
      </c>
      <c r="C55" t="s">
        <v>3236</v>
      </c>
      <c r="D55" t="s">
        <v>3234</v>
      </c>
      <c r="E55" t="s">
        <v>4512</v>
      </c>
      <c r="F55" t="s">
        <v>4513</v>
      </c>
      <c r="G55" t="s">
        <v>2011</v>
      </c>
      <c r="H55" t="s">
        <v>4514</v>
      </c>
      <c r="I55" t="s">
        <v>4506</v>
      </c>
      <c r="J55" t="s">
        <v>3227</v>
      </c>
      <c r="K55" t="s">
        <v>4515</v>
      </c>
      <c r="L55" t="s">
        <v>160</v>
      </c>
      <c r="M55" t="s">
        <v>4516</v>
      </c>
      <c r="N55" t="s">
        <v>4509</v>
      </c>
      <c r="O55" t="s">
        <v>4517</v>
      </c>
      <c r="P55" t="s">
        <v>160</v>
      </c>
    </row>
    <row r="56">
      <c r="A56" t="s">
        <v>4518</v>
      </c>
      <c r="B56" t="s">
        <v>4519</v>
      </c>
      <c r="C56" t="s">
        <v>3250</v>
      </c>
      <c r="D56" t="s">
        <v>3248</v>
      </c>
      <c r="E56" t="s">
        <v>4520</v>
      </c>
      <c r="F56" t="s">
        <v>4521</v>
      </c>
      <c r="G56" t="s">
        <v>2012</v>
      </c>
      <c r="H56" t="s">
        <v>4522</v>
      </c>
      <c r="I56" t="s">
        <v>4523</v>
      </c>
      <c r="J56" t="s">
        <v>3258</v>
      </c>
      <c r="K56" t="s">
        <v>4524</v>
      </c>
      <c r="L56" t="s">
        <v>160</v>
      </c>
      <c r="M56" t="s">
        <v>4525</v>
      </c>
      <c r="N56" t="s">
        <v>160</v>
      </c>
      <c r="O56" t="s">
        <v>4526</v>
      </c>
      <c r="P56" t="s">
        <v>160</v>
      </c>
    </row>
    <row r="57">
      <c r="A57" t="s">
        <v>4527</v>
      </c>
      <c r="B57" t="s">
        <v>4528</v>
      </c>
      <c r="C57" t="s">
        <v>3266</v>
      </c>
      <c r="D57" t="s">
        <v>3264</v>
      </c>
      <c r="E57" t="s">
        <v>4529</v>
      </c>
      <c r="F57" t="s">
        <v>4530</v>
      </c>
      <c r="G57" t="s">
        <v>2013</v>
      </c>
      <c r="H57" t="s">
        <v>4531</v>
      </c>
      <c r="I57" t="s">
        <v>4532</v>
      </c>
      <c r="J57" t="s">
        <v>3227</v>
      </c>
      <c r="K57" t="s">
        <v>4533</v>
      </c>
      <c r="L57" t="s">
        <v>160</v>
      </c>
      <c r="M57" t="s">
        <v>4534</v>
      </c>
      <c r="N57" t="s">
        <v>160</v>
      </c>
      <c r="O57" t="s">
        <v>4535</v>
      </c>
      <c r="P57" t="s">
        <v>160</v>
      </c>
    </row>
    <row r="58">
      <c r="A58" t="s">
        <v>4536</v>
      </c>
      <c r="B58" t="s">
        <v>4537</v>
      </c>
      <c r="C58" t="s">
        <v>3282</v>
      </c>
      <c r="D58" t="s">
        <v>3280</v>
      </c>
      <c r="E58" t="s">
        <v>4538</v>
      </c>
      <c r="F58" t="s">
        <v>4539</v>
      </c>
      <c r="G58" t="s">
        <v>2014</v>
      </c>
      <c r="H58" t="s">
        <v>4540</v>
      </c>
      <c r="I58" t="s">
        <v>4541</v>
      </c>
      <c r="J58" t="s">
        <v>3290</v>
      </c>
      <c r="K58" t="s">
        <v>4542</v>
      </c>
      <c r="L58" t="s">
        <v>160</v>
      </c>
      <c r="M58" t="s">
        <v>4543</v>
      </c>
      <c r="N58" t="s">
        <v>4509</v>
      </c>
      <c r="O58" t="s">
        <v>4544</v>
      </c>
      <c r="P58" t="s">
        <v>160</v>
      </c>
    </row>
    <row r="59" ht="224">
      <c r="A59" s="25" t="s">
        <v>3310</v>
      </c>
      <c r="B59" s="25" t="s">
        <v>4139</v>
      </c>
      <c r="C59" s="25" t="s">
        <v>3310</v>
      </c>
      <c r="D59" s="25" t="s">
        <v>3308</v>
      </c>
      <c r="E59" s="25" t="s">
        <v>4545</v>
      </c>
      <c r="F59" s="25" t="s">
        <v>4546</v>
      </c>
      <c r="G59" s="25" t="s">
        <v>2016</v>
      </c>
      <c r="H59" s="25" t="s">
        <v>4142</v>
      </c>
      <c r="I59" s="25" t="s">
        <v>3304</v>
      </c>
      <c r="J59" s="25" t="s">
        <v>3304</v>
      </c>
      <c r="K59" s="25" t="s">
        <v>4547</v>
      </c>
      <c r="L59" s="25" t="s">
        <v>4121</v>
      </c>
      <c r="M59" s="25" t="s">
        <v>4548</v>
      </c>
      <c r="N59" s="25" t="s">
        <v>4112</v>
      </c>
      <c r="O59" s="25" t="s">
        <v>4549</v>
      </c>
      <c r="P59" s="25" t="s">
        <v>4112</v>
      </c>
    </row>
    <row r="60" ht="182">
      <c r="A60" s="25" t="s">
        <v>4550</v>
      </c>
      <c r="B60" s="25" t="s">
        <v>4139</v>
      </c>
      <c r="C60" s="25" t="s">
        <v>3320</v>
      </c>
      <c r="D60" s="25" t="s">
        <v>3319</v>
      </c>
      <c r="E60" s="25" t="s">
        <v>4551</v>
      </c>
      <c r="F60" s="25" t="s">
        <v>4552</v>
      </c>
      <c r="G60" s="25" t="s">
        <v>2016</v>
      </c>
      <c r="H60" s="25" t="s">
        <v>4142</v>
      </c>
      <c r="I60" s="25" t="s">
        <v>3304</v>
      </c>
      <c r="J60" s="25" t="s">
        <v>3304</v>
      </c>
      <c r="K60" s="25" t="s">
        <v>4553</v>
      </c>
      <c r="L60" s="25" t="s">
        <v>4121</v>
      </c>
      <c r="M60" s="25" t="s">
        <v>4554</v>
      </c>
      <c r="N60" s="25" t="s">
        <v>4112</v>
      </c>
      <c r="O60" s="25" t="s">
        <v>4555</v>
      </c>
      <c r="P60" s="25" t="s">
        <v>4112</v>
      </c>
    </row>
    <row r="61" ht="154">
      <c r="A61" s="25" t="s">
        <v>4556</v>
      </c>
      <c r="B61" s="25" t="s">
        <v>3330</v>
      </c>
      <c r="C61" s="25" t="s">
        <v>3332</v>
      </c>
      <c r="D61" s="25" t="s">
        <v>3329</v>
      </c>
      <c r="E61" s="25" t="s">
        <v>165</v>
      </c>
      <c r="F61" s="25" t="s">
        <v>4557</v>
      </c>
      <c r="G61" s="25" t="s">
        <v>2017</v>
      </c>
      <c r="H61" s="25" t="s">
        <v>4558</v>
      </c>
      <c r="I61" s="25" t="s">
        <v>3330</v>
      </c>
      <c r="J61" s="25" t="s">
        <v>3304</v>
      </c>
      <c r="K61" s="25" t="s">
        <v>4559</v>
      </c>
      <c r="L61" s="25" t="s">
        <v>4121</v>
      </c>
      <c r="M61" s="25" t="s">
        <v>4560</v>
      </c>
      <c r="N61" s="25" t="s">
        <v>4112</v>
      </c>
      <c r="O61" s="25" t="s">
        <v>4561</v>
      </c>
      <c r="P61" s="25" t="s">
        <v>4112</v>
      </c>
    </row>
    <row r="62" ht="112">
      <c r="A62" s="25" t="s">
        <v>4562</v>
      </c>
      <c r="B62" s="25" t="s">
        <v>3330</v>
      </c>
      <c r="C62" s="25" t="s">
        <v>3332</v>
      </c>
      <c r="D62" s="25" t="s">
        <v>3329</v>
      </c>
      <c r="E62" s="25" t="s">
        <v>165</v>
      </c>
      <c r="F62" s="25" t="s">
        <v>4563</v>
      </c>
      <c r="G62" s="25" t="s">
        <v>2017</v>
      </c>
      <c r="H62" s="25" t="s">
        <v>4142</v>
      </c>
      <c r="I62" s="25" t="s">
        <v>3330</v>
      </c>
      <c r="J62" s="25" t="s">
        <v>3304</v>
      </c>
      <c r="K62" s="25" t="s">
        <v>4564</v>
      </c>
      <c r="L62" s="25" t="s">
        <v>4121</v>
      </c>
      <c r="M62" s="25" t="s">
        <v>4565</v>
      </c>
      <c r="N62" s="25" t="s">
        <v>4112</v>
      </c>
      <c r="O62" s="25" t="s">
        <v>4561</v>
      </c>
      <c r="P62" s="25" t="s">
        <v>4112</v>
      </c>
    </row>
    <row r="63" ht="112">
      <c r="A63" s="25" t="s">
        <v>4566</v>
      </c>
      <c r="B63" s="25" t="s">
        <v>3330</v>
      </c>
      <c r="C63" s="25" t="s">
        <v>3345</v>
      </c>
      <c r="D63" s="25" t="s">
        <v>3344</v>
      </c>
      <c r="E63" s="25" t="s">
        <v>165</v>
      </c>
      <c r="F63" s="25" t="s">
        <v>4567</v>
      </c>
      <c r="G63" s="25" t="s">
        <v>2017</v>
      </c>
      <c r="H63" s="25" t="s">
        <v>4568</v>
      </c>
      <c r="I63" s="25" t="s">
        <v>3330</v>
      </c>
      <c r="J63" s="25" t="s">
        <v>3304</v>
      </c>
      <c r="K63" s="25" t="s">
        <v>4569</v>
      </c>
      <c r="L63" s="25" t="s">
        <v>4121</v>
      </c>
      <c r="M63" s="25" t="s">
        <v>4570</v>
      </c>
      <c r="N63" s="25" t="s">
        <v>4112</v>
      </c>
      <c r="O63" s="25" t="s">
        <v>4561</v>
      </c>
      <c r="P63" s="25" t="s">
        <v>4112</v>
      </c>
    </row>
    <row r="64" ht="140">
      <c r="A64" s="25" t="s">
        <v>4571</v>
      </c>
      <c r="B64" s="25" t="s">
        <v>3330</v>
      </c>
      <c r="C64" s="25" t="s">
        <v>3357</v>
      </c>
      <c r="D64" s="25" t="s">
        <v>3356</v>
      </c>
      <c r="E64" s="25" t="s">
        <v>4572</v>
      </c>
      <c r="F64" s="25" t="s">
        <v>4573</v>
      </c>
      <c r="G64" s="25" t="s">
        <v>2017</v>
      </c>
      <c r="H64" s="25" t="s">
        <v>4574</v>
      </c>
      <c r="I64" s="25" t="s">
        <v>3304</v>
      </c>
      <c r="J64" s="25" t="s">
        <v>3304</v>
      </c>
      <c r="K64" s="25" t="s">
        <v>4575</v>
      </c>
      <c r="L64" s="25" t="s">
        <v>4121</v>
      </c>
      <c r="M64" s="25" t="s">
        <v>4576</v>
      </c>
      <c r="N64" s="25" t="s">
        <v>4112</v>
      </c>
      <c r="O64" s="25" t="s">
        <v>4561</v>
      </c>
      <c r="P64" s="25" t="s">
        <v>4112</v>
      </c>
    </row>
    <row r="65" ht="154">
      <c r="A65" s="25" t="s">
        <v>4577</v>
      </c>
      <c r="B65" s="25" t="s">
        <v>4578</v>
      </c>
      <c r="C65" s="25" t="s">
        <v>3367</v>
      </c>
      <c r="D65" s="25" t="s">
        <v>3366</v>
      </c>
      <c r="E65" s="25" t="s">
        <v>165</v>
      </c>
      <c r="F65" s="25" t="s">
        <v>4579</v>
      </c>
      <c r="G65" s="25" t="s">
        <v>2018</v>
      </c>
      <c r="H65" s="25" t="s">
        <v>4142</v>
      </c>
      <c r="I65" s="25" t="s">
        <v>3304</v>
      </c>
      <c r="J65" s="25" t="s">
        <v>3304</v>
      </c>
      <c r="K65" s="25" t="s">
        <v>4580</v>
      </c>
      <c r="L65" s="25" t="s">
        <v>4121</v>
      </c>
      <c r="M65" s="25" t="s">
        <v>4560</v>
      </c>
      <c r="N65" s="25" t="s">
        <v>4112</v>
      </c>
      <c r="O65" s="25" t="s">
        <v>4561</v>
      </c>
      <c r="P65" s="25" t="s">
        <v>4112</v>
      </c>
    </row>
    <row r="66" ht="140">
      <c r="A66" s="25" t="s">
        <v>4581</v>
      </c>
      <c r="B66" s="25" t="s">
        <v>4578</v>
      </c>
      <c r="C66" s="25" t="s">
        <v>3392</v>
      </c>
      <c r="D66" s="25" t="s">
        <v>3391</v>
      </c>
      <c r="E66" s="25" t="s">
        <v>165</v>
      </c>
      <c r="F66" s="25" t="s">
        <v>4582</v>
      </c>
      <c r="G66" s="25" t="s">
        <v>2018</v>
      </c>
      <c r="H66" s="25" t="s">
        <v>4568</v>
      </c>
      <c r="I66" s="25" t="s">
        <v>3304</v>
      </c>
      <c r="J66" s="25" t="s">
        <v>3304</v>
      </c>
      <c r="K66" s="25" t="s">
        <v>4583</v>
      </c>
      <c r="L66" s="25" t="s">
        <v>4121</v>
      </c>
      <c r="M66" s="25" t="s">
        <v>4584</v>
      </c>
      <c r="N66" s="25" t="s">
        <v>4112</v>
      </c>
      <c r="O66" s="25" t="s">
        <v>4561</v>
      </c>
      <c r="P66" s="25" t="s">
        <v>4112</v>
      </c>
    </row>
    <row r="67" ht="98">
      <c r="A67" s="25" t="s">
        <v>4585</v>
      </c>
      <c r="B67" s="25" t="s">
        <v>3404</v>
      </c>
      <c r="C67" s="25" t="s">
        <v>3406</v>
      </c>
      <c r="D67" s="25" t="s">
        <v>3403</v>
      </c>
      <c r="E67" s="25" t="s">
        <v>4586</v>
      </c>
      <c r="F67" s="25" t="s">
        <v>4587</v>
      </c>
      <c r="G67" s="25" t="s">
        <v>2019</v>
      </c>
      <c r="H67" s="25" t="s">
        <v>4568</v>
      </c>
      <c r="I67" s="25" t="s">
        <v>3304</v>
      </c>
      <c r="J67" s="25" t="s">
        <v>3304</v>
      </c>
      <c r="K67" s="25" t="s">
        <v>4588</v>
      </c>
      <c r="L67" s="25" t="s">
        <v>4121</v>
      </c>
      <c r="M67" s="25" t="s">
        <v>4589</v>
      </c>
      <c r="N67" s="25" t="s">
        <v>4590</v>
      </c>
      <c r="O67" s="25" t="s">
        <v>4561</v>
      </c>
      <c r="P67" s="25" t="s">
        <v>4112</v>
      </c>
    </row>
    <row r="68" ht="182">
      <c r="A68" s="25" t="s">
        <v>4591</v>
      </c>
      <c r="B68" s="25" t="s">
        <v>3404</v>
      </c>
      <c r="C68" s="25" t="s">
        <v>3418</v>
      </c>
      <c r="D68" s="25" t="s">
        <v>3417</v>
      </c>
      <c r="E68" s="25" t="s">
        <v>4592</v>
      </c>
      <c r="F68" s="25" t="s">
        <v>4593</v>
      </c>
      <c r="G68" s="25" t="s">
        <v>2019</v>
      </c>
      <c r="H68" s="25" t="s">
        <v>4568</v>
      </c>
      <c r="I68" s="25" t="s">
        <v>3304</v>
      </c>
      <c r="J68" s="25" t="s">
        <v>3304</v>
      </c>
      <c r="K68" s="25" t="s">
        <v>4594</v>
      </c>
      <c r="L68" s="25" t="s">
        <v>4121</v>
      </c>
      <c r="M68" s="25" t="s">
        <v>4595</v>
      </c>
      <c r="N68" s="25" t="s">
        <v>4596</v>
      </c>
      <c r="O68" s="25" t="s">
        <v>4561</v>
      </c>
      <c r="P68" s="25" t="s">
        <v>4112</v>
      </c>
    </row>
    <row r="69" ht="182">
      <c r="A69" s="25" t="s">
        <v>4597</v>
      </c>
      <c r="B69" s="25" t="s">
        <v>3404</v>
      </c>
      <c r="C69" s="25" t="s">
        <v>3430</v>
      </c>
      <c r="D69" s="25" t="s">
        <v>3429</v>
      </c>
      <c r="E69" s="25" t="s">
        <v>4598</v>
      </c>
      <c r="F69" s="25" t="s">
        <v>4599</v>
      </c>
      <c r="G69" s="25" t="s">
        <v>2019</v>
      </c>
      <c r="H69" s="25" t="s">
        <v>4142</v>
      </c>
      <c r="I69" s="25" t="s">
        <v>3304</v>
      </c>
      <c r="J69" s="25" t="s">
        <v>3304</v>
      </c>
      <c r="K69" s="25" t="s">
        <v>4600</v>
      </c>
      <c r="L69" s="25" t="s">
        <v>4121</v>
      </c>
      <c r="M69" s="25" t="s">
        <v>4601</v>
      </c>
      <c r="N69" s="25" t="s">
        <v>4121</v>
      </c>
      <c r="O69" s="25" t="s">
        <v>4561</v>
      </c>
      <c r="P69" s="25" t="s">
        <v>4112</v>
      </c>
    </row>
    <row r="70" ht="154">
      <c r="A70" s="25" t="s">
        <v>4602</v>
      </c>
      <c r="B70" s="25" t="s">
        <v>3404</v>
      </c>
      <c r="C70" s="25" t="s">
        <v>3441</v>
      </c>
      <c r="D70" s="25" t="s">
        <v>3440</v>
      </c>
      <c r="E70" s="25" t="s">
        <v>4603</v>
      </c>
      <c r="F70" s="25" t="s">
        <v>4604</v>
      </c>
      <c r="G70" s="25" t="s">
        <v>2019</v>
      </c>
      <c r="H70" s="25" t="s">
        <v>4142</v>
      </c>
      <c r="I70" s="25" t="s">
        <v>3304</v>
      </c>
      <c r="J70" s="25" t="s">
        <v>3304</v>
      </c>
      <c r="K70" s="25" t="s">
        <v>4605</v>
      </c>
      <c r="L70" s="25" t="s">
        <v>4121</v>
      </c>
      <c r="M70" s="25" t="s">
        <v>4606</v>
      </c>
      <c r="N70" s="25" t="s">
        <v>4112</v>
      </c>
      <c r="O70" s="25" t="s">
        <v>4561</v>
      </c>
      <c r="P70" s="25" t="s">
        <v>4112</v>
      </c>
    </row>
    <row r="71" ht="168">
      <c r="A71" s="25" t="s">
        <v>4607</v>
      </c>
      <c r="B71" s="25" t="s">
        <v>3452</v>
      </c>
      <c r="C71" s="25" t="s">
        <v>3452</v>
      </c>
      <c r="D71" s="25" t="s">
        <v>3451</v>
      </c>
      <c r="E71" s="25" t="s">
        <v>4608</v>
      </c>
      <c r="F71" s="25" t="s">
        <v>4609</v>
      </c>
      <c r="G71" s="25" t="s">
        <v>2020</v>
      </c>
      <c r="H71" s="25" t="s">
        <v>4610</v>
      </c>
      <c r="I71" s="25" t="s">
        <v>3304</v>
      </c>
      <c r="J71" s="25" t="s">
        <v>3304</v>
      </c>
      <c r="K71" s="25" t="s">
        <v>4611</v>
      </c>
      <c r="L71" s="25" t="s">
        <v>4121</v>
      </c>
      <c r="M71" s="25" t="s">
        <v>4612</v>
      </c>
      <c r="N71" s="25" t="s">
        <v>4596</v>
      </c>
      <c r="O71" s="25" t="s">
        <v>4561</v>
      </c>
      <c r="P71" s="25" t="s">
        <v>4112</v>
      </c>
    </row>
    <row r="72" ht="56">
      <c r="A72" s="25" t="s">
        <v>4613</v>
      </c>
      <c r="B72" s="25" t="s">
        <v>3452</v>
      </c>
      <c r="C72" s="25" t="s">
        <v>3466</v>
      </c>
      <c r="D72" s="25" t="s">
        <v>3465</v>
      </c>
      <c r="E72" s="25" t="s">
        <v>4614</v>
      </c>
      <c r="F72" s="25" t="s">
        <v>4615</v>
      </c>
      <c r="G72" s="25" t="s">
        <v>2020</v>
      </c>
      <c r="H72" s="25" t="s">
        <v>4616</v>
      </c>
      <c r="I72" s="25" t="s">
        <v>3304</v>
      </c>
      <c r="J72" s="25" t="s">
        <v>3304</v>
      </c>
      <c r="K72" s="25" t="s">
        <v>4617</v>
      </c>
      <c r="L72" s="25" t="s">
        <v>4121</v>
      </c>
      <c r="M72" s="25" t="s">
        <v>4618</v>
      </c>
      <c r="N72" s="25" t="s">
        <v>4121</v>
      </c>
      <c r="O72" s="25" t="s">
        <v>4561</v>
      </c>
      <c r="P72" s="25" t="s">
        <v>4112</v>
      </c>
    </row>
    <row r="73" ht="168">
      <c r="A73" s="25" t="s">
        <v>4619</v>
      </c>
      <c r="B73" s="25" t="s">
        <v>4620</v>
      </c>
      <c r="C73" s="25" t="s">
        <v>3547</v>
      </c>
      <c r="D73" s="25" t="s">
        <v>3544</v>
      </c>
      <c r="E73" s="25" t="s">
        <v>4621</v>
      </c>
      <c r="F73" s="25" t="s">
        <v>4622</v>
      </c>
      <c r="G73" s="25" t="s">
        <v>2025</v>
      </c>
      <c r="H73" s="25" t="s">
        <v>4623</v>
      </c>
      <c r="I73" s="25" t="s">
        <v>3304</v>
      </c>
      <c r="J73" s="25" t="s">
        <v>3304</v>
      </c>
      <c r="K73" s="25" t="s">
        <v>4624</v>
      </c>
      <c r="L73" s="25" t="s">
        <v>4121</v>
      </c>
      <c r="M73" s="25" t="s">
        <v>4625</v>
      </c>
      <c r="N73" s="25" t="s">
        <v>4626</v>
      </c>
      <c r="O73" s="25" t="s">
        <v>4561</v>
      </c>
      <c r="P73" s="25" t="s">
        <v>4112</v>
      </c>
    </row>
    <row r="74" ht="168">
      <c r="A74" s="25" t="s">
        <v>4627</v>
      </c>
      <c r="B74" s="25" t="s">
        <v>4352</v>
      </c>
      <c r="C74" s="25" t="s">
        <v>3561</v>
      </c>
      <c r="D74" s="25" t="s">
        <v>3560</v>
      </c>
      <c r="E74" s="25" t="s">
        <v>4628</v>
      </c>
      <c r="F74" s="25" t="s">
        <v>4629</v>
      </c>
      <c r="G74" s="25" t="s">
        <v>2026</v>
      </c>
      <c r="H74" s="25" t="s">
        <v>4623</v>
      </c>
      <c r="I74" s="25" t="s">
        <v>3304</v>
      </c>
      <c r="J74" s="25" t="s">
        <v>3304</v>
      </c>
      <c r="K74" s="25" t="s">
        <v>4630</v>
      </c>
      <c r="L74" s="25" t="s">
        <v>4121</v>
      </c>
      <c r="M74" s="25" t="s">
        <v>4631</v>
      </c>
      <c r="N74" s="25" t="s">
        <v>4121</v>
      </c>
      <c r="O74" s="25" t="s">
        <v>4561</v>
      </c>
      <c r="P74" s="25" t="s">
        <v>4112</v>
      </c>
    </row>
    <row r="75" ht="140">
      <c r="A75" s="25" t="s">
        <v>4632</v>
      </c>
      <c r="B75" s="25" t="s">
        <v>4633</v>
      </c>
      <c r="C75" s="25" t="s">
        <v>3576</v>
      </c>
      <c r="D75" s="25" t="s">
        <v>3573</v>
      </c>
      <c r="E75" s="25" t="s">
        <v>4634</v>
      </c>
      <c r="F75" s="25" t="s">
        <v>4635</v>
      </c>
      <c r="G75" s="25" t="s">
        <v>2027</v>
      </c>
      <c r="H75" s="25" t="s">
        <v>4142</v>
      </c>
      <c r="I75" s="25" t="s">
        <v>3304</v>
      </c>
      <c r="J75" s="25" t="s">
        <v>3304</v>
      </c>
      <c r="K75" s="25" t="s">
        <v>4636</v>
      </c>
      <c r="L75" s="25" t="s">
        <v>4121</v>
      </c>
      <c r="M75" s="25" t="s">
        <v>4637</v>
      </c>
      <c r="N75" s="25" t="s">
        <v>4112</v>
      </c>
      <c r="O75" s="25" t="s">
        <v>4561</v>
      </c>
      <c r="P75" s="25" t="s">
        <v>4112</v>
      </c>
    </row>
    <row r="76" ht="224">
      <c r="A76" s="25" t="s">
        <v>4638</v>
      </c>
      <c r="B76" s="25" t="s">
        <v>3404</v>
      </c>
      <c r="C76" s="25" t="s">
        <v>3588</v>
      </c>
      <c r="D76" s="25" t="s">
        <v>3587</v>
      </c>
      <c r="E76" s="25" t="s">
        <v>4639</v>
      </c>
      <c r="F76" s="25" t="s">
        <v>4640</v>
      </c>
      <c r="G76" s="25" t="s">
        <v>2019</v>
      </c>
      <c r="H76" s="25" t="s">
        <v>4641</v>
      </c>
      <c r="I76" s="25" t="s">
        <v>3304</v>
      </c>
      <c r="J76" s="25" t="s">
        <v>3304</v>
      </c>
      <c r="K76" s="25" t="s">
        <v>4642</v>
      </c>
      <c r="L76" s="25" t="s">
        <v>4121</v>
      </c>
      <c r="M76" s="25" t="s">
        <v>4643</v>
      </c>
      <c r="N76" s="25" t="s">
        <v>4121</v>
      </c>
      <c r="O76" s="25" t="s">
        <v>4561</v>
      </c>
      <c r="P76" s="25" t="s">
        <v>4112</v>
      </c>
    </row>
    <row r="77">
      <c r="A77" t="s">
        <v>3612</v>
      </c>
      <c r="B77" t="s">
        <v>3600</v>
      </c>
      <c r="C77" t="s">
        <v>3602</v>
      </c>
      <c r="D77" t="s">
        <v>3598</v>
      </c>
      <c r="E77" t="s">
        <v>4644</v>
      </c>
      <c r="F77" t="s">
        <v>4645</v>
      </c>
      <c r="G77" t="s">
        <v>2051</v>
      </c>
      <c r="H77" t="s">
        <v>4568</v>
      </c>
      <c r="I77" t="s">
        <v>3610</v>
      </c>
      <c r="J77" t="s">
        <v>3610</v>
      </c>
      <c r="K77" t="s">
        <v>4646</v>
      </c>
      <c r="L77" t="s">
        <v>4121</v>
      </c>
      <c r="M77" t="s">
        <v>4647</v>
      </c>
      <c r="N77" t="s">
        <v>4110</v>
      </c>
      <c r="O77" t="s">
        <v>4648</v>
      </c>
      <c r="P77" t="s">
        <v>4112</v>
      </c>
    </row>
    <row r="78">
      <c r="A78" t="s">
        <v>3625</v>
      </c>
      <c r="B78" t="s">
        <v>3600</v>
      </c>
      <c r="C78" t="s">
        <v>3620</v>
      </c>
      <c r="D78" t="s">
        <v>3619</v>
      </c>
      <c r="E78" t="s">
        <v>4644</v>
      </c>
      <c r="F78" t="s">
        <v>4649</v>
      </c>
      <c r="G78" t="s">
        <v>2051</v>
      </c>
      <c r="H78" t="s">
        <v>4568</v>
      </c>
      <c r="I78" t="s">
        <v>3610</v>
      </c>
      <c r="J78" t="s">
        <v>3610</v>
      </c>
      <c r="K78" t="s">
        <v>4650</v>
      </c>
      <c r="L78" t="s">
        <v>4121</v>
      </c>
      <c r="M78" t="s">
        <v>4647</v>
      </c>
      <c r="N78" t="s">
        <v>4110</v>
      </c>
      <c r="O78" t="s">
        <v>4648</v>
      </c>
      <c r="P78" t="s">
        <v>4112</v>
      </c>
    </row>
    <row r="79">
      <c r="A79" t="s">
        <v>3632</v>
      </c>
      <c r="B79" t="s">
        <v>3600</v>
      </c>
      <c r="C79" t="s">
        <v>3627</v>
      </c>
      <c r="D79" t="s">
        <v>3626</v>
      </c>
      <c r="E79" t="s">
        <v>4644</v>
      </c>
      <c r="F79" t="s">
        <v>4651</v>
      </c>
      <c r="G79" t="s">
        <v>2051</v>
      </c>
      <c r="H79" t="s">
        <v>4568</v>
      </c>
      <c r="I79" t="s">
        <v>3610</v>
      </c>
      <c r="J79" t="s">
        <v>3610</v>
      </c>
      <c r="K79" t="s">
        <v>4652</v>
      </c>
      <c r="L79" t="s">
        <v>4121</v>
      </c>
      <c r="M79" t="s">
        <v>4647</v>
      </c>
      <c r="N79" t="s">
        <v>4110</v>
      </c>
      <c r="O79" t="s">
        <v>4648</v>
      </c>
      <c r="P79" t="s">
        <v>4112</v>
      </c>
    </row>
    <row r="80">
      <c r="A80" t="s">
        <v>3639</v>
      </c>
      <c r="B80" t="s">
        <v>3600</v>
      </c>
      <c r="C80" t="s">
        <v>3634</v>
      </c>
      <c r="D80" t="s">
        <v>3633</v>
      </c>
      <c r="E80" t="s">
        <v>4644</v>
      </c>
      <c r="F80" t="s">
        <v>4653</v>
      </c>
      <c r="G80" t="s">
        <v>2051</v>
      </c>
      <c r="H80" t="s">
        <v>4568</v>
      </c>
      <c r="I80" t="s">
        <v>3610</v>
      </c>
      <c r="J80" t="s">
        <v>3610</v>
      </c>
      <c r="K80" t="s">
        <v>4654</v>
      </c>
      <c r="L80" t="s">
        <v>4121</v>
      </c>
      <c r="M80" t="s">
        <v>4647</v>
      </c>
      <c r="N80" t="s">
        <v>4110</v>
      </c>
      <c r="O80" t="s">
        <v>4648</v>
      </c>
      <c r="P80" t="s">
        <v>4112</v>
      </c>
    </row>
    <row r="81">
      <c r="A81" t="s">
        <v>3646</v>
      </c>
      <c r="B81" t="s">
        <v>3600</v>
      </c>
      <c r="C81" t="s">
        <v>3641</v>
      </c>
      <c r="D81" t="s">
        <v>3640</v>
      </c>
      <c r="E81" t="s">
        <v>4644</v>
      </c>
      <c r="F81" t="s">
        <v>4655</v>
      </c>
      <c r="G81" t="s">
        <v>2051</v>
      </c>
      <c r="H81" t="s">
        <v>4568</v>
      </c>
      <c r="I81" t="s">
        <v>3610</v>
      </c>
      <c r="J81" t="s">
        <v>3610</v>
      </c>
      <c r="K81" t="s">
        <v>4656</v>
      </c>
      <c r="L81" t="s">
        <v>4121</v>
      </c>
      <c r="M81" t="s">
        <v>4647</v>
      </c>
      <c r="N81" t="s">
        <v>4110</v>
      </c>
      <c r="O81" t="s">
        <v>4648</v>
      </c>
      <c r="P81" t="s">
        <v>4112</v>
      </c>
    </row>
    <row r="82">
      <c r="A82" t="s">
        <v>3653</v>
      </c>
      <c r="B82" t="s">
        <v>3600</v>
      </c>
      <c r="C82" t="s">
        <v>3648</v>
      </c>
      <c r="D82" t="s">
        <v>3647</v>
      </c>
      <c r="E82" t="s">
        <v>4644</v>
      </c>
      <c r="F82" t="s">
        <v>4657</v>
      </c>
      <c r="G82" t="s">
        <v>2051</v>
      </c>
      <c r="H82" t="s">
        <v>4568</v>
      </c>
      <c r="I82" t="s">
        <v>3610</v>
      </c>
      <c r="J82" t="s">
        <v>3610</v>
      </c>
      <c r="K82" t="s">
        <v>4658</v>
      </c>
      <c r="L82" t="s">
        <v>4121</v>
      </c>
      <c r="M82" t="s">
        <v>4647</v>
      </c>
      <c r="N82" t="s">
        <v>4110</v>
      </c>
      <c r="O82" t="s">
        <v>4648</v>
      </c>
      <c r="P82" t="s">
        <v>4112</v>
      </c>
    </row>
    <row r="83">
      <c r="A83" t="s">
        <v>3663</v>
      </c>
      <c r="B83" t="s">
        <v>3655</v>
      </c>
      <c r="C83" t="s">
        <v>3657</v>
      </c>
      <c r="D83" t="s">
        <v>3654</v>
      </c>
      <c r="E83" t="s">
        <v>4644</v>
      </c>
      <c r="F83" t="s">
        <v>4659</v>
      </c>
      <c r="G83" t="s">
        <v>2053</v>
      </c>
      <c r="H83" t="s">
        <v>4568</v>
      </c>
      <c r="I83" t="s">
        <v>3610</v>
      </c>
      <c r="J83" t="s">
        <v>3610</v>
      </c>
      <c r="K83" t="s">
        <v>4660</v>
      </c>
      <c r="L83" t="s">
        <v>4121</v>
      </c>
      <c r="M83" t="s">
        <v>4647</v>
      </c>
      <c r="N83" t="s">
        <v>4110</v>
      </c>
      <c r="O83" t="s">
        <v>4648</v>
      </c>
      <c r="P83" t="s">
        <v>4112</v>
      </c>
    </row>
    <row r="84">
      <c r="A84" t="s">
        <v>3670</v>
      </c>
      <c r="B84" t="s">
        <v>3655</v>
      </c>
      <c r="C84" t="s">
        <v>3665</v>
      </c>
      <c r="D84" t="s">
        <v>3664</v>
      </c>
      <c r="E84" t="s">
        <v>4644</v>
      </c>
      <c r="F84" t="s">
        <v>4661</v>
      </c>
      <c r="G84" t="s">
        <v>2053</v>
      </c>
      <c r="H84" t="s">
        <v>4568</v>
      </c>
      <c r="I84" t="s">
        <v>3610</v>
      </c>
      <c r="J84" t="s">
        <v>3610</v>
      </c>
      <c r="K84" t="s">
        <v>4662</v>
      </c>
      <c r="L84" t="s">
        <v>4121</v>
      </c>
      <c r="M84" t="s">
        <v>4647</v>
      </c>
      <c r="N84" t="s">
        <v>4110</v>
      </c>
      <c r="O84" t="s">
        <v>4648</v>
      </c>
      <c r="P84" t="s">
        <v>4112</v>
      </c>
    </row>
    <row r="85">
      <c r="A85" t="s">
        <v>3677</v>
      </c>
      <c r="B85" t="s">
        <v>3655</v>
      </c>
      <c r="C85" t="s">
        <v>3672</v>
      </c>
      <c r="D85" t="s">
        <v>3671</v>
      </c>
      <c r="E85" t="s">
        <v>4644</v>
      </c>
      <c r="F85" t="s">
        <v>4663</v>
      </c>
      <c r="G85" t="s">
        <v>2053</v>
      </c>
      <c r="H85" t="s">
        <v>4568</v>
      </c>
      <c r="I85" t="s">
        <v>3610</v>
      </c>
      <c r="J85" t="s">
        <v>3610</v>
      </c>
      <c r="K85" t="s">
        <v>4664</v>
      </c>
      <c r="L85" t="s">
        <v>4121</v>
      </c>
      <c r="M85" t="s">
        <v>4647</v>
      </c>
      <c r="N85" t="s">
        <v>4110</v>
      </c>
      <c r="O85" t="s">
        <v>4648</v>
      </c>
      <c r="P85" t="s">
        <v>4112</v>
      </c>
    </row>
    <row r="86">
      <c r="A86" t="s">
        <v>3684</v>
      </c>
      <c r="B86" t="s">
        <v>3655</v>
      </c>
      <c r="C86" t="s">
        <v>3679</v>
      </c>
      <c r="D86" t="s">
        <v>3678</v>
      </c>
      <c r="E86" t="s">
        <v>4644</v>
      </c>
      <c r="F86" t="s">
        <v>4665</v>
      </c>
      <c r="G86" t="s">
        <v>2053</v>
      </c>
      <c r="H86" t="s">
        <v>4568</v>
      </c>
      <c r="I86" t="s">
        <v>3610</v>
      </c>
      <c r="J86" t="s">
        <v>3610</v>
      </c>
      <c r="K86" t="s">
        <v>4666</v>
      </c>
      <c r="L86" t="s">
        <v>4121</v>
      </c>
      <c r="M86" t="s">
        <v>4647</v>
      </c>
      <c r="N86" t="s">
        <v>4110</v>
      </c>
      <c r="O86" t="s">
        <v>4648</v>
      </c>
      <c r="P86" t="s">
        <v>4112</v>
      </c>
    </row>
    <row r="87">
      <c r="A87" t="s">
        <v>3691</v>
      </c>
      <c r="B87" t="s">
        <v>3655</v>
      </c>
      <c r="C87" t="s">
        <v>3686</v>
      </c>
      <c r="D87" t="s">
        <v>3685</v>
      </c>
      <c r="E87" t="s">
        <v>4644</v>
      </c>
      <c r="F87" t="s">
        <v>4667</v>
      </c>
      <c r="G87" t="s">
        <v>2053</v>
      </c>
      <c r="H87" t="s">
        <v>4568</v>
      </c>
      <c r="I87" t="s">
        <v>3610</v>
      </c>
      <c r="J87" t="s">
        <v>3610</v>
      </c>
      <c r="K87" t="s">
        <v>4668</v>
      </c>
      <c r="L87" t="s">
        <v>4121</v>
      </c>
      <c r="M87" t="s">
        <v>4647</v>
      </c>
      <c r="N87" t="s">
        <v>4110</v>
      </c>
      <c r="O87" t="s">
        <v>4648</v>
      </c>
      <c r="P87" t="s">
        <v>4112</v>
      </c>
    </row>
    <row r="88">
      <c r="A88" t="s">
        <v>3698</v>
      </c>
      <c r="B88" t="s">
        <v>3655</v>
      </c>
      <c r="C88" t="s">
        <v>3693</v>
      </c>
      <c r="D88" t="s">
        <v>3692</v>
      </c>
      <c r="E88" t="s">
        <v>4644</v>
      </c>
      <c r="F88" t="s">
        <v>4669</v>
      </c>
      <c r="G88" t="s">
        <v>2053</v>
      </c>
      <c r="H88" t="s">
        <v>4568</v>
      </c>
      <c r="I88" t="s">
        <v>3610</v>
      </c>
      <c r="J88" t="s">
        <v>3610</v>
      </c>
      <c r="K88" t="s">
        <v>4670</v>
      </c>
      <c r="L88" t="s">
        <v>4121</v>
      </c>
      <c r="M88" t="s">
        <v>4647</v>
      </c>
      <c r="N88" t="s">
        <v>4110</v>
      </c>
      <c r="O88" t="s">
        <v>4648</v>
      </c>
      <c r="P88" t="s">
        <v>4112</v>
      </c>
    </row>
    <row r="89">
      <c r="A89" t="s">
        <v>3705</v>
      </c>
      <c r="B89" t="s">
        <v>3655</v>
      </c>
      <c r="C89" t="s">
        <v>3700</v>
      </c>
      <c r="D89" t="s">
        <v>3699</v>
      </c>
      <c r="E89" t="s">
        <v>4644</v>
      </c>
      <c r="F89" t="s">
        <v>4671</v>
      </c>
      <c r="G89" t="s">
        <v>2053</v>
      </c>
      <c r="H89" t="s">
        <v>4568</v>
      </c>
      <c r="I89" t="s">
        <v>3610</v>
      </c>
      <c r="J89" t="s">
        <v>3610</v>
      </c>
      <c r="K89" t="s">
        <v>4672</v>
      </c>
      <c r="L89" t="s">
        <v>4121</v>
      </c>
      <c r="M89" t="s">
        <v>4647</v>
      </c>
      <c r="N89" t="s">
        <v>4110</v>
      </c>
      <c r="O89" t="s">
        <v>4648</v>
      </c>
      <c r="P89" t="s">
        <v>4112</v>
      </c>
    </row>
    <row r="90">
      <c r="A90" t="s">
        <v>3712</v>
      </c>
      <c r="B90" t="s">
        <v>3655</v>
      </c>
      <c r="C90" t="s">
        <v>3707</v>
      </c>
      <c r="D90" t="s">
        <v>3706</v>
      </c>
      <c r="E90" t="s">
        <v>4644</v>
      </c>
      <c r="F90" t="s">
        <v>4673</v>
      </c>
      <c r="G90" t="s">
        <v>2053</v>
      </c>
      <c r="H90" t="s">
        <v>4568</v>
      </c>
      <c r="I90" t="s">
        <v>3610</v>
      </c>
      <c r="J90" t="s">
        <v>3610</v>
      </c>
      <c r="K90" t="s">
        <v>4674</v>
      </c>
      <c r="L90" t="s">
        <v>4121</v>
      </c>
      <c r="M90" t="s">
        <v>4647</v>
      </c>
      <c r="N90" t="s">
        <v>4110</v>
      </c>
      <c r="O90" t="s">
        <v>4648</v>
      </c>
      <c r="P90" t="s">
        <v>4112</v>
      </c>
    </row>
    <row r="91">
      <c r="A91" t="s">
        <v>3719</v>
      </c>
      <c r="B91" t="s">
        <v>3655</v>
      </c>
      <c r="C91" t="s">
        <v>3714</v>
      </c>
      <c r="D91" t="s">
        <v>3713</v>
      </c>
      <c r="E91" t="s">
        <v>4644</v>
      </c>
      <c r="F91" t="s">
        <v>4675</v>
      </c>
      <c r="G91" t="s">
        <v>2053</v>
      </c>
      <c r="H91" t="s">
        <v>4568</v>
      </c>
      <c r="I91" t="s">
        <v>3610</v>
      </c>
      <c r="J91" t="s">
        <v>3610</v>
      </c>
      <c r="K91" t="s">
        <v>4676</v>
      </c>
      <c r="L91" t="s">
        <v>4121</v>
      </c>
      <c r="M91" t="s">
        <v>4647</v>
      </c>
      <c r="N91" t="s">
        <v>4110</v>
      </c>
      <c r="O91" t="s">
        <v>4648</v>
      </c>
      <c r="P91" t="s">
        <v>4112</v>
      </c>
    </row>
    <row r="92">
      <c r="A92" t="s">
        <v>3726</v>
      </c>
      <c r="B92" t="s">
        <v>3655</v>
      </c>
      <c r="C92" t="s">
        <v>3721</v>
      </c>
      <c r="D92" t="s">
        <v>3720</v>
      </c>
      <c r="E92" t="s">
        <v>4644</v>
      </c>
      <c r="F92" t="s">
        <v>4677</v>
      </c>
      <c r="G92" t="s">
        <v>2053</v>
      </c>
      <c r="H92" t="s">
        <v>4568</v>
      </c>
      <c r="I92" t="s">
        <v>3610</v>
      </c>
      <c r="J92" t="s">
        <v>3610</v>
      </c>
      <c r="K92" t="s">
        <v>4678</v>
      </c>
      <c r="L92" t="s">
        <v>4121</v>
      </c>
      <c r="M92" t="s">
        <v>4647</v>
      </c>
      <c r="N92" t="s">
        <v>4110</v>
      </c>
      <c r="O92" t="s">
        <v>4648</v>
      </c>
      <c r="P92" t="s">
        <v>4112</v>
      </c>
    </row>
    <row r="93">
      <c r="A93" t="s">
        <v>3736</v>
      </c>
      <c r="B93" t="s">
        <v>3728</v>
      </c>
      <c r="C93" t="s">
        <v>3730</v>
      </c>
      <c r="D93" t="s">
        <v>3727</v>
      </c>
      <c r="E93" t="s">
        <v>4644</v>
      </c>
      <c r="F93" t="s">
        <v>4679</v>
      </c>
      <c r="G93" t="s">
        <v>2054</v>
      </c>
      <c r="H93" t="s">
        <v>4568</v>
      </c>
      <c r="I93" t="s">
        <v>3610</v>
      </c>
      <c r="J93" t="s">
        <v>3610</v>
      </c>
      <c r="K93" t="s">
        <v>4680</v>
      </c>
      <c r="L93" t="s">
        <v>4121</v>
      </c>
      <c r="M93" t="s">
        <v>4647</v>
      </c>
      <c r="N93" t="s">
        <v>4110</v>
      </c>
      <c r="O93" t="s">
        <v>4648</v>
      </c>
      <c r="P93" t="s">
        <v>4112</v>
      </c>
    </row>
    <row r="94">
      <c r="A94" t="s">
        <v>3743</v>
      </c>
      <c r="B94" t="s">
        <v>3728</v>
      </c>
      <c r="C94" t="s">
        <v>3738</v>
      </c>
      <c r="D94" t="s">
        <v>3737</v>
      </c>
      <c r="E94" t="s">
        <v>4644</v>
      </c>
      <c r="F94" t="s">
        <v>4681</v>
      </c>
      <c r="G94" t="s">
        <v>2054</v>
      </c>
      <c r="H94" t="s">
        <v>4568</v>
      </c>
      <c r="I94" t="s">
        <v>3610</v>
      </c>
      <c r="J94" t="s">
        <v>3610</v>
      </c>
      <c r="K94" t="s">
        <v>4682</v>
      </c>
      <c r="L94" t="s">
        <v>4121</v>
      </c>
      <c r="M94" t="s">
        <v>4647</v>
      </c>
      <c r="N94" t="s">
        <v>4110</v>
      </c>
      <c r="O94" t="s">
        <v>4648</v>
      </c>
      <c r="P94" t="s">
        <v>4112</v>
      </c>
    </row>
    <row r="95">
      <c r="A95" t="s">
        <v>3750</v>
      </c>
      <c r="B95" t="s">
        <v>3728</v>
      </c>
      <c r="C95" t="s">
        <v>3745</v>
      </c>
      <c r="D95" t="s">
        <v>3744</v>
      </c>
      <c r="E95" t="s">
        <v>4644</v>
      </c>
      <c r="F95" t="s">
        <v>4683</v>
      </c>
      <c r="G95" t="s">
        <v>2054</v>
      </c>
      <c r="H95" t="s">
        <v>4568</v>
      </c>
      <c r="I95" t="s">
        <v>3610</v>
      </c>
      <c r="J95" t="s">
        <v>3610</v>
      </c>
      <c r="K95" t="s">
        <v>4684</v>
      </c>
      <c r="L95" t="s">
        <v>4121</v>
      </c>
      <c r="M95" t="s">
        <v>4647</v>
      </c>
      <c r="N95" t="s">
        <v>4110</v>
      </c>
      <c r="O95" t="s">
        <v>4648</v>
      </c>
      <c r="P95" t="s">
        <v>4112</v>
      </c>
    </row>
    <row r="96">
      <c r="A96" t="s">
        <v>3757</v>
      </c>
      <c r="B96" t="s">
        <v>3728</v>
      </c>
      <c r="C96" t="s">
        <v>3752</v>
      </c>
      <c r="D96" t="s">
        <v>3751</v>
      </c>
      <c r="E96" t="s">
        <v>4644</v>
      </c>
      <c r="F96" t="s">
        <v>4685</v>
      </c>
      <c r="G96" t="s">
        <v>2054</v>
      </c>
      <c r="H96" t="s">
        <v>4568</v>
      </c>
      <c r="I96" t="s">
        <v>3610</v>
      </c>
      <c r="J96" t="s">
        <v>3610</v>
      </c>
      <c r="K96" t="s">
        <v>4686</v>
      </c>
      <c r="L96" t="s">
        <v>4121</v>
      </c>
      <c r="M96" t="s">
        <v>4647</v>
      </c>
      <c r="N96" t="s">
        <v>4110</v>
      </c>
      <c r="O96" t="s">
        <v>4648</v>
      </c>
      <c r="P96" t="s">
        <v>4112</v>
      </c>
    </row>
    <row r="97">
      <c r="A97" t="s">
        <v>3764</v>
      </c>
      <c r="B97" t="s">
        <v>3728</v>
      </c>
      <c r="C97" t="s">
        <v>3759</v>
      </c>
      <c r="D97" t="s">
        <v>3758</v>
      </c>
      <c r="E97" t="s">
        <v>4644</v>
      </c>
      <c r="F97" t="s">
        <v>4687</v>
      </c>
      <c r="G97" t="s">
        <v>2054</v>
      </c>
      <c r="H97" t="s">
        <v>4568</v>
      </c>
      <c r="I97" t="s">
        <v>3610</v>
      </c>
      <c r="J97" t="s">
        <v>3610</v>
      </c>
      <c r="K97" t="s">
        <v>4688</v>
      </c>
      <c r="L97" t="s">
        <v>4121</v>
      </c>
      <c r="M97" t="s">
        <v>4647</v>
      </c>
      <c r="N97" t="s">
        <v>4110</v>
      </c>
      <c r="O97" t="s">
        <v>4648</v>
      </c>
      <c r="P97" t="s">
        <v>4112</v>
      </c>
    </row>
    <row r="98">
      <c r="A98" t="s">
        <v>3771</v>
      </c>
      <c r="B98" t="s">
        <v>3728</v>
      </c>
      <c r="C98" t="s">
        <v>3766</v>
      </c>
      <c r="D98" t="s">
        <v>3765</v>
      </c>
      <c r="E98" t="s">
        <v>4644</v>
      </c>
      <c r="F98" t="s">
        <v>4689</v>
      </c>
      <c r="G98" t="s">
        <v>2054</v>
      </c>
      <c r="H98" t="s">
        <v>4568</v>
      </c>
      <c r="I98" t="s">
        <v>3610</v>
      </c>
      <c r="J98" t="s">
        <v>3610</v>
      </c>
      <c r="K98" t="s">
        <v>4690</v>
      </c>
      <c r="L98" t="s">
        <v>4121</v>
      </c>
      <c r="M98" t="s">
        <v>4647</v>
      </c>
      <c r="N98" t="s">
        <v>4110</v>
      </c>
      <c r="O98" t="s">
        <v>4648</v>
      </c>
      <c r="P98" t="s">
        <v>4112</v>
      </c>
    </row>
    <row r="99">
      <c r="A99" t="s">
        <v>3778</v>
      </c>
      <c r="B99" t="s">
        <v>3728</v>
      </c>
      <c r="C99" t="s">
        <v>3773</v>
      </c>
      <c r="D99" t="s">
        <v>3772</v>
      </c>
      <c r="E99" t="s">
        <v>4644</v>
      </c>
      <c r="F99" t="s">
        <v>4691</v>
      </c>
      <c r="G99" t="s">
        <v>2054</v>
      </c>
      <c r="H99" t="s">
        <v>4568</v>
      </c>
      <c r="I99" t="s">
        <v>3610</v>
      </c>
      <c r="J99" t="s">
        <v>3610</v>
      </c>
      <c r="K99" t="s">
        <v>4692</v>
      </c>
      <c r="L99" t="s">
        <v>4121</v>
      </c>
      <c r="M99" t="s">
        <v>4647</v>
      </c>
      <c r="N99" t="s">
        <v>4110</v>
      </c>
      <c r="O99" t="s">
        <v>4648</v>
      </c>
      <c r="P99" t="s">
        <v>4112</v>
      </c>
    </row>
    <row r="100">
      <c r="A100" t="s">
        <v>3789</v>
      </c>
      <c r="B100" t="s">
        <v>3780</v>
      </c>
      <c r="C100" t="s">
        <v>3782</v>
      </c>
      <c r="D100" t="s">
        <v>3779</v>
      </c>
      <c r="E100" t="s">
        <v>4644</v>
      </c>
      <c r="F100" t="s">
        <v>4693</v>
      </c>
      <c r="G100" t="s">
        <v>2055</v>
      </c>
      <c r="H100" t="s">
        <v>4694</v>
      </c>
      <c r="I100" t="s">
        <v>3610</v>
      </c>
      <c r="J100" t="s">
        <v>3610</v>
      </c>
      <c r="K100" t="s">
        <v>4695</v>
      </c>
      <c r="L100" t="s">
        <v>4121</v>
      </c>
      <c r="M100" t="s">
        <v>4647</v>
      </c>
      <c r="N100" t="s">
        <v>4110</v>
      </c>
      <c r="O100" t="s">
        <v>4648</v>
      </c>
      <c r="P100" t="s">
        <v>4112</v>
      </c>
    </row>
    <row r="101">
      <c r="A101" t="s">
        <v>3798</v>
      </c>
      <c r="B101" t="s">
        <v>3780</v>
      </c>
      <c r="C101" t="s">
        <v>3793</v>
      </c>
      <c r="D101" t="s">
        <v>3792</v>
      </c>
      <c r="E101" t="s">
        <v>4644</v>
      </c>
      <c r="F101" t="s">
        <v>4696</v>
      </c>
      <c r="G101" t="s">
        <v>2055</v>
      </c>
      <c r="H101" t="s">
        <v>4694</v>
      </c>
      <c r="I101" t="s">
        <v>3610</v>
      </c>
      <c r="J101" t="s">
        <v>3610</v>
      </c>
      <c r="K101" t="s">
        <v>4697</v>
      </c>
      <c r="L101" t="s">
        <v>4121</v>
      </c>
      <c r="M101" t="s">
        <v>4647</v>
      </c>
      <c r="N101" t="s">
        <v>4110</v>
      </c>
      <c r="O101" t="s">
        <v>4648</v>
      </c>
      <c r="P101" t="s">
        <v>4112</v>
      </c>
    </row>
    <row r="102">
      <c r="A102" t="s">
        <v>3805</v>
      </c>
      <c r="B102" t="s">
        <v>3780</v>
      </c>
      <c r="C102" t="s">
        <v>3800</v>
      </c>
      <c r="D102" t="s">
        <v>3799</v>
      </c>
      <c r="E102" t="s">
        <v>4644</v>
      </c>
      <c r="F102" t="s">
        <v>4698</v>
      </c>
      <c r="G102" t="s">
        <v>2055</v>
      </c>
      <c r="H102" t="s">
        <v>4694</v>
      </c>
      <c r="I102" t="s">
        <v>3610</v>
      </c>
      <c r="J102" t="s">
        <v>3610</v>
      </c>
      <c r="K102" t="s">
        <v>4699</v>
      </c>
      <c r="L102" t="s">
        <v>4121</v>
      </c>
      <c r="M102" t="s">
        <v>4647</v>
      </c>
      <c r="N102" t="s">
        <v>4110</v>
      </c>
      <c r="O102" t="s">
        <v>4648</v>
      </c>
      <c r="P102" t="s">
        <v>4112</v>
      </c>
    </row>
    <row r="103">
      <c r="A103" t="s">
        <v>3812</v>
      </c>
      <c r="B103" t="s">
        <v>3780</v>
      </c>
      <c r="C103" t="s">
        <v>3807</v>
      </c>
      <c r="D103" t="s">
        <v>3806</v>
      </c>
      <c r="E103" t="s">
        <v>4644</v>
      </c>
      <c r="F103" t="s">
        <v>4700</v>
      </c>
      <c r="G103" t="s">
        <v>2055</v>
      </c>
      <c r="H103" t="s">
        <v>4694</v>
      </c>
      <c r="I103" t="s">
        <v>3610</v>
      </c>
      <c r="J103" t="s">
        <v>3610</v>
      </c>
      <c r="K103" t="s">
        <v>4701</v>
      </c>
      <c r="L103" t="s">
        <v>4121</v>
      </c>
      <c r="M103" t="s">
        <v>4647</v>
      </c>
      <c r="N103" t="s">
        <v>4110</v>
      </c>
      <c r="O103" t="s">
        <v>4648</v>
      </c>
      <c r="P103" t="s">
        <v>4112</v>
      </c>
    </row>
    <row r="104">
      <c r="A104" t="s">
        <v>3819</v>
      </c>
      <c r="B104" t="s">
        <v>3780</v>
      </c>
      <c r="C104" t="s">
        <v>3814</v>
      </c>
      <c r="D104" t="s">
        <v>3813</v>
      </c>
      <c r="E104" t="s">
        <v>4644</v>
      </c>
      <c r="F104" t="s">
        <v>4702</v>
      </c>
      <c r="G104" t="s">
        <v>2055</v>
      </c>
      <c r="H104" t="s">
        <v>4694</v>
      </c>
      <c r="I104" t="s">
        <v>3610</v>
      </c>
      <c r="J104" t="s">
        <v>3610</v>
      </c>
      <c r="K104" t="s">
        <v>4703</v>
      </c>
      <c r="L104" t="s">
        <v>4121</v>
      </c>
      <c r="M104" t="s">
        <v>4647</v>
      </c>
      <c r="N104" t="s">
        <v>4110</v>
      </c>
      <c r="O104" t="s">
        <v>4648</v>
      </c>
      <c r="P104" t="s">
        <v>4112</v>
      </c>
    </row>
    <row r="105">
      <c r="A105" t="s">
        <v>3826</v>
      </c>
      <c r="B105" t="s">
        <v>3780</v>
      </c>
      <c r="C105" t="s">
        <v>3821</v>
      </c>
      <c r="D105" t="s">
        <v>3820</v>
      </c>
      <c r="E105" t="s">
        <v>4644</v>
      </c>
      <c r="F105" t="s">
        <v>4704</v>
      </c>
      <c r="G105" t="s">
        <v>2055</v>
      </c>
      <c r="H105" t="s">
        <v>4694</v>
      </c>
      <c r="I105" t="s">
        <v>3610</v>
      </c>
      <c r="J105" t="s">
        <v>3610</v>
      </c>
      <c r="K105" t="s">
        <v>4705</v>
      </c>
      <c r="L105" t="s">
        <v>4121</v>
      </c>
      <c r="M105" t="s">
        <v>4647</v>
      </c>
      <c r="N105" t="s">
        <v>4110</v>
      </c>
      <c r="O105" t="s">
        <v>4648</v>
      </c>
      <c r="P105" t="s">
        <v>4112</v>
      </c>
    </row>
    <row r="106">
      <c r="A106" t="s">
        <v>3836</v>
      </c>
      <c r="B106" t="s">
        <v>3828</v>
      </c>
      <c r="C106" t="s">
        <v>3830</v>
      </c>
      <c r="D106" t="s">
        <v>3827</v>
      </c>
      <c r="E106" t="s">
        <v>4644</v>
      </c>
      <c r="F106" t="s">
        <v>4706</v>
      </c>
      <c r="G106" t="s">
        <v>2056</v>
      </c>
      <c r="H106" t="s">
        <v>4568</v>
      </c>
      <c r="I106" t="s">
        <v>3610</v>
      </c>
      <c r="J106" t="s">
        <v>3610</v>
      </c>
      <c r="K106" t="s">
        <v>4707</v>
      </c>
      <c r="L106" t="s">
        <v>4121</v>
      </c>
      <c r="M106" t="s">
        <v>4647</v>
      </c>
      <c r="N106" t="s">
        <v>4110</v>
      </c>
      <c r="O106" t="s">
        <v>4648</v>
      </c>
      <c r="P106" t="s">
        <v>4112</v>
      </c>
    </row>
    <row r="107">
      <c r="A107" t="s">
        <v>3843</v>
      </c>
      <c r="B107" t="s">
        <v>3828</v>
      </c>
      <c r="C107" t="s">
        <v>3838</v>
      </c>
      <c r="D107" t="s">
        <v>3837</v>
      </c>
      <c r="E107" t="s">
        <v>4644</v>
      </c>
      <c r="F107" t="s">
        <v>4708</v>
      </c>
      <c r="G107" t="s">
        <v>2056</v>
      </c>
      <c r="H107" t="s">
        <v>4568</v>
      </c>
      <c r="I107" t="s">
        <v>3610</v>
      </c>
      <c r="J107" t="s">
        <v>3610</v>
      </c>
      <c r="K107" t="s">
        <v>4709</v>
      </c>
      <c r="L107" t="s">
        <v>4121</v>
      </c>
      <c r="M107" t="s">
        <v>4647</v>
      </c>
      <c r="N107" t="s">
        <v>4110</v>
      </c>
      <c r="O107" t="s">
        <v>4648</v>
      </c>
      <c r="P107" t="s">
        <v>4112</v>
      </c>
    </row>
    <row r="108" ht="40" customHeight="1">
      <c r="A108" s="74" t="str">
        <v>Enterprise Strategy</v>
      </c>
      <c r="B108" s="74" t="str">
        <v>Enterprise Strategy</v>
      </c>
      <c r="C108" s="74" t="s">
        <v>7291</v>
      </c>
      <c r="D108" s="74" t="s">
        <v>7286</v>
      </c>
      <c r="E108" s="74" t="str">
        <v>Management &amp; Governance canonical</v>
      </c>
      <c r="F108" s="74" t="str">
        <v>EnterpriseStrategyID</v>
      </c>
      <c r="G108" s="74" t="str">
        <v>MG-STRATEGY-BUNDLE</v>
      </c>
      <c r="H108" s="74" t="str">
        <v>Internal / Confidential</v>
      </c>
      <c r="I108" s="74" t="str">
        <v>Strategy Office</v>
      </c>
      <c r="J108" s="74" t="str">
        <v>Management Governance Ops</v>
      </c>
      <c r="K108" s="74" t="str">
        <v>Authoritative enterprise strategy framework and publication owner.</v>
      </c>
      <c r="L108" s="74" t="str">
        <v>D8</v>
      </c>
      <c r="M108" s="74" t="str">
        <v>MOD-0001; MOD-0002; MOD-0003; MOD-0018; MOD-0021; MOD-0040</v>
      </c>
      <c r="N108" s="74" t="str">
        <v>D0, D1</v>
      </c>
      <c r="O108" s="74" t="str">
        <v>MOD-0032; MOD-0035; MOD-0037</v>
      </c>
      <c r="P108" s="74" t="str">
        <v>D1</v>
      </c>
    </row>
    <row r="109" ht="40" customHeight="1">
      <c r="A109" s="74" t="str">
        <v>Strategy Planning Cycle</v>
      </c>
      <c r="B109" s="74" t="str">
        <v>Enterprise Strategy</v>
      </c>
      <c r="C109" s="74" t="s">
        <v>7291</v>
      </c>
      <c r="D109" s="74" t="s">
        <v>7286</v>
      </c>
      <c r="E109" s="74" t="str">
        <v>Management &amp; Governance canonical</v>
      </c>
      <c r="F109" s="74" t="str">
        <v>StrategyPlanningCycleID</v>
      </c>
      <c r="G109" s="74" t="str">
        <v>MG-STRATEGY-BUNDLE</v>
      </c>
      <c r="H109" s="74" t="str">
        <v>Internal</v>
      </c>
      <c r="I109" s="74" t="str">
        <v>Strategy Office</v>
      </c>
      <c r="J109" s="74" t="str">
        <v>Management Governance Ops</v>
      </c>
      <c r="K109" s="74" t="str">
        <v>Defines governed planning and review windows.</v>
      </c>
      <c r="L109" s="74" t="str">
        <v>D8</v>
      </c>
      <c r="M109" s="74" t="str">
        <v>MOD-0001; MOD-0002; MOD-0003; MOD-0018; MOD-0021; MOD-0040</v>
      </c>
      <c r="N109" s="74" t="str">
        <v>D0, D1</v>
      </c>
      <c r="O109" s="74" t="str">
        <v>MOD-0032; MOD-0035; MOD-0037</v>
      </c>
      <c r="P109" s="74" t="str">
        <v>D1</v>
      </c>
    </row>
    <row r="110" ht="40" customHeight="1">
      <c r="A110" s="74" t="str">
        <v>Strategy Version</v>
      </c>
      <c r="B110" s="74" t="str">
        <v>Enterprise Strategy</v>
      </c>
      <c r="C110" s="74" t="s">
        <v>7291</v>
      </c>
      <c r="D110" s="74" t="s">
        <v>7286</v>
      </c>
      <c r="E110" s="74" t="str">
        <v>Management &amp; Governance canonical</v>
      </c>
      <c r="F110" s="74" t="str">
        <v>StrategyVersionID</v>
      </c>
      <c r="G110" s="74" t="str">
        <v>MG-STRATEGY-BUNDLE</v>
      </c>
      <c r="H110" s="74" t="str">
        <v>Internal / Confidential</v>
      </c>
      <c r="I110" s="74" t="str">
        <v>Strategy Office</v>
      </c>
      <c r="J110" s="74" t="str">
        <v>Management Governance Ops</v>
      </c>
      <c r="K110" s="74" t="str">
        <v>Immutable published strategy version; metric/project references remain external.</v>
      </c>
      <c r="L110" s="74" t="str">
        <v>D8</v>
      </c>
      <c r="M110" s="74" t="str">
        <v>MOD-0001; MOD-0002; MOD-0003; MOD-0018; MOD-0021; MOD-0040</v>
      </c>
      <c r="N110" s="74" t="str">
        <v>D0, D1</v>
      </c>
      <c r="O110" s="74" t="str">
        <v>MOD-0032; MOD-0035; MOD-0037</v>
      </c>
      <c r="P110" s="74" t="str">
        <v>D1</v>
      </c>
    </row>
    <row r="111" ht="40" customHeight="1">
      <c r="A111" s="74" t="str">
        <v>Strategic Goal</v>
      </c>
      <c r="B111" s="74" t="str">
        <v>Strategy Execution</v>
      </c>
      <c r="C111" s="74" t="s">
        <v>7291</v>
      </c>
      <c r="D111" s="74" t="s">
        <v>7286</v>
      </c>
      <c r="E111" s="74" t="str">
        <v>Management &amp; Governance canonical</v>
      </c>
      <c r="F111" s="74" t="str">
        <v>StrategicGoalID</v>
      </c>
      <c r="G111" s="74" t="str">
        <v>MG-STRATEGY-BUNDLE</v>
      </c>
      <c r="H111" s="74" t="str">
        <v>Internal</v>
      </c>
      <c r="I111" s="74" t="str">
        <v>Strategy Office</v>
      </c>
      <c r="J111" s="74" t="str">
        <v>Management Governance Ops</v>
      </c>
      <c r="K111" s="74" t="str">
        <v>Goal SoR; does not become a PPM project or generic task.</v>
      </c>
      <c r="L111" s="74" t="str">
        <v>D8</v>
      </c>
      <c r="M111" s="74" t="str">
        <v>MOD-0001; MOD-0002; MOD-0003; MOD-0018; MOD-0021; MOD-0040</v>
      </c>
      <c r="N111" s="74" t="str">
        <v>D0, D1</v>
      </c>
      <c r="O111" s="74" t="str">
        <v>MOD-0032; MOD-0035; MOD-0037</v>
      </c>
      <c r="P111" s="74" t="str">
        <v>D1</v>
      </c>
    </row>
    <row r="112" ht="40" customHeight="1">
      <c r="A112" s="74" t="str">
        <v>Strategic Objective</v>
      </c>
      <c r="B112" s="74" t="str">
        <v>Strategy Execution</v>
      </c>
      <c r="C112" s="74" t="s">
        <v>7291</v>
      </c>
      <c r="D112" s="74" t="s">
        <v>7286</v>
      </c>
      <c r="E112" s="74" t="str">
        <v>Management &amp; Governance canonical</v>
      </c>
      <c r="F112" s="74" t="str">
        <v>StrategicObjectiveID</v>
      </c>
      <c r="G112" s="74" t="str">
        <v>MG-STRATEGY-BUNDLE</v>
      </c>
      <c r="H112" s="74" t="str">
        <v>Internal</v>
      </c>
      <c r="I112" s="74" t="str">
        <v>Strategy Office</v>
      </c>
      <c r="J112" s="74" t="str">
        <v>Management Governance Ops</v>
      </c>
      <c r="K112" s="74" t="str">
        <v>Objective SoR with governed horizon, owner and alignment.</v>
      </c>
      <c r="L112" s="74" t="str">
        <v>D8</v>
      </c>
      <c r="M112" s="74" t="str">
        <v>MOD-0001; MOD-0002; MOD-0003; MOD-0018; MOD-0021; MOD-0040</v>
      </c>
      <c r="N112" s="74" t="str">
        <v>D0, D1</v>
      </c>
      <c r="O112" s="74" t="str">
        <v>MOD-0032; MOD-0035; MOD-0037</v>
      </c>
      <c r="P112" s="74" t="str">
        <v>D1</v>
      </c>
    </row>
    <row r="113" ht="40" customHeight="1">
      <c r="A113" s="74" t="str">
        <v>Target Plan</v>
      </c>
      <c r="B113" s="74" t="str">
        <v>Strategy Performance</v>
      </c>
      <c r="C113" s="74" t="s">
        <v>7291</v>
      </c>
      <c r="D113" s="74" t="s">
        <v>7286</v>
      </c>
      <c r="E113" s="74" t="str">
        <v>Management &amp; Governance canonical</v>
      </c>
      <c r="F113" s="74" t="str">
        <v>TargetPlanID</v>
      </c>
      <c r="G113" s="74" t="str">
        <v>MG-STRATEGY-BUNDLE;SEMANTIC-BUNDLE</v>
      </c>
      <c r="H113" s="74" t="str">
        <v>Internal / Confidential</v>
      </c>
      <c r="I113" s="74" t="str">
        <v>Strategy Office</v>
      </c>
      <c r="J113" s="74" t="str">
        <v>Management Governance Ops</v>
      </c>
      <c r="K113" s="74" t="str">
        <v>Owns strategy target values/periods; metric definition stays in semantic registry.</v>
      </c>
      <c r="L113" s="74" t="str">
        <v>D8</v>
      </c>
      <c r="M113" s="74" t="str">
        <v>MOD-0001; MOD-0002; MOD-0003; MOD-0018; MOD-0021; MOD-0040</v>
      </c>
      <c r="N113" s="74" t="str">
        <v>D0, D1</v>
      </c>
      <c r="O113" s="74" t="str">
        <v>MOD-0032; MOD-0035; MOD-0037</v>
      </c>
      <c r="P113" s="74" t="str">
        <v>D1</v>
      </c>
    </row>
    <row r="114" ht="40" customHeight="1">
      <c r="A114" s="74" t="str">
        <v>Strategy Alignment Link</v>
      </c>
      <c r="B114" s="74" t="str">
        <v>Strategy Execution</v>
      </c>
      <c r="C114" s="74" t="s">
        <v>7291</v>
      </c>
      <c r="D114" s="74" t="s">
        <v>7286</v>
      </c>
      <c r="E114" s="74" t="str">
        <v>Management &amp; Governance canonical</v>
      </c>
      <c r="F114" s="74" t="str">
        <v>StrategyAlignmentLinkID</v>
      </c>
      <c r="G114" s="74" t="str">
        <v>MG-STRATEGY-BUNDLE;APP-PPM-BUNDLE</v>
      </c>
      <c r="H114" s="74" t="str">
        <v>Internal</v>
      </c>
      <c r="I114" s="74" t="str">
        <v>Strategy Office</v>
      </c>
      <c r="J114" s="74" t="str">
        <v>Management Governance Ops</v>
      </c>
      <c r="K114" s="74" t="str">
        <v>Authoritative alignment/contribution relationship; linked initiative/project remains MOD-0117-owned.</v>
      </c>
      <c r="L114" s="74" t="str">
        <v>D8</v>
      </c>
      <c r="M114" s="74" t="str">
        <v>MOD-0001; MOD-0002; MOD-0003; MOD-0018; MOD-0021; MOD-0040</v>
      </c>
      <c r="N114" s="74" t="str">
        <v>D0, D1</v>
      </c>
      <c r="O114" s="74" t="str">
        <v>MOD-0032; MOD-0035; MOD-0037</v>
      </c>
      <c r="P114" s="74" t="str">
        <v>D1</v>
      </c>
    </row>
    <row r="115" ht="40" customHeight="1">
      <c r="A115" s="74" t="str">
        <v>Work Structure</v>
      </c>
      <c r="B115" s="74" t="str">
        <v>Work Structuring</v>
      </c>
      <c r="C115" s="74" t="s">
        <v>7311</v>
      </c>
      <c r="D115" s="74" t="s">
        <v>7308</v>
      </c>
      <c r="E115" s="74" t="str">
        <v>Management &amp; Governance canonical</v>
      </c>
      <c r="F115" s="74" t="str">
        <v>StructureInstanceID</v>
      </c>
      <c r="G115" s="74" t="str">
        <v>DWS-BUNDLE</v>
      </c>
      <c r="H115" s="74" t="str">
        <v>Internal / Confidential</v>
      </c>
      <c r="I115" s="74" t="str">
        <v>Delivery Management</v>
      </c>
      <c r="J115" s="74" t="str">
        <v>Management Governance Ops</v>
      </c>
      <c r="K115" s="74" t="str">
        <v>Generic structural instance bound to a consumer business object.</v>
      </c>
      <c r="L115" s="74" t="str">
        <v>D8</v>
      </c>
      <c r="M115" s="74" t="str">
        <v>MOD-0001; MOD-0002; MOD-0003; MOD-0018; MOD-0021; MOD-0040</v>
      </c>
      <c r="N115" s="74" t="str">
        <v>D0, D1</v>
      </c>
      <c r="O115" s="74" t="str">
        <v>MOD-0032; MOD-0035; MOD-0037</v>
      </c>
      <c r="P115" s="74" t="str">
        <v>D1</v>
      </c>
    </row>
    <row r="116" ht="40" customHeight="1">
      <c r="A116" s="74" t="str">
        <v>Structure Node</v>
      </c>
      <c r="B116" s="74" t="str">
        <v>Work Structuring</v>
      </c>
      <c r="C116" s="74" t="s">
        <v>7311</v>
      </c>
      <c r="D116" s="74" t="s">
        <v>7308</v>
      </c>
      <c r="E116" s="74" t="str">
        <v>Management &amp; Governance canonical</v>
      </c>
      <c r="F116" s="74" t="str">
        <v>StructureNodeID</v>
      </c>
      <c r="G116" s="74" t="str">
        <v>DWS-BUNDLE</v>
      </c>
      <c r="H116" s="74" t="str">
        <v>Internal / Confidential</v>
      </c>
      <c r="I116" s="74" t="str">
        <v>Delivery Management</v>
      </c>
      <c r="J116" s="74" t="str">
        <v>Management Governance Ops</v>
      </c>
      <c r="K116" s="74" t="str">
        <v>Owns hierarchy mechanics only; executable task lifecycle stays in MOD-0024.</v>
      </c>
      <c r="L116" s="74" t="str">
        <v>D8</v>
      </c>
      <c r="M116" s="74" t="str">
        <v>MOD-0001; MOD-0002; MOD-0003; MOD-0018; MOD-0021; MOD-0040</v>
      </c>
      <c r="N116" s="74" t="str">
        <v>D0, D1</v>
      </c>
      <c r="O116" s="74" t="str">
        <v>MOD-0032; MOD-0035; MOD-0037</v>
      </c>
      <c r="P116" s="74" t="str">
        <v>D1</v>
      </c>
    </row>
    <row r="117" ht="40" customHeight="1">
      <c r="A117" s="74" t="str">
        <v>Structural Dependency</v>
      </c>
      <c r="B117" s="74" t="str">
        <v>Work Structuring</v>
      </c>
      <c r="C117" s="74" t="s">
        <v>7311</v>
      </c>
      <c r="D117" s="74" t="s">
        <v>7308</v>
      </c>
      <c r="E117" s="74" t="str">
        <v>Management &amp; Governance canonical</v>
      </c>
      <c r="F117" s="74" t="str">
        <v>StructuralDependencyID</v>
      </c>
      <c r="G117" s="74" t="str">
        <v>DWS-BUNDLE</v>
      </c>
      <c r="H117" s="74" t="str">
        <v>Internal</v>
      </c>
      <c r="I117" s="74" t="str">
        <v>Delivery Management</v>
      </c>
      <c r="J117" s="74" t="str">
        <v>Management Governance Ops</v>
      </c>
      <c r="K117" s="74" t="str">
        <v>Dependency/cycle/lag record for structure nodes.</v>
      </c>
      <c r="L117" s="74" t="str">
        <v>D8</v>
      </c>
      <c r="M117" s="74" t="str">
        <v>MOD-0001; MOD-0002; MOD-0003; MOD-0018; MOD-0021; MOD-0040</v>
      </c>
      <c r="N117" s="74" t="str">
        <v>D0, D1</v>
      </c>
      <c r="O117" s="74" t="str">
        <v>MOD-0032; MOD-0035; MOD-0037</v>
      </c>
      <c r="P117" s="74" t="str">
        <v>D1</v>
      </c>
    </row>
    <row r="118" ht="40" customHeight="1">
      <c r="A118" s="74" t="str">
        <v>Baseline Snapshot</v>
      </c>
      <c r="B118" s="74" t="str">
        <v>Work Structuring</v>
      </c>
      <c r="C118" s="74" t="s">
        <v>7311</v>
      </c>
      <c r="D118" s="74" t="s">
        <v>7308</v>
      </c>
      <c r="E118" s="74" t="str">
        <v>Management &amp; Governance canonical</v>
      </c>
      <c r="F118" s="74" t="str">
        <v>BaselineSnapshotID</v>
      </c>
      <c r="G118" s="74" t="str">
        <v>DWS-BUNDLE</v>
      </c>
      <c r="H118" s="74" t="str">
        <v>Confidential / Immutable</v>
      </c>
      <c r="I118" s="74" t="str">
        <v>Delivery Management</v>
      </c>
      <c r="J118" s="74" t="str">
        <v>Management Governance Ops</v>
      </c>
      <c r="K118" s="74" t="str">
        <v>Immutable structural baseline; restore creates governed candidate.</v>
      </c>
      <c r="L118" s="74" t="str">
        <v>D8</v>
      </c>
      <c r="M118" s="74" t="str">
        <v>MOD-0001; MOD-0002; MOD-0003; MOD-0018; MOD-0021; MOD-0040</v>
      </c>
      <c r="N118" s="74" t="str">
        <v>D0, D1</v>
      </c>
      <c r="O118" s="74" t="str">
        <v>MOD-0032; MOD-0035; MOD-0037</v>
      </c>
      <c r="P118" s="74" t="str">
        <v>D1</v>
      </c>
    </row>
    <row r="119" ht="40" customHeight="1">
      <c r="A119" s="74" t="str">
        <v>Business Process</v>
      </c>
      <c r="B119" s="74" t="str">
        <v>Business Process Management</v>
      </c>
      <c r="C119" s="74" t="s">
        <v>7324</v>
      </c>
      <c r="D119" s="74" t="s">
        <v>7321</v>
      </c>
      <c r="E119" s="74" t="str">
        <v>Management &amp; Governance canonical</v>
      </c>
      <c r="F119" s="74" t="str">
        <v>BusinessProcessID</v>
      </c>
      <c r="G119" s="74" t="str">
        <v>BPM-MODEL-BUNDLE</v>
      </c>
      <c r="H119" s="74" t="str">
        <v>Internal</v>
      </c>
      <c r="I119" s="74" t="str">
        <v>Process Office</v>
      </c>
      <c r="J119" s="74" t="str">
        <v>Process Governance Ops</v>
      </c>
      <c r="K119" s="74" t="str">
        <v>Authoritative process identity, ownership and lifecycle.</v>
      </c>
      <c r="L119" s="74" t="str">
        <v>D8</v>
      </c>
      <c r="M119" s="74" t="str">
        <v>MOD-0001; MOD-0002; MOD-0003; MOD-0018; MOD-0021; MOD-0040</v>
      </c>
      <c r="N119" s="74" t="str">
        <v>D0, D1</v>
      </c>
      <c r="O119" s="74" t="str">
        <v>MOD-0032; MOD-0035; MOD-0037</v>
      </c>
      <c r="P119" s="74" t="str">
        <v>D1</v>
      </c>
    </row>
    <row r="120" ht="40" customHeight="1">
      <c r="A120" s="74" t="str">
        <v>Process Model Version</v>
      </c>
      <c r="B120" s="74" t="str">
        <v>Business Process Management</v>
      </c>
      <c r="C120" s="74" t="s">
        <v>7324</v>
      </c>
      <c r="D120" s="74" t="s">
        <v>7321</v>
      </c>
      <c r="E120" s="74" t="str">
        <v>Management &amp; Governance canonical</v>
      </c>
      <c r="F120" s="74" t="str">
        <v>ProcessModelVersionID</v>
      </c>
      <c r="G120" s="74" t="str">
        <v>BPM-MODEL-BUNDLE;DWS-BUNDLE</v>
      </c>
      <c r="H120" s="74" t="str">
        <v>Internal / Confidential</v>
      </c>
      <c r="I120" s="74" t="str">
        <v>Process Office</v>
      </c>
      <c r="J120" s="74" t="str">
        <v>Process Governance Ops</v>
      </c>
      <c r="K120" s="74" t="str">
        <v>Immutable published process-model version.</v>
      </c>
      <c r="L120" s="74" t="str">
        <v>D8</v>
      </c>
      <c r="M120" s="74" t="str">
        <v>MOD-0001; MOD-0002; MOD-0003; MOD-0018; MOD-0021; MOD-0040</v>
      </c>
      <c r="N120" s="74" t="str">
        <v>D0, D1</v>
      </c>
      <c r="O120" s="74" t="str">
        <v>MOD-0032; MOD-0035; MOD-0037</v>
      </c>
      <c r="P120" s="74" t="str">
        <v>D1</v>
      </c>
    </row>
    <row r="121" ht="40" customHeight="1">
      <c r="A121" s="74" t="str">
        <v>Process Activity</v>
      </c>
      <c r="B121" s="74" t="str">
        <v>Business Process Management</v>
      </c>
      <c r="C121" s="74" t="s">
        <v>7324</v>
      </c>
      <c r="D121" s="74" t="s">
        <v>7321</v>
      </c>
      <c r="E121" s="74" t="str">
        <v>Management &amp; Governance canonical</v>
      </c>
      <c r="F121" s="74" t="str">
        <v>ProcessActivityID</v>
      </c>
      <c r="G121" s="74" t="str">
        <v>BPM-MODEL-BUNDLE</v>
      </c>
      <c r="H121" s="74" t="str">
        <v>Internal</v>
      </c>
      <c r="I121" s="74" t="str">
        <v>Process Office</v>
      </c>
      <c r="J121" s="74" t="str">
        <v>Process Governance Ops</v>
      </c>
      <c r="K121" s="74" t="str">
        <v>Activity semantics; workflow task/run remains external.</v>
      </c>
      <c r="L121" s="74" t="str">
        <v>D8</v>
      </c>
      <c r="M121" s="74" t="str">
        <v>MOD-0001; MOD-0002; MOD-0003; MOD-0018; MOD-0021; MOD-0040</v>
      </c>
      <c r="N121" s="74" t="str">
        <v>D0, D1</v>
      </c>
      <c r="O121" s="74" t="str">
        <v>MOD-0032; MOD-0035; MOD-0037</v>
      </c>
      <c r="P121" s="74" t="str">
        <v>D1</v>
      </c>
    </row>
    <row r="122" ht="40" customHeight="1">
      <c r="A122" s="74" t="str">
        <v>Process Control Point</v>
      </c>
      <c r="B122" s="74" t="str">
        <v>Business Process Management</v>
      </c>
      <c r="C122" s="74" t="s">
        <v>7324</v>
      </c>
      <c r="D122" s="74" t="s">
        <v>7321</v>
      </c>
      <c r="E122" s="74" t="str">
        <v>Management &amp; Governance canonical</v>
      </c>
      <c r="F122" s="74" t="str">
        <v>ProcessControlPointID</v>
      </c>
      <c r="G122" s="74" t="str">
        <v>BPM-MODEL-BUNDLE;CONTROLLED-DOC-BUNDLE</v>
      </c>
      <c r="H122" s="74" t="str">
        <v>Internal / Compliance</v>
      </c>
      <c r="I122" s="74" t="str">
        <v>Process Office</v>
      </c>
      <c r="J122" s="74" t="str">
        <v>Process Governance Ops</v>
      </c>
      <c r="K122" s="74" t="str">
        <v>Control point definition linked to controls, procedures and evidence.</v>
      </c>
      <c r="L122" s="74" t="str">
        <v>D8</v>
      </c>
      <c r="M122" s="74" t="str">
        <v>MOD-0001; MOD-0002; MOD-0003; MOD-0018; MOD-0021; MOD-0040</v>
      </c>
      <c r="N122" s="74" t="str">
        <v>D0, D1</v>
      </c>
      <c r="O122" s="74" t="str">
        <v>MOD-0032; MOD-0035; MOD-0037</v>
      </c>
      <c r="P122" s="74" t="str">
        <v>D1</v>
      </c>
    </row>
    <row r="123" ht="40" customHeight="1">
      <c r="A123" s="74" t="s">
        <v>7372</v>
      </c>
      <c r="B123" s="74" t="s">
        <v>7373</v>
      </c>
      <c r="C123" s="74" t="s">
        <v>7324</v>
      </c>
      <c r="D123" s="74" t="s">
        <v>7321</v>
      </c>
      <c r="E123" s="74" t="str">
        <v>Management &amp; Governance canonical</v>
      </c>
      <c r="F123" s="74" t="s">
        <v>7374</v>
      </c>
      <c r="G123" s="74" t="s">
        <v>7375</v>
      </c>
      <c r="H123" s="74" t="str">
        <v>Internal / Analytics</v>
      </c>
      <c r="I123" s="74" t="str">
        <v>Process Office</v>
      </c>
      <c r="J123" s="74" t="str">
        <v>Process Governance Ops</v>
      </c>
      <c r="K123" s="74" t="s">
        <v>7376</v>
      </c>
      <c r="L123" s="74" t="str">
        <v>D8</v>
      </c>
      <c r="M123" s="74" t="str">
        <v>MOD-0001; MOD-0002; MOD-0003; MOD-0018; MOD-0021; MOD-0040</v>
      </c>
      <c r="N123" s="74" t="str">
        <v>D0, D1</v>
      </c>
      <c r="O123" s="74" t="str">
        <v>MOD-0032; MOD-0035; MOD-0037</v>
      </c>
      <c r="P123" s="74" t="str">
        <v>D1</v>
      </c>
    </row>
    <row r="124" ht="40" customHeight="1">
      <c r="A124" s="74" t="str">
        <v>Process Improvement Opportunity</v>
      </c>
      <c r="B124" s="74" t="str">
        <v>Process Improvement</v>
      </c>
      <c r="C124" s="74" t="s">
        <v>7324</v>
      </c>
      <c r="D124" s="74" t="s">
        <v>7321</v>
      </c>
      <c r="E124" s="74" t="str">
        <v>Management &amp; Governance canonical</v>
      </c>
      <c r="F124" s="74" t="str">
        <v>ProcessImprovementOpportunityID</v>
      </c>
      <c r="G124" s="74" t="s">
        <v>7377</v>
      </c>
      <c r="H124" s="74" t="str">
        <v>Internal</v>
      </c>
      <c r="I124" s="74" t="str">
        <v>Process Office</v>
      </c>
      <c r="J124" s="74" t="str">
        <v>Process Governance Ops</v>
      </c>
      <c r="K124" s="74" t="s">
        <v>7378</v>
      </c>
      <c r="L124" s="74" t="str">
        <v>D8</v>
      </c>
      <c r="M124" s="74" t="str">
        <v>MOD-0001; MOD-0002; MOD-0003; MOD-0018; MOD-0021; MOD-0040</v>
      </c>
      <c r="N124" s="74" t="str">
        <v>D0, D1</v>
      </c>
      <c r="O124" s="74" t="str">
        <v>MOD-0032; MOD-0035; MOD-0037</v>
      </c>
      <c r="P124" s="74" t="str">
        <v>D1</v>
      </c>
    </row>
    <row r="125" ht="40" customHeight="1">
      <c r="A125" s="74" t="str">
        <v>Process Improvement Outcome</v>
      </c>
      <c r="B125" s="74" t="str">
        <v>Process Improvement</v>
      </c>
      <c r="C125" s="74" t="s">
        <v>7324</v>
      </c>
      <c r="D125" s="74" t="s">
        <v>7321</v>
      </c>
      <c r="E125" s="74" t="str">
        <v>Management &amp; Governance canonical</v>
      </c>
      <c r="F125" s="74" t="str">
        <v>ProcessImprovementOutcomeID</v>
      </c>
      <c r="G125" s="74" t="s">
        <v>7377</v>
      </c>
      <c r="H125" s="74" t="str">
        <v>Internal / Analytics</v>
      </c>
      <c r="I125" s="74" t="str">
        <v>Process Office</v>
      </c>
      <c r="J125" s="74" t="str">
        <v>Process Governance Ops</v>
      </c>
      <c r="K125" s="74" t="s">
        <v>7379</v>
      </c>
      <c r="L125" s="74" t="str">
        <v>D8</v>
      </c>
      <c r="M125" s="74" t="str">
        <v>MOD-0001; MOD-0002; MOD-0003; MOD-0018; MOD-0021; MOD-0040</v>
      </c>
      <c r="N125" s="74" t="str">
        <v>D0, D1</v>
      </c>
      <c r="O125" s="74" t="str">
        <v>MOD-0032; MOD-0035; MOD-0037</v>
      </c>
      <c r="P125" s="74" t="str">
        <v>D1</v>
      </c>
    </row>
    <row r="126" ht="40" customHeight="1">
      <c r="A126" s="74" t="str">
        <v>Management Review Cycle</v>
      </c>
      <c r="B126" s="74" t="str">
        <v>Management Cadence</v>
      </c>
      <c r="C126" s="74" t="s">
        <v>7337</v>
      </c>
      <c r="D126" s="74" t="s">
        <v>7334</v>
      </c>
      <c r="E126" s="74" t="str">
        <v>Management &amp; Governance canonical</v>
      </c>
      <c r="F126" s="74" t="str">
        <v>ManagementReviewCycleID</v>
      </c>
      <c r="G126" s="74" t="str">
        <v>REVIEW-CADENCE-BUNDLE</v>
      </c>
      <c r="H126" s="74" t="str">
        <v>Internal</v>
      </c>
      <c r="I126" s="74" t="str">
        <v>Corporate Governance</v>
      </c>
      <c r="J126" s="74" t="str">
        <v>Management Governance Ops</v>
      </c>
      <c r="K126" s="74" t="str">
        <v>Recurring management-review definition; scheduling mechanics stay in MOD-0026.</v>
      </c>
      <c r="L126" s="74" t="str">
        <v>D8</v>
      </c>
      <c r="M126" s="74" t="str">
        <v>MOD-0001; MOD-0002; MOD-0003; MOD-0018; MOD-0021; MOD-0040</v>
      </c>
      <c r="N126" s="74" t="str">
        <v>D0, D1</v>
      </c>
      <c r="O126" s="74" t="str">
        <v>MOD-0032; MOD-0035; MOD-0037</v>
      </c>
      <c r="P126" s="74" t="str">
        <v>D1</v>
      </c>
    </row>
    <row r="127" ht="40" customHeight="1">
      <c r="A127" s="74" t="str">
        <v>Review Instance</v>
      </c>
      <c r="B127" s="74" t="str">
        <v>Management Cadence</v>
      </c>
      <c r="C127" s="74" t="s">
        <v>7337</v>
      </c>
      <c r="D127" s="74" t="s">
        <v>7334</v>
      </c>
      <c r="E127" s="74" t="str">
        <v>Management &amp; Governance canonical</v>
      </c>
      <c r="F127" s="74" t="str">
        <v>ReviewInstanceID</v>
      </c>
      <c r="G127" s="74" t="str">
        <v>REVIEW-CADENCE-BUNDLE</v>
      </c>
      <c r="H127" s="74" t="str">
        <v>Internal / Confidential</v>
      </c>
      <c r="I127" s="74" t="str">
        <v>Corporate Governance</v>
      </c>
      <c r="J127" s="74" t="str">
        <v>Management Governance Ops</v>
      </c>
      <c r="K127" s="74" t="str">
        <v>Specific scheduled review with agenda, attendance and outcomes.</v>
      </c>
      <c r="L127" s="74" t="str">
        <v>D8</v>
      </c>
      <c r="M127" s="74" t="str">
        <v>MOD-0001; MOD-0002; MOD-0003; MOD-0018; MOD-0021; MOD-0040</v>
      </c>
      <c r="N127" s="74" t="str">
        <v>D0, D1</v>
      </c>
      <c r="O127" s="74" t="str">
        <v>MOD-0032; MOD-0035; MOD-0037</v>
      </c>
      <c r="P127" s="74" t="str">
        <v>D1</v>
      </c>
    </row>
    <row r="128" ht="40" customHeight="1">
      <c r="A128" s="74" t="str">
        <v>Review Pack</v>
      </c>
      <c r="B128" s="74" t="str">
        <v>Management Cadence</v>
      </c>
      <c r="C128" s="74" t="s">
        <v>7337</v>
      </c>
      <c r="D128" s="74" t="s">
        <v>7334</v>
      </c>
      <c r="E128" s="74" t="str">
        <v>Management &amp; Governance canonical</v>
      </c>
      <c r="F128" s="74" t="str">
        <v>ReviewPackID</v>
      </c>
      <c r="G128" s="74" t="str">
        <v>REVIEW-CADENCE-BUNDLE;EVIDENCE-LINK</v>
      </c>
      <c r="H128" s="74" t="str">
        <v>Confidential</v>
      </c>
      <c r="I128" s="74" t="str">
        <v>Corporate Governance</v>
      </c>
      <c r="J128" s="74" t="str">
        <v>Management Governance Ops</v>
      </c>
      <c r="K128" s="74" t="str">
        <v>Governed pack referencing reports/evidence; source artifacts remain external.</v>
      </c>
      <c r="L128" s="74" t="str">
        <v>D8</v>
      </c>
      <c r="M128" s="74" t="str">
        <v>MOD-0001; MOD-0002; MOD-0003; MOD-0018; MOD-0021; MOD-0040</v>
      </c>
      <c r="N128" s="74" t="str">
        <v>D0, D1</v>
      </c>
      <c r="O128" s="74" t="str">
        <v>MOD-0032; MOD-0035; MOD-0037</v>
      </c>
      <c r="P128" s="74" t="str">
        <v>D1</v>
      </c>
    </row>
    <row r="129" ht="40" customHeight="1">
      <c r="A129" s="74" t="str">
        <v>Review Outcome</v>
      </c>
      <c r="B129" s="74" t="str">
        <v>Management Cadence</v>
      </c>
      <c r="C129" s="74" t="s">
        <v>7337</v>
      </c>
      <c r="D129" s="74" t="s">
        <v>7334</v>
      </c>
      <c r="E129" s="74" t="str">
        <v>Management &amp; Governance canonical</v>
      </c>
      <c r="F129" s="74" t="str">
        <v>ReviewOutcomeID</v>
      </c>
      <c r="G129" s="74" t="str">
        <v>REVIEW-CADENCE-BUNDLE</v>
      </c>
      <c r="H129" s="74" t="str">
        <v>Internal / Confidential</v>
      </c>
      <c r="I129" s="74" t="str">
        <v>Corporate Governance</v>
      </c>
      <c r="J129" s="74" t="str">
        <v>Management Governance Ops</v>
      </c>
      <c r="K129" s="74" t="str">
        <v>Outcome record; authoritative decisions/tasks remain MOD-0007/MOD-0024-owned.</v>
      </c>
      <c r="L129" s="74" t="str">
        <v>D8</v>
      </c>
      <c r="M129" s="74" t="str">
        <v>MOD-0001; MOD-0002; MOD-0003; MOD-0018; MOD-0021; MOD-0040</v>
      </c>
      <c r="N129" s="74" t="str">
        <v>D0, D1</v>
      </c>
      <c r="O129" s="74" t="str">
        <v>MOD-0032; MOD-0035; MOD-0037</v>
      </c>
      <c r="P129" s="74" t="str">
        <v>D1</v>
      </c>
    </row>
    <row r="130" ht="40" customHeight="1">
      <c r="A130" s="74" t="str">
        <v>Authority Policy</v>
      </c>
      <c r="B130" s="74" t="str">
        <v>Authority Governance</v>
      </c>
      <c r="C130" s="74" t="s">
        <v>7349</v>
      </c>
      <c r="D130" s="74" t="s">
        <v>7346</v>
      </c>
      <c r="E130" s="74" t="str">
        <v>Management &amp; Governance canonical</v>
      </c>
      <c r="F130" s="74" t="str">
        <v>AuthorityPolicyID</v>
      </c>
      <c r="G130" s="74" t="str">
        <v>AUTHORITY-BUNDLE</v>
      </c>
      <c r="H130" s="74" t="str">
        <v>Confidential / Governance</v>
      </c>
      <c r="I130" s="74" t="str">
        <v>Corporate Governance</v>
      </c>
      <c r="J130" s="74" t="str">
        <v>Management Governance Ops</v>
      </c>
      <c r="K130" s="74" t="str">
        <v>Authoritative delegated-authority policy.</v>
      </c>
      <c r="L130" s="74" t="str">
        <v>D8</v>
      </c>
      <c r="M130" s="74" t="str">
        <v>MOD-0001; MOD-0002; MOD-0003; MOD-0018; MOD-0021; MOD-0040</v>
      </c>
      <c r="N130" s="74" t="str">
        <v>D0, D1</v>
      </c>
      <c r="O130" s="74" t="str">
        <v>MOD-0032; MOD-0035; MOD-0037</v>
      </c>
      <c r="P130" s="74" t="str">
        <v>D1</v>
      </c>
    </row>
    <row r="131" ht="40" customHeight="1">
      <c r="A131" s="74" t="str">
        <v>Approval Limit</v>
      </c>
      <c r="B131" s="74" t="str">
        <v>Authority Governance</v>
      </c>
      <c r="C131" s="74" t="s">
        <v>7349</v>
      </c>
      <c r="D131" s="74" t="s">
        <v>7346</v>
      </c>
      <c r="E131" s="74" t="str">
        <v>Management &amp; Governance canonical</v>
      </c>
      <c r="F131" s="74" t="str">
        <v>ApprovalLimitID</v>
      </c>
      <c r="G131" s="74" t="str">
        <v>AUTHORITY-BUNDLE</v>
      </c>
      <c r="H131" s="74" t="str">
        <v>Confidential / Financial Governance</v>
      </c>
      <c r="I131" s="74" t="str">
        <v>Corporate Governance</v>
      </c>
      <c r="J131" s="74" t="str">
        <v>Management Governance Ops</v>
      </c>
      <c r="K131" s="74" t="str">
        <v>Effective-dated approval limit by context, amount/risk and principal.</v>
      </c>
      <c r="L131" s="74" t="str">
        <v>D8</v>
      </c>
      <c r="M131" s="74" t="str">
        <v>MOD-0001; MOD-0002; MOD-0003; MOD-0018; MOD-0021; MOD-0040</v>
      </c>
      <c r="N131" s="74" t="str">
        <v>D0, D1</v>
      </c>
      <c r="O131" s="74" t="str">
        <v>MOD-0032; MOD-0035; MOD-0037</v>
      </c>
      <c r="P131" s="74" t="str">
        <v>D1</v>
      </c>
    </row>
    <row r="132" ht="40" customHeight="1">
      <c r="A132" s="74" t="str">
        <v>Authority Grant</v>
      </c>
      <c r="B132" s="74" t="str">
        <v>Authority Governance</v>
      </c>
      <c r="C132" s="74" t="s">
        <v>7349</v>
      </c>
      <c r="D132" s="74" t="s">
        <v>7346</v>
      </c>
      <c r="E132" s="74" t="str">
        <v>Management &amp; Governance canonical</v>
      </c>
      <c r="F132" s="74" t="str">
        <v>AuthorityGrantID</v>
      </c>
      <c r="G132" s="74" t="str">
        <v>AUTHORITY-BUNDLE;ORG-DIR-BUNDLE</v>
      </c>
      <c r="H132" s="74" t="str">
        <v>Confidential</v>
      </c>
      <c r="I132" s="74" t="str">
        <v>Corporate Governance</v>
      </c>
      <c r="J132" s="74" t="str">
        <v>Management Governance Ops</v>
      </c>
      <c r="K132" s="74" t="str">
        <v>Authority grant bound to governed person/position/org references.</v>
      </c>
      <c r="L132" s="74" t="str">
        <v>D8</v>
      </c>
      <c r="M132" s="74" t="str">
        <v>MOD-0001; MOD-0002; MOD-0003; MOD-0018; MOD-0021; MOD-0040</v>
      </c>
      <c r="N132" s="74" t="str">
        <v>D0, D1</v>
      </c>
      <c r="O132" s="74" t="str">
        <v>MOD-0032; MOD-0035; MOD-0037</v>
      </c>
      <c r="P132" s="74" t="str">
        <v>D1</v>
      </c>
    </row>
    <row r="133" ht="40" customHeight="1">
      <c r="A133" s="74" t="str">
        <v>Authority Delegation</v>
      </c>
      <c r="B133" s="74" t="str">
        <v>Authority Governance</v>
      </c>
      <c r="C133" s="74" t="s">
        <v>7349</v>
      </c>
      <c r="D133" s="74" t="s">
        <v>7346</v>
      </c>
      <c r="E133" s="74" t="str">
        <v>Management &amp; Governance canonical</v>
      </c>
      <c r="F133" s="74" t="str">
        <v>AuthorityDelegationID</v>
      </c>
      <c r="G133" s="74" t="str">
        <v>AUTHORITY-BUNDLE;ORG-DIR-BUNDLE</v>
      </c>
      <c r="H133" s="74" t="str">
        <v>Confidential / PII Reference</v>
      </c>
      <c r="I133" s="74" t="str">
        <v>Corporate Governance</v>
      </c>
      <c r="J133" s="74" t="str">
        <v>Management Governance Ops</v>
      </c>
      <c r="K133" s="74" t="str">
        <v>Temporary/effective-dated delegation; directory remains identity source.</v>
      </c>
      <c r="L133" s="74" t="str">
        <v>D8</v>
      </c>
      <c r="M133" s="74" t="str">
        <v>MOD-0001; MOD-0002; MOD-0003; MOD-0018; MOD-0021; MOD-0040</v>
      </c>
      <c r="N133" s="74" t="str">
        <v>D0, D1</v>
      </c>
      <c r="O133" s="74" t="str">
        <v>MOD-0032; MOD-0035; MOD-0037</v>
      </c>
      <c r="P133" s="74" t="str">
        <v>D1</v>
      </c>
    </row>
    <row r="134" ht="40" customHeight="1">
      <c r="A134" s="74" t="str">
        <v>Governance Body</v>
      </c>
      <c r="B134" s="74" t="str">
        <v>Organizational Governance</v>
      </c>
      <c r="C134" s="74" t="s">
        <v>7360</v>
      </c>
      <c r="D134" s="74" t="s">
        <v>7358</v>
      </c>
      <c r="E134" s="74" t="str">
        <v>Management &amp; Governance canonical</v>
      </c>
      <c r="F134" s="74" t="str">
        <v>GovernanceBodyID</v>
      </c>
      <c r="G134" s="74" t="str">
        <v>GOVERNANCE-CHARTER-BUNDLE</v>
      </c>
      <c r="H134" s="74" t="str">
        <v>Internal / Confidential</v>
      </c>
      <c r="I134" s="74" t="str">
        <v>Corporate Governance</v>
      </c>
      <c r="J134" s="74" t="str">
        <v>Management Governance Ops</v>
      </c>
      <c r="K134" s="74" t="str">
        <v>Authoritative board/committee/council record.</v>
      </c>
      <c r="L134" s="74" t="str">
        <v>D8</v>
      </c>
      <c r="M134" s="74" t="str">
        <v>MOD-0001; MOD-0002; MOD-0003; MOD-0018; MOD-0021; MOD-0040</v>
      </c>
      <c r="N134" s="74" t="str">
        <v>D0, D1</v>
      </c>
      <c r="O134" s="74" t="str">
        <v>MOD-0032; MOD-0035; MOD-0037</v>
      </c>
      <c r="P134" s="74" t="str">
        <v>D1</v>
      </c>
    </row>
    <row r="135" ht="40" customHeight="1">
      <c r="A135" s="74" t="str">
        <v>Governance Charter</v>
      </c>
      <c r="B135" s="74" t="str">
        <v>Organizational Governance</v>
      </c>
      <c r="C135" s="74" t="s">
        <v>7360</v>
      </c>
      <c r="D135" s="74" t="s">
        <v>7358</v>
      </c>
      <c r="E135" s="74" t="str">
        <v>Management &amp; Governance canonical</v>
      </c>
      <c r="F135" s="74" t="str">
        <v>GovernanceCharterID</v>
      </c>
      <c r="G135" s="74" t="str">
        <v>GOVERNANCE-CHARTER-BUNDLE;CONTROLLED-DOC-BUNDLE</v>
      </c>
      <c r="H135" s="74" t="str">
        <v>Confidential / Governance</v>
      </c>
      <c r="I135" s="74" t="str">
        <v>Corporate Governance</v>
      </c>
      <c r="J135" s="74" t="str">
        <v>Management Governance Ops</v>
      </c>
      <c r="K135" s="74" t="str">
        <v>Charter metadata and version lineage; controlled document content stays in MOD-0029.</v>
      </c>
      <c r="L135" s="74" t="str">
        <v>D8</v>
      </c>
      <c r="M135" s="74" t="str">
        <v>MOD-0001; MOD-0002; MOD-0003; MOD-0018; MOD-0021; MOD-0040</v>
      </c>
      <c r="N135" s="74" t="str">
        <v>D0, D1</v>
      </c>
      <c r="O135" s="74" t="str">
        <v>MOD-0032; MOD-0035; MOD-0037</v>
      </c>
      <c r="P135" s="74" t="str">
        <v>D1</v>
      </c>
    </row>
    <row r="136" ht="40" customHeight="1">
      <c r="A136" s="74" t="str">
        <v>Committee Membership</v>
      </c>
      <c r="B136" s="74" t="str">
        <v>Organizational Governance</v>
      </c>
      <c r="C136" s="74" t="s">
        <v>7360</v>
      </c>
      <c r="D136" s="74" t="s">
        <v>7358</v>
      </c>
      <c r="E136" s="74" t="str">
        <v>Management &amp; Governance canonical</v>
      </c>
      <c r="F136" s="74" t="str">
        <v>CommitteeMembershipID</v>
      </c>
      <c r="G136" s="74" t="str">
        <v>GOVERNANCE-CHARTER-BUNDLE;ORG-DIR-BUNDLE</v>
      </c>
      <c r="H136" s="74" t="str">
        <v>Confidential / PII Reference</v>
      </c>
      <c r="I136" s="74" t="str">
        <v>Corporate Governance</v>
      </c>
      <c r="J136" s="74" t="str">
        <v>Management Governance Ops</v>
      </c>
      <c r="K136" s="74" t="str">
        <v>Membership and term record bound to directory identities.</v>
      </c>
      <c r="L136" s="74" t="str">
        <v>D8</v>
      </c>
      <c r="M136" s="74" t="str">
        <v>MOD-0001; MOD-0002; MOD-0003; MOD-0018; MOD-0021; MOD-0040</v>
      </c>
      <c r="N136" s="74" t="str">
        <v>D0, D1</v>
      </c>
      <c r="O136" s="74" t="str">
        <v>MOD-0032; MOD-0035; MOD-0037</v>
      </c>
      <c r="P136" s="74" t="str">
        <v>D1</v>
      </c>
    </row>
    <row r="137" ht="40" customHeight="1">
      <c r="A137" s="74" t="str">
        <v>Accountability Matrix</v>
      </c>
      <c r="B137" s="74" t="str">
        <v>Organizational Governance</v>
      </c>
      <c r="C137" s="74" t="s">
        <v>7360</v>
      </c>
      <c r="D137" s="74" t="s">
        <v>7358</v>
      </c>
      <c r="E137" s="74" t="str">
        <v>Management &amp; Governance canonical</v>
      </c>
      <c r="F137" s="74" t="str">
        <v>AccountabilityMatrixID</v>
      </c>
      <c r="G137" s="74" t="str">
        <v>GOVERNANCE-CHARTER-BUNDLE</v>
      </c>
      <c r="H137" s="74" t="str">
        <v>Internal / Confidential</v>
      </c>
      <c r="I137" s="74" t="str">
        <v>Corporate Governance</v>
      </c>
      <c r="J137" s="74" t="str">
        <v>Management Governance Ops</v>
      </c>
      <c r="K137" s="74" t="str">
        <v>RACI/accountability and decision-right mapping.</v>
      </c>
      <c r="L137" s="74" t="str">
        <v>D8</v>
      </c>
      <c r="M137" s="74" t="str">
        <v>MOD-0001; MOD-0002; MOD-0003; MOD-0018; MOD-0021; MOD-0040</v>
      </c>
      <c r="N137" s="74" t="str">
        <v>D0, D1</v>
      </c>
      <c r="O137" s="74" t="str">
        <v>MOD-0032; MOD-0035; MOD-0037</v>
      </c>
      <c r="P137" s="74" t="str">
        <v>D1</v>
      </c>
    </row>
  </sheetData>
  <pageMargins left="0.7" right="0.7" top="0.75" bottom="0.75" header="0.3" footer="0.3"/>
</worksheet>
</file>

<file path=xl/worksheets/sheet16.xml><?xml version="1.0" encoding="utf-8"?>
<worksheet xmlns="http://schemas.openxmlformats.org/spreadsheetml/2006/main">
  <sheetFormatPr baseColWidth="10" defaultColWidth="8.83203125" defaultRowHeight="13"/>
  <cols>
    <col min="1" max="1" width="12" customWidth="1"/>
    <col min="2" max="2" width="36" customWidth="1"/>
    <col min="3" max="3" width="26" customWidth="1"/>
    <col min="4" max="4" width="28" customWidth="1"/>
    <col min="5" max="5" width="24" customWidth="1"/>
    <col min="6" max="6" width="10" customWidth="1"/>
    <col min="7" max="7" width="18" customWidth="1"/>
    <col min="8" max="8" width="38" customWidth="1"/>
    <col min="9" max="9" width="22" customWidth="1"/>
    <col min="10" max="10" width="20" customWidth="1"/>
  </cols>
  <sheetData>
    <row r="1">
      <c r="A1" t="s">
        <v>2058</v>
      </c>
      <c r="B1" t="s">
        <v>61</v>
      </c>
      <c r="C1" t="s">
        <v>62</v>
      </c>
      <c r="D1" t="s">
        <v>81</v>
      </c>
      <c r="E1" t="s">
        <v>82</v>
      </c>
      <c r="F1" t="s">
        <v>63</v>
      </c>
      <c r="G1" t="s">
        <v>64</v>
      </c>
      <c r="H1" t="s">
        <v>4710</v>
      </c>
      <c r="I1" t="s">
        <v>4711</v>
      </c>
      <c r="J1" t="s">
        <v>4712</v>
      </c>
      <c r="K1" t="s">
        <v>4713</v>
      </c>
      <c r="L1" t="s">
        <v>4714</v>
      </c>
      <c r="M1" t="s">
        <v>4093</v>
      </c>
    </row>
    <row r="2">
      <c r="A2" t="s">
        <v>2071</v>
      </c>
      <c r="B2" t="s">
        <v>96</v>
      </c>
      <c r="C2" t="s">
        <v>92</v>
      </c>
      <c r="D2" t="s">
        <v>93</v>
      </c>
      <c r="E2" t="s">
        <v>94</v>
      </c>
      <c r="F2" t="s">
        <v>129</v>
      </c>
      <c r="G2" t="s">
        <v>2077</v>
      </c>
      <c r="H2" t="s">
        <v>4715</v>
      </c>
      <c r="I2" t="s">
        <v>4716</v>
      </c>
      <c r="L2" t="s">
        <v>4717</v>
      </c>
    </row>
    <row r="3">
      <c r="A3" t="s">
        <v>2071</v>
      </c>
      <c r="B3" t="s">
        <v>96</v>
      </c>
      <c r="C3" t="s">
        <v>92</v>
      </c>
      <c r="D3" t="s">
        <v>93</v>
      </c>
      <c r="E3" t="s">
        <v>94</v>
      </c>
      <c r="F3" t="s">
        <v>129</v>
      </c>
      <c r="G3" t="s">
        <v>2077</v>
      </c>
      <c r="H3" t="s">
        <v>4715</v>
      </c>
      <c r="I3" t="s">
        <v>4718</v>
      </c>
      <c r="L3" t="s">
        <v>4717</v>
      </c>
    </row>
    <row r="4">
      <c r="A4" t="s">
        <v>2071</v>
      </c>
      <c r="B4" t="s">
        <v>96</v>
      </c>
      <c r="C4" t="s">
        <v>92</v>
      </c>
      <c r="D4" t="s">
        <v>93</v>
      </c>
      <c r="E4" t="s">
        <v>94</v>
      </c>
      <c r="F4" t="s">
        <v>129</v>
      </c>
      <c r="G4" t="s">
        <v>2077</v>
      </c>
      <c r="H4" t="s">
        <v>4715</v>
      </c>
      <c r="I4" t="s">
        <v>4719</v>
      </c>
      <c r="L4" t="s">
        <v>4717</v>
      </c>
    </row>
    <row r="5">
      <c r="A5" t="s">
        <v>2079</v>
      </c>
      <c r="B5" t="s">
        <v>106</v>
      </c>
      <c r="C5" t="s">
        <v>92</v>
      </c>
      <c r="D5" t="s">
        <v>93</v>
      </c>
      <c r="E5" t="s">
        <v>94</v>
      </c>
      <c r="F5" t="s">
        <v>97</v>
      </c>
      <c r="G5" t="s">
        <v>2078</v>
      </c>
      <c r="H5" t="s">
        <v>4715</v>
      </c>
      <c r="I5" t="s">
        <v>4716</v>
      </c>
      <c r="L5" t="s">
        <v>4717</v>
      </c>
    </row>
    <row r="6">
      <c r="A6" t="s">
        <v>2079</v>
      </c>
      <c r="B6" t="s">
        <v>106</v>
      </c>
      <c r="C6" t="s">
        <v>92</v>
      </c>
      <c r="D6" t="s">
        <v>93</v>
      </c>
      <c r="E6" t="s">
        <v>94</v>
      </c>
      <c r="F6" t="s">
        <v>97</v>
      </c>
      <c r="G6" t="s">
        <v>2078</v>
      </c>
      <c r="H6" t="s">
        <v>4715</v>
      </c>
      <c r="I6" t="s">
        <v>4720</v>
      </c>
      <c r="L6" t="s">
        <v>4717</v>
      </c>
    </row>
    <row r="7">
      <c r="A7" t="s">
        <v>2079</v>
      </c>
      <c r="B7" t="s">
        <v>106</v>
      </c>
      <c r="C7" t="s">
        <v>92</v>
      </c>
      <c r="D7" t="s">
        <v>93</v>
      </c>
      <c r="E7" t="s">
        <v>94</v>
      </c>
      <c r="F7" t="s">
        <v>97</v>
      </c>
      <c r="G7" t="s">
        <v>2078</v>
      </c>
      <c r="H7" t="s">
        <v>4715</v>
      </c>
      <c r="I7" t="s">
        <v>4721</v>
      </c>
      <c r="L7" t="s">
        <v>4717</v>
      </c>
    </row>
    <row r="8">
      <c r="A8" t="s">
        <v>2081</v>
      </c>
      <c r="B8" t="s">
        <v>113</v>
      </c>
      <c r="C8" t="s">
        <v>92</v>
      </c>
      <c r="D8" t="s">
        <v>93</v>
      </c>
      <c r="E8" t="s">
        <v>94</v>
      </c>
      <c r="F8" t="s">
        <v>97</v>
      </c>
      <c r="G8" t="s">
        <v>2078</v>
      </c>
      <c r="H8" t="s">
        <v>4715</v>
      </c>
      <c r="I8" t="s">
        <v>4716</v>
      </c>
      <c r="L8" t="s">
        <v>4717</v>
      </c>
    </row>
    <row r="9">
      <c r="A9" t="s">
        <v>2081</v>
      </c>
      <c r="B9" t="s">
        <v>113</v>
      </c>
      <c r="C9" t="s">
        <v>92</v>
      </c>
      <c r="D9" t="s">
        <v>93</v>
      </c>
      <c r="E9" t="s">
        <v>94</v>
      </c>
      <c r="F9" t="s">
        <v>97</v>
      </c>
      <c r="G9" t="s">
        <v>2078</v>
      </c>
      <c r="H9" t="s">
        <v>4715</v>
      </c>
      <c r="I9" t="s">
        <v>4722</v>
      </c>
      <c r="L9" t="s">
        <v>4717</v>
      </c>
    </row>
    <row r="10">
      <c r="A10" t="s">
        <v>2081</v>
      </c>
      <c r="B10" t="s">
        <v>113</v>
      </c>
      <c r="C10" t="s">
        <v>92</v>
      </c>
      <c r="D10" t="s">
        <v>93</v>
      </c>
      <c r="E10" t="s">
        <v>94</v>
      </c>
      <c r="F10" t="s">
        <v>97</v>
      </c>
      <c r="G10" t="s">
        <v>2078</v>
      </c>
      <c r="H10" t="s">
        <v>4715</v>
      </c>
      <c r="I10" t="s">
        <v>4723</v>
      </c>
      <c r="L10" t="s">
        <v>4717</v>
      </c>
    </row>
    <row r="11">
      <c r="A11" t="s">
        <v>2081</v>
      </c>
      <c r="B11" t="s">
        <v>113</v>
      </c>
      <c r="C11" t="s">
        <v>92</v>
      </c>
      <c r="D11" t="s">
        <v>93</v>
      </c>
      <c r="E11" t="s">
        <v>94</v>
      </c>
      <c r="F11" t="s">
        <v>97</v>
      </c>
      <c r="G11" t="s">
        <v>2078</v>
      </c>
      <c r="H11" t="s">
        <v>4715</v>
      </c>
      <c r="I11" t="s">
        <v>4724</v>
      </c>
      <c r="L11" t="s">
        <v>4717</v>
      </c>
    </row>
    <row r="12">
      <c r="A12" t="s">
        <v>2084</v>
      </c>
      <c r="B12" t="s">
        <v>119</v>
      </c>
      <c r="C12" t="s">
        <v>92</v>
      </c>
      <c r="D12" t="s">
        <v>93</v>
      </c>
      <c r="E12" t="s">
        <v>94</v>
      </c>
      <c r="F12" t="s">
        <v>120</v>
      </c>
      <c r="H12" t="s">
        <v>4715</v>
      </c>
      <c r="I12" t="s">
        <v>4725</v>
      </c>
      <c r="L12" t="s">
        <v>4717</v>
      </c>
    </row>
    <row r="13">
      <c r="A13" t="s">
        <v>2084</v>
      </c>
      <c r="B13" t="s">
        <v>119</v>
      </c>
      <c r="C13" t="s">
        <v>92</v>
      </c>
      <c r="D13" t="s">
        <v>93</v>
      </c>
      <c r="E13" t="s">
        <v>94</v>
      </c>
      <c r="F13" t="s">
        <v>120</v>
      </c>
      <c r="H13" t="s">
        <v>4715</v>
      </c>
      <c r="I13" t="s">
        <v>4726</v>
      </c>
      <c r="L13" t="s">
        <v>4717</v>
      </c>
    </row>
    <row r="14">
      <c r="A14" t="s">
        <v>2084</v>
      </c>
      <c r="B14" t="s">
        <v>119</v>
      </c>
      <c r="C14" t="s">
        <v>92</v>
      </c>
      <c r="D14" t="s">
        <v>93</v>
      </c>
      <c r="E14" t="s">
        <v>94</v>
      </c>
      <c r="F14" t="s">
        <v>120</v>
      </c>
      <c r="H14" t="s">
        <v>4715</v>
      </c>
      <c r="I14" t="s">
        <v>4727</v>
      </c>
      <c r="L14" t="s">
        <v>4717</v>
      </c>
    </row>
    <row r="15">
      <c r="A15" t="s">
        <v>2087</v>
      </c>
      <c r="B15" t="s">
        <v>128</v>
      </c>
      <c r="C15" t="s">
        <v>92</v>
      </c>
      <c r="D15" t="s">
        <v>93</v>
      </c>
      <c r="E15" t="s">
        <v>94</v>
      </c>
      <c r="F15" t="s">
        <v>129</v>
      </c>
      <c r="G15" t="s">
        <v>2078</v>
      </c>
      <c r="H15" t="s">
        <v>4715</v>
      </c>
      <c r="I15" t="s">
        <v>4728</v>
      </c>
      <c r="L15" t="s">
        <v>4717</v>
      </c>
    </row>
    <row r="16">
      <c r="A16" t="s">
        <v>2087</v>
      </c>
      <c r="B16" t="s">
        <v>128</v>
      </c>
      <c r="C16" t="s">
        <v>92</v>
      </c>
      <c r="D16" t="s">
        <v>93</v>
      </c>
      <c r="E16" t="s">
        <v>94</v>
      </c>
      <c r="F16" t="s">
        <v>129</v>
      </c>
      <c r="G16" t="s">
        <v>2078</v>
      </c>
      <c r="H16" t="s">
        <v>4715</v>
      </c>
      <c r="I16" t="s">
        <v>4729</v>
      </c>
      <c r="L16" t="s">
        <v>4717</v>
      </c>
    </row>
    <row r="17">
      <c r="A17" t="s">
        <v>2087</v>
      </c>
      <c r="B17" t="s">
        <v>128</v>
      </c>
      <c r="C17" t="s">
        <v>92</v>
      </c>
      <c r="D17" t="s">
        <v>93</v>
      </c>
      <c r="E17" t="s">
        <v>94</v>
      </c>
      <c r="F17" t="s">
        <v>129</v>
      </c>
      <c r="G17" t="s">
        <v>2078</v>
      </c>
      <c r="H17" t="s">
        <v>4715</v>
      </c>
      <c r="I17" t="s">
        <v>4730</v>
      </c>
      <c r="L17" t="s">
        <v>4717</v>
      </c>
    </row>
    <row r="18">
      <c r="A18" t="s">
        <v>2089</v>
      </c>
      <c r="B18" t="s">
        <v>137</v>
      </c>
      <c r="C18" t="s">
        <v>92</v>
      </c>
      <c r="D18" t="s">
        <v>93</v>
      </c>
      <c r="E18" t="s">
        <v>94</v>
      </c>
      <c r="F18" t="s">
        <v>97</v>
      </c>
      <c r="G18" t="s">
        <v>2078</v>
      </c>
      <c r="H18" t="s">
        <v>4715</v>
      </c>
      <c r="I18" t="s">
        <v>4731</v>
      </c>
      <c r="L18" t="s">
        <v>4717</v>
      </c>
    </row>
    <row r="19">
      <c r="A19" t="s">
        <v>2089</v>
      </c>
      <c r="B19" t="s">
        <v>137</v>
      </c>
      <c r="C19" t="s">
        <v>92</v>
      </c>
      <c r="D19" t="s">
        <v>93</v>
      </c>
      <c r="E19" t="s">
        <v>94</v>
      </c>
      <c r="F19" t="s">
        <v>97</v>
      </c>
      <c r="G19" t="s">
        <v>2078</v>
      </c>
      <c r="H19" t="s">
        <v>4715</v>
      </c>
      <c r="I19" t="s">
        <v>4732</v>
      </c>
      <c r="L19" t="s">
        <v>4717</v>
      </c>
    </row>
    <row r="20">
      <c r="A20" t="s">
        <v>2089</v>
      </c>
      <c r="B20" t="s">
        <v>137</v>
      </c>
      <c r="C20" t="s">
        <v>92</v>
      </c>
      <c r="D20" t="s">
        <v>93</v>
      </c>
      <c r="E20" t="s">
        <v>94</v>
      </c>
      <c r="F20" t="s">
        <v>97</v>
      </c>
      <c r="G20" t="s">
        <v>2078</v>
      </c>
      <c r="H20" t="s">
        <v>4715</v>
      </c>
      <c r="I20" t="s">
        <v>4733</v>
      </c>
      <c r="L20" t="s">
        <v>4717</v>
      </c>
    </row>
    <row r="21">
      <c r="A21" t="s">
        <v>2089</v>
      </c>
      <c r="B21" t="s">
        <v>137</v>
      </c>
      <c r="C21" t="s">
        <v>92</v>
      </c>
      <c r="D21" t="s">
        <v>93</v>
      </c>
      <c r="E21" t="s">
        <v>94</v>
      </c>
      <c r="F21" t="s">
        <v>97</v>
      </c>
      <c r="G21" t="s">
        <v>2078</v>
      </c>
      <c r="H21" t="s">
        <v>4715</v>
      </c>
      <c r="I21" t="s">
        <v>4734</v>
      </c>
      <c r="L21" t="s">
        <v>4717</v>
      </c>
    </row>
    <row r="22">
      <c r="A22" t="s">
        <v>2092</v>
      </c>
      <c r="B22" t="s">
        <v>145</v>
      </c>
      <c r="C22" t="s">
        <v>92</v>
      </c>
      <c r="D22" t="s">
        <v>93</v>
      </c>
      <c r="E22" t="s">
        <v>94</v>
      </c>
      <c r="F22" t="s">
        <v>129</v>
      </c>
      <c r="G22" t="s">
        <v>2077</v>
      </c>
      <c r="H22" t="s">
        <v>4715</v>
      </c>
      <c r="I22" t="s">
        <v>4735</v>
      </c>
      <c r="L22" t="s">
        <v>4717</v>
      </c>
    </row>
    <row r="23">
      <c r="A23" t="s">
        <v>2092</v>
      </c>
      <c r="B23" t="s">
        <v>145</v>
      </c>
      <c r="C23" t="s">
        <v>92</v>
      </c>
      <c r="D23" t="s">
        <v>93</v>
      </c>
      <c r="E23" t="s">
        <v>94</v>
      </c>
      <c r="F23" t="s">
        <v>129</v>
      </c>
      <c r="G23" t="s">
        <v>2077</v>
      </c>
      <c r="H23" t="s">
        <v>4715</v>
      </c>
      <c r="I23" t="s">
        <v>4736</v>
      </c>
      <c r="L23" t="s">
        <v>4717</v>
      </c>
    </row>
    <row r="24">
      <c r="A24" t="s">
        <v>2092</v>
      </c>
      <c r="B24" t="s">
        <v>145</v>
      </c>
      <c r="C24" t="s">
        <v>92</v>
      </c>
      <c r="D24" t="s">
        <v>93</v>
      </c>
      <c r="E24" t="s">
        <v>94</v>
      </c>
      <c r="F24" t="s">
        <v>129</v>
      </c>
      <c r="G24" t="s">
        <v>2077</v>
      </c>
      <c r="H24" t="s">
        <v>4715</v>
      </c>
      <c r="I24" t="s">
        <v>4737</v>
      </c>
      <c r="L24" t="s">
        <v>4717</v>
      </c>
    </row>
    <row r="25">
      <c r="A25" t="s">
        <v>2095</v>
      </c>
      <c r="B25" t="s">
        <v>153</v>
      </c>
      <c r="C25" t="s">
        <v>92</v>
      </c>
      <c r="D25" t="s">
        <v>93</v>
      </c>
      <c r="E25" t="s">
        <v>94</v>
      </c>
      <c r="F25" t="s">
        <v>154</v>
      </c>
      <c r="H25" t="s">
        <v>4715</v>
      </c>
      <c r="I25" t="s">
        <v>4738</v>
      </c>
      <c r="L25" t="s">
        <v>4717</v>
      </c>
    </row>
    <row r="26">
      <c r="A26" t="s">
        <v>2095</v>
      </c>
      <c r="B26" t="s">
        <v>153</v>
      </c>
      <c r="C26" t="s">
        <v>92</v>
      </c>
      <c r="D26" t="s">
        <v>93</v>
      </c>
      <c r="E26" t="s">
        <v>94</v>
      </c>
      <c r="F26" t="s">
        <v>154</v>
      </c>
      <c r="H26" t="s">
        <v>4715</v>
      </c>
      <c r="I26" t="s">
        <v>4739</v>
      </c>
      <c r="L26" t="s">
        <v>4717</v>
      </c>
    </row>
    <row r="27">
      <c r="A27" t="s">
        <v>2095</v>
      </c>
      <c r="B27" t="s">
        <v>153</v>
      </c>
      <c r="C27" t="s">
        <v>92</v>
      </c>
      <c r="D27" t="s">
        <v>93</v>
      </c>
      <c r="E27" t="s">
        <v>94</v>
      </c>
      <c r="F27" t="s">
        <v>154</v>
      </c>
      <c r="H27" t="s">
        <v>4715</v>
      </c>
      <c r="I27" t="s">
        <v>4740</v>
      </c>
      <c r="L27" t="s">
        <v>4717</v>
      </c>
    </row>
    <row r="28">
      <c r="A28" t="s">
        <v>2095</v>
      </c>
      <c r="B28" t="s">
        <v>153</v>
      </c>
      <c r="C28" t="s">
        <v>92</v>
      </c>
      <c r="D28" t="s">
        <v>93</v>
      </c>
      <c r="E28" t="s">
        <v>94</v>
      </c>
      <c r="F28" t="s">
        <v>154</v>
      </c>
      <c r="H28" t="s">
        <v>4715</v>
      </c>
      <c r="I28" t="s">
        <v>4741</v>
      </c>
      <c r="L28" t="s">
        <v>4717</v>
      </c>
    </row>
    <row r="29">
      <c r="A29" t="s">
        <v>2097</v>
      </c>
      <c r="B29" t="s">
        <v>164</v>
      </c>
      <c r="C29" t="s">
        <v>160</v>
      </c>
      <c r="D29" t="s">
        <v>161</v>
      </c>
      <c r="E29" t="s">
        <v>162</v>
      </c>
      <c r="F29" t="s">
        <v>129</v>
      </c>
      <c r="G29" t="s">
        <v>2077</v>
      </c>
      <c r="H29" t="s">
        <v>4715</v>
      </c>
      <c r="I29" t="s">
        <v>4742</v>
      </c>
      <c r="L29" t="s">
        <v>4717</v>
      </c>
    </row>
    <row r="30">
      <c r="A30" t="s">
        <v>2097</v>
      </c>
      <c r="B30" t="s">
        <v>164</v>
      </c>
      <c r="C30" t="s">
        <v>160</v>
      </c>
      <c r="D30" t="s">
        <v>161</v>
      </c>
      <c r="E30" t="s">
        <v>162</v>
      </c>
      <c r="F30" t="s">
        <v>129</v>
      </c>
      <c r="G30" t="s">
        <v>2077</v>
      </c>
      <c r="H30" t="s">
        <v>4715</v>
      </c>
      <c r="I30" t="s">
        <v>4743</v>
      </c>
      <c r="L30" t="s">
        <v>4717</v>
      </c>
    </row>
    <row r="31">
      <c r="A31" t="s">
        <v>2100</v>
      </c>
      <c r="B31" t="s">
        <v>172</v>
      </c>
      <c r="C31" t="s">
        <v>160</v>
      </c>
      <c r="D31" t="s">
        <v>161</v>
      </c>
      <c r="E31" t="s">
        <v>162</v>
      </c>
      <c r="F31" t="s">
        <v>129</v>
      </c>
      <c r="G31" t="s">
        <v>2078</v>
      </c>
      <c r="H31" t="s">
        <v>4715</v>
      </c>
      <c r="I31" t="s">
        <v>4744</v>
      </c>
      <c r="L31" t="s">
        <v>4717</v>
      </c>
    </row>
    <row r="32">
      <c r="A32" t="s">
        <v>2100</v>
      </c>
      <c r="B32" t="s">
        <v>172</v>
      </c>
      <c r="C32" t="s">
        <v>160</v>
      </c>
      <c r="D32" t="s">
        <v>161</v>
      </c>
      <c r="E32" t="s">
        <v>162</v>
      </c>
      <c r="F32" t="s">
        <v>129</v>
      </c>
      <c r="G32" t="s">
        <v>2078</v>
      </c>
      <c r="H32" t="s">
        <v>4715</v>
      </c>
      <c r="I32" t="s">
        <v>4745</v>
      </c>
      <c r="L32" t="s">
        <v>4717</v>
      </c>
    </row>
    <row r="33">
      <c r="A33" t="s">
        <v>2100</v>
      </c>
      <c r="B33" t="s">
        <v>172</v>
      </c>
      <c r="C33" t="s">
        <v>160</v>
      </c>
      <c r="D33" t="s">
        <v>161</v>
      </c>
      <c r="E33" t="s">
        <v>162</v>
      </c>
      <c r="F33" t="s">
        <v>129</v>
      </c>
      <c r="G33" t="s">
        <v>2078</v>
      </c>
      <c r="H33" t="s">
        <v>4715</v>
      </c>
      <c r="I33" t="s">
        <v>4746</v>
      </c>
      <c r="L33" t="s">
        <v>4717</v>
      </c>
    </row>
    <row r="34">
      <c r="A34" t="s">
        <v>2104</v>
      </c>
      <c r="B34" t="s">
        <v>177</v>
      </c>
      <c r="C34" t="s">
        <v>160</v>
      </c>
      <c r="D34" t="s">
        <v>161</v>
      </c>
      <c r="E34" t="s">
        <v>162</v>
      </c>
      <c r="F34" t="s">
        <v>154</v>
      </c>
      <c r="H34" t="s">
        <v>4715</v>
      </c>
      <c r="I34" t="s">
        <v>4747</v>
      </c>
      <c r="L34" t="s">
        <v>4717</v>
      </c>
    </row>
    <row r="35">
      <c r="A35" t="s">
        <v>2104</v>
      </c>
      <c r="B35" t="s">
        <v>177</v>
      </c>
      <c r="C35" t="s">
        <v>160</v>
      </c>
      <c r="D35" t="s">
        <v>161</v>
      </c>
      <c r="E35" t="s">
        <v>162</v>
      </c>
      <c r="F35" t="s">
        <v>154</v>
      </c>
      <c r="H35" t="s">
        <v>4715</v>
      </c>
      <c r="I35" t="s">
        <v>4748</v>
      </c>
      <c r="L35" t="s">
        <v>4717</v>
      </c>
    </row>
    <row r="36">
      <c r="A36" t="s">
        <v>2104</v>
      </c>
      <c r="B36" t="s">
        <v>177</v>
      </c>
      <c r="C36" t="s">
        <v>160</v>
      </c>
      <c r="D36" t="s">
        <v>161</v>
      </c>
      <c r="E36" t="s">
        <v>162</v>
      </c>
      <c r="F36" t="s">
        <v>154</v>
      </c>
      <c r="H36" t="s">
        <v>4715</v>
      </c>
      <c r="I36" t="s">
        <v>4749</v>
      </c>
      <c r="L36" t="s">
        <v>4717</v>
      </c>
    </row>
    <row r="37">
      <c r="A37" t="s">
        <v>2107</v>
      </c>
      <c r="B37" t="s">
        <v>184</v>
      </c>
      <c r="C37" t="s">
        <v>160</v>
      </c>
      <c r="D37" t="s">
        <v>161</v>
      </c>
      <c r="E37" t="s">
        <v>162</v>
      </c>
      <c r="F37" t="s">
        <v>129</v>
      </c>
      <c r="G37" t="s">
        <v>2078</v>
      </c>
      <c r="H37" t="s">
        <v>4715</v>
      </c>
      <c r="I37" t="s">
        <v>4750</v>
      </c>
      <c r="L37" t="s">
        <v>4717</v>
      </c>
    </row>
    <row r="38">
      <c r="A38" t="s">
        <v>2107</v>
      </c>
      <c r="B38" t="s">
        <v>184</v>
      </c>
      <c r="C38" t="s">
        <v>160</v>
      </c>
      <c r="D38" t="s">
        <v>161</v>
      </c>
      <c r="E38" t="s">
        <v>162</v>
      </c>
      <c r="F38" t="s">
        <v>129</v>
      </c>
      <c r="G38" t="s">
        <v>2078</v>
      </c>
      <c r="H38" t="s">
        <v>4715</v>
      </c>
      <c r="I38" t="s">
        <v>4751</v>
      </c>
      <c r="L38" t="s">
        <v>4717</v>
      </c>
    </row>
    <row r="39">
      <c r="A39" t="s">
        <v>2107</v>
      </c>
      <c r="B39" t="s">
        <v>184</v>
      </c>
      <c r="C39" t="s">
        <v>160</v>
      </c>
      <c r="D39" t="s">
        <v>161</v>
      </c>
      <c r="E39" t="s">
        <v>162</v>
      </c>
      <c r="F39" t="s">
        <v>129</v>
      </c>
      <c r="G39" t="s">
        <v>2078</v>
      </c>
      <c r="H39" t="s">
        <v>4715</v>
      </c>
      <c r="I39" t="s">
        <v>4752</v>
      </c>
      <c r="L39" t="s">
        <v>4717</v>
      </c>
    </row>
    <row r="40">
      <c r="A40" t="s">
        <v>2110</v>
      </c>
      <c r="B40" t="s">
        <v>192</v>
      </c>
      <c r="C40" t="s">
        <v>160</v>
      </c>
      <c r="D40" t="s">
        <v>161</v>
      </c>
      <c r="E40" t="s">
        <v>190</v>
      </c>
      <c r="F40" t="s">
        <v>129</v>
      </c>
      <c r="G40" t="s">
        <v>2078</v>
      </c>
      <c r="H40" t="s">
        <v>4715</v>
      </c>
      <c r="I40" t="s">
        <v>4753</v>
      </c>
      <c r="L40" t="s">
        <v>4717</v>
      </c>
    </row>
    <row r="41">
      <c r="A41" t="s">
        <v>2110</v>
      </c>
      <c r="B41" t="s">
        <v>192</v>
      </c>
      <c r="C41" t="s">
        <v>160</v>
      </c>
      <c r="D41" t="s">
        <v>161</v>
      </c>
      <c r="E41" t="s">
        <v>190</v>
      </c>
      <c r="F41" t="s">
        <v>129</v>
      </c>
      <c r="G41" t="s">
        <v>2078</v>
      </c>
      <c r="H41" t="s">
        <v>4715</v>
      </c>
      <c r="I41" t="s">
        <v>4754</v>
      </c>
      <c r="L41" t="s">
        <v>4717</v>
      </c>
    </row>
    <row r="42">
      <c r="A42" t="s">
        <v>2110</v>
      </c>
      <c r="B42" t="s">
        <v>192</v>
      </c>
      <c r="C42" t="s">
        <v>160</v>
      </c>
      <c r="D42" t="s">
        <v>161</v>
      </c>
      <c r="E42" t="s">
        <v>190</v>
      </c>
      <c r="F42" t="s">
        <v>129</v>
      </c>
      <c r="G42" t="s">
        <v>2078</v>
      </c>
      <c r="H42" t="s">
        <v>4715</v>
      </c>
      <c r="I42" t="s">
        <v>4755</v>
      </c>
      <c r="L42" t="s">
        <v>4717</v>
      </c>
    </row>
    <row r="43">
      <c r="A43" t="s">
        <v>2112</v>
      </c>
      <c r="B43" t="s">
        <v>198</v>
      </c>
      <c r="C43" t="s">
        <v>160</v>
      </c>
      <c r="D43" t="s">
        <v>161</v>
      </c>
      <c r="E43" t="s">
        <v>190</v>
      </c>
      <c r="F43" t="s">
        <v>129</v>
      </c>
      <c r="G43" t="s">
        <v>2077</v>
      </c>
      <c r="H43" t="s">
        <v>4715</v>
      </c>
      <c r="I43" t="s">
        <v>4756</v>
      </c>
      <c r="L43" t="s">
        <v>4717</v>
      </c>
    </row>
    <row r="44">
      <c r="A44" t="s">
        <v>2112</v>
      </c>
      <c r="B44" t="s">
        <v>198</v>
      </c>
      <c r="C44" t="s">
        <v>160</v>
      </c>
      <c r="D44" t="s">
        <v>161</v>
      </c>
      <c r="E44" t="s">
        <v>190</v>
      </c>
      <c r="F44" t="s">
        <v>129</v>
      </c>
      <c r="G44" t="s">
        <v>2077</v>
      </c>
      <c r="H44" t="s">
        <v>4715</v>
      </c>
      <c r="I44" t="s">
        <v>4757</v>
      </c>
      <c r="L44" t="s">
        <v>4717</v>
      </c>
    </row>
    <row r="45">
      <c r="A45" t="s">
        <v>2112</v>
      </c>
      <c r="B45" t="s">
        <v>198</v>
      </c>
      <c r="C45" t="s">
        <v>160</v>
      </c>
      <c r="D45" t="s">
        <v>161</v>
      </c>
      <c r="E45" t="s">
        <v>190</v>
      </c>
      <c r="F45" t="s">
        <v>129</v>
      </c>
      <c r="G45" t="s">
        <v>2077</v>
      </c>
      <c r="H45" t="s">
        <v>4715</v>
      </c>
      <c r="I45" t="s">
        <v>4758</v>
      </c>
      <c r="L45" t="s">
        <v>4717</v>
      </c>
    </row>
    <row r="46">
      <c r="A46" t="s">
        <v>2114</v>
      </c>
      <c r="B46" t="s">
        <v>204</v>
      </c>
      <c r="C46" t="s">
        <v>160</v>
      </c>
      <c r="D46" t="s">
        <v>161</v>
      </c>
      <c r="E46" t="s">
        <v>190</v>
      </c>
      <c r="F46" t="s">
        <v>154</v>
      </c>
      <c r="H46" t="s">
        <v>4715</v>
      </c>
      <c r="I46" t="s">
        <v>4759</v>
      </c>
      <c r="L46" t="s">
        <v>4717</v>
      </c>
    </row>
    <row r="47">
      <c r="A47" t="s">
        <v>2114</v>
      </c>
      <c r="B47" t="s">
        <v>204</v>
      </c>
      <c r="C47" t="s">
        <v>160</v>
      </c>
      <c r="D47" t="s">
        <v>161</v>
      </c>
      <c r="E47" t="s">
        <v>190</v>
      </c>
      <c r="F47" t="s">
        <v>154</v>
      </c>
      <c r="H47" t="s">
        <v>4715</v>
      </c>
      <c r="I47" t="s">
        <v>4760</v>
      </c>
      <c r="L47" t="s">
        <v>4717</v>
      </c>
    </row>
    <row r="48">
      <c r="A48" t="s">
        <v>2114</v>
      </c>
      <c r="B48" t="s">
        <v>204</v>
      </c>
      <c r="C48" t="s">
        <v>160</v>
      </c>
      <c r="D48" t="s">
        <v>161</v>
      </c>
      <c r="E48" t="s">
        <v>190</v>
      </c>
      <c r="F48" t="s">
        <v>154</v>
      </c>
      <c r="H48" t="s">
        <v>4715</v>
      </c>
      <c r="I48" t="s">
        <v>4761</v>
      </c>
      <c r="L48" t="s">
        <v>4717</v>
      </c>
    </row>
    <row r="49">
      <c r="A49" t="s">
        <v>2117</v>
      </c>
      <c r="B49" t="s">
        <v>211</v>
      </c>
      <c r="C49" t="s">
        <v>160</v>
      </c>
      <c r="D49" t="s">
        <v>161</v>
      </c>
      <c r="E49" t="s">
        <v>190</v>
      </c>
      <c r="F49" t="s">
        <v>120</v>
      </c>
      <c r="H49" t="s">
        <v>4715</v>
      </c>
      <c r="I49" t="s">
        <v>4762</v>
      </c>
      <c r="L49" t="s">
        <v>4717</v>
      </c>
    </row>
    <row r="50">
      <c r="A50" t="s">
        <v>2117</v>
      </c>
      <c r="B50" t="s">
        <v>211</v>
      </c>
      <c r="C50" t="s">
        <v>160</v>
      </c>
      <c r="D50" t="s">
        <v>161</v>
      </c>
      <c r="E50" t="s">
        <v>190</v>
      </c>
      <c r="F50" t="s">
        <v>120</v>
      </c>
      <c r="H50" t="s">
        <v>4715</v>
      </c>
      <c r="I50" t="s">
        <v>4763</v>
      </c>
      <c r="L50" t="s">
        <v>4717</v>
      </c>
    </row>
    <row r="51">
      <c r="A51" t="s">
        <v>2120</v>
      </c>
      <c r="B51" t="s">
        <v>219</v>
      </c>
      <c r="C51" t="s">
        <v>160</v>
      </c>
      <c r="D51" t="s">
        <v>216</v>
      </c>
      <c r="E51" t="s">
        <v>217</v>
      </c>
      <c r="F51" t="s">
        <v>129</v>
      </c>
      <c r="G51" t="s">
        <v>2077</v>
      </c>
      <c r="H51" t="s">
        <v>4715</v>
      </c>
      <c r="I51" t="s">
        <v>4764</v>
      </c>
      <c r="L51" t="s">
        <v>4717</v>
      </c>
    </row>
    <row r="52">
      <c r="A52" t="s">
        <v>2120</v>
      </c>
      <c r="B52" t="s">
        <v>219</v>
      </c>
      <c r="C52" t="s">
        <v>160</v>
      </c>
      <c r="D52" t="s">
        <v>216</v>
      </c>
      <c r="E52" t="s">
        <v>217</v>
      </c>
      <c r="F52" t="s">
        <v>129</v>
      </c>
      <c r="G52" t="s">
        <v>2077</v>
      </c>
      <c r="H52" t="s">
        <v>4715</v>
      </c>
      <c r="I52" t="s">
        <v>4765</v>
      </c>
      <c r="L52" t="s">
        <v>4717</v>
      </c>
    </row>
    <row r="53">
      <c r="A53" t="s">
        <v>2120</v>
      </c>
      <c r="B53" t="s">
        <v>219</v>
      </c>
      <c r="C53" t="s">
        <v>160</v>
      </c>
      <c r="D53" t="s">
        <v>216</v>
      </c>
      <c r="E53" t="s">
        <v>217</v>
      </c>
      <c r="F53" t="s">
        <v>129</v>
      </c>
      <c r="G53" t="s">
        <v>2077</v>
      </c>
      <c r="H53" t="s">
        <v>4715</v>
      </c>
      <c r="I53" t="s">
        <v>4766</v>
      </c>
      <c r="L53" t="s">
        <v>4717</v>
      </c>
    </row>
    <row r="54">
      <c r="A54" t="s">
        <v>2124</v>
      </c>
      <c r="B54" t="s">
        <v>226</v>
      </c>
      <c r="C54" t="s">
        <v>160</v>
      </c>
      <c r="D54" t="s">
        <v>216</v>
      </c>
      <c r="E54" t="s">
        <v>217</v>
      </c>
      <c r="F54" t="s">
        <v>129</v>
      </c>
      <c r="G54" t="s">
        <v>2077</v>
      </c>
      <c r="H54" t="s">
        <v>4715</v>
      </c>
      <c r="I54" t="s">
        <v>4767</v>
      </c>
      <c r="L54" t="s">
        <v>4717</v>
      </c>
    </row>
    <row r="55">
      <c r="A55" t="s">
        <v>2124</v>
      </c>
      <c r="B55" t="s">
        <v>226</v>
      </c>
      <c r="C55" t="s">
        <v>160</v>
      </c>
      <c r="D55" t="s">
        <v>216</v>
      </c>
      <c r="E55" t="s">
        <v>217</v>
      </c>
      <c r="F55" t="s">
        <v>129</v>
      </c>
      <c r="G55" t="s">
        <v>2077</v>
      </c>
      <c r="H55" t="s">
        <v>4715</v>
      </c>
      <c r="I55" t="s">
        <v>4768</v>
      </c>
      <c r="L55" t="s">
        <v>4717</v>
      </c>
    </row>
    <row r="56">
      <c r="A56" t="s">
        <v>2124</v>
      </c>
      <c r="B56" t="s">
        <v>226</v>
      </c>
      <c r="C56" t="s">
        <v>160</v>
      </c>
      <c r="D56" t="s">
        <v>216</v>
      </c>
      <c r="E56" t="s">
        <v>217</v>
      </c>
      <c r="F56" t="s">
        <v>129</v>
      </c>
      <c r="G56" t="s">
        <v>2077</v>
      </c>
      <c r="H56" t="s">
        <v>4715</v>
      </c>
      <c r="I56" t="s">
        <v>4769</v>
      </c>
      <c r="L56" t="s">
        <v>4717</v>
      </c>
    </row>
    <row r="57">
      <c r="A57" t="s">
        <v>2127</v>
      </c>
      <c r="B57" t="s">
        <v>231</v>
      </c>
      <c r="C57" t="s">
        <v>160</v>
      </c>
      <c r="D57" t="s">
        <v>216</v>
      </c>
      <c r="E57" t="s">
        <v>217</v>
      </c>
      <c r="F57" t="s">
        <v>154</v>
      </c>
      <c r="H57" t="s">
        <v>4715</v>
      </c>
      <c r="I57" t="s">
        <v>4770</v>
      </c>
      <c r="L57" t="s">
        <v>4717</v>
      </c>
    </row>
    <row r="58">
      <c r="A58" t="s">
        <v>2127</v>
      </c>
      <c r="B58" t="s">
        <v>231</v>
      </c>
      <c r="C58" t="s">
        <v>160</v>
      </c>
      <c r="D58" t="s">
        <v>216</v>
      </c>
      <c r="E58" t="s">
        <v>217</v>
      </c>
      <c r="F58" t="s">
        <v>154</v>
      </c>
      <c r="H58" t="s">
        <v>4715</v>
      </c>
      <c r="I58" t="s">
        <v>4771</v>
      </c>
      <c r="L58" t="s">
        <v>4717</v>
      </c>
    </row>
    <row r="59">
      <c r="A59" t="s">
        <v>2127</v>
      </c>
      <c r="B59" t="s">
        <v>231</v>
      </c>
      <c r="C59" t="s">
        <v>160</v>
      </c>
      <c r="D59" t="s">
        <v>216</v>
      </c>
      <c r="E59" t="s">
        <v>217</v>
      </c>
      <c r="F59" t="s">
        <v>154</v>
      </c>
      <c r="H59" t="s">
        <v>4715</v>
      </c>
      <c r="I59" t="s">
        <v>4772</v>
      </c>
      <c r="L59" t="s">
        <v>4717</v>
      </c>
    </row>
    <row r="60">
      <c r="A60" t="s">
        <v>2130</v>
      </c>
      <c r="B60" t="s">
        <v>240</v>
      </c>
      <c r="C60" t="s">
        <v>160</v>
      </c>
      <c r="D60" t="s">
        <v>216</v>
      </c>
      <c r="E60" t="s">
        <v>238</v>
      </c>
      <c r="F60" t="s">
        <v>154</v>
      </c>
      <c r="H60" t="s">
        <v>4715</v>
      </c>
      <c r="I60" t="s">
        <v>4773</v>
      </c>
      <c r="L60" t="s">
        <v>4717</v>
      </c>
    </row>
    <row r="61">
      <c r="A61" t="s">
        <v>2130</v>
      </c>
      <c r="B61" t="s">
        <v>240</v>
      </c>
      <c r="C61" t="s">
        <v>160</v>
      </c>
      <c r="D61" t="s">
        <v>216</v>
      </c>
      <c r="E61" t="s">
        <v>238</v>
      </c>
      <c r="F61" t="s">
        <v>154</v>
      </c>
      <c r="H61" t="s">
        <v>4715</v>
      </c>
      <c r="I61" t="s">
        <v>4774</v>
      </c>
      <c r="L61" t="s">
        <v>4717</v>
      </c>
    </row>
    <row r="62">
      <c r="A62" t="s">
        <v>2130</v>
      </c>
      <c r="B62" t="s">
        <v>240</v>
      </c>
      <c r="C62" t="s">
        <v>160</v>
      </c>
      <c r="D62" t="s">
        <v>216</v>
      </c>
      <c r="E62" t="s">
        <v>238</v>
      </c>
      <c r="F62" t="s">
        <v>154</v>
      </c>
      <c r="H62" t="s">
        <v>4715</v>
      </c>
      <c r="I62" t="s">
        <v>4775</v>
      </c>
      <c r="L62" t="s">
        <v>4717</v>
      </c>
    </row>
    <row r="63">
      <c r="A63" t="s">
        <v>2133</v>
      </c>
      <c r="B63" t="s">
        <v>248</v>
      </c>
      <c r="C63" t="s">
        <v>160</v>
      </c>
      <c r="D63" t="s">
        <v>216</v>
      </c>
      <c r="E63" t="s">
        <v>238</v>
      </c>
      <c r="F63" t="s">
        <v>129</v>
      </c>
      <c r="G63" t="s">
        <v>2077</v>
      </c>
      <c r="H63" t="s">
        <v>4715</v>
      </c>
      <c r="I63" t="s">
        <v>4776</v>
      </c>
      <c r="L63" t="s">
        <v>4717</v>
      </c>
    </row>
    <row r="64">
      <c r="A64" t="s">
        <v>2133</v>
      </c>
      <c r="B64" t="s">
        <v>248</v>
      </c>
      <c r="C64" t="s">
        <v>160</v>
      </c>
      <c r="D64" t="s">
        <v>216</v>
      </c>
      <c r="E64" t="s">
        <v>238</v>
      </c>
      <c r="F64" t="s">
        <v>129</v>
      </c>
      <c r="G64" t="s">
        <v>2077</v>
      </c>
      <c r="H64" t="s">
        <v>4715</v>
      </c>
      <c r="I64" t="s">
        <v>4777</v>
      </c>
      <c r="L64" t="s">
        <v>4717</v>
      </c>
    </row>
    <row r="65">
      <c r="A65" t="s">
        <v>2133</v>
      </c>
      <c r="B65" t="s">
        <v>248</v>
      </c>
      <c r="C65" t="s">
        <v>160</v>
      </c>
      <c r="D65" t="s">
        <v>216</v>
      </c>
      <c r="E65" t="s">
        <v>238</v>
      </c>
      <c r="F65" t="s">
        <v>129</v>
      </c>
      <c r="G65" t="s">
        <v>2077</v>
      </c>
      <c r="H65" t="s">
        <v>4715</v>
      </c>
      <c r="I65" t="s">
        <v>4778</v>
      </c>
      <c r="L65" t="s">
        <v>4717</v>
      </c>
    </row>
    <row r="66">
      <c r="A66" t="s">
        <v>2136</v>
      </c>
      <c r="B66" t="s">
        <v>254</v>
      </c>
      <c r="C66" t="s">
        <v>160</v>
      </c>
      <c r="D66" t="s">
        <v>216</v>
      </c>
      <c r="E66" t="s">
        <v>238</v>
      </c>
      <c r="F66" t="s">
        <v>120</v>
      </c>
      <c r="H66" t="s">
        <v>4715</v>
      </c>
      <c r="I66" t="s">
        <v>4779</v>
      </c>
      <c r="L66" t="s">
        <v>4717</v>
      </c>
    </row>
    <row r="67">
      <c r="A67" t="s">
        <v>2136</v>
      </c>
      <c r="B67" t="s">
        <v>254</v>
      </c>
      <c r="C67" t="s">
        <v>160</v>
      </c>
      <c r="D67" t="s">
        <v>216</v>
      </c>
      <c r="E67" t="s">
        <v>238</v>
      </c>
      <c r="F67" t="s">
        <v>120</v>
      </c>
      <c r="H67" t="s">
        <v>4715</v>
      </c>
      <c r="I67" t="s">
        <v>4780</v>
      </c>
      <c r="L67" t="s">
        <v>4717</v>
      </c>
    </row>
    <row r="68">
      <c r="A68" t="s">
        <v>2136</v>
      </c>
      <c r="B68" t="s">
        <v>254</v>
      </c>
      <c r="C68" t="s">
        <v>160</v>
      </c>
      <c r="D68" t="s">
        <v>216</v>
      </c>
      <c r="E68" t="s">
        <v>238</v>
      </c>
      <c r="F68" t="s">
        <v>120</v>
      </c>
      <c r="H68" t="s">
        <v>4715</v>
      </c>
      <c r="I68" t="s">
        <v>4781</v>
      </c>
      <c r="L68" t="s">
        <v>4717</v>
      </c>
    </row>
    <row r="69">
      <c r="A69" t="s">
        <v>2140</v>
      </c>
      <c r="B69" t="s">
        <v>263</v>
      </c>
      <c r="C69" t="s">
        <v>160</v>
      </c>
      <c r="D69" t="s">
        <v>260</v>
      </c>
      <c r="E69" t="s">
        <v>261</v>
      </c>
      <c r="F69" t="s">
        <v>129</v>
      </c>
      <c r="G69" t="s">
        <v>2077</v>
      </c>
      <c r="H69" t="s">
        <v>4715</v>
      </c>
      <c r="I69" t="s">
        <v>272</v>
      </c>
      <c r="L69" t="s">
        <v>4717</v>
      </c>
    </row>
    <row r="70">
      <c r="A70" t="s">
        <v>2140</v>
      </c>
      <c r="B70" t="s">
        <v>263</v>
      </c>
      <c r="C70" t="s">
        <v>160</v>
      </c>
      <c r="D70" t="s">
        <v>260</v>
      </c>
      <c r="E70" t="s">
        <v>261</v>
      </c>
      <c r="F70" t="s">
        <v>129</v>
      </c>
      <c r="G70" t="s">
        <v>2077</v>
      </c>
      <c r="H70" t="s">
        <v>4715</v>
      </c>
      <c r="I70" t="s">
        <v>4782</v>
      </c>
      <c r="L70" t="s">
        <v>4717</v>
      </c>
    </row>
    <row r="71">
      <c r="A71" t="s">
        <v>2140</v>
      </c>
      <c r="B71" t="s">
        <v>263</v>
      </c>
      <c r="C71" t="s">
        <v>160</v>
      </c>
      <c r="D71" t="s">
        <v>260</v>
      </c>
      <c r="E71" t="s">
        <v>261</v>
      </c>
      <c r="F71" t="s">
        <v>129</v>
      </c>
      <c r="G71" t="s">
        <v>2077</v>
      </c>
      <c r="H71" t="s">
        <v>4715</v>
      </c>
      <c r="I71" t="s">
        <v>4783</v>
      </c>
      <c r="L71" t="s">
        <v>4717</v>
      </c>
    </row>
    <row r="72">
      <c r="A72" t="s">
        <v>2140</v>
      </c>
      <c r="B72" t="s">
        <v>263</v>
      </c>
      <c r="C72" t="s">
        <v>160</v>
      </c>
      <c r="D72" t="s">
        <v>260</v>
      </c>
      <c r="E72" t="s">
        <v>261</v>
      </c>
      <c r="F72" t="s">
        <v>129</v>
      </c>
      <c r="G72" t="s">
        <v>2077</v>
      </c>
      <c r="H72" t="s">
        <v>4715</v>
      </c>
      <c r="I72" t="s">
        <v>4784</v>
      </c>
      <c r="L72" t="s">
        <v>4717</v>
      </c>
    </row>
    <row r="73">
      <c r="A73" t="s">
        <v>2143</v>
      </c>
      <c r="B73" t="s">
        <v>271</v>
      </c>
      <c r="C73" t="s">
        <v>160</v>
      </c>
      <c r="D73" t="s">
        <v>260</v>
      </c>
      <c r="E73" t="s">
        <v>261</v>
      </c>
      <c r="F73" t="s">
        <v>97</v>
      </c>
      <c r="G73" t="s">
        <v>2078</v>
      </c>
      <c r="H73" t="s">
        <v>4715</v>
      </c>
      <c r="I73" t="s">
        <v>4785</v>
      </c>
      <c r="L73" t="s">
        <v>4717</v>
      </c>
    </row>
    <row r="74">
      <c r="A74" t="s">
        <v>2143</v>
      </c>
      <c r="B74" t="s">
        <v>271</v>
      </c>
      <c r="C74" t="s">
        <v>160</v>
      </c>
      <c r="D74" t="s">
        <v>260</v>
      </c>
      <c r="E74" t="s">
        <v>261</v>
      </c>
      <c r="F74" t="s">
        <v>97</v>
      </c>
      <c r="G74" t="s">
        <v>2078</v>
      </c>
      <c r="H74" t="s">
        <v>4715</v>
      </c>
      <c r="I74" t="s">
        <v>4786</v>
      </c>
      <c r="L74" t="s">
        <v>4717</v>
      </c>
    </row>
    <row r="75">
      <c r="A75" t="s">
        <v>2143</v>
      </c>
      <c r="B75" t="s">
        <v>271</v>
      </c>
      <c r="C75" t="s">
        <v>160</v>
      </c>
      <c r="D75" t="s">
        <v>260</v>
      </c>
      <c r="E75" t="s">
        <v>261</v>
      </c>
      <c r="F75" t="s">
        <v>97</v>
      </c>
      <c r="G75" t="s">
        <v>2078</v>
      </c>
      <c r="H75" t="s">
        <v>4715</v>
      </c>
      <c r="I75" t="s">
        <v>4787</v>
      </c>
      <c r="L75" t="s">
        <v>4717</v>
      </c>
    </row>
    <row r="76">
      <c r="A76" t="s">
        <v>2146</v>
      </c>
      <c r="B76" t="s">
        <v>279</v>
      </c>
      <c r="C76" t="s">
        <v>160</v>
      </c>
      <c r="D76" t="s">
        <v>260</v>
      </c>
      <c r="E76" t="s">
        <v>277</v>
      </c>
      <c r="F76" t="s">
        <v>97</v>
      </c>
      <c r="G76" t="s">
        <v>2078</v>
      </c>
      <c r="H76" t="s">
        <v>4715</v>
      </c>
      <c r="I76" t="s">
        <v>4788</v>
      </c>
      <c r="L76" t="s">
        <v>4717</v>
      </c>
    </row>
    <row r="77">
      <c r="A77" t="s">
        <v>2146</v>
      </c>
      <c r="B77" t="s">
        <v>279</v>
      </c>
      <c r="C77" t="s">
        <v>160</v>
      </c>
      <c r="D77" t="s">
        <v>260</v>
      </c>
      <c r="E77" t="s">
        <v>277</v>
      </c>
      <c r="F77" t="s">
        <v>97</v>
      </c>
      <c r="G77" t="s">
        <v>2078</v>
      </c>
      <c r="H77" t="s">
        <v>4715</v>
      </c>
      <c r="I77" t="s">
        <v>4789</v>
      </c>
      <c r="L77" t="s">
        <v>4717</v>
      </c>
    </row>
    <row r="78">
      <c r="A78" t="s">
        <v>2146</v>
      </c>
      <c r="B78" t="s">
        <v>279</v>
      </c>
      <c r="C78" t="s">
        <v>160</v>
      </c>
      <c r="D78" t="s">
        <v>260</v>
      </c>
      <c r="E78" t="s">
        <v>277</v>
      </c>
      <c r="F78" t="s">
        <v>97</v>
      </c>
      <c r="G78" t="s">
        <v>2078</v>
      </c>
      <c r="H78" t="s">
        <v>4715</v>
      </c>
      <c r="I78" t="s">
        <v>4790</v>
      </c>
      <c r="L78" t="s">
        <v>4717</v>
      </c>
    </row>
    <row r="79">
      <c r="A79" t="s">
        <v>2149</v>
      </c>
      <c r="B79" t="s">
        <v>287</v>
      </c>
      <c r="C79" t="s">
        <v>160</v>
      </c>
      <c r="D79" t="s">
        <v>260</v>
      </c>
      <c r="E79" t="s">
        <v>277</v>
      </c>
      <c r="F79" t="s">
        <v>97</v>
      </c>
      <c r="G79" t="s">
        <v>2078</v>
      </c>
      <c r="H79" t="s">
        <v>4715</v>
      </c>
      <c r="I79" t="s">
        <v>4791</v>
      </c>
      <c r="L79" t="s">
        <v>4717</v>
      </c>
    </row>
    <row r="80">
      <c r="A80" t="s">
        <v>2149</v>
      </c>
      <c r="B80" t="s">
        <v>287</v>
      </c>
      <c r="C80" t="s">
        <v>160</v>
      </c>
      <c r="D80" t="s">
        <v>260</v>
      </c>
      <c r="E80" t="s">
        <v>277</v>
      </c>
      <c r="F80" t="s">
        <v>97</v>
      </c>
      <c r="G80" t="s">
        <v>2078</v>
      </c>
      <c r="H80" t="s">
        <v>4715</v>
      </c>
      <c r="I80" t="s">
        <v>4792</v>
      </c>
      <c r="L80" t="s">
        <v>4717</v>
      </c>
    </row>
    <row r="81">
      <c r="A81" t="s">
        <v>2149</v>
      </c>
      <c r="B81" t="s">
        <v>287</v>
      </c>
      <c r="C81" t="s">
        <v>160</v>
      </c>
      <c r="D81" t="s">
        <v>260</v>
      </c>
      <c r="E81" t="s">
        <v>277</v>
      </c>
      <c r="F81" t="s">
        <v>97</v>
      </c>
      <c r="G81" t="s">
        <v>2078</v>
      </c>
      <c r="H81" t="s">
        <v>4715</v>
      </c>
      <c r="I81" t="s">
        <v>4793</v>
      </c>
      <c r="L81" t="s">
        <v>4717</v>
      </c>
    </row>
    <row r="82">
      <c r="A82" t="s">
        <v>2152</v>
      </c>
      <c r="B82" t="s">
        <v>295</v>
      </c>
      <c r="C82" t="s">
        <v>160</v>
      </c>
      <c r="D82" t="s">
        <v>260</v>
      </c>
      <c r="E82" t="s">
        <v>293</v>
      </c>
      <c r="F82" t="s">
        <v>97</v>
      </c>
      <c r="G82" t="s">
        <v>2078</v>
      </c>
      <c r="H82" t="s">
        <v>4715</v>
      </c>
      <c r="I82" t="s">
        <v>4794</v>
      </c>
      <c r="L82" t="s">
        <v>4717</v>
      </c>
    </row>
    <row r="83">
      <c r="A83" t="s">
        <v>2152</v>
      </c>
      <c r="B83" t="s">
        <v>295</v>
      </c>
      <c r="C83" t="s">
        <v>160</v>
      </c>
      <c r="D83" t="s">
        <v>260</v>
      </c>
      <c r="E83" t="s">
        <v>293</v>
      </c>
      <c r="F83" t="s">
        <v>97</v>
      </c>
      <c r="G83" t="s">
        <v>2078</v>
      </c>
      <c r="H83" t="s">
        <v>4715</v>
      </c>
      <c r="I83" t="s">
        <v>4795</v>
      </c>
      <c r="L83" t="s">
        <v>4717</v>
      </c>
    </row>
    <row r="84">
      <c r="A84" t="s">
        <v>2152</v>
      </c>
      <c r="B84" t="s">
        <v>295</v>
      </c>
      <c r="C84" t="s">
        <v>160</v>
      </c>
      <c r="D84" t="s">
        <v>260</v>
      </c>
      <c r="E84" t="s">
        <v>293</v>
      </c>
      <c r="F84" t="s">
        <v>97</v>
      </c>
      <c r="G84" t="s">
        <v>2078</v>
      </c>
      <c r="H84" t="s">
        <v>4715</v>
      </c>
      <c r="I84" t="s">
        <v>4796</v>
      </c>
      <c r="L84" t="s">
        <v>4717</v>
      </c>
    </row>
    <row r="85">
      <c r="A85" t="s">
        <v>2156</v>
      </c>
      <c r="B85" t="s">
        <v>306</v>
      </c>
      <c r="C85" t="s">
        <v>160</v>
      </c>
      <c r="D85" t="s">
        <v>303</v>
      </c>
      <c r="E85" t="s">
        <v>304</v>
      </c>
      <c r="F85" t="s">
        <v>129</v>
      </c>
      <c r="G85" t="s">
        <v>2077</v>
      </c>
      <c r="H85" t="s">
        <v>4715</v>
      </c>
      <c r="I85" t="s">
        <v>4797</v>
      </c>
      <c r="L85" t="s">
        <v>4717</v>
      </c>
    </row>
    <row r="86">
      <c r="A86" t="s">
        <v>2156</v>
      </c>
      <c r="B86" t="s">
        <v>306</v>
      </c>
      <c r="C86" t="s">
        <v>160</v>
      </c>
      <c r="D86" t="s">
        <v>303</v>
      </c>
      <c r="E86" t="s">
        <v>304</v>
      </c>
      <c r="F86" t="s">
        <v>129</v>
      </c>
      <c r="G86" t="s">
        <v>2077</v>
      </c>
      <c r="H86" t="s">
        <v>4715</v>
      </c>
      <c r="I86" t="s">
        <v>4798</v>
      </c>
      <c r="L86" t="s">
        <v>4717</v>
      </c>
    </row>
    <row r="87">
      <c r="A87" t="s">
        <v>2156</v>
      </c>
      <c r="B87" t="s">
        <v>306</v>
      </c>
      <c r="C87" t="s">
        <v>160</v>
      </c>
      <c r="D87" t="s">
        <v>303</v>
      </c>
      <c r="E87" t="s">
        <v>304</v>
      </c>
      <c r="F87" t="s">
        <v>129</v>
      </c>
      <c r="G87" t="s">
        <v>2077</v>
      </c>
      <c r="H87" t="s">
        <v>4715</v>
      </c>
      <c r="I87" t="s">
        <v>4799</v>
      </c>
      <c r="L87" t="s">
        <v>4717</v>
      </c>
    </row>
    <row r="88">
      <c r="A88" t="s">
        <v>2161</v>
      </c>
      <c r="B88" t="s">
        <v>313</v>
      </c>
      <c r="C88" t="s">
        <v>160</v>
      </c>
      <c r="D88" t="s">
        <v>303</v>
      </c>
      <c r="E88" t="s">
        <v>304</v>
      </c>
      <c r="F88" t="s">
        <v>154</v>
      </c>
      <c r="H88" t="s">
        <v>4715</v>
      </c>
      <c r="I88" t="s">
        <v>4800</v>
      </c>
      <c r="L88" t="s">
        <v>4717</v>
      </c>
    </row>
    <row r="89">
      <c r="A89" t="s">
        <v>2161</v>
      </c>
      <c r="B89" t="s">
        <v>313</v>
      </c>
      <c r="C89" t="s">
        <v>160</v>
      </c>
      <c r="D89" t="s">
        <v>303</v>
      </c>
      <c r="E89" t="s">
        <v>304</v>
      </c>
      <c r="F89" t="s">
        <v>154</v>
      </c>
      <c r="H89" t="s">
        <v>4715</v>
      </c>
      <c r="I89" t="s">
        <v>4801</v>
      </c>
      <c r="L89" t="s">
        <v>4717</v>
      </c>
    </row>
    <row r="90">
      <c r="A90" t="s">
        <v>2161</v>
      </c>
      <c r="B90" t="s">
        <v>313</v>
      </c>
      <c r="C90" t="s">
        <v>160</v>
      </c>
      <c r="D90" t="s">
        <v>303</v>
      </c>
      <c r="E90" t="s">
        <v>304</v>
      </c>
      <c r="F90" t="s">
        <v>154</v>
      </c>
      <c r="H90" t="s">
        <v>4715</v>
      </c>
      <c r="I90" t="s">
        <v>4802</v>
      </c>
      <c r="L90" t="s">
        <v>4717</v>
      </c>
    </row>
    <row r="91">
      <c r="A91" t="s">
        <v>2164</v>
      </c>
      <c r="B91" t="s">
        <v>322</v>
      </c>
      <c r="C91" t="s">
        <v>160</v>
      </c>
      <c r="D91" t="s">
        <v>303</v>
      </c>
      <c r="E91" t="s">
        <v>320</v>
      </c>
      <c r="F91" t="s">
        <v>120</v>
      </c>
      <c r="H91" t="s">
        <v>4715</v>
      </c>
      <c r="I91" t="s">
        <v>4803</v>
      </c>
      <c r="L91" t="s">
        <v>4717</v>
      </c>
    </row>
    <row r="92">
      <c r="A92" t="s">
        <v>2164</v>
      </c>
      <c r="B92" t="s">
        <v>322</v>
      </c>
      <c r="C92" t="s">
        <v>160</v>
      </c>
      <c r="D92" t="s">
        <v>303</v>
      </c>
      <c r="E92" t="s">
        <v>320</v>
      </c>
      <c r="F92" t="s">
        <v>120</v>
      </c>
      <c r="H92" t="s">
        <v>4715</v>
      </c>
      <c r="I92" t="s">
        <v>4804</v>
      </c>
      <c r="L92" t="s">
        <v>4717</v>
      </c>
    </row>
    <row r="93">
      <c r="A93" t="s">
        <v>2164</v>
      </c>
      <c r="B93" t="s">
        <v>322</v>
      </c>
      <c r="C93" t="s">
        <v>160</v>
      </c>
      <c r="D93" t="s">
        <v>303</v>
      </c>
      <c r="E93" t="s">
        <v>320</v>
      </c>
      <c r="F93" t="s">
        <v>120</v>
      </c>
      <c r="H93" t="s">
        <v>4715</v>
      </c>
      <c r="I93" t="s">
        <v>4805</v>
      </c>
      <c r="L93" t="s">
        <v>4717</v>
      </c>
    </row>
    <row r="94">
      <c r="A94" t="s">
        <v>2167</v>
      </c>
      <c r="B94" t="s">
        <v>332</v>
      </c>
      <c r="C94" t="s">
        <v>160</v>
      </c>
      <c r="D94" t="s">
        <v>303</v>
      </c>
      <c r="E94" t="s">
        <v>330</v>
      </c>
      <c r="F94" t="s">
        <v>120</v>
      </c>
      <c r="H94" t="s">
        <v>4715</v>
      </c>
      <c r="I94" t="s">
        <v>4806</v>
      </c>
      <c r="L94" t="s">
        <v>4717</v>
      </c>
    </row>
    <row r="95">
      <c r="A95" t="s">
        <v>2167</v>
      </c>
      <c r="B95" t="s">
        <v>332</v>
      </c>
      <c r="C95" t="s">
        <v>160</v>
      </c>
      <c r="D95" t="s">
        <v>303</v>
      </c>
      <c r="E95" t="s">
        <v>330</v>
      </c>
      <c r="F95" t="s">
        <v>120</v>
      </c>
      <c r="H95" t="s">
        <v>4715</v>
      </c>
      <c r="I95" t="s">
        <v>4807</v>
      </c>
      <c r="L95" t="s">
        <v>4717</v>
      </c>
    </row>
    <row r="96">
      <c r="A96" t="s">
        <v>2167</v>
      </c>
      <c r="B96" t="s">
        <v>332</v>
      </c>
      <c r="C96" t="s">
        <v>160</v>
      </c>
      <c r="D96" t="s">
        <v>303</v>
      </c>
      <c r="E96" t="s">
        <v>330</v>
      </c>
      <c r="F96" t="s">
        <v>120</v>
      </c>
      <c r="H96" t="s">
        <v>4715</v>
      </c>
      <c r="I96" t="s">
        <v>4808</v>
      </c>
      <c r="L96" t="s">
        <v>4717</v>
      </c>
    </row>
    <row r="97">
      <c r="A97" t="s">
        <v>2170</v>
      </c>
      <c r="B97" t="s">
        <v>343</v>
      </c>
      <c r="C97" t="s">
        <v>160</v>
      </c>
      <c r="D97" t="s">
        <v>340</v>
      </c>
      <c r="E97" t="s">
        <v>341</v>
      </c>
      <c r="F97" t="s">
        <v>129</v>
      </c>
      <c r="G97" t="s">
        <v>2078</v>
      </c>
      <c r="H97" t="s">
        <v>4715</v>
      </c>
      <c r="I97" t="s">
        <v>4809</v>
      </c>
      <c r="L97" t="s">
        <v>4717</v>
      </c>
    </row>
    <row r="98">
      <c r="A98" t="s">
        <v>2170</v>
      </c>
      <c r="B98" t="s">
        <v>343</v>
      </c>
      <c r="C98" t="s">
        <v>160</v>
      </c>
      <c r="D98" t="s">
        <v>340</v>
      </c>
      <c r="E98" t="s">
        <v>341</v>
      </c>
      <c r="F98" t="s">
        <v>129</v>
      </c>
      <c r="G98" t="s">
        <v>2078</v>
      </c>
      <c r="H98" t="s">
        <v>4715</v>
      </c>
      <c r="I98" t="s">
        <v>4810</v>
      </c>
      <c r="L98" t="s">
        <v>4717</v>
      </c>
    </row>
    <row r="99">
      <c r="A99" t="s">
        <v>2170</v>
      </c>
      <c r="B99" t="s">
        <v>343</v>
      </c>
      <c r="C99" t="s">
        <v>160</v>
      </c>
      <c r="D99" t="s">
        <v>340</v>
      </c>
      <c r="E99" t="s">
        <v>341</v>
      </c>
      <c r="F99" t="s">
        <v>129</v>
      </c>
      <c r="G99" t="s">
        <v>2078</v>
      </c>
      <c r="H99" t="s">
        <v>4715</v>
      </c>
      <c r="I99" t="s">
        <v>4811</v>
      </c>
      <c r="L99" t="s">
        <v>4717</v>
      </c>
    </row>
    <row r="100">
      <c r="A100" t="s">
        <v>2174</v>
      </c>
      <c r="B100" t="s">
        <v>351</v>
      </c>
      <c r="C100" t="s">
        <v>160</v>
      </c>
      <c r="D100" t="s">
        <v>340</v>
      </c>
      <c r="E100" t="s">
        <v>341</v>
      </c>
      <c r="F100" t="s">
        <v>97</v>
      </c>
      <c r="G100" t="s">
        <v>2078</v>
      </c>
      <c r="H100" t="s">
        <v>4715</v>
      </c>
      <c r="I100" t="s">
        <v>4812</v>
      </c>
      <c r="L100" t="s">
        <v>4717</v>
      </c>
    </row>
    <row r="101">
      <c r="A101" t="s">
        <v>2174</v>
      </c>
      <c r="B101" t="s">
        <v>351</v>
      </c>
      <c r="C101" t="s">
        <v>160</v>
      </c>
      <c r="D101" t="s">
        <v>340</v>
      </c>
      <c r="E101" t="s">
        <v>341</v>
      </c>
      <c r="F101" t="s">
        <v>97</v>
      </c>
      <c r="G101" t="s">
        <v>2078</v>
      </c>
      <c r="H101" t="s">
        <v>4715</v>
      </c>
      <c r="I101" t="s">
        <v>4813</v>
      </c>
      <c r="L101" t="s">
        <v>4717</v>
      </c>
    </row>
    <row r="102">
      <c r="A102" t="s">
        <v>2174</v>
      </c>
      <c r="B102" t="s">
        <v>351</v>
      </c>
      <c r="C102" t="s">
        <v>160</v>
      </c>
      <c r="D102" t="s">
        <v>340</v>
      </c>
      <c r="E102" t="s">
        <v>341</v>
      </c>
      <c r="F102" t="s">
        <v>97</v>
      </c>
      <c r="G102" t="s">
        <v>2078</v>
      </c>
      <c r="H102" t="s">
        <v>4715</v>
      </c>
      <c r="I102" t="s">
        <v>4814</v>
      </c>
      <c r="L102" t="s">
        <v>4717</v>
      </c>
    </row>
    <row r="103">
      <c r="A103" t="s">
        <v>2174</v>
      </c>
      <c r="B103" t="s">
        <v>351</v>
      </c>
      <c r="C103" t="s">
        <v>160</v>
      </c>
      <c r="D103" t="s">
        <v>340</v>
      </c>
      <c r="E103" t="s">
        <v>341</v>
      </c>
      <c r="F103" t="s">
        <v>97</v>
      </c>
      <c r="G103" t="s">
        <v>2078</v>
      </c>
      <c r="H103" t="s">
        <v>4715</v>
      </c>
      <c r="I103" t="s">
        <v>4815</v>
      </c>
      <c r="L103" t="s">
        <v>4717</v>
      </c>
    </row>
    <row r="104">
      <c r="A104" t="s">
        <v>2174</v>
      </c>
      <c r="B104" t="s">
        <v>351</v>
      </c>
      <c r="C104" t="s">
        <v>160</v>
      </c>
      <c r="D104" t="s">
        <v>340</v>
      </c>
      <c r="E104" t="s">
        <v>341</v>
      </c>
      <c r="F104" t="s">
        <v>97</v>
      </c>
      <c r="G104" t="s">
        <v>2078</v>
      </c>
      <c r="H104" t="s">
        <v>4715</v>
      </c>
      <c r="I104" t="s">
        <v>4816</v>
      </c>
      <c r="L104" t="s">
        <v>4717</v>
      </c>
    </row>
    <row r="105">
      <c r="A105" t="s">
        <v>2177</v>
      </c>
      <c r="B105" t="s">
        <v>357</v>
      </c>
      <c r="C105" t="s">
        <v>160</v>
      </c>
      <c r="D105" t="s">
        <v>340</v>
      </c>
      <c r="E105" t="s">
        <v>341</v>
      </c>
      <c r="F105" t="s">
        <v>97</v>
      </c>
      <c r="G105" t="s">
        <v>2078</v>
      </c>
      <c r="H105" t="s">
        <v>4715</v>
      </c>
      <c r="I105" t="s">
        <v>4817</v>
      </c>
      <c r="L105" t="s">
        <v>4717</v>
      </c>
    </row>
    <row r="106">
      <c r="A106" t="s">
        <v>2177</v>
      </c>
      <c r="B106" t="s">
        <v>357</v>
      </c>
      <c r="C106" t="s">
        <v>160</v>
      </c>
      <c r="D106" t="s">
        <v>340</v>
      </c>
      <c r="E106" t="s">
        <v>341</v>
      </c>
      <c r="F106" t="s">
        <v>97</v>
      </c>
      <c r="G106" t="s">
        <v>2078</v>
      </c>
      <c r="H106" t="s">
        <v>4715</v>
      </c>
      <c r="I106" t="s">
        <v>4818</v>
      </c>
      <c r="L106" t="s">
        <v>4717</v>
      </c>
    </row>
    <row r="107">
      <c r="A107" t="s">
        <v>2177</v>
      </c>
      <c r="B107" t="s">
        <v>357</v>
      </c>
      <c r="C107" t="s">
        <v>160</v>
      </c>
      <c r="D107" t="s">
        <v>340</v>
      </c>
      <c r="E107" t="s">
        <v>341</v>
      </c>
      <c r="F107" t="s">
        <v>97</v>
      </c>
      <c r="G107" t="s">
        <v>2078</v>
      </c>
      <c r="H107" t="s">
        <v>4715</v>
      </c>
      <c r="I107" t="s">
        <v>4819</v>
      </c>
      <c r="L107" t="s">
        <v>4717</v>
      </c>
    </row>
    <row r="108">
      <c r="A108" t="s">
        <v>2180</v>
      </c>
      <c r="B108" t="s">
        <v>363</v>
      </c>
      <c r="C108" t="s">
        <v>160</v>
      </c>
      <c r="D108" t="s">
        <v>340</v>
      </c>
      <c r="E108" t="s">
        <v>341</v>
      </c>
      <c r="F108" t="s">
        <v>97</v>
      </c>
      <c r="G108" t="s">
        <v>2078</v>
      </c>
      <c r="H108" t="s">
        <v>4715</v>
      </c>
      <c r="I108" t="s">
        <v>4820</v>
      </c>
      <c r="L108" t="s">
        <v>4717</v>
      </c>
    </row>
    <row r="109">
      <c r="A109" t="s">
        <v>2180</v>
      </c>
      <c r="B109" t="s">
        <v>363</v>
      </c>
      <c r="C109" t="s">
        <v>160</v>
      </c>
      <c r="D109" t="s">
        <v>340</v>
      </c>
      <c r="E109" t="s">
        <v>341</v>
      </c>
      <c r="F109" t="s">
        <v>97</v>
      </c>
      <c r="G109" t="s">
        <v>2078</v>
      </c>
      <c r="H109" t="s">
        <v>4715</v>
      </c>
      <c r="I109" t="s">
        <v>4816</v>
      </c>
      <c r="L109" t="s">
        <v>4717</v>
      </c>
    </row>
    <row r="110">
      <c r="A110" t="s">
        <v>2180</v>
      </c>
      <c r="B110" t="s">
        <v>363</v>
      </c>
      <c r="C110" t="s">
        <v>160</v>
      </c>
      <c r="D110" t="s">
        <v>340</v>
      </c>
      <c r="E110" t="s">
        <v>341</v>
      </c>
      <c r="F110" t="s">
        <v>97</v>
      </c>
      <c r="G110" t="s">
        <v>2078</v>
      </c>
      <c r="H110" t="s">
        <v>4715</v>
      </c>
      <c r="I110" t="s">
        <v>4821</v>
      </c>
      <c r="L110" t="s">
        <v>4717</v>
      </c>
    </row>
    <row r="111">
      <c r="A111" t="s">
        <v>2184</v>
      </c>
      <c r="B111" t="s">
        <v>369</v>
      </c>
      <c r="C111" t="s">
        <v>160</v>
      </c>
      <c r="D111" t="s">
        <v>340</v>
      </c>
      <c r="E111" t="s">
        <v>341</v>
      </c>
      <c r="F111" t="s">
        <v>120</v>
      </c>
      <c r="H111" t="s">
        <v>4715</v>
      </c>
      <c r="I111" t="s">
        <v>4822</v>
      </c>
      <c r="L111" t="s">
        <v>4717</v>
      </c>
    </row>
    <row r="112">
      <c r="A112" t="s">
        <v>2184</v>
      </c>
      <c r="B112" t="s">
        <v>369</v>
      </c>
      <c r="C112" t="s">
        <v>160</v>
      </c>
      <c r="D112" t="s">
        <v>340</v>
      </c>
      <c r="E112" t="s">
        <v>341</v>
      </c>
      <c r="F112" t="s">
        <v>120</v>
      </c>
      <c r="H112" t="s">
        <v>4715</v>
      </c>
      <c r="I112" t="s">
        <v>4823</v>
      </c>
      <c r="L112" t="s">
        <v>4717</v>
      </c>
    </row>
    <row r="113">
      <c r="A113" t="s">
        <v>2184</v>
      </c>
      <c r="B113" t="s">
        <v>369</v>
      </c>
      <c r="C113" t="s">
        <v>160</v>
      </c>
      <c r="D113" t="s">
        <v>340</v>
      </c>
      <c r="E113" t="s">
        <v>341</v>
      </c>
      <c r="F113" t="s">
        <v>120</v>
      </c>
      <c r="H113" t="s">
        <v>4715</v>
      </c>
      <c r="I113" t="s">
        <v>4824</v>
      </c>
      <c r="L113" t="s">
        <v>4717</v>
      </c>
    </row>
    <row r="114">
      <c r="A114" t="s">
        <v>2188</v>
      </c>
      <c r="B114" t="s">
        <v>378</v>
      </c>
      <c r="C114" t="s">
        <v>160</v>
      </c>
      <c r="D114" t="s">
        <v>340</v>
      </c>
      <c r="E114" t="s">
        <v>376</v>
      </c>
      <c r="F114" t="s">
        <v>97</v>
      </c>
      <c r="G114" t="s">
        <v>2078</v>
      </c>
      <c r="H114" t="s">
        <v>4715</v>
      </c>
      <c r="I114" t="s">
        <v>4825</v>
      </c>
      <c r="L114" t="s">
        <v>4717</v>
      </c>
    </row>
    <row r="115">
      <c r="A115" t="s">
        <v>2188</v>
      </c>
      <c r="B115" t="s">
        <v>378</v>
      </c>
      <c r="C115" t="s">
        <v>160</v>
      </c>
      <c r="D115" t="s">
        <v>340</v>
      </c>
      <c r="E115" t="s">
        <v>376</v>
      </c>
      <c r="F115" t="s">
        <v>97</v>
      </c>
      <c r="G115" t="s">
        <v>2078</v>
      </c>
      <c r="H115" t="s">
        <v>4715</v>
      </c>
      <c r="I115" t="s">
        <v>4826</v>
      </c>
      <c r="L115" t="s">
        <v>4717</v>
      </c>
    </row>
    <row r="116">
      <c r="A116" t="s">
        <v>2188</v>
      </c>
      <c r="B116" t="s">
        <v>378</v>
      </c>
      <c r="C116" t="s">
        <v>160</v>
      </c>
      <c r="D116" t="s">
        <v>340</v>
      </c>
      <c r="E116" t="s">
        <v>376</v>
      </c>
      <c r="F116" t="s">
        <v>97</v>
      </c>
      <c r="G116" t="s">
        <v>2078</v>
      </c>
      <c r="H116" t="s">
        <v>4715</v>
      </c>
      <c r="I116" t="s">
        <v>4827</v>
      </c>
      <c r="L116" t="s">
        <v>4717</v>
      </c>
    </row>
    <row r="117">
      <c r="A117" t="s">
        <v>2191</v>
      </c>
      <c r="B117" t="s">
        <v>387</v>
      </c>
      <c r="C117" t="s">
        <v>160</v>
      </c>
      <c r="D117" t="s">
        <v>340</v>
      </c>
      <c r="E117" t="s">
        <v>385</v>
      </c>
      <c r="F117" t="s">
        <v>97</v>
      </c>
      <c r="G117" t="s">
        <v>2078</v>
      </c>
      <c r="H117" t="s">
        <v>4715</v>
      </c>
      <c r="I117" t="s">
        <v>4828</v>
      </c>
      <c r="L117" t="s">
        <v>4717</v>
      </c>
    </row>
    <row r="118">
      <c r="A118" t="s">
        <v>2191</v>
      </c>
      <c r="B118" t="s">
        <v>387</v>
      </c>
      <c r="C118" t="s">
        <v>160</v>
      </c>
      <c r="D118" t="s">
        <v>340</v>
      </c>
      <c r="E118" t="s">
        <v>385</v>
      </c>
      <c r="F118" t="s">
        <v>97</v>
      </c>
      <c r="G118" t="s">
        <v>2078</v>
      </c>
      <c r="H118" t="s">
        <v>4715</v>
      </c>
      <c r="I118" t="s">
        <v>4753</v>
      </c>
      <c r="L118" t="s">
        <v>4717</v>
      </c>
    </row>
    <row r="119">
      <c r="A119" t="s">
        <v>2191</v>
      </c>
      <c r="B119" t="s">
        <v>387</v>
      </c>
      <c r="C119" t="s">
        <v>160</v>
      </c>
      <c r="D119" t="s">
        <v>340</v>
      </c>
      <c r="E119" t="s">
        <v>385</v>
      </c>
      <c r="F119" t="s">
        <v>97</v>
      </c>
      <c r="G119" t="s">
        <v>2078</v>
      </c>
      <c r="H119" t="s">
        <v>4715</v>
      </c>
      <c r="I119" t="s">
        <v>4829</v>
      </c>
      <c r="L119" t="s">
        <v>4717</v>
      </c>
    </row>
    <row r="120">
      <c r="A120" t="s">
        <v>2193</v>
      </c>
      <c r="B120" t="s">
        <v>394</v>
      </c>
      <c r="C120" t="s">
        <v>160</v>
      </c>
      <c r="D120" t="s">
        <v>340</v>
      </c>
      <c r="E120" t="s">
        <v>385</v>
      </c>
      <c r="F120" t="s">
        <v>97</v>
      </c>
      <c r="G120" t="s">
        <v>2078</v>
      </c>
      <c r="H120" t="s">
        <v>4715</v>
      </c>
      <c r="I120" t="s">
        <v>4830</v>
      </c>
      <c r="L120" t="s">
        <v>4717</v>
      </c>
    </row>
    <row r="121">
      <c r="A121" t="s">
        <v>2193</v>
      </c>
      <c r="B121" t="s">
        <v>394</v>
      </c>
      <c r="C121" t="s">
        <v>160</v>
      </c>
      <c r="D121" t="s">
        <v>340</v>
      </c>
      <c r="E121" t="s">
        <v>385</v>
      </c>
      <c r="F121" t="s">
        <v>97</v>
      </c>
      <c r="G121" t="s">
        <v>2078</v>
      </c>
      <c r="H121" t="s">
        <v>4715</v>
      </c>
      <c r="I121" t="s">
        <v>4831</v>
      </c>
      <c r="L121" t="s">
        <v>4717</v>
      </c>
    </row>
    <row r="122">
      <c r="A122" t="s">
        <v>2193</v>
      </c>
      <c r="B122" t="s">
        <v>394</v>
      </c>
      <c r="C122" t="s">
        <v>160</v>
      </c>
      <c r="D122" t="s">
        <v>340</v>
      </c>
      <c r="E122" t="s">
        <v>385</v>
      </c>
      <c r="F122" t="s">
        <v>97</v>
      </c>
      <c r="G122" t="s">
        <v>2078</v>
      </c>
      <c r="H122" t="s">
        <v>4715</v>
      </c>
      <c r="I122" t="s">
        <v>4832</v>
      </c>
      <c r="L122" t="s">
        <v>4717</v>
      </c>
    </row>
    <row r="123">
      <c r="A123" t="s">
        <v>2196</v>
      </c>
      <c r="B123" t="s">
        <v>400</v>
      </c>
      <c r="C123" t="s">
        <v>160</v>
      </c>
      <c r="D123" t="s">
        <v>340</v>
      </c>
      <c r="E123" t="s">
        <v>385</v>
      </c>
      <c r="F123" t="s">
        <v>97</v>
      </c>
      <c r="G123" t="s">
        <v>2078</v>
      </c>
      <c r="H123" t="s">
        <v>4715</v>
      </c>
      <c r="I123" t="s">
        <v>4833</v>
      </c>
      <c r="L123" t="s">
        <v>4717</v>
      </c>
    </row>
    <row r="124">
      <c r="A124" t="s">
        <v>2196</v>
      </c>
      <c r="B124" t="s">
        <v>400</v>
      </c>
      <c r="C124" t="s">
        <v>160</v>
      </c>
      <c r="D124" t="s">
        <v>340</v>
      </c>
      <c r="E124" t="s">
        <v>385</v>
      </c>
      <c r="F124" t="s">
        <v>97</v>
      </c>
      <c r="G124" t="s">
        <v>2078</v>
      </c>
      <c r="H124" t="s">
        <v>4715</v>
      </c>
      <c r="I124" t="s">
        <v>4834</v>
      </c>
      <c r="L124" t="s">
        <v>4717</v>
      </c>
    </row>
    <row r="125">
      <c r="A125" t="s">
        <v>2196</v>
      </c>
      <c r="B125" t="s">
        <v>400</v>
      </c>
      <c r="C125" t="s">
        <v>160</v>
      </c>
      <c r="D125" t="s">
        <v>340</v>
      </c>
      <c r="E125" t="s">
        <v>385</v>
      </c>
      <c r="F125" t="s">
        <v>97</v>
      </c>
      <c r="G125" t="s">
        <v>2078</v>
      </c>
      <c r="H125" t="s">
        <v>4715</v>
      </c>
      <c r="I125" t="s">
        <v>4835</v>
      </c>
      <c r="L125" t="s">
        <v>4717</v>
      </c>
    </row>
    <row r="126">
      <c r="A126" t="s">
        <v>2199</v>
      </c>
      <c r="B126" t="s">
        <v>410</v>
      </c>
      <c r="C126" t="s">
        <v>160</v>
      </c>
      <c r="D126" t="s">
        <v>407</v>
      </c>
      <c r="E126" t="s">
        <v>408</v>
      </c>
      <c r="F126" t="s">
        <v>129</v>
      </c>
      <c r="G126" t="s">
        <v>2078</v>
      </c>
      <c r="H126" t="s">
        <v>4715</v>
      </c>
      <c r="I126" t="s">
        <v>4836</v>
      </c>
      <c r="L126" t="s">
        <v>4717</v>
      </c>
    </row>
    <row r="127">
      <c r="A127" t="s">
        <v>2199</v>
      </c>
      <c r="B127" t="s">
        <v>410</v>
      </c>
      <c r="C127" t="s">
        <v>160</v>
      </c>
      <c r="D127" t="s">
        <v>407</v>
      </c>
      <c r="E127" t="s">
        <v>408</v>
      </c>
      <c r="F127" t="s">
        <v>129</v>
      </c>
      <c r="G127" t="s">
        <v>2078</v>
      </c>
      <c r="H127" t="s">
        <v>4715</v>
      </c>
      <c r="I127" t="s">
        <v>4837</v>
      </c>
      <c r="L127" t="s">
        <v>4717</v>
      </c>
    </row>
    <row r="128">
      <c r="A128" t="s">
        <v>2199</v>
      </c>
      <c r="B128" t="s">
        <v>410</v>
      </c>
      <c r="C128" t="s">
        <v>160</v>
      </c>
      <c r="D128" t="s">
        <v>407</v>
      </c>
      <c r="E128" t="s">
        <v>408</v>
      </c>
      <c r="F128" t="s">
        <v>129</v>
      </c>
      <c r="G128" t="s">
        <v>2078</v>
      </c>
      <c r="H128" t="s">
        <v>4715</v>
      </c>
      <c r="I128" t="s">
        <v>4838</v>
      </c>
      <c r="L128" t="s">
        <v>4717</v>
      </c>
    </row>
    <row r="129">
      <c r="A129" t="s">
        <v>2203</v>
      </c>
      <c r="B129" t="s">
        <v>417</v>
      </c>
      <c r="C129" t="s">
        <v>160</v>
      </c>
      <c r="D129" t="s">
        <v>407</v>
      </c>
      <c r="E129" t="s">
        <v>408</v>
      </c>
      <c r="F129" t="s">
        <v>97</v>
      </c>
      <c r="G129" t="s">
        <v>2078</v>
      </c>
      <c r="H129" t="s">
        <v>4715</v>
      </c>
      <c r="I129" t="s">
        <v>4839</v>
      </c>
      <c r="L129" t="s">
        <v>4717</v>
      </c>
    </row>
    <row r="130">
      <c r="A130" t="s">
        <v>2203</v>
      </c>
      <c r="B130" t="s">
        <v>417</v>
      </c>
      <c r="C130" t="s">
        <v>160</v>
      </c>
      <c r="D130" t="s">
        <v>407</v>
      </c>
      <c r="E130" t="s">
        <v>408</v>
      </c>
      <c r="F130" t="s">
        <v>97</v>
      </c>
      <c r="G130" t="s">
        <v>2078</v>
      </c>
      <c r="H130" t="s">
        <v>4715</v>
      </c>
      <c r="I130" t="s">
        <v>4840</v>
      </c>
      <c r="L130" t="s">
        <v>4717</v>
      </c>
    </row>
    <row r="131">
      <c r="A131" t="s">
        <v>2203</v>
      </c>
      <c r="B131" t="s">
        <v>417</v>
      </c>
      <c r="C131" t="s">
        <v>160</v>
      </c>
      <c r="D131" t="s">
        <v>407</v>
      </c>
      <c r="E131" t="s">
        <v>408</v>
      </c>
      <c r="F131" t="s">
        <v>97</v>
      </c>
      <c r="G131" t="s">
        <v>2078</v>
      </c>
      <c r="H131" t="s">
        <v>4715</v>
      </c>
      <c r="I131" t="s">
        <v>4841</v>
      </c>
      <c r="L131" t="s">
        <v>4717</v>
      </c>
    </row>
    <row r="132">
      <c r="A132" t="s">
        <v>2206</v>
      </c>
      <c r="B132" t="s">
        <v>423</v>
      </c>
      <c r="C132" t="s">
        <v>160</v>
      </c>
      <c r="D132" t="s">
        <v>407</v>
      </c>
      <c r="E132" t="s">
        <v>408</v>
      </c>
      <c r="F132" t="s">
        <v>154</v>
      </c>
      <c r="H132" t="s">
        <v>4715</v>
      </c>
      <c r="I132" t="s">
        <v>4842</v>
      </c>
      <c r="L132" t="s">
        <v>4717</v>
      </c>
    </row>
    <row r="133">
      <c r="A133" t="s">
        <v>2206</v>
      </c>
      <c r="B133" t="s">
        <v>423</v>
      </c>
      <c r="C133" t="s">
        <v>160</v>
      </c>
      <c r="D133" t="s">
        <v>407</v>
      </c>
      <c r="E133" t="s">
        <v>408</v>
      </c>
      <c r="F133" t="s">
        <v>154</v>
      </c>
      <c r="H133" t="s">
        <v>4715</v>
      </c>
      <c r="I133" t="s">
        <v>4843</v>
      </c>
      <c r="L133" t="s">
        <v>4717</v>
      </c>
    </row>
    <row r="134">
      <c r="A134" t="s">
        <v>2206</v>
      </c>
      <c r="B134" t="s">
        <v>423</v>
      </c>
      <c r="C134" t="s">
        <v>160</v>
      </c>
      <c r="D134" t="s">
        <v>407</v>
      </c>
      <c r="E134" t="s">
        <v>408</v>
      </c>
      <c r="F134" t="s">
        <v>154</v>
      </c>
      <c r="H134" t="s">
        <v>4715</v>
      </c>
      <c r="I134" t="s">
        <v>4844</v>
      </c>
      <c r="L134" t="s">
        <v>4717</v>
      </c>
    </row>
    <row r="135">
      <c r="A135" t="s">
        <v>2209</v>
      </c>
      <c r="B135" t="s">
        <v>432</v>
      </c>
      <c r="C135" t="s">
        <v>160</v>
      </c>
      <c r="D135" t="s">
        <v>407</v>
      </c>
      <c r="E135" t="s">
        <v>430</v>
      </c>
      <c r="F135" t="s">
        <v>154</v>
      </c>
      <c r="H135" t="s">
        <v>4715</v>
      </c>
      <c r="I135" t="s">
        <v>4845</v>
      </c>
      <c r="L135" t="s">
        <v>4717</v>
      </c>
    </row>
    <row r="136">
      <c r="A136" t="s">
        <v>2209</v>
      </c>
      <c r="B136" t="s">
        <v>432</v>
      </c>
      <c r="C136" t="s">
        <v>160</v>
      </c>
      <c r="D136" t="s">
        <v>407</v>
      </c>
      <c r="E136" t="s">
        <v>430</v>
      </c>
      <c r="F136" t="s">
        <v>154</v>
      </c>
      <c r="H136" t="s">
        <v>4715</v>
      </c>
      <c r="I136" t="s">
        <v>4846</v>
      </c>
      <c r="L136" t="s">
        <v>4717</v>
      </c>
    </row>
    <row r="137">
      <c r="A137" t="s">
        <v>2209</v>
      </c>
      <c r="B137" t="s">
        <v>432</v>
      </c>
      <c r="C137" t="s">
        <v>160</v>
      </c>
      <c r="D137" t="s">
        <v>407</v>
      </c>
      <c r="E137" t="s">
        <v>430</v>
      </c>
      <c r="F137" t="s">
        <v>154</v>
      </c>
      <c r="H137" t="s">
        <v>4715</v>
      </c>
      <c r="I137" t="s">
        <v>4847</v>
      </c>
      <c r="L137" t="s">
        <v>4717</v>
      </c>
    </row>
    <row r="138">
      <c r="A138" t="s">
        <v>2212</v>
      </c>
      <c r="B138" t="s">
        <v>439</v>
      </c>
      <c r="C138" t="s">
        <v>160</v>
      </c>
      <c r="D138" t="s">
        <v>407</v>
      </c>
      <c r="E138" t="s">
        <v>430</v>
      </c>
      <c r="F138" t="s">
        <v>120</v>
      </c>
      <c r="H138" t="s">
        <v>4715</v>
      </c>
      <c r="I138" t="s">
        <v>4848</v>
      </c>
      <c r="L138" t="s">
        <v>4717</v>
      </c>
    </row>
    <row r="139">
      <c r="A139" t="s">
        <v>2212</v>
      </c>
      <c r="B139" t="s">
        <v>439</v>
      </c>
      <c r="C139" t="s">
        <v>160</v>
      </c>
      <c r="D139" t="s">
        <v>407</v>
      </c>
      <c r="E139" t="s">
        <v>430</v>
      </c>
      <c r="F139" t="s">
        <v>120</v>
      </c>
      <c r="H139" t="s">
        <v>4715</v>
      </c>
      <c r="I139" t="s">
        <v>4849</v>
      </c>
      <c r="L139" t="s">
        <v>4717</v>
      </c>
    </row>
    <row r="140">
      <c r="A140" t="s">
        <v>2212</v>
      </c>
      <c r="B140" t="s">
        <v>439</v>
      </c>
      <c r="C140" t="s">
        <v>160</v>
      </c>
      <c r="D140" t="s">
        <v>407</v>
      </c>
      <c r="E140" t="s">
        <v>430</v>
      </c>
      <c r="F140" t="s">
        <v>120</v>
      </c>
      <c r="H140" t="s">
        <v>4715</v>
      </c>
      <c r="I140" t="s">
        <v>4850</v>
      </c>
      <c r="L140" t="s">
        <v>4717</v>
      </c>
    </row>
    <row r="141">
      <c r="A141" t="s">
        <v>2215</v>
      </c>
      <c r="B141" t="s">
        <v>447</v>
      </c>
      <c r="C141" t="s">
        <v>160</v>
      </c>
      <c r="D141" t="s">
        <v>407</v>
      </c>
      <c r="E141" t="s">
        <v>430</v>
      </c>
      <c r="F141" t="s">
        <v>120</v>
      </c>
      <c r="H141" t="s">
        <v>4715</v>
      </c>
      <c r="I141" t="s">
        <v>4851</v>
      </c>
      <c r="L141" t="s">
        <v>4717</v>
      </c>
    </row>
    <row r="142">
      <c r="A142" t="s">
        <v>2215</v>
      </c>
      <c r="B142" t="s">
        <v>447</v>
      </c>
      <c r="C142" t="s">
        <v>160</v>
      </c>
      <c r="D142" t="s">
        <v>407</v>
      </c>
      <c r="E142" t="s">
        <v>430</v>
      </c>
      <c r="F142" t="s">
        <v>120</v>
      </c>
      <c r="H142" t="s">
        <v>4715</v>
      </c>
      <c r="I142" t="s">
        <v>4852</v>
      </c>
      <c r="L142" t="s">
        <v>4717</v>
      </c>
    </row>
    <row r="143">
      <c r="A143" t="s">
        <v>2215</v>
      </c>
      <c r="B143" t="s">
        <v>447</v>
      </c>
      <c r="C143" t="s">
        <v>160</v>
      </c>
      <c r="D143" t="s">
        <v>407</v>
      </c>
      <c r="E143" t="s">
        <v>430</v>
      </c>
      <c r="F143" t="s">
        <v>120</v>
      </c>
      <c r="H143" t="s">
        <v>4715</v>
      </c>
      <c r="I143" t="s">
        <v>4853</v>
      </c>
      <c r="L143" t="s">
        <v>4717</v>
      </c>
    </row>
    <row r="144">
      <c r="A144" t="s">
        <v>2218</v>
      </c>
      <c r="B144" t="s">
        <v>455</v>
      </c>
      <c r="C144" t="s">
        <v>160</v>
      </c>
      <c r="D144" t="s">
        <v>407</v>
      </c>
      <c r="E144" t="s">
        <v>430</v>
      </c>
      <c r="F144" t="s">
        <v>120</v>
      </c>
      <c r="H144" t="s">
        <v>4715</v>
      </c>
      <c r="I144" t="s">
        <v>4854</v>
      </c>
      <c r="L144" t="s">
        <v>4717</v>
      </c>
    </row>
    <row r="145">
      <c r="A145" t="s">
        <v>2218</v>
      </c>
      <c r="B145" t="s">
        <v>455</v>
      </c>
      <c r="C145" t="s">
        <v>160</v>
      </c>
      <c r="D145" t="s">
        <v>407</v>
      </c>
      <c r="E145" t="s">
        <v>430</v>
      </c>
      <c r="F145" t="s">
        <v>120</v>
      </c>
      <c r="H145" t="s">
        <v>4715</v>
      </c>
      <c r="I145" t="s">
        <v>4855</v>
      </c>
      <c r="L145" t="s">
        <v>4717</v>
      </c>
    </row>
    <row r="146">
      <c r="A146" t="s">
        <v>2218</v>
      </c>
      <c r="B146" t="s">
        <v>455</v>
      </c>
      <c r="C146" t="s">
        <v>160</v>
      </c>
      <c r="D146" t="s">
        <v>407</v>
      </c>
      <c r="E146" t="s">
        <v>430</v>
      </c>
      <c r="F146" t="s">
        <v>120</v>
      </c>
      <c r="H146" t="s">
        <v>4715</v>
      </c>
      <c r="I146" t="s">
        <v>4856</v>
      </c>
      <c r="L146" t="s">
        <v>4717</v>
      </c>
    </row>
    <row r="147">
      <c r="A147" t="s">
        <v>2218</v>
      </c>
      <c r="B147" t="s">
        <v>455</v>
      </c>
      <c r="C147" t="s">
        <v>160</v>
      </c>
      <c r="D147" t="s">
        <v>407</v>
      </c>
      <c r="E147" t="s">
        <v>430</v>
      </c>
      <c r="F147" t="s">
        <v>120</v>
      </c>
      <c r="H147" t="s">
        <v>4715</v>
      </c>
      <c r="I147" t="s">
        <v>4857</v>
      </c>
      <c r="L147" t="s">
        <v>4717</v>
      </c>
    </row>
    <row r="148">
      <c r="A148" t="s">
        <v>2224</v>
      </c>
      <c r="B148" t="s">
        <v>467</v>
      </c>
      <c r="C148" t="s">
        <v>463</v>
      </c>
      <c r="D148" t="s">
        <v>464</v>
      </c>
      <c r="E148" t="s">
        <v>465</v>
      </c>
      <c r="F148" t="s">
        <v>154</v>
      </c>
      <c r="H148" t="s">
        <v>4715</v>
      </c>
      <c r="I148" t="s">
        <v>4858</v>
      </c>
      <c r="L148" t="s">
        <v>4717</v>
      </c>
    </row>
    <row r="149">
      <c r="A149" t="s">
        <v>2224</v>
      </c>
      <c r="B149" t="s">
        <v>467</v>
      </c>
      <c r="C149" t="s">
        <v>463</v>
      </c>
      <c r="D149" t="s">
        <v>464</v>
      </c>
      <c r="E149" t="s">
        <v>465</v>
      </c>
      <c r="F149" t="s">
        <v>154</v>
      </c>
      <c r="H149" t="s">
        <v>4715</v>
      </c>
      <c r="I149" t="s">
        <v>4859</v>
      </c>
      <c r="L149" t="s">
        <v>4717</v>
      </c>
    </row>
    <row r="150">
      <c r="A150" t="s">
        <v>2224</v>
      </c>
      <c r="B150" t="s">
        <v>467</v>
      </c>
      <c r="C150" t="s">
        <v>463</v>
      </c>
      <c r="D150" t="s">
        <v>464</v>
      </c>
      <c r="E150" t="s">
        <v>465</v>
      </c>
      <c r="F150" t="s">
        <v>154</v>
      </c>
      <c r="H150" t="s">
        <v>4715</v>
      </c>
      <c r="I150" t="s">
        <v>4860</v>
      </c>
      <c r="L150" t="s">
        <v>4717</v>
      </c>
    </row>
    <row r="151">
      <c r="A151" t="s">
        <v>2230</v>
      </c>
      <c r="B151" t="s">
        <v>475</v>
      </c>
      <c r="C151" t="s">
        <v>463</v>
      </c>
      <c r="D151" t="s">
        <v>464</v>
      </c>
      <c r="E151" t="s">
        <v>465</v>
      </c>
      <c r="F151" t="s">
        <v>120</v>
      </c>
      <c r="H151" t="s">
        <v>4715</v>
      </c>
      <c r="I151" t="s">
        <v>4861</v>
      </c>
      <c r="L151" t="s">
        <v>4717</v>
      </c>
    </row>
    <row r="152">
      <c r="A152" t="s">
        <v>2230</v>
      </c>
      <c r="B152" t="s">
        <v>475</v>
      </c>
      <c r="C152" t="s">
        <v>463</v>
      </c>
      <c r="D152" t="s">
        <v>464</v>
      </c>
      <c r="E152" t="s">
        <v>465</v>
      </c>
      <c r="F152" t="s">
        <v>120</v>
      </c>
      <c r="H152" t="s">
        <v>4715</v>
      </c>
      <c r="I152" t="s">
        <v>4862</v>
      </c>
      <c r="L152" t="s">
        <v>4717</v>
      </c>
    </row>
    <row r="153">
      <c r="A153" t="s">
        <v>2230</v>
      </c>
      <c r="B153" t="s">
        <v>475</v>
      </c>
      <c r="C153" t="s">
        <v>463</v>
      </c>
      <c r="D153" t="s">
        <v>464</v>
      </c>
      <c r="E153" t="s">
        <v>465</v>
      </c>
      <c r="F153" t="s">
        <v>120</v>
      </c>
      <c r="H153" t="s">
        <v>4715</v>
      </c>
      <c r="I153" t="s">
        <v>4863</v>
      </c>
      <c r="L153" t="s">
        <v>4717</v>
      </c>
    </row>
    <row r="154">
      <c r="A154" t="s">
        <v>2233</v>
      </c>
      <c r="B154" t="s">
        <v>481</v>
      </c>
      <c r="C154" t="s">
        <v>463</v>
      </c>
      <c r="D154" t="s">
        <v>464</v>
      </c>
      <c r="E154" t="s">
        <v>465</v>
      </c>
      <c r="F154" t="s">
        <v>120</v>
      </c>
      <c r="H154" t="s">
        <v>4715</v>
      </c>
      <c r="I154" t="s">
        <v>4864</v>
      </c>
      <c r="L154" t="s">
        <v>4717</v>
      </c>
    </row>
    <row r="155">
      <c r="A155" t="s">
        <v>2233</v>
      </c>
      <c r="B155" t="s">
        <v>481</v>
      </c>
      <c r="C155" t="s">
        <v>463</v>
      </c>
      <c r="D155" t="s">
        <v>464</v>
      </c>
      <c r="E155" t="s">
        <v>465</v>
      </c>
      <c r="F155" t="s">
        <v>120</v>
      </c>
      <c r="H155" t="s">
        <v>4715</v>
      </c>
      <c r="I155" t="s">
        <v>4865</v>
      </c>
      <c r="L155" t="s">
        <v>4717</v>
      </c>
    </row>
    <row r="156">
      <c r="A156" t="s">
        <v>2233</v>
      </c>
      <c r="B156" t="s">
        <v>481</v>
      </c>
      <c r="C156" t="s">
        <v>463</v>
      </c>
      <c r="D156" t="s">
        <v>464</v>
      </c>
      <c r="E156" t="s">
        <v>465</v>
      </c>
      <c r="F156" t="s">
        <v>120</v>
      </c>
      <c r="H156" t="s">
        <v>4715</v>
      </c>
      <c r="I156" t="s">
        <v>4866</v>
      </c>
      <c r="L156" t="s">
        <v>4717</v>
      </c>
    </row>
    <row r="157">
      <c r="A157" t="s">
        <v>2236</v>
      </c>
      <c r="B157" t="s">
        <v>488</v>
      </c>
      <c r="C157" t="s">
        <v>463</v>
      </c>
      <c r="D157" t="s">
        <v>464</v>
      </c>
      <c r="E157" t="s">
        <v>465</v>
      </c>
      <c r="F157" t="s">
        <v>120</v>
      </c>
      <c r="H157" t="s">
        <v>4715</v>
      </c>
      <c r="I157" t="s">
        <v>4867</v>
      </c>
      <c r="L157" t="s">
        <v>4717</v>
      </c>
    </row>
    <row r="158">
      <c r="A158" t="s">
        <v>2236</v>
      </c>
      <c r="B158" t="s">
        <v>488</v>
      </c>
      <c r="C158" t="s">
        <v>463</v>
      </c>
      <c r="D158" t="s">
        <v>464</v>
      </c>
      <c r="E158" t="s">
        <v>465</v>
      </c>
      <c r="F158" t="s">
        <v>120</v>
      </c>
      <c r="H158" t="s">
        <v>4715</v>
      </c>
      <c r="I158" t="s">
        <v>4868</v>
      </c>
      <c r="L158" t="s">
        <v>4717</v>
      </c>
    </row>
    <row r="159">
      <c r="A159" t="s">
        <v>2236</v>
      </c>
      <c r="B159" t="s">
        <v>488</v>
      </c>
      <c r="C159" t="s">
        <v>463</v>
      </c>
      <c r="D159" t="s">
        <v>464</v>
      </c>
      <c r="E159" t="s">
        <v>465</v>
      </c>
      <c r="F159" t="s">
        <v>120</v>
      </c>
      <c r="H159" t="s">
        <v>4715</v>
      </c>
      <c r="I159" t="s">
        <v>4869</v>
      </c>
      <c r="L159" t="s">
        <v>4717</v>
      </c>
    </row>
    <row r="160">
      <c r="A160" t="s">
        <v>2239</v>
      </c>
      <c r="B160" t="s">
        <v>496</v>
      </c>
      <c r="C160" t="s">
        <v>463</v>
      </c>
      <c r="D160" t="s">
        <v>464</v>
      </c>
      <c r="E160" t="s">
        <v>494</v>
      </c>
      <c r="F160" t="s">
        <v>154</v>
      </c>
      <c r="H160" t="s">
        <v>4715</v>
      </c>
      <c r="I160" t="s">
        <v>4870</v>
      </c>
      <c r="L160" t="s">
        <v>4717</v>
      </c>
    </row>
    <row r="161">
      <c r="A161" t="s">
        <v>2239</v>
      </c>
      <c r="B161" t="s">
        <v>496</v>
      </c>
      <c r="C161" t="s">
        <v>463</v>
      </c>
      <c r="D161" t="s">
        <v>464</v>
      </c>
      <c r="E161" t="s">
        <v>494</v>
      </c>
      <c r="F161" t="s">
        <v>154</v>
      </c>
      <c r="H161" t="s">
        <v>4715</v>
      </c>
      <c r="I161" t="s">
        <v>4871</v>
      </c>
      <c r="L161" t="s">
        <v>4717</v>
      </c>
    </row>
    <row r="162">
      <c r="A162" t="s">
        <v>2239</v>
      </c>
      <c r="B162" t="s">
        <v>496</v>
      </c>
      <c r="C162" t="s">
        <v>463</v>
      </c>
      <c r="D162" t="s">
        <v>464</v>
      </c>
      <c r="E162" t="s">
        <v>494</v>
      </c>
      <c r="F162" t="s">
        <v>154</v>
      </c>
      <c r="H162" t="s">
        <v>4715</v>
      </c>
      <c r="I162" t="s">
        <v>4872</v>
      </c>
      <c r="L162" t="s">
        <v>4717</v>
      </c>
    </row>
    <row r="163">
      <c r="A163" t="s">
        <v>2242</v>
      </c>
      <c r="B163" t="s">
        <v>502</v>
      </c>
      <c r="C163" t="s">
        <v>463</v>
      </c>
      <c r="D163" t="s">
        <v>464</v>
      </c>
      <c r="E163" t="s">
        <v>494</v>
      </c>
      <c r="F163" t="s">
        <v>154</v>
      </c>
      <c r="H163" t="s">
        <v>4715</v>
      </c>
      <c r="I163" t="s">
        <v>4873</v>
      </c>
      <c r="L163" t="s">
        <v>4717</v>
      </c>
    </row>
    <row r="164">
      <c r="A164" t="s">
        <v>2242</v>
      </c>
      <c r="B164" t="s">
        <v>502</v>
      </c>
      <c r="C164" t="s">
        <v>463</v>
      </c>
      <c r="D164" t="s">
        <v>464</v>
      </c>
      <c r="E164" t="s">
        <v>494</v>
      </c>
      <c r="F164" t="s">
        <v>154</v>
      </c>
      <c r="H164" t="s">
        <v>4715</v>
      </c>
      <c r="I164" t="s">
        <v>4874</v>
      </c>
      <c r="L164" t="s">
        <v>4717</v>
      </c>
    </row>
    <row r="165">
      <c r="A165" t="s">
        <v>2242</v>
      </c>
      <c r="B165" t="s">
        <v>502</v>
      </c>
      <c r="C165" t="s">
        <v>463</v>
      </c>
      <c r="D165" t="s">
        <v>464</v>
      </c>
      <c r="E165" t="s">
        <v>494</v>
      </c>
      <c r="F165" t="s">
        <v>154</v>
      </c>
      <c r="H165" t="s">
        <v>4715</v>
      </c>
      <c r="I165" t="s">
        <v>4875</v>
      </c>
      <c r="L165" t="s">
        <v>4717</v>
      </c>
    </row>
    <row r="166">
      <c r="A166" t="s">
        <v>2245</v>
      </c>
      <c r="B166" t="s">
        <v>508</v>
      </c>
      <c r="C166" t="s">
        <v>463</v>
      </c>
      <c r="D166" t="s">
        <v>464</v>
      </c>
      <c r="E166" t="s">
        <v>494</v>
      </c>
      <c r="F166" t="s">
        <v>154</v>
      </c>
      <c r="H166" t="s">
        <v>4715</v>
      </c>
      <c r="I166" t="s">
        <v>4876</v>
      </c>
      <c r="L166" t="s">
        <v>4717</v>
      </c>
    </row>
    <row r="167">
      <c r="A167" t="s">
        <v>2245</v>
      </c>
      <c r="B167" t="s">
        <v>508</v>
      </c>
      <c r="C167" t="s">
        <v>463</v>
      </c>
      <c r="D167" t="s">
        <v>464</v>
      </c>
      <c r="E167" t="s">
        <v>494</v>
      </c>
      <c r="F167" t="s">
        <v>154</v>
      </c>
      <c r="H167" t="s">
        <v>4715</v>
      </c>
      <c r="I167" t="s">
        <v>4877</v>
      </c>
      <c r="L167" t="s">
        <v>4717</v>
      </c>
    </row>
    <row r="168">
      <c r="A168" t="s">
        <v>2245</v>
      </c>
      <c r="B168" t="s">
        <v>508</v>
      </c>
      <c r="C168" t="s">
        <v>463</v>
      </c>
      <c r="D168" t="s">
        <v>464</v>
      </c>
      <c r="E168" t="s">
        <v>494</v>
      </c>
      <c r="F168" t="s">
        <v>154</v>
      </c>
      <c r="H168" t="s">
        <v>4715</v>
      </c>
      <c r="I168" t="s">
        <v>4878</v>
      </c>
      <c r="L168" t="s">
        <v>4717</v>
      </c>
    </row>
    <row r="169">
      <c r="A169" t="s">
        <v>2245</v>
      </c>
      <c r="B169" t="s">
        <v>508</v>
      </c>
      <c r="C169" t="s">
        <v>463</v>
      </c>
      <c r="D169" t="s">
        <v>464</v>
      </c>
      <c r="E169" t="s">
        <v>494</v>
      </c>
      <c r="F169" t="s">
        <v>154</v>
      </c>
      <c r="H169" t="s">
        <v>4715</v>
      </c>
      <c r="I169" t="s">
        <v>4879</v>
      </c>
      <c r="L169" t="s">
        <v>4717</v>
      </c>
    </row>
    <row r="170">
      <c r="A170" t="s">
        <v>2248</v>
      </c>
      <c r="B170" t="s">
        <v>515</v>
      </c>
      <c r="C170" t="s">
        <v>463</v>
      </c>
      <c r="D170" t="s">
        <v>464</v>
      </c>
      <c r="E170" t="s">
        <v>494</v>
      </c>
      <c r="F170" t="s">
        <v>120</v>
      </c>
      <c r="H170" t="s">
        <v>4715</v>
      </c>
      <c r="I170" t="s">
        <v>4880</v>
      </c>
      <c r="L170" t="s">
        <v>4717</v>
      </c>
    </row>
    <row r="171">
      <c r="A171" t="s">
        <v>2248</v>
      </c>
      <c r="B171" t="s">
        <v>515</v>
      </c>
      <c r="C171" t="s">
        <v>463</v>
      </c>
      <c r="D171" t="s">
        <v>464</v>
      </c>
      <c r="E171" t="s">
        <v>494</v>
      </c>
      <c r="F171" t="s">
        <v>120</v>
      </c>
      <c r="H171" t="s">
        <v>4715</v>
      </c>
      <c r="I171" t="s">
        <v>4881</v>
      </c>
      <c r="L171" t="s">
        <v>4717</v>
      </c>
    </row>
    <row r="172">
      <c r="A172" t="s">
        <v>2248</v>
      </c>
      <c r="B172" t="s">
        <v>515</v>
      </c>
      <c r="C172" t="s">
        <v>463</v>
      </c>
      <c r="D172" t="s">
        <v>464</v>
      </c>
      <c r="E172" t="s">
        <v>494</v>
      </c>
      <c r="F172" t="s">
        <v>120</v>
      </c>
      <c r="H172" t="s">
        <v>4715</v>
      </c>
      <c r="I172" t="s">
        <v>4882</v>
      </c>
      <c r="L172" t="s">
        <v>4717</v>
      </c>
    </row>
    <row r="173">
      <c r="A173" t="s">
        <v>2251</v>
      </c>
      <c r="B173" t="s">
        <v>524</v>
      </c>
      <c r="C173" t="s">
        <v>463</v>
      </c>
      <c r="D173" t="s">
        <v>464</v>
      </c>
      <c r="E173" t="s">
        <v>522</v>
      </c>
      <c r="F173" t="s">
        <v>120</v>
      </c>
      <c r="H173" t="s">
        <v>4715</v>
      </c>
      <c r="I173" t="s">
        <v>4883</v>
      </c>
      <c r="L173" t="s">
        <v>4717</v>
      </c>
    </row>
    <row r="174">
      <c r="A174" t="s">
        <v>2251</v>
      </c>
      <c r="B174" t="s">
        <v>524</v>
      </c>
      <c r="C174" t="s">
        <v>463</v>
      </c>
      <c r="D174" t="s">
        <v>464</v>
      </c>
      <c r="E174" t="s">
        <v>522</v>
      </c>
      <c r="F174" t="s">
        <v>120</v>
      </c>
      <c r="H174" t="s">
        <v>4715</v>
      </c>
      <c r="I174" t="s">
        <v>4884</v>
      </c>
      <c r="L174" t="s">
        <v>4717</v>
      </c>
    </row>
    <row r="175">
      <c r="A175" t="s">
        <v>2251</v>
      </c>
      <c r="B175" t="s">
        <v>524</v>
      </c>
      <c r="C175" t="s">
        <v>463</v>
      </c>
      <c r="D175" t="s">
        <v>464</v>
      </c>
      <c r="E175" t="s">
        <v>522</v>
      </c>
      <c r="F175" t="s">
        <v>120</v>
      </c>
      <c r="H175" t="s">
        <v>4715</v>
      </c>
      <c r="I175" t="s">
        <v>4885</v>
      </c>
      <c r="L175" t="s">
        <v>4717</v>
      </c>
    </row>
    <row r="176">
      <c r="A176" t="s">
        <v>2254</v>
      </c>
      <c r="B176" t="s">
        <v>532</v>
      </c>
      <c r="C176" t="s">
        <v>463</v>
      </c>
      <c r="D176" t="s">
        <v>464</v>
      </c>
      <c r="E176" t="s">
        <v>522</v>
      </c>
      <c r="F176" t="s">
        <v>120</v>
      </c>
      <c r="H176" t="s">
        <v>4715</v>
      </c>
      <c r="I176" t="s">
        <v>4886</v>
      </c>
      <c r="L176" t="s">
        <v>4717</v>
      </c>
    </row>
    <row r="177">
      <c r="A177" t="s">
        <v>2254</v>
      </c>
      <c r="B177" t="s">
        <v>532</v>
      </c>
      <c r="C177" t="s">
        <v>463</v>
      </c>
      <c r="D177" t="s">
        <v>464</v>
      </c>
      <c r="E177" t="s">
        <v>522</v>
      </c>
      <c r="F177" t="s">
        <v>120</v>
      </c>
      <c r="H177" t="s">
        <v>4715</v>
      </c>
      <c r="I177" t="s">
        <v>4887</v>
      </c>
      <c r="L177" t="s">
        <v>4717</v>
      </c>
    </row>
    <row r="178">
      <c r="A178" t="s">
        <v>2254</v>
      </c>
      <c r="B178" t="s">
        <v>532</v>
      </c>
      <c r="C178" t="s">
        <v>463</v>
      </c>
      <c r="D178" t="s">
        <v>464</v>
      </c>
      <c r="E178" t="s">
        <v>522</v>
      </c>
      <c r="F178" t="s">
        <v>120</v>
      </c>
      <c r="H178" t="s">
        <v>4715</v>
      </c>
      <c r="I178" t="s">
        <v>4888</v>
      </c>
      <c r="L178" t="s">
        <v>4717</v>
      </c>
    </row>
    <row r="179">
      <c r="A179" t="s">
        <v>2257</v>
      </c>
      <c r="B179" t="s">
        <v>538</v>
      </c>
      <c r="C179" t="s">
        <v>463</v>
      </c>
      <c r="D179" t="s">
        <v>464</v>
      </c>
      <c r="E179" t="s">
        <v>522</v>
      </c>
      <c r="F179" t="s">
        <v>120</v>
      </c>
      <c r="H179" t="s">
        <v>4715</v>
      </c>
      <c r="I179" t="s">
        <v>4889</v>
      </c>
      <c r="L179" t="s">
        <v>4717</v>
      </c>
    </row>
    <row r="180">
      <c r="A180" t="s">
        <v>2257</v>
      </c>
      <c r="B180" t="s">
        <v>538</v>
      </c>
      <c r="C180" t="s">
        <v>463</v>
      </c>
      <c r="D180" t="s">
        <v>464</v>
      </c>
      <c r="E180" t="s">
        <v>522</v>
      </c>
      <c r="F180" t="s">
        <v>120</v>
      </c>
      <c r="H180" t="s">
        <v>4715</v>
      </c>
      <c r="I180" t="s">
        <v>4890</v>
      </c>
      <c r="L180" t="s">
        <v>4717</v>
      </c>
    </row>
    <row r="181">
      <c r="A181" t="s">
        <v>2257</v>
      </c>
      <c r="B181" t="s">
        <v>538</v>
      </c>
      <c r="C181" t="s">
        <v>463</v>
      </c>
      <c r="D181" t="s">
        <v>464</v>
      </c>
      <c r="E181" t="s">
        <v>522</v>
      </c>
      <c r="F181" t="s">
        <v>120</v>
      </c>
      <c r="H181" t="s">
        <v>4715</v>
      </c>
      <c r="I181" t="s">
        <v>4891</v>
      </c>
      <c r="L181" t="s">
        <v>4717</v>
      </c>
    </row>
    <row r="182">
      <c r="A182" t="s">
        <v>2260</v>
      </c>
      <c r="B182" t="s">
        <v>548</v>
      </c>
      <c r="C182" t="s">
        <v>463</v>
      </c>
      <c r="D182" t="s">
        <v>464</v>
      </c>
      <c r="E182" t="s">
        <v>546</v>
      </c>
      <c r="F182" t="s">
        <v>120</v>
      </c>
      <c r="H182" t="s">
        <v>4715</v>
      </c>
      <c r="I182" t="s">
        <v>4892</v>
      </c>
      <c r="L182" t="s">
        <v>4717</v>
      </c>
    </row>
    <row r="183">
      <c r="A183" t="s">
        <v>2260</v>
      </c>
      <c r="B183" t="s">
        <v>548</v>
      </c>
      <c r="C183" t="s">
        <v>463</v>
      </c>
      <c r="D183" t="s">
        <v>464</v>
      </c>
      <c r="E183" t="s">
        <v>546</v>
      </c>
      <c r="F183" t="s">
        <v>120</v>
      </c>
      <c r="H183" t="s">
        <v>4715</v>
      </c>
      <c r="I183" t="s">
        <v>4893</v>
      </c>
      <c r="L183" t="s">
        <v>4717</v>
      </c>
    </row>
    <row r="184">
      <c r="A184" t="s">
        <v>2260</v>
      </c>
      <c r="B184" t="s">
        <v>548</v>
      </c>
      <c r="C184" t="s">
        <v>463</v>
      </c>
      <c r="D184" t="s">
        <v>464</v>
      </c>
      <c r="E184" t="s">
        <v>546</v>
      </c>
      <c r="F184" t="s">
        <v>120</v>
      </c>
      <c r="H184" t="s">
        <v>4715</v>
      </c>
      <c r="I184" t="s">
        <v>4894</v>
      </c>
      <c r="L184" t="s">
        <v>4717</v>
      </c>
    </row>
    <row r="185">
      <c r="A185" t="s">
        <v>2263</v>
      </c>
      <c r="B185" t="s">
        <v>556</v>
      </c>
      <c r="C185" t="s">
        <v>463</v>
      </c>
      <c r="D185" t="s">
        <v>464</v>
      </c>
      <c r="E185" t="s">
        <v>546</v>
      </c>
      <c r="F185" t="s">
        <v>120</v>
      </c>
      <c r="H185" t="s">
        <v>4715</v>
      </c>
      <c r="I185" t="s">
        <v>4895</v>
      </c>
      <c r="L185" t="s">
        <v>4717</v>
      </c>
    </row>
    <row r="186">
      <c r="A186" t="s">
        <v>2263</v>
      </c>
      <c r="B186" t="s">
        <v>556</v>
      </c>
      <c r="C186" t="s">
        <v>463</v>
      </c>
      <c r="D186" t="s">
        <v>464</v>
      </c>
      <c r="E186" t="s">
        <v>546</v>
      </c>
      <c r="F186" t="s">
        <v>120</v>
      </c>
      <c r="H186" t="s">
        <v>4715</v>
      </c>
      <c r="I186" t="s">
        <v>4896</v>
      </c>
      <c r="L186" t="s">
        <v>4717</v>
      </c>
    </row>
    <row r="187">
      <c r="A187" t="s">
        <v>2263</v>
      </c>
      <c r="B187" t="s">
        <v>556</v>
      </c>
      <c r="C187" t="s">
        <v>463</v>
      </c>
      <c r="D187" t="s">
        <v>464</v>
      </c>
      <c r="E187" t="s">
        <v>546</v>
      </c>
      <c r="F187" t="s">
        <v>120</v>
      </c>
      <c r="H187" t="s">
        <v>4715</v>
      </c>
      <c r="I187" t="s">
        <v>4897</v>
      </c>
      <c r="L187" t="s">
        <v>4717</v>
      </c>
    </row>
    <row r="188">
      <c r="A188" t="s">
        <v>2266</v>
      </c>
      <c r="B188" t="s">
        <v>561</v>
      </c>
      <c r="C188" t="s">
        <v>463</v>
      </c>
      <c r="D188" t="s">
        <v>464</v>
      </c>
      <c r="E188" t="s">
        <v>546</v>
      </c>
      <c r="F188" t="s">
        <v>120</v>
      </c>
      <c r="H188" t="s">
        <v>4715</v>
      </c>
      <c r="I188" t="s">
        <v>4898</v>
      </c>
      <c r="L188" t="s">
        <v>4717</v>
      </c>
    </row>
    <row r="189">
      <c r="A189" t="s">
        <v>2266</v>
      </c>
      <c r="B189" t="s">
        <v>561</v>
      </c>
      <c r="C189" t="s">
        <v>463</v>
      </c>
      <c r="D189" t="s">
        <v>464</v>
      </c>
      <c r="E189" t="s">
        <v>546</v>
      </c>
      <c r="F189" t="s">
        <v>120</v>
      </c>
      <c r="H189" t="s">
        <v>4715</v>
      </c>
      <c r="I189" t="s">
        <v>4899</v>
      </c>
      <c r="L189" t="s">
        <v>4717</v>
      </c>
    </row>
    <row r="190">
      <c r="A190" t="s">
        <v>2266</v>
      </c>
      <c r="B190" t="s">
        <v>561</v>
      </c>
      <c r="C190" t="s">
        <v>463</v>
      </c>
      <c r="D190" t="s">
        <v>464</v>
      </c>
      <c r="E190" t="s">
        <v>546</v>
      </c>
      <c r="F190" t="s">
        <v>120</v>
      </c>
      <c r="H190" t="s">
        <v>4715</v>
      </c>
      <c r="I190" t="s">
        <v>4900</v>
      </c>
      <c r="L190" t="s">
        <v>4717</v>
      </c>
    </row>
    <row r="191">
      <c r="A191" t="s">
        <v>2269</v>
      </c>
      <c r="B191" t="s">
        <v>569</v>
      </c>
      <c r="C191" t="s">
        <v>463</v>
      </c>
      <c r="D191" t="s">
        <v>464</v>
      </c>
      <c r="E191" t="s">
        <v>546</v>
      </c>
      <c r="F191" t="s">
        <v>120</v>
      </c>
      <c r="H191" t="s">
        <v>4715</v>
      </c>
      <c r="I191" t="s">
        <v>4901</v>
      </c>
      <c r="L191" t="s">
        <v>4717</v>
      </c>
    </row>
    <row r="192">
      <c r="A192" t="s">
        <v>2269</v>
      </c>
      <c r="B192" t="s">
        <v>569</v>
      </c>
      <c r="C192" t="s">
        <v>463</v>
      </c>
      <c r="D192" t="s">
        <v>464</v>
      </c>
      <c r="E192" t="s">
        <v>546</v>
      </c>
      <c r="F192" t="s">
        <v>120</v>
      </c>
      <c r="H192" t="s">
        <v>4715</v>
      </c>
      <c r="I192" t="s">
        <v>4902</v>
      </c>
      <c r="L192" t="s">
        <v>4717</v>
      </c>
    </row>
    <row r="193">
      <c r="A193" t="s">
        <v>2269</v>
      </c>
      <c r="B193" t="s">
        <v>569</v>
      </c>
      <c r="C193" t="s">
        <v>463</v>
      </c>
      <c r="D193" t="s">
        <v>464</v>
      </c>
      <c r="E193" t="s">
        <v>546</v>
      </c>
      <c r="F193" t="s">
        <v>120</v>
      </c>
      <c r="H193" t="s">
        <v>4715</v>
      </c>
      <c r="I193" t="s">
        <v>4903</v>
      </c>
      <c r="L193" t="s">
        <v>4717</v>
      </c>
    </row>
    <row r="194">
      <c r="A194" t="s">
        <v>2272</v>
      </c>
      <c r="B194" t="s">
        <v>580</v>
      </c>
      <c r="C194" t="s">
        <v>463</v>
      </c>
      <c r="D194" t="s">
        <v>577</v>
      </c>
      <c r="E194" t="s">
        <v>578</v>
      </c>
      <c r="F194" t="s">
        <v>154</v>
      </c>
      <c r="H194" t="s">
        <v>4715</v>
      </c>
      <c r="I194" t="s">
        <v>4904</v>
      </c>
      <c r="L194" t="s">
        <v>4717</v>
      </c>
    </row>
    <row r="195">
      <c r="A195" t="s">
        <v>2272</v>
      </c>
      <c r="B195" t="s">
        <v>580</v>
      </c>
      <c r="C195" t="s">
        <v>463</v>
      </c>
      <c r="D195" t="s">
        <v>577</v>
      </c>
      <c r="E195" t="s">
        <v>578</v>
      </c>
      <c r="F195" t="s">
        <v>154</v>
      </c>
      <c r="H195" t="s">
        <v>4715</v>
      </c>
      <c r="I195" t="s">
        <v>4905</v>
      </c>
      <c r="L195" t="s">
        <v>4717</v>
      </c>
    </row>
    <row r="196">
      <c r="A196" t="s">
        <v>2272</v>
      </c>
      <c r="B196" t="s">
        <v>580</v>
      </c>
      <c r="C196" t="s">
        <v>463</v>
      </c>
      <c r="D196" t="s">
        <v>577</v>
      </c>
      <c r="E196" t="s">
        <v>578</v>
      </c>
      <c r="F196" t="s">
        <v>154</v>
      </c>
      <c r="H196" t="s">
        <v>4715</v>
      </c>
      <c r="I196" t="s">
        <v>4906</v>
      </c>
      <c r="L196" t="s">
        <v>4717</v>
      </c>
    </row>
    <row r="197">
      <c r="A197" t="s">
        <v>2275</v>
      </c>
      <c r="B197" t="s">
        <v>587</v>
      </c>
      <c r="C197" t="s">
        <v>463</v>
      </c>
      <c r="D197" t="s">
        <v>577</v>
      </c>
      <c r="E197" t="s">
        <v>578</v>
      </c>
      <c r="F197" t="s">
        <v>154</v>
      </c>
      <c r="H197" t="s">
        <v>4715</v>
      </c>
      <c r="I197" t="s">
        <v>4907</v>
      </c>
      <c r="L197" t="s">
        <v>4717</v>
      </c>
    </row>
    <row r="198">
      <c r="A198" t="s">
        <v>2275</v>
      </c>
      <c r="B198" t="s">
        <v>587</v>
      </c>
      <c r="C198" t="s">
        <v>463</v>
      </c>
      <c r="D198" t="s">
        <v>577</v>
      </c>
      <c r="E198" t="s">
        <v>578</v>
      </c>
      <c r="F198" t="s">
        <v>154</v>
      </c>
      <c r="H198" t="s">
        <v>4715</v>
      </c>
      <c r="I198" t="s">
        <v>4792</v>
      </c>
      <c r="L198" t="s">
        <v>4717</v>
      </c>
    </row>
    <row r="199">
      <c r="A199" t="s">
        <v>2275</v>
      </c>
      <c r="B199" t="s">
        <v>587</v>
      </c>
      <c r="C199" t="s">
        <v>463</v>
      </c>
      <c r="D199" t="s">
        <v>577</v>
      </c>
      <c r="E199" t="s">
        <v>578</v>
      </c>
      <c r="F199" t="s">
        <v>154</v>
      </c>
      <c r="H199" t="s">
        <v>4715</v>
      </c>
      <c r="I199" t="s">
        <v>4908</v>
      </c>
      <c r="L199" t="s">
        <v>4717</v>
      </c>
    </row>
    <row r="200">
      <c r="A200" t="s">
        <v>2278</v>
      </c>
      <c r="B200" t="s">
        <v>593</v>
      </c>
      <c r="C200" t="s">
        <v>463</v>
      </c>
      <c r="D200" t="s">
        <v>577</v>
      </c>
      <c r="E200" t="s">
        <v>578</v>
      </c>
      <c r="F200" t="s">
        <v>120</v>
      </c>
      <c r="H200" t="s">
        <v>4715</v>
      </c>
      <c r="I200" t="s">
        <v>4909</v>
      </c>
      <c r="L200" t="s">
        <v>4717</v>
      </c>
    </row>
    <row r="201">
      <c r="A201" t="s">
        <v>2278</v>
      </c>
      <c r="B201" t="s">
        <v>593</v>
      </c>
      <c r="C201" t="s">
        <v>463</v>
      </c>
      <c r="D201" t="s">
        <v>577</v>
      </c>
      <c r="E201" t="s">
        <v>578</v>
      </c>
      <c r="F201" t="s">
        <v>120</v>
      </c>
      <c r="H201" t="s">
        <v>4715</v>
      </c>
      <c r="I201" t="s">
        <v>4910</v>
      </c>
      <c r="L201" t="s">
        <v>4717</v>
      </c>
    </row>
    <row r="202">
      <c r="A202" t="s">
        <v>2278</v>
      </c>
      <c r="B202" t="s">
        <v>593</v>
      </c>
      <c r="C202" t="s">
        <v>463</v>
      </c>
      <c r="D202" t="s">
        <v>577</v>
      </c>
      <c r="E202" t="s">
        <v>578</v>
      </c>
      <c r="F202" t="s">
        <v>120</v>
      </c>
      <c r="H202" t="s">
        <v>4715</v>
      </c>
      <c r="I202" t="s">
        <v>4911</v>
      </c>
      <c r="L202" t="s">
        <v>4717</v>
      </c>
    </row>
    <row r="203">
      <c r="A203" t="s">
        <v>2281</v>
      </c>
      <c r="B203" t="s">
        <v>602</v>
      </c>
      <c r="C203" t="s">
        <v>463</v>
      </c>
      <c r="D203" t="s">
        <v>577</v>
      </c>
      <c r="E203" t="s">
        <v>600</v>
      </c>
      <c r="F203" t="s">
        <v>120</v>
      </c>
      <c r="H203" t="s">
        <v>4715</v>
      </c>
      <c r="I203" t="s">
        <v>4912</v>
      </c>
      <c r="L203" t="s">
        <v>4717</v>
      </c>
    </row>
    <row r="204">
      <c r="A204" t="s">
        <v>2281</v>
      </c>
      <c r="B204" t="s">
        <v>602</v>
      </c>
      <c r="C204" t="s">
        <v>463</v>
      </c>
      <c r="D204" t="s">
        <v>577</v>
      </c>
      <c r="E204" t="s">
        <v>600</v>
      </c>
      <c r="F204" t="s">
        <v>120</v>
      </c>
      <c r="H204" t="s">
        <v>4715</v>
      </c>
      <c r="I204" t="s">
        <v>4799</v>
      </c>
      <c r="L204" t="s">
        <v>4717</v>
      </c>
    </row>
    <row r="205">
      <c r="A205" t="s">
        <v>2281</v>
      </c>
      <c r="B205" t="s">
        <v>602</v>
      </c>
      <c r="C205" t="s">
        <v>463</v>
      </c>
      <c r="D205" t="s">
        <v>577</v>
      </c>
      <c r="E205" t="s">
        <v>600</v>
      </c>
      <c r="F205" t="s">
        <v>120</v>
      </c>
      <c r="H205" t="s">
        <v>4715</v>
      </c>
      <c r="I205" t="s">
        <v>4913</v>
      </c>
      <c r="L205" t="s">
        <v>4717</v>
      </c>
    </row>
    <row r="206">
      <c r="A206" t="s">
        <v>2284</v>
      </c>
      <c r="B206" t="s">
        <v>610</v>
      </c>
      <c r="C206" t="s">
        <v>463</v>
      </c>
      <c r="D206" t="s">
        <v>577</v>
      </c>
      <c r="E206" t="s">
        <v>600</v>
      </c>
      <c r="F206" t="s">
        <v>120</v>
      </c>
      <c r="H206" t="s">
        <v>4715</v>
      </c>
      <c r="I206" t="s">
        <v>4914</v>
      </c>
      <c r="L206" t="s">
        <v>4717</v>
      </c>
    </row>
    <row r="207">
      <c r="A207" t="s">
        <v>2284</v>
      </c>
      <c r="B207" t="s">
        <v>610</v>
      </c>
      <c r="C207" t="s">
        <v>463</v>
      </c>
      <c r="D207" t="s">
        <v>577</v>
      </c>
      <c r="E207" t="s">
        <v>600</v>
      </c>
      <c r="F207" t="s">
        <v>120</v>
      </c>
      <c r="H207" t="s">
        <v>4715</v>
      </c>
      <c r="I207" t="s">
        <v>4915</v>
      </c>
      <c r="L207" t="s">
        <v>4717</v>
      </c>
    </row>
    <row r="208">
      <c r="A208" t="s">
        <v>2284</v>
      </c>
      <c r="B208" t="s">
        <v>610</v>
      </c>
      <c r="C208" t="s">
        <v>463</v>
      </c>
      <c r="D208" t="s">
        <v>577</v>
      </c>
      <c r="E208" t="s">
        <v>600</v>
      </c>
      <c r="F208" t="s">
        <v>120</v>
      </c>
      <c r="H208" t="s">
        <v>4715</v>
      </c>
      <c r="I208" t="s">
        <v>4916</v>
      </c>
      <c r="L208" t="s">
        <v>4717</v>
      </c>
    </row>
    <row r="209">
      <c r="A209" t="s">
        <v>2287</v>
      </c>
      <c r="B209" t="s">
        <v>617</v>
      </c>
      <c r="C209" t="s">
        <v>463</v>
      </c>
      <c r="D209" t="s">
        <v>577</v>
      </c>
      <c r="E209" t="s">
        <v>600</v>
      </c>
      <c r="F209" t="s">
        <v>120</v>
      </c>
      <c r="H209" t="s">
        <v>4715</v>
      </c>
      <c r="I209" t="s">
        <v>4917</v>
      </c>
      <c r="L209" t="s">
        <v>4717</v>
      </c>
    </row>
    <row r="210">
      <c r="A210" t="s">
        <v>2287</v>
      </c>
      <c r="B210" t="s">
        <v>617</v>
      </c>
      <c r="C210" t="s">
        <v>463</v>
      </c>
      <c r="D210" t="s">
        <v>577</v>
      </c>
      <c r="E210" t="s">
        <v>600</v>
      </c>
      <c r="F210" t="s">
        <v>120</v>
      </c>
      <c r="H210" t="s">
        <v>4715</v>
      </c>
      <c r="I210" t="s">
        <v>4918</v>
      </c>
      <c r="L210" t="s">
        <v>4717</v>
      </c>
    </row>
    <row r="211">
      <c r="A211" t="s">
        <v>2287</v>
      </c>
      <c r="B211" t="s">
        <v>617</v>
      </c>
      <c r="C211" t="s">
        <v>463</v>
      </c>
      <c r="D211" t="s">
        <v>577</v>
      </c>
      <c r="E211" t="s">
        <v>600</v>
      </c>
      <c r="F211" t="s">
        <v>120</v>
      </c>
      <c r="H211" t="s">
        <v>4715</v>
      </c>
      <c r="I211" t="s">
        <v>4919</v>
      </c>
      <c r="L211" t="s">
        <v>4717</v>
      </c>
    </row>
    <row r="212">
      <c r="A212" t="s">
        <v>2290</v>
      </c>
      <c r="B212" t="s">
        <v>624</v>
      </c>
      <c r="C212" t="s">
        <v>463</v>
      </c>
      <c r="D212" t="s">
        <v>577</v>
      </c>
      <c r="E212" t="s">
        <v>600</v>
      </c>
      <c r="F212" t="s">
        <v>120</v>
      </c>
      <c r="H212" t="s">
        <v>4715</v>
      </c>
      <c r="I212" t="s">
        <v>4920</v>
      </c>
      <c r="L212" t="s">
        <v>4717</v>
      </c>
    </row>
    <row r="213">
      <c r="A213" t="s">
        <v>2290</v>
      </c>
      <c r="B213" t="s">
        <v>624</v>
      </c>
      <c r="C213" t="s">
        <v>463</v>
      </c>
      <c r="D213" t="s">
        <v>577</v>
      </c>
      <c r="E213" t="s">
        <v>600</v>
      </c>
      <c r="F213" t="s">
        <v>120</v>
      </c>
      <c r="H213" t="s">
        <v>4715</v>
      </c>
      <c r="I213" t="s">
        <v>4921</v>
      </c>
      <c r="L213" t="s">
        <v>4717</v>
      </c>
    </row>
    <row r="214">
      <c r="A214" t="s">
        <v>2290</v>
      </c>
      <c r="B214" t="s">
        <v>624</v>
      </c>
      <c r="C214" t="s">
        <v>463</v>
      </c>
      <c r="D214" t="s">
        <v>577</v>
      </c>
      <c r="E214" t="s">
        <v>600</v>
      </c>
      <c r="F214" t="s">
        <v>120</v>
      </c>
      <c r="H214" t="s">
        <v>4715</v>
      </c>
      <c r="I214" t="s">
        <v>4922</v>
      </c>
      <c r="L214" t="s">
        <v>4717</v>
      </c>
    </row>
    <row r="215">
      <c r="A215" t="s">
        <v>2293</v>
      </c>
      <c r="B215" t="s">
        <v>634</v>
      </c>
      <c r="C215" t="s">
        <v>463</v>
      </c>
      <c r="D215" t="s">
        <v>577</v>
      </c>
      <c r="E215" t="s">
        <v>632</v>
      </c>
      <c r="F215" t="s">
        <v>120</v>
      </c>
      <c r="H215" t="s">
        <v>4715</v>
      </c>
      <c r="I215" t="s">
        <v>4923</v>
      </c>
      <c r="L215" t="s">
        <v>4717</v>
      </c>
    </row>
    <row r="216">
      <c r="A216" t="s">
        <v>2293</v>
      </c>
      <c r="B216" t="s">
        <v>634</v>
      </c>
      <c r="C216" t="s">
        <v>463</v>
      </c>
      <c r="D216" t="s">
        <v>577</v>
      </c>
      <c r="E216" t="s">
        <v>632</v>
      </c>
      <c r="F216" t="s">
        <v>120</v>
      </c>
      <c r="H216" t="s">
        <v>4715</v>
      </c>
      <c r="I216" t="s">
        <v>4924</v>
      </c>
      <c r="L216" t="s">
        <v>4717</v>
      </c>
    </row>
    <row r="217">
      <c r="A217" t="s">
        <v>2293</v>
      </c>
      <c r="B217" t="s">
        <v>634</v>
      </c>
      <c r="C217" t="s">
        <v>463</v>
      </c>
      <c r="D217" t="s">
        <v>577</v>
      </c>
      <c r="E217" t="s">
        <v>632</v>
      </c>
      <c r="F217" t="s">
        <v>120</v>
      </c>
      <c r="H217" t="s">
        <v>4715</v>
      </c>
      <c r="I217" t="s">
        <v>4925</v>
      </c>
      <c r="L217" t="s">
        <v>4717</v>
      </c>
    </row>
    <row r="218">
      <c r="A218" t="s">
        <v>2296</v>
      </c>
      <c r="B218" t="s">
        <v>641</v>
      </c>
      <c r="C218" t="s">
        <v>463</v>
      </c>
      <c r="D218" t="s">
        <v>577</v>
      </c>
      <c r="E218" t="s">
        <v>632</v>
      </c>
      <c r="F218" t="s">
        <v>120</v>
      </c>
      <c r="H218" t="s">
        <v>4715</v>
      </c>
      <c r="I218" t="s">
        <v>4926</v>
      </c>
      <c r="L218" t="s">
        <v>4717</v>
      </c>
    </row>
    <row r="219">
      <c r="A219" t="s">
        <v>2296</v>
      </c>
      <c r="B219" t="s">
        <v>641</v>
      </c>
      <c r="C219" t="s">
        <v>463</v>
      </c>
      <c r="D219" t="s">
        <v>577</v>
      </c>
      <c r="E219" t="s">
        <v>632</v>
      </c>
      <c r="F219" t="s">
        <v>120</v>
      </c>
      <c r="H219" t="s">
        <v>4715</v>
      </c>
      <c r="I219" t="s">
        <v>4927</v>
      </c>
      <c r="L219" t="s">
        <v>4717</v>
      </c>
    </row>
    <row r="220">
      <c r="A220" t="s">
        <v>2296</v>
      </c>
      <c r="B220" t="s">
        <v>641</v>
      </c>
      <c r="C220" t="s">
        <v>463</v>
      </c>
      <c r="D220" t="s">
        <v>577</v>
      </c>
      <c r="E220" t="s">
        <v>632</v>
      </c>
      <c r="F220" t="s">
        <v>120</v>
      </c>
      <c r="H220" t="s">
        <v>4715</v>
      </c>
      <c r="I220" t="s">
        <v>4928</v>
      </c>
      <c r="L220" t="s">
        <v>4717</v>
      </c>
    </row>
    <row r="221">
      <c r="A221" t="s">
        <v>2299</v>
      </c>
      <c r="B221" t="s">
        <v>647</v>
      </c>
      <c r="C221" t="s">
        <v>463</v>
      </c>
      <c r="D221" t="s">
        <v>577</v>
      </c>
      <c r="E221" t="s">
        <v>632</v>
      </c>
      <c r="F221" t="s">
        <v>120</v>
      </c>
      <c r="H221" t="s">
        <v>4715</v>
      </c>
      <c r="I221" t="s">
        <v>4929</v>
      </c>
      <c r="L221" t="s">
        <v>4717</v>
      </c>
    </row>
    <row r="222">
      <c r="A222" t="s">
        <v>2299</v>
      </c>
      <c r="B222" t="s">
        <v>647</v>
      </c>
      <c r="C222" t="s">
        <v>463</v>
      </c>
      <c r="D222" t="s">
        <v>577</v>
      </c>
      <c r="E222" t="s">
        <v>632</v>
      </c>
      <c r="F222" t="s">
        <v>120</v>
      </c>
      <c r="H222" t="s">
        <v>4715</v>
      </c>
      <c r="I222" t="s">
        <v>4930</v>
      </c>
      <c r="L222" t="s">
        <v>4717</v>
      </c>
    </row>
    <row r="223">
      <c r="A223" t="s">
        <v>2299</v>
      </c>
      <c r="B223" t="s">
        <v>647</v>
      </c>
      <c r="C223" t="s">
        <v>463</v>
      </c>
      <c r="D223" t="s">
        <v>577</v>
      </c>
      <c r="E223" t="s">
        <v>632</v>
      </c>
      <c r="F223" t="s">
        <v>120</v>
      </c>
      <c r="H223" t="s">
        <v>4715</v>
      </c>
      <c r="I223" t="s">
        <v>4931</v>
      </c>
      <c r="L223" t="s">
        <v>4717</v>
      </c>
    </row>
    <row r="224">
      <c r="A224" t="s">
        <v>2302</v>
      </c>
      <c r="B224" t="s">
        <v>656</v>
      </c>
      <c r="C224" t="s">
        <v>463</v>
      </c>
      <c r="D224" t="s">
        <v>577</v>
      </c>
      <c r="E224" t="s">
        <v>654</v>
      </c>
      <c r="F224" t="s">
        <v>120</v>
      </c>
      <c r="H224" t="s">
        <v>4715</v>
      </c>
      <c r="I224" t="s">
        <v>4932</v>
      </c>
      <c r="L224" t="s">
        <v>4717</v>
      </c>
    </row>
    <row r="225">
      <c r="A225" t="s">
        <v>2302</v>
      </c>
      <c r="B225" t="s">
        <v>656</v>
      </c>
      <c r="C225" t="s">
        <v>463</v>
      </c>
      <c r="D225" t="s">
        <v>577</v>
      </c>
      <c r="E225" t="s">
        <v>654</v>
      </c>
      <c r="F225" t="s">
        <v>120</v>
      </c>
      <c r="H225" t="s">
        <v>4715</v>
      </c>
      <c r="I225" t="s">
        <v>4933</v>
      </c>
      <c r="L225" t="s">
        <v>4717</v>
      </c>
    </row>
    <row r="226">
      <c r="A226" t="s">
        <v>2302</v>
      </c>
      <c r="B226" t="s">
        <v>656</v>
      </c>
      <c r="C226" t="s">
        <v>463</v>
      </c>
      <c r="D226" t="s">
        <v>577</v>
      </c>
      <c r="E226" t="s">
        <v>654</v>
      </c>
      <c r="F226" t="s">
        <v>120</v>
      </c>
      <c r="H226" t="s">
        <v>4715</v>
      </c>
      <c r="I226" t="s">
        <v>4934</v>
      </c>
      <c r="L226" t="s">
        <v>4717</v>
      </c>
    </row>
    <row r="227">
      <c r="A227" t="s">
        <v>2305</v>
      </c>
      <c r="B227" t="s">
        <v>664</v>
      </c>
      <c r="C227" t="s">
        <v>463</v>
      </c>
      <c r="D227" t="s">
        <v>577</v>
      </c>
      <c r="E227" t="s">
        <v>654</v>
      </c>
      <c r="F227" t="s">
        <v>120</v>
      </c>
      <c r="H227" t="s">
        <v>4715</v>
      </c>
      <c r="I227" t="s">
        <v>664</v>
      </c>
      <c r="L227" t="s">
        <v>4717</v>
      </c>
    </row>
    <row r="228">
      <c r="A228" t="s">
        <v>2305</v>
      </c>
      <c r="B228" t="s">
        <v>664</v>
      </c>
      <c r="C228" t="s">
        <v>463</v>
      </c>
      <c r="D228" t="s">
        <v>577</v>
      </c>
      <c r="E228" t="s">
        <v>654</v>
      </c>
      <c r="F228" t="s">
        <v>120</v>
      </c>
      <c r="H228" t="s">
        <v>4715</v>
      </c>
      <c r="I228" t="s">
        <v>4935</v>
      </c>
      <c r="L228" t="s">
        <v>4717</v>
      </c>
    </row>
    <row r="229">
      <c r="A229" t="s">
        <v>2305</v>
      </c>
      <c r="B229" t="s">
        <v>664</v>
      </c>
      <c r="C229" t="s">
        <v>463</v>
      </c>
      <c r="D229" t="s">
        <v>577</v>
      </c>
      <c r="E229" t="s">
        <v>654</v>
      </c>
      <c r="F229" t="s">
        <v>120</v>
      </c>
      <c r="H229" t="s">
        <v>4715</v>
      </c>
      <c r="I229" t="s">
        <v>4936</v>
      </c>
      <c r="L229" t="s">
        <v>4717</v>
      </c>
    </row>
    <row r="230">
      <c r="A230" t="s">
        <v>2308</v>
      </c>
      <c r="B230" t="s">
        <v>671</v>
      </c>
      <c r="C230" t="s">
        <v>463</v>
      </c>
      <c r="D230" t="s">
        <v>577</v>
      </c>
      <c r="E230" t="s">
        <v>654</v>
      </c>
      <c r="F230" t="s">
        <v>120</v>
      </c>
      <c r="H230" t="s">
        <v>4715</v>
      </c>
      <c r="I230" t="s">
        <v>4827</v>
      </c>
      <c r="L230" t="s">
        <v>4717</v>
      </c>
    </row>
    <row r="231">
      <c r="A231" t="s">
        <v>2308</v>
      </c>
      <c r="B231" t="s">
        <v>671</v>
      </c>
      <c r="C231" t="s">
        <v>463</v>
      </c>
      <c r="D231" t="s">
        <v>577</v>
      </c>
      <c r="E231" t="s">
        <v>654</v>
      </c>
      <c r="F231" t="s">
        <v>120</v>
      </c>
      <c r="H231" t="s">
        <v>4715</v>
      </c>
      <c r="I231" t="s">
        <v>4937</v>
      </c>
      <c r="L231" t="s">
        <v>4717</v>
      </c>
    </row>
    <row r="232">
      <c r="A232" t="s">
        <v>2308</v>
      </c>
      <c r="B232" t="s">
        <v>671</v>
      </c>
      <c r="C232" t="s">
        <v>463</v>
      </c>
      <c r="D232" t="s">
        <v>577</v>
      </c>
      <c r="E232" t="s">
        <v>654</v>
      </c>
      <c r="F232" t="s">
        <v>120</v>
      </c>
      <c r="H232" t="s">
        <v>4715</v>
      </c>
      <c r="I232" t="s">
        <v>4938</v>
      </c>
      <c r="L232" t="s">
        <v>4717</v>
      </c>
    </row>
    <row r="233">
      <c r="A233" t="s">
        <v>2311</v>
      </c>
      <c r="B233" t="s">
        <v>683</v>
      </c>
      <c r="C233" t="s">
        <v>679</v>
      </c>
      <c r="D233" t="s">
        <v>680</v>
      </c>
      <c r="E233" t="s">
        <v>681</v>
      </c>
      <c r="F233" t="s">
        <v>120</v>
      </c>
      <c r="H233" t="s">
        <v>4715</v>
      </c>
      <c r="I233" t="s">
        <v>4939</v>
      </c>
      <c r="L233" t="s">
        <v>4717</v>
      </c>
    </row>
    <row r="234">
      <c r="A234" t="s">
        <v>2311</v>
      </c>
      <c r="B234" t="s">
        <v>683</v>
      </c>
      <c r="C234" t="s">
        <v>679</v>
      </c>
      <c r="D234" t="s">
        <v>680</v>
      </c>
      <c r="E234" t="s">
        <v>681</v>
      </c>
      <c r="F234" t="s">
        <v>120</v>
      </c>
      <c r="H234" t="s">
        <v>4715</v>
      </c>
      <c r="I234" t="s">
        <v>4940</v>
      </c>
      <c r="L234" t="s">
        <v>4717</v>
      </c>
    </row>
    <row r="235">
      <c r="A235" t="s">
        <v>2311</v>
      </c>
      <c r="B235" t="s">
        <v>683</v>
      </c>
      <c r="C235" t="s">
        <v>679</v>
      </c>
      <c r="D235" t="s">
        <v>680</v>
      </c>
      <c r="E235" t="s">
        <v>681</v>
      </c>
      <c r="F235" t="s">
        <v>120</v>
      </c>
      <c r="H235" t="s">
        <v>4715</v>
      </c>
      <c r="I235" t="s">
        <v>4941</v>
      </c>
      <c r="L235" t="s">
        <v>4717</v>
      </c>
    </row>
    <row r="236">
      <c r="A236" t="s">
        <v>2314</v>
      </c>
      <c r="B236" t="s">
        <v>691</v>
      </c>
      <c r="C236" t="s">
        <v>679</v>
      </c>
      <c r="D236" t="s">
        <v>680</v>
      </c>
      <c r="E236" t="s">
        <v>681</v>
      </c>
      <c r="F236" t="s">
        <v>120</v>
      </c>
      <c r="H236" t="s">
        <v>4715</v>
      </c>
      <c r="I236" t="s">
        <v>4942</v>
      </c>
      <c r="L236" t="s">
        <v>4717</v>
      </c>
    </row>
    <row r="237">
      <c r="A237" t="s">
        <v>2314</v>
      </c>
      <c r="B237" t="s">
        <v>691</v>
      </c>
      <c r="C237" t="s">
        <v>679</v>
      </c>
      <c r="D237" t="s">
        <v>680</v>
      </c>
      <c r="E237" t="s">
        <v>681</v>
      </c>
      <c r="F237" t="s">
        <v>120</v>
      </c>
      <c r="H237" t="s">
        <v>4715</v>
      </c>
      <c r="I237" t="s">
        <v>4943</v>
      </c>
      <c r="L237" t="s">
        <v>4717</v>
      </c>
    </row>
    <row r="238">
      <c r="A238" t="s">
        <v>2314</v>
      </c>
      <c r="B238" t="s">
        <v>691</v>
      </c>
      <c r="C238" t="s">
        <v>679</v>
      </c>
      <c r="D238" t="s">
        <v>680</v>
      </c>
      <c r="E238" t="s">
        <v>681</v>
      </c>
      <c r="F238" t="s">
        <v>120</v>
      </c>
      <c r="H238" t="s">
        <v>4715</v>
      </c>
      <c r="I238" t="s">
        <v>4919</v>
      </c>
      <c r="L238" t="s">
        <v>4717</v>
      </c>
    </row>
    <row r="239">
      <c r="A239" t="s">
        <v>2317</v>
      </c>
      <c r="B239" t="s">
        <v>697</v>
      </c>
      <c r="C239" t="s">
        <v>679</v>
      </c>
      <c r="D239" t="s">
        <v>680</v>
      </c>
      <c r="E239" t="s">
        <v>681</v>
      </c>
      <c r="F239" t="s">
        <v>120</v>
      </c>
      <c r="H239" t="s">
        <v>4715</v>
      </c>
      <c r="I239" t="s">
        <v>4944</v>
      </c>
      <c r="L239" t="s">
        <v>4717</v>
      </c>
    </row>
    <row r="240">
      <c r="A240" t="s">
        <v>2317</v>
      </c>
      <c r="B240" t="s">
        <v>697</v>
      </c>
      <c r="C240" t="s">
        <v>679</v>
      </c>
      <c r="D240" t="s">
        <v>680</v>
      </c>
      <c r="E240" t="s">
        <v>681</v>
      </c>
      <c r="F240" t="s">
        <v>120</v>
      </c>
      <c r="H240" t="s">
        <v>4715</v>
      </c>
      <c r="I240" t="s">
        <v>4945</v>
      </c>
      <c r="L240" t="s">
        <v>4717</v>
      </c>
    </row>
    <row r="241">
      <c r="A241" t="s">
        <v>2317</v>
      </c>
      <c r="B241" t="s">
        <v>697</v>
      </c>
      <c r="C241" t="s">
        <v>679</v>
      </c>
      <c r="D241" t="s">
        <v>680</v>
      </c>
      <c r="E241" t="s">
        <v>681</v>
      </c>
      <c r="F241" t="s">
        <v>120</v>
      </c>
      <c r="H241" t="s">
        <v>4715</v>
      </c>
      <c r="I241" t="s">
        <v>4946</v>
      </c>
      <c r="L241" t="s">
        <v>4717</v>
      </c>
    </row>
    <row r="242">
      <c r="A242" t="s">
        <v>2320</v>
      </c>
      <c r="B242" t="s">
        <v>702</v>
      </c>
      <c r="C242" t="s">
        <v>679</v>
      </c>
      <c r="D242" t="s">
        <v>680</v>
      </c>
      <c r="E242" t="s">
        <v>681</v>
      </c>
      <c r="F242" t="s">
        <v>120</v>
      </c>
      <c r="H242" t="s">
        <v>4715</v>
      </c>
      <c r="I242" t="s">
        <v>4947</v>
      </c>
      <c r="L242" t="s">
        <v>4717</v>
      </c>
    </row>
    <row r="243">
      <c r="A243" t="s">
        <v>2320</v>
      </c>
      <c r="B243" t="s">
        <v>702</v>
      </c>
      <c r="C243" t="s">
        <v>679</v>
      </c>
      <c r="D243" t="s">
        <v>680</v>
      </c>
      <c r="E243" t="s">
        <v>681</v>
      </c>
      <c r="F243" t="s">
        <v>120</v>
      </c>
      <c r="H243" t="s">
        <v>4715</v>
      </c>
      <c r="I243" t="s">
        <v>4919</v>
      </c>
      <c r="L243" t="s">
        <v>4717</v>
      </c>
    </row>
    <row r="244">
      <c r="A244" t="s">
        <v>2320</v>
      </c>
      <c r="B244" t="s">
        <v>702</v>
      </c>
      <c r="C244" t="s">
        <v>679</v>
      </c>
      <c r="D244" t="s">
        <v>680</v>
      </c>
      <c r="E244" t="s">
        <v>681</v>
      </c>
      <c r="F244" t="s">
        <v>120</v>
      </c>
      <c r="H244" t="s">
        <v>4715</v>
      </c>
      <c r="I244" t="s">
        <v>4948</v>
      </c>
      <c r="L244" t="s">
        <v>4717</v>
      </c>
    </row>
    <row r="245">
      <c r="A245" t="s">
        <v>2323</v>
      </c>
      <c r="B245" t="s">
        <v>707</v>
      </c>
      <c r="C245" t="s">
        <v>679</v>
      </c>
      <c r="D245" t="s">
        <v>680</v>
      </c>
      <c r="E245" t="s">
        <v>681</v>
      </c>
      <c r="F245" t="s">
        <v>120</v>
      </c>
      <c r="H245" t="s">
        <v>4715</v>
      </c>
      <c r="I245" t="s">
        <v>4949</v>
      </c>
      <c r="L245" t="s">
        <v>4717</v>
      </c>
    </row>
    <row r="246">
      <c r="A246" t="s">
        <v>2323</v>
      </c>
      <c r="B246" t="s">
        <v>707</v>
      </c>
      <c r="C246" t="s">
        <v>679</v>
      </c>
      <c r="D246" t="s">
        <v>680</v>
      </c>
      <c r="E246" t="s">
        <v>681</v>
      </c>
      <c r="F246" t="s">
        <v>120</v>
      </c>
      <c r="H246" t="s">
        <v>4715</v>
      </c>
      <c r="I246" t="s">
        <v>4950</v>
      </c>
      <c r="L246" t="s">
        <v>4717</v>
      </c>
    </row>
    <row r="247">
      <c r="A247" t="s">
        <v>2323</v>
      </c>
      <c r="B247" t="s">
        <v>707</v>
      </c>
      <c r="C247" t="s">
        <v>679</v>
      </c>
      <c r="D247" t="s">
        <v>680</v>
      </c>
      <c r="E247" t="s">
        <v>681</v>
      </c>
      <c r="F247" t="s">
        <v>120</v>
      </c>
      <c r="H247" t="s">
        <v>4715</v>
      </c>
      <c r="I247" t="s">
        <v>4951</v>
      </c>
      <c r="L247" t="s">
        <v>4717</v>
      </c>
    </row>
    <row r="248">
      <c r="A248" t="s">
        <v>2326</v>
      </c>
      <c r="B248" t="s">
        <v>713</v>
      </c>
      <c r="C248" t="s">
        <v>679</v>
      </c>
      <c r="D248" t="s">
        <v>680</v>
      </c>
      <c r="E248" t="s">
        <v>681</v>
      </c>
      <c r="F248" t="s">
        <v>120</v>
      </c>
      <c r="H248" t="s">
        <v>4715</v>
      </c>
      <c r="I248" t="s">
        <v>4952</v>
      </c>
      <c r="L248" t="s">
        <v>4717</v>
      </c>
    </row>
    <row r="249">
      <c r="A249" t="s">
        <v>2326</v>
      </c>
      <c r="B249" t="s">
        <v>713</v>
      </c>
      <c r="C249" t="s">
        <v>679</v>
      </c>
      <c r="D249" t="s">
        <v>680</v>
      </c>
      <c r="E249" t="s">
        <v>681</v>
      </c>
      <c r="F249" t="s">
        <v>120</v>
      </c>
      <c r="H249" t="s">
        <v>4715</v>
      </c>
      <c r="I249" t="s">
        <v>4953</v>
      </c>
      <c r="L249" t="s">
        <v>4717</v>
      </c>
    </row>
    <row r="250">
      <c r="A250" t="s">
        <v>2326</v>
      </c>
      <c r="B250" t="s">
        <v>713</v>
      </c>
      <c r="C250" t="s">
        <v>679</v>
      </c>
      <c r="D250" t="s">
        <v>680</v>
      </c>
      <c r="E250" t="s">
        <v>681</v>
      </c>
      <c r="F250" t="s">
        <v>120</v>
      </c>
      <c r="H250" t="s">
        <v>4715</v>
      </c>
      <c r="I250" t="s">
        <v>4801</v>
      </c>
      <c r="L250" t="s">
        <v>4717</v>
      </c>
    </row>
    <row r="251">
      <c r="A251" t="s">
        <v>2329</v>
      </c>
      <c r="B251" t="s">
        <v>721</v>
      </c>
      <c r="C251" t="s">
        <v>679</v>
      </c>
      <c r="D251" t="s">
        <v>680</v>
      </c>
      <c r="E251" t="s">
        <v>681</v>
      </c>
      <c r="F251" t="s">
        <v>120</v>
      </c>
      <c r="H251" t="s">
        <v>4715</v>
      </c>
      <c r="I251" t="s">
        <v>4954</v>
      </c>
      <c r="L251" t="s">
        <v>4717</v>
      </c>
    </row>
    <row r="252">
      <c r="A252" t="s">
        <v>2329</v>
      </c>
      <c r="B252" t="s">
        <v>721</v>
      </c>
      <c r="C252" t="s">
        <v>679</v>
      </c>
      <c r="D252" t="s">
        <v>680</v>
      </c>
      <c r="E252" t="s">
        <v>681</v>
      </c>
      <c r="F252" t="s">
        <v>120</v>
      </c>
      <c r="H252" t="s">
        <v>4715</v>
      </c>
      <c r="I252" t="s">
        <v>4955</v>
      </c>
      <c r="L252" t="s">
        <v>4717</v>
      </c>
    </row>
    <row r="253">
      <c r="A253" t="s">
        <v>2329</v>
      </c>
      <c r="B253" t="s">
        <v>721</v>
      </c>
      <c r="C253" t="s">
        <v>679</v>
      </c>
      <c r="D253" t="s">
        <v>680</v>
      </c>
      <c r="E253" t="s">
        <v>681</v>
      </c>
      <c r="F253" t="s">
        <v>120</v>
      </c>
      <c r="H253" t="s">
        <v>4715</v>
      </c>
      <c r="I253" t="s">
        <v>4956</v>
      </c>
      <c r="L253" t="s">
        <v>4717</v>
      </c>
    </row>
    <row r="254">
      <c r="A254" t="s">
        <v>2332</v>
      </c>
      <c r="B254" t="s">
        <v>728</v>
      </c>
      <c r="C254" t="s">
        <v>679</v>
      </c>
      <c r="D254" t="s">
        <v>680</v>
      </c>
      <c r="E254" t="s">
        <v>681</v>
      </c>
      <c r="F254" t="s">
        <v>120</v>
      </c>
      <c r="H254" t="s">
        <v>4715</v>
      </c>
      <c r="I254" t="s">
        <v>4957</v>
      </c>
      <c r="L254" t="s">
        <v>4717</v>
      </c>
    </row>
    <row r="255">
      <c r="A255" t="s">
        <v>2332</v>
      </c>
      <c r="B255" t="s">
        <v>728</v>
      </c>
      <c r="C255" t="s">
        <v>679</v>
      </c>
      <c r="D255" t="s">
        <v>680</v>
      </c>
      <c r="E255" t="s">
        <v>681</v>
      </c>
      <c r="F255" t="s">
        <v>120</v>
      </c>
      <c r="H255" t="s">
        <v>4715</v>
      </c>
      <c r="I255" t="s">
        <v>4958</v>
      </c>
      <c r="L255" t="s">
        <v>4717</v>
      </c>
    </row>
    <row r="256">
      <c r="A256" t="s">
        <v>2332</v>
      </c>
      <c r="B256" t="s">
        <v>728</v>
      </c>
      <c r="C256" t="s">
        <v>679</v>
      </c>
      <c r="D256" t="s">
        <v>680</v>
      </c>
      <c r="E256" t="s">
        <v>681</v>
      </c>
      <c r="F256" t="s">
        <v>120</v>
      </c>
      <c r="H256" t="s">
        <v>4715</v>
      </c>
      <c r="I256" t="s">
        <v>4959</v>
      </c>
      <c r="L256" t="s">
        <v>4717</v>
      </c>
    </row>
    <row r="257">
      <c r="A257" t="s">
        <v>2335</v>
      </c>
      <c r="B257" t="s">
        <v>736</v>
      </c>
      <c r="C257" t="s">
        <v>679</v>
      </c>
      <c r="D257" t="s">
        <v>680</v>
      </c>
      <c r="E257" t="s">
        <v>734</v>
      </c>
      <c r="F257" t="s">
        <v>120</v>
      </c>
      <c r="H257" t="s">
        <v>4715</v>
      </c>
      <c r="I257" t="s">
        <v>4960</v>
      </c>
      <c r="L257" t="s">
        <v>4717</v>
      </c>
    </row>
    <row r="258">
      <c r="A258" t="s">
        <v>2335</v>
      </c>
      <c r="B258" t="s">
        <v>736</v>
      </c>
      <c r="C258" t="s">
        <v>679</v>
      </c>
      <c r="D258" t="s">
        <v>680</v>
      </c>
      <c r="E258" t="s">
        <v>734</v>
      </c>
      <c r="F258" t="s">
        <v>120</v>
      </c>
      <c r="H258" t="s">
        <v>4715</v>
      </c>
      <c r="I258" t="s">
        <v>4961</v>
      </c>
      <c r="L258" t="s">
        <v>4717</v>
      </c>
    </row>
    <row r="259">
      <c r="A259" t="s">
        <v>2335</v>
      </c>
      <c r="B259" t="s">
        <v>736</v>
      </c>
      <c r="C259" t="s">
        <v>679</v>
      </c>
      <c r="D259" t="s">
        <v>680</v>
      </c>
      <c r="E259" t="s">
        <v>734</v>
      </c>
      <c r="F259" t="s">
        <v>120</v>
      </c>
      <c r="H259" t="s">
        <v>4715</v>
      </c>
      <c r="I259" t="s">
        <v>4860</v>
      </c>
      <c r="L259" t="s">
        <v>4717</v>
      </c>
    </row>
    <row r="260">
      <c r="A260" t="s">
        <v>2338</v>
      </c>
      <c r="B260" t="s">
        <v>743</v>
      </c>
      <c r="C260" t="s">
        <v>679</v>
      </c>
      <c r="D260" t="s">
        <v>680</v>
      </c>
      <c r="E260" t="s">
        <v>734</v>
      </c>
      <c r="F260" t="s">
        <v>120</v>
      </c>
      <c r="H260" t="s">
        <v>4715</v>
      </c>
      <c r="I260" t="s">
        <v>4962</v>
      </c>
      <c r="L260" t="s">
        <v>4717</v>
      </c>
    </row>
    <row r="261">
      <c r="A261" t="s">
        <v>2338</v>
      </c>
      <c r="B261" t="s">
        <v>743</v>
      </c>
      <c r="C261" t="s">
        <v>679</v>
      </c>
      <c r="D261" t="s">
        <v>680</v>
      </c>
      <c r="E261" t="s">
        <v>734</v>
      </c>
      <c r="F261" t="s">
        <v>120</v>
      </c>
      <c r="H261" t="s">
        <v>4715</v>
      </c>
      <c r="I261" t="s">
        <v>4961</v>
      </c>
      <c r="L261" t="s">
        <v>4717</v>
      </c>
    </row>
    <row r="262">
      <c r="A262" t="s">
        <v>2338</v>
      </c>
      <c r="B262" t="s">
        <v>743</v>
      </c>
      <c r="C262" t="s">
        <v>679</v>
      </c>
      <c r="D262" t="s">
        <v>680</v>
      </c>
      <c r="E262" t="s">
        <v>734</v>
      </c>
      <c r="F262" t="s">
        <v>120</v>
      </c>
      <c r="H262" t="s">
        <v>4715</v>
      </c>
      <c r="I262" t="s">
        <v>4832</v>
      </c>
      <c r="L262" t="s">
        <v>4717</v>
      </c>
    </row>
    <row r="263">
      <c r="A263" t="s">
        <v>2340</v>
      </c>
      <c r="B263" t="s">
        <v>749</v>
      </c>
      <c r="C263" t="s">
        <v>679</v>
      </c>
      <c r="D263" t="s">
        <v>680</v>
      </c>
      <c r="E263" t="s">
        <v>734</v>
      </c>
      <c r="F263" t="s">
        <v>120</v>
      </c>
      <c r="H263" t="s">
        <v>4715</v>
      </c>
      <c r="I263" t="s">
        <v>4963</v>
      </c>
      <c r="L263" t="s">
        <v>4717</v>
      </c>
    </row>
    <row r="264">
      <c r="A264" t="s">
        <v>2340</v>
      </c>
      <c r="B264" t="s">
        <v>749</v>
      </c>
      <c r="C264" t="s">
        <v>679</v>
      </c>
      <c r="D264" t="s">
        <v>680</v>
      </c>
      <c r="E264" t="s">
        <v>734</v>
      </c>
      <c r="F264" t="s">
        <v>120</v>
      </c>
      <c r="H264" t="s">
        <v>4715</v>
      </c>
      <c r="I264" t="s">
        <v>4964</v>
      </c>
      <c r="L264" t="s">
        <v>4717</v>
      </c>
    </row>
    <row r="265">
      <c r="A265" t="s">
        <v>2340</v>
      </c>
      <c r="B265" t="s">
        <v>749</v>
      </c>
      <c r="C265" t="s">
        <v>679</v>
      </c>
      <c r="D265" t="s">
        <v>680</v>
      </c>
      <c r="E265" t="s">
        <v>734</v>
      </c>
      <c r="F265" t="s">
        <v>120</v>
      </c>
      <c r="H265" t="s">
        <v>4715</v>
      </c>
      <c r="I265" t="s">
        <v>4965</v>
      </c>
      <c r="L265" t="s">
        <v>4717</v>
      </c>
    </row>
    <row r="266">
      <c r="A266" t="s">
        <v>2343</v>
      </c>
      <c r="B266" t="s">
        <v>758</v>
      </c>
      <c r="C266" t="s">
        <v>679</v>
      </c>
      <c r="D266" t="s">
        <v>680</v>
      </c>
      <c r="E266" t="s">
        <v>756</v>
      </c>
      <c r="F266" t="s">
        <v>120</v>
      </c>
      <c r="H266" t="s">
        <v>4715</v>
      </c>
      <c r="I266" t="s">
        <v>4966</v>
      </c>
      <c r="L266" t="s">
        <v>4717</v>
      </c>
    </row>
    <row r="267">
      <c r="A267" t="s">
        <v>2343</v>
      </c>
      <c r="B267" t="s">
        <v>758</v>
      </c>
      <c r="C267" t="s">
        <v>679</v>
      </c>
      <c r="D267" t="s">
        <v>680</v>
      </c>
      <c r="E267" t="s">
        <v>756</v>
      </c>
      <c r="F267" t="s">
        <v>120</v>
      </c>
      <c r="H267" t="s">
        <v>4715</v>
      </c>
      <c r="I267" t="s">
        <v>4967</v>
      </c>
      <c r="L267" t="s">
        <v>4717</v>
      </c>
    </row>
    <row r="268">
      <c r="A268" t="s">
        <v>2343</v>
      </c>
      <c r="B268" t="s">
        <v>758</v>
      </c>
      <c r="C268" t="s">
        <v>679</v>
      </c>
      <c r="D268" t="s">
        <v>680</v>
      </c>
      <c r="E268" t="s">
        <v>756</v>
      </c>
      <c r="F268" t="s">
        <v>120</v>
      </c>
      <c r="H268" t="s">
        <v>4715</v>
      </c>
      <c r="I268" t="s">
        <v>4968</v>
      </c>
      <c r="L268" t="s">
        <v>4717</v>
      </c>
    </row>
    <row r="269">
      <c r="A269" t="s">
        <v>2346</v>
      </c>
      <c r="B269" t="s">
        <v>764</v>
      </c>
      <c r="C269" t="s">
        <v>679</v>
      </c>
      <c r="D269" t="s">
        <v>680</v>
      </c>
      <c r="E269" t="s">
        <v>756</v>
      </c>
      <c r="F269" t="s">
        <v>120</v>
      </c>
      <c r="H269" t="s">
        <v>4715</v>
      </c>
      <c r="I269" t="s">
        <v>4969</v>
      </c>
      <c r="L269" t="s">
        <v>4717</v>
      </c>
    </row>
    <row r="270">
      <c r="A270" t="s">
        <v>2346</v>
      </c>
      <c r="B270" t="s">
        <v>764</v>
      </c>
      <c r="C270" t="s">
        <v>679</v>
      </c>
      <c r="D270" t="s">
        <v>680</v>
      </c>
      <c r="E270" t="s">
        <v>756</v>
      </c>
      <c r="F270" t="s">
        <v>120</v>
      </c>
      <c r="H270" t="s">
        <v>4715</v>
      </c>
      <c r="I270" t="s">
        <v>4970</v>
      </c>
      <c r="L270" t="s">
        <v>4717</v>
      </c>
    </row>
    <row r="271">
      <c r="A271" t="s">
        <v>2346</v>
      </c>
      <c r="B271" t="s">
        <v>764</v>
      </c>
      <c r="C271" t="s">
        <v>679</v>
      </c>
      <c r="D271" t="s">
        <v>680</v>
      </c>
      <c r="E271" t="s">
        <v>756</v>
      </c>
      <c r="F271" t="s">
        <v>120</v>
      </c>
      <c r="H271" t="s">
        <v>4715</v>
      </c>
      <c r="I271" t="s">
        <v>4971</v>
      </c>
      <c r="L271" t="s">
        <v>4717</v>
      </c>
    </row>
    <row r="272">
      <c r="A272" t="s">
        <v>2349</v>
      </c>
      <c r="B272" t="s">
        <v>769</v>
      </c>
      <c r="C272" t="s">
        <v>679</v>
      </c>
      <c r="D272" t="s">
        <v>680</v>
      </c>
      <c r="E272" t="s">
        <v>756</v>
      </c>
      <c r="F272" t="s">
        <v>120</v>
      </c>
      <c r="H272" t="s">
        <v>4715</v>
      </c>
      <c r="I272" t="s">
        <v>4972</v>
      </c>
      <c r="L272" t="s">
        <v>4717</v>
      </c>
    </row>
    <row r="273">
      <c r="A273" t="s">
        <v>2349</v>
      </c>
      <c r="B273" t="s">
        <v>769</v>
      </c>
      <c r="C273" t="s">
        <v>679</v>
      </c>
      <c r="D273" t="s">
        <v>680</v>
      </c>
      <c r="E273" t="s">
        <v>756</v>
      </c>
      <c r="F273" t="s">
        <v>120</v>
      </c>
      <c r="H273" t="s">
        <v>4715</v>
      </c>
      <c r="I273" t="s">
        <v>4901</v>
      </c>
      <c r="L273" t="s">
        <v>4717</v>
      </c>
    </row>
    <row r="274">
      <c r="A274" t="s">
        <v>2349</v>
      </c>
      <c r="B274" t="s">
        <v>769</v>
      </c>
      <c r="C274" t="s">
        <v>679</v>
      </c>
      <c r="D274" t="s">
        <v>680</v>
      </c>
      <c r="E274" t="s">
        <v>756</v>
      </c>
      <c r="F274" t="s">
        <v>120</v>
      </c>
      <c r="H274" t="s">
        <v>4715</v>
      </c>
      <c r="I274" t="s">
        <v>4973</v>
      </c>
      <c r="L274" t="s">
        <v>4717</v>
      </c>
    </row>
    <row r="275">
      <c r="A275" t="s">
        <v>2351</v>
      </c>
      <c r="B275" t="s">
        <v>775</v>
      </c>
      <c r="C275" t="s">
        <v>679</v>
      </c>
      <c r="D275" t="s">
        <v>680</v>
      </c>
      <c r="E275" t="s">
        <v>756</v>
      </c>
      <c r="F275" t="s">
        <v>120</v>
      </c>
      <c r="H275" t="s">
        <v>4715</v>
      </c>
      <c r="I275" t="s">
        <v>4974</v>
      </c>
      <c r="L275" t="s">
        <v>4717</v>
      </c>
    </row>
    <row r="276">
      <c r="A276" t="s">
        <v>2351</v>
      </c>
      <c r="B276" t="s">
        <v>775</v>
      </c>
      <c r="C276" t="s">
        <v>679</v>
      </c>
      <c r="D276" t="s">
        <v>680</v>
      </c>
      <c r="E276" t="s">
        <v>756</v>
      </c>
      <c r="F276" t="s">
        <v>120</v>
      </c>
      <c r="H276" t="s">
        <v>4715</v>
      </c>
      <c r="I276" t="s">
        <v>4975</v>
      </c>
      <c r="L276" t="s">
        <v>4717</v>
      </c>
    </row>
    <row r="277">
      <c r="A277" t="s">
        <v>2351</v>
      </c>
      <c r="B277" t="s">
        <v>775</v>
      </c>
      <c r="C277" t="s">
        <v>679</v>
      </c>
      <c r="D277" t="s">
        <v>680</v>
      </c>
      <c r="E277" t="s">
        <v>756</v>
      </c>
      <c r="F277" t="s">
        <v>120</v>
      </c>
      <c r="H277" t="s">
        <v>4715</v>
      </c>
      <c r="I277" t="s">
        <v>4976</v>
      </c>
      <c r="L277" t="s">
        <v>4717</v>
      </c>
    </row>
    <row r="278">
      <c r="A278" t="s">
        <v>2354</v>
      </c>
      <c r="B278" t="s">
        <v>783</v>
      </c>
      <c r="C278" t="s">
        <v>679</v>
      </c>
      <c r="D278" t="s">
        <v>680</v>
      </c>
      <c r="E278" t="s">
        <v>781</v>
      </c>
      <c r="F278" t="s">
        <v>120</v>
      </c>
      <c r="H278" t="s">
        <v>4715</v>
      </c>
      <c r="I278" t="s">
        <v>4977</v>
      </c>
      <c r="L278" t="s">
        <v>4717</v>
      </c>
    </row>
    <row r="279">
      <c r="A279" t="s">
        <v>2354</v>
      </c>
      <c r="B279" t="s">
        <v>783</v>
      </c>
      <c r="C279" t="s">
        <v>679</v>
      </c>
      <c r="D279" t="s">
        <v>680</v>
      </c>
      <c r="E279" t="s">
        <v>781</v>
      </c>
      <c r="F279" t="s">
        <v>120</v>
      </c>
      <c r="H279" t="s">
        <v>4715</v>
      </c>
      <c r="I279" t="s">
        <v>4978</v>
      </c>
      <c r="L279" t="s">
        <v>4717</v>
      </c>
    </row>
    <row r="280">
      <c r="A280" t="s">
        <v>2354</v>
      </c>
      <c r="B280" t="s">
        <v>783</v>
      </c>
      <c r="C280" t="s">
        <v>679</v>
      </c>
      <c r="D280" t="s">
        <v>680</v>
      </c>
      <c r="E280" t="s">
        <v>781</v>
      </c>
      <c r="F280" t="s">
        <v>120</v>
      </c>
      <c r="H280" t="s">
        <v>4715</v>
      </c>
      <c r="I280" t="s">
        <v>4979</v>
      </c>
      <c r="L280" t="s">
        <v>4717</v>
      </c>
    </row>
    <row r="281">
      <c r="A281" t="s">
        <v>2357</v>
      </c>
      <c r="B281" t="s">
        <v>790</v>
      </c>
      <c r="C281" t="s">
        <v>679</v>
      </c>
      <c r="D281" t="s">
        <v>680</v>
      </c>
      <c r="E281" t="s">
        <v>781</v>
      </c>
      <c r="F281" t="s">
        <v>120</v>
      </c>
      <c r="H281" t="s">
        <v>4715</v>
      </c>
      <c r="I281" t="s">
        <v>4980</v>
      </c>
      <c r="L281" t="s">
        <v>4717</v>
      </c>
    </row>
    <row r="282">
      <c r="A282" t="s">
        <v>2357</v>
      </c>
      <c r="B282" t="s">
        <v>790</v>
      </c>
      <c r="C282" t="s">
        <v>679</v>
      </c>
      <c r="D282" t="s">
        <v>680</v>
      </c>
      <c r="E282" t="s">
        <v>781</v>
      </c>
      <c r="F282" t="s">
        <v>120</v>
      </c>
      <c r="H282" t="s">
        <v>4715</v>
      </c>
      <c r="I282" t="s">
        <v>4981</v>
      </c>
      <c r="L282" t="s">
        <v>4717</v>
      </c>
    </row>
    <row r="283">
      <c r="A283" t="s">
        <v>2357</v>
      </c>
      <c r="B283" t="s">
        <v>790</v>
      </c>
      <c r="C283" t="s">
        <v>679</v>
      </c>
      <c r="D283" t="s">
        <v>680</v>
      </c>
      <c r="E283" t="s">
        <v>781</v>
      </c>
      <c r="F283" t="s">
        <v>120</v>
      </c>
      <c r="H283" t="s">
        <v>4715</v>
      </c>
      <c r="I283" t="s">
        <v>4982</v>
      </c>
      <c r="L283" t="s">
        <v>4717</v>
      </c>
    </row>
    <row r="284">
      <c r="A284" t="s">
        <v>2360</v>
      </c>
      <c r="B284" t="s">
        <v>795</v>
      </c>
      <c r="C284" t="s">
        <v>679</v>
      </c>
      <c r="D284" t="s">
        <v>680</v>
      </c>
      <c r="E284" t="s">
        <v>781</v>
      </c>
      <c r="F284" t="s">
        <v>120</v>
      </c>
      <c r="H284" t="s">
        <v>4715</v>
      </c>
      <c r="I284" t="s">
        <v>4983</v>
      </c>
      <c r="L284" t="s">
        <v>4717</v>
      </c>
    </row>
    <row r="285">
      <c r="A285" t="s">
        <v>2360</v>
      </c>
      <c r="B285" t="s">
        <v>795</v>
      </c>
      <c r="C285" t="s">
        <v>679</v>
      </c>
      <c r="D285" t="s">
        <v>680</v>
      </c>
      <c r="E285" t="s">
        <v>781</v>
      </c>
      <c r="F285" t="s">
        <v>120</v>
      </c>
      <c r="H285" t="s">
        <v>4715</v>
      </c>
      <c r="I285" t="s">
        <v>4984</v>
      </c>
      <c r="L285" t="s">
        <v>4717</v>
      </c>
    </row>
    <row r="286">
      <c r="A286" t="s">
        <v>2360</v>
      </c>
      <c r="B286" t="s">
        <v>795</v>
      </c>
      <c r="C286" t="s">
        <v>679</v>
      </c>
      <c r="D286" t="s">
        <v>680</v>
      </c>
      <c r="E286" t="s">
        <v>781</v>
      </c>
      <c r="F286" t="s">
        <v>120</v>
      </c>
      <c r="H286" t="s">
        <v>4715</v>
      </c>
      <c r="I286" t="s">
        <v>4856</v>
      </c>
      <c r="L286" t="s">
        <v>4717</v>
      </c>
    </row>
    <row r="287">
      <c r="A287" t="s">
        <v>2363</v>
      </c>
      <c r="B287" t="s">
        <v>800</v>
      </c>
      <c r="C287" t="s">
        <v>679</v>
      </c>
      <c r="D287" t="s">
        <v>680</v>
      </c>
      <c r="E287" t="s">
        <v>781</v>
      </c>
      <c r="F287" t="s">
        <v>120</v>
      </c>
      <c r="H287" t="s">
        <v>4715</v>
      </c>
      <c r="I287" t="s">
        <v>4985</v>
      </c>
      <c r="L287" t="s">
        <v>4717</v>
      </c>
    </row>
    <row r="288">
      <c r="A288" t="s">
        <v>2363</v>
      </c>
      <c r="B288" t="s">
        <v>800</v>
      </c>
      <c r="C288" t="s">
        <v>679</v>
      </c>
      <c r="D288" t="s">
        <v>680</v>
      </c>
      <c r="E288" t="s">
        <v>781</v>
      </c>
      <c r="F288" t="s">
        <v>120</v>
      </c>
      <c r="H288" t="s">
        <v>4715</v>
      </c>
      <c r="I288" t="s">
        <v>4986</v>
      </c>
      <c r="L288" t="s">
        <v>4717</v>
      </c>
    </row>
    <row r="289">
      <c r="A289" t="s">
        <v>2363</v>
      </c>
      <c r="B289" t="s">
        <v>800</v>
      </c>
      <c r="C289" t="s">
        <v>679</v>
      </c>
      <c r="D289" t="s">
        <v>680</v>
      </c>
      <c r="E289" t="s">
        <v>781</v>
      </c>
      <c r="F289" t="s">
        <v>120</v>
      </c>
      <c r="H289" t="s">
        <v>4715</v>
      </c>
      <c r="I289" t="s">
        <v>4987</v>
      </c>
      <c r="L289" t="s">
        <v>4717</v>
      </c>
    </row>
    <row r="290">
      <c r="A290" t="s">
        <v>2366</v>
      </c>
      <c r="B290" t="s">
        <v>808</v>
      </c>
      <c r="C290" t="s">
        <v>679</v>
      </c>
      <c r="D290" t="s">
        <v>680</v>
      </c>
      <c r="E290" t="s">
        <v>806</v>
      </c>
      <c r="F290" t="s">
        <v>120</v>
      </c>
      <c r="H290" t="s">
        <v>4715</v>
      </c>
      <c r="I290" t="s">
        <v>4988</v>
      </c>
      <c r="L290" t="s">
        <v>4717</v>
      </c>
    </row>
    <row r="291">
      <c r="A291" t="s">
        <v>2366</v>
      </c>
      <c r="B291" t="s">
        <v>808</v>
      </c>
      <c r="C291" t="s">
        <v>679</v>
      </c>
      <c r="D291" t="s">
        <v>680</v>
      </c>
      <c r="E291" t="s">
        <v>806</v>
      </c>
      <c r="F291" t="s">
        <v>120</v>
      </c>
      <c r="H291" t="s">
        <v>4715</v>
      </c>
      <c r="I291" t="s">
        <v>4989</v>
      </c>
      <c r="L291" t="s">
        <v>4717</v>
      </c>
    </row>
    <row r="292">
      <c r="A292" t="s">
        <v>2366</v>
      </c>
      <c r="B292" t="s">
        <v>808</v>
      </c>
      <c r="C292" t="s">
        <v>679</v>
      </c>
      <c r="D292" t="s">
        <v>680</v>
      </c>
      <c r="E292" t="s">
        <v>806</v>
      </c>
      <c r="F292" t="s">
        <v>120</v>
      </c>
      <c r="H292" t="s">
        <v>4715</v>
      </c>
      <c r="I292" t="s">
        <v>4990</v>
      </c>
      <c r="L292" t="s">
        <v>4717</v>
      </c>
    </row>
    <row r="293">
      <c r="A293" t="s">
        <v>2369</v>
      </c>
      <c r="B293" t="s">
        <v>815</v>
      </c>
      <c r="C293" t="s">
        <v>679</v>
      </c>
      <c r="D293" t="s">
        <v>680</v>
      </c>
      <c r="E293" t="s">
        <v>806</v>
      </c>
      <c r="F293" t="s">
        <v>120</v>
      </c>
      <c r="H293" t="s">
        <v>4715</v>
      </c>
      <c r="I293" t="s">
        <v>815</v>
      </c>
      <c r="L293" t="s">
        <v>4717</v>
      </c>
    </row>
    <row r="294">
      <c r="A294" t="s">
        <v>2369</v>
      </c>
      <c r="B294" t="s">
        <v>815</v>
      </c>
      <c r="C294" t="s">
        <v>679</v>
      </c>
      <c r="D294" t="s">
        <v>680</v>
      </c>
      <c r="E294" t="s">
        <v>806</v>
      </c>
      <c r="F294" t="s">
        <v>120</v>
      </c>
      <c r="H294" t="s">
        <v>4715</v>
      </c>
      <c r="I294" t="s">
        <v>4991</v>
      </c>
      <c r="L294" t="s">
        <v>4717</v>
      </c>
    </row>
    <row r="295">
      <c r="A295" t="s">
        <v>2369</v>
      </c>
      <c r="B295" t="s">
        <v>815</v>
      </c>
      <c r="C295" t="s">
        <v>679</v>
      </c>
      <c r="D295" t="s">
        <v>680</v>
      </c>
      <c r="E295" t="s">
        <v>806</v>
      </c>
      <c r="F295" t="s">
        <v>120</v>
      </c>
      <c r="H295" t="s">
        <v>4715</v>
      </c>
      <c r="I295" t="s">
        <v>4992</v>
      </c>
      <c r="L295" t="s">
        <v>4717</v>
      </c>
    </row>
    <row r="296">
      <c r="A296" t="s">
        <v>2372</v>
      </c>
      <c r="B296" t="s">
        <v>820</v>
      </c>
      <c r="C296" t="s">
        <v>679</v>
      </c>
      <c r="D296" t="s">
        <v>680</v>
      </c>
      <c r="E296" t="s">
        <v>806</v>
      </c>
      <c r="F296" t="s">
        <v>120</v>
      </c>
      <c r="H296" t="s">
        <v>4715</v>
      </c>
      <c r="I296" t="s">
        <v>4993</v>
      </c>
      <c r="L296" t="s">
        <v>4717</v>
      </c>
    </row>
    <row r="297">
      <c r="A297" t="s">
        <v>2372</v>
      </c>
      <c r="B297" t="s">
        <v>820</v>
      </c>
      <c r="C297" t="s">
        <v>679</v>
      </c>
      <c r="D297" t="s">
        <v>680</v>
      </c>
      <c r="E297" t="s">
        <v>806</v>
      </c>
      <c r="F297" t="s">
        <v>120</v>
      </c>
      <c r="H297" t="s">
        <v>4715</v>
      </c>
      <c r="I297" t="s">
        <v>4994</v>
      </c>
      <c r="L297" t="s">
        <v>4717</v>
      </c>
    </row>
    <row r="298">
      <c r="A298" t="s">
        <v>2372</v>
      </c>
      <c r="B298" t="s">
        <v>820</v>
      </c>
      <c r="C298" t="s">
        <v>679</v>
      </c>
      <c r="D298" t="s">
        <v>680</v>
      </c>
      <c r="E298" t="s">
        <v>806</v>
      </c>
      <c r="F298" t="s">
        <v>120</v>
      </c>
      <c r="H298" t="s">
        <v>4715</v>
      </c>
      <c r="I298" t="s">
        <v>4964</v>
      </c>
      <c r="L298" t="s">
        <v>4717</v>
      </c>
    </row>
    <row r="299">
      <c r="A299" t="s">
        <v>2375</v>
      </c>
      <c r="B299" t="s">
        <v>826</v>
      </c>
      <c r="C299" t="s">
        <v>679</v>
      </c>
      <c r="D299" t="s">
        <v>680</v>
      </c>
      <c r="E299" t="s">
        <v>806</v>
      </c>
      <c r="F299" t="s">
        <v>120</v>
      </c>
      <c r="H299" t="s">
        <v>4715</v>
      </c>
      <c r="I299" t="s">
        <v>4995</v>
      </c>
      <c r="L299" t="s">
        <v>4717</v>
      </c>
    </row>
    <row r="300">
      <c r="A300" t="s">
        <v>2375</v>
      </c>
      <c r="B300" t="s">
        <v>826</v>
      </c>
      <c r="C300" t="s">
        <v>679</v>
      </c>
      <c r="D300" t="s">
        <v>680</v>
      </c>
      <c r="E300" t="s">
        <v>806</v>
      </c>
      <c r="F300" t="s">
        <v>120</v>
      </c>
      <c r="H300" t="s">
        <v>4715</v>
      </c>
      <c r="I300" t="s">
        <v>4996</v>
      </c>
      <c r="L300" t="s">
        <v>4717</v>
      </c>
    </row>
    <row r="301">
      <c r="A301" t="s">
        <v>2375</v>
      </c>
      <c r="B301" t="s">
        <v>826</v>
      </c>
      <c r="C301" t="s">
        <v>679</v>
      </c>
      <c r="D301" t="s">
        <v>680</v>
      </c>
      <c r="E301" t="s">
        <v>806</v>
      </c>
      <c r="F301" t="s">
        <v>120</v>
      </c>
      <c r="H301" t="s">
        <v>4715</v>
      </c>
      <c r="I301" t="s">
        <v>4997</v>
      </c>
      <c r="L301" t="s">
        <v>4717</v>
      </c>
    </row>
    <row r="302">
      <c r="A302" t="s">
        <v>2378</v>
      </c>
      <c r="B302" t="s">
        <v>836</v>
      </c>
      <c r="C302" t="s">
        <v>679</v>
      </c>
      <c r="D302" t="s">
        <v>680</v>
      </c>
      <c r="E302" t="s">
        <v>834</v>
      </c>
      <c r="F302" t="s">
        <v>120</v>
      </c>
      <c r="H302" t="s">
        <v>4715</v>
      </c>
      <c r="I302" t="s">
        <v>4756</v>
      </c>
      <c r="L302" t="s">
        <v>4717</v>
      </c>
    </row>
    <row r="303">
      <c r="A303" t="s">
        <v>2378</v>
      </c>
      <c r="B303" t="s">
        <v>836</v>
      </c>
      <c r="C303" t="s">
        <v>679</v>
      </c>
      <c r="D303" t="s">
        <v>680</v>
      </c>
      <c r="E303" t="s">
        <v>834</v>
      </c>
      <c r="F303" t="s">
        <v>120</v>
      </c>
      <c r="H303" t="s">
        <v>4715</v>
      </c>
      <c r="I303" t="s">
        <v>4998</v>
      </c>
      <c r="L303" t="s">
        <v>4717</v>
      </c>
    </row>
    <row r="304">
      <c r="A304" t="s">
        <v>2378</v>
      </c>
      <c r="B304" t="s">
        <v>836</v>
      </c>
      <c r="C304" t="s">
        <v>679</v>
      </c>
      <c r="D304" t="s">
        <v>680</v>
      </c>
      <c r="E304" t="s">
        <v>834</v>
      </c>
      <c r="F304" t="s">
        <v>120</v>
      </c>
      <c r="H304" t="s">
        <v>4715</v>
      </c>
      <c r="I304" t="s">
        <v>4999</v>
      </c>
      <c r="L304" t="s">
        <v>4717</v>
      </c>
    </row>
    <row r="305">
      <c r="A305" t="s">
        <v>2381</v>
      </c>
      <c r="B305" t="s">
        <v>843</v>
      </c>
      <c r="C305" t="s">
        <v>679</v>
      </c>
      <c r="D305" t="s">
        <v>680</v>
      </c>
      <c r="E305" t="s">
        <v>834</v>
      </c>
      <c r="F305" t="s">
        <v>120</v>
      </c>
      <c r="H305" t="s">
        <v>4715</v>
      </c>
      <c r="I305" t="s">
        <v>5000</v>
      </c>
      <c r="L305" t="s">
        <v>4717</v>
      </c>
    </row>
    <row r="306">
      <c r="A306" t="s">
        <v>2381</v>
      </c>
      <c r="B306" t="s">
        <v>843</v>
      </c>
      <c r="C306" t="s">
        <v>679</v>
      </c>
      <c r="D306" t="s">
        <v>680</v>
      </c>
      <c r="E306" t="s">
        <v>834</v>
      </c>
      <c r="F306" t="s">
        <v>120</v>
      </c>
      <c r="H306" t="s">
        <v>4715</v>
      </c>
      <c r="I306" t="s">
        <v>5001</v>
      </c>
      <c r="L306" t="s">
        <v>4717</v>
      </c>
    </row>
    <row r="307">
      <c r="A307" t="s">
        <v>2381</v>
      </c>
      <c r="B307" t="s">
        <v>843</v>
      </c>
      <c r="C307" t="s">
        <v>679</v>
      </c>
      <c r="D307" t="s">
        <v>680</v>
      </c>
      <c r="E307" t="s">
        <v>834</v>
      </c>
      <c r="F307" t="s">
        <v>120</v>
      </c>
      <c r="H307" t="s">
        <v>4715</v>
      </c>
      <c r="I307" t="s">
        <v>4801</v>
      </c>
      <c r="L307" t="s">
        <v>4717</v>
      </c>
    </row>
    <row r="308">
      <c r="A308" t="s">
        <v>2384</v>
      </c>
      <c r="B308" t="s">
        <v>850</v>
      </c>
      <c r="C308" t="s">
        <v>679</v>
      </c>
      <c r="D308" t="s">
        <v>680</v>
      </c>
      <c r="E308" t="s">
        <v>834</v>
      </c>
      <c r="F308" t="s">
        <v>120</v>
      </c>
      <c r="H308" t="s">
        <v>4715</v>
      </c>
      <c r="I308" t="s">
        <v>5002</v>
      </c>
      <c r="L308" t="s">
        <v>4717</v>
      </c>
    </row>
    <row r="309">
      <c r="A309" t="s">
        <v>2384</v>
      </c>
      <c r="B309" t="s">
        <v>850</v>
      </c>
      <c r="C309" t="s">
        <v>679</v>
      </c>
      <c r="D309" t="s">
        <v>680</v>
      </c>
      <c r="E309" t="s">
        <v>834</v>
      </c>
      <c r="F309" t="s">
        <v>120</v>
      </c>
      <c r="H309" t="s">
        <v>4715</v>
      </c>
      <c r="I309" t="s">
        <v>5003</v>
      </c>
      <c r="L309" t="s">
        <v>4717</v>
      </c>
    </row>
    <row r="310">
      <c r="A310" t="s">
        <v>2384</v>
      </c>
      <c r="B310" t="s">
        <v>850</v>
      </c>
      <c r="C310" t="s">
        <v>679</v>
      </c>
      <c r="D310" t="s">
        <v>680</v>
      </c>
      <c r="E310" t="s">
        <v>834</v>
      </c>
      <c r="F310" t="s">
        <v>120</v>
      </c>
      <c r="H310" t="s">
        <v>4715</v>
      </c>
      <c r="I310" t="s">
        <v>5004</v>
      </c>
      <c r="L310" t="s">
        <v>4717</v>
      </c>
    </row>
    <row r="311">
      <c r="A311" t="s">
        <v>2387</v>
      </c>
      <c r="B311" t="s">
        <v>857</v>
      </c>
      <c r="C311" t="s">
        <v>679</v>
      </c>
      <c r="D311" t="s">
        <v>680</v>
      </c>
      <c r="E311" t="s">
        <v>834</v>
      </c>
      <c r="F311" t="s">
        <v>120</v>
      </c>
      <c r="H311" t="s">
        <v>4715</v>
      </c>
      <c r="I311" t="s">
        <v>5005</v>
      </c>
      <c r="L311" t="s">
        <v>4717</v>
      </c>
    </row>
    <row r="312">
      <c r="A312" t="s">
        <v>2387</v>
      </c>
      <c r="B312" t="s">
        <v>857</v>
      </c>
      <c r="C312" t="s">
        <v>679</v>
      </c>
      <c r="D312" t="s">
        <v>680</v>
      </c>
      <c r="E312" t="s">
        <v>834</v>
      </c>
      <c r="F312" t="s">
        <v>120</v>
      </c>
      <c r="H312" t="s">
        <v>4715</v>
      </c>
      <c r="I312" t="s">
        <v>5006</v>
      </c>
      <c r="L312" t="s">
        <v>4717</v>
      </c>
    </row>
    <row r="313">
      <c r="A313" t="s">
        <v>2387</v>
      </c>
      <c r="B313" t="s">
        <v>857</v>
      </c>
      <c r="C313" t="s">
        <v>679</v>
      </c>
      <c r="D313" t="s">
        <v>680</v>
      </c>
      <c r="E313" t="s">
        <v>834</v>
      </c>
      <c r="F313" t="s">
        <v>120</v>
      </c>
      <c r="H313" t="s">
        <v>4715</v>
      </c>
      <c r="I313" t="s">
        <v>4856</v>
      </c>
      <c r="L313" t="s">
        <v>4717</v>
      </c>
    </row>
    <row r="314">
      <c r="A314" t="s">
        <v>2390</v>
      </c>
      <c r="B314" t="s">
        <v>864</v>
      </c>
      <c r="C314" t="s">
        <v>679</v>
      </c>
      <c r="D314" t="s">
        <v>680</v>
      </c>
      <c r="E314" t="s">
        <v>862</v>
      </c>
      <c r="F314" t="s">
        <v>120</v>
      </c>
      <c r="H314" t="s">
        <v>4715</v>
      </c>
      <c r="I314" t="s">
        <v>5007</v>
      </c>
      <c r="L314" t="s">
        <v>4717</v>
      </c>
    </row>
    <row r="315">
      <c r="A315" t="s">
        <v>2390</v>
      </c>
      <c r="B315" t="s">
        <v>864</v>
      </c>
      <c r="C315" t="s">
        <v>679</v>
      </c>
      <c r="D315" t="s">
        <v>680</v>
      </c>
      <c r="E315" t="s">
        <v>862</v>
      </c>
      <c r="F315" t="s">
        <v>120</v>
      </c>
      <c r="H315" t="s">
        <v>4715</v>
      </c>
      <c r="I315" t="s">
        <v>5008</v>
      </c>
      <c r="L315" t="s">
        <v>4717</v>
      </c>
    </row>
    <row r="316">
      <c r="A316" t="s">
        <v>2390</v>
      </c>
      <c r="B316" t="s">
        <v>864</v>
      </c>
      <c r="C316" t="s">
        <v>679</v>
      </c>
      <c r="D316" t="s">
        <v>680</v>
      </c>
      <c r="E316" t="s">
        <v>862</v>
      </c>
      <c r="F316" t="s">
        <v>120</v>
      </c>
      <c r="H316" t="s">
        <v>4715</v>
      </c>
      <c r="I316" t="s">
        <v>4982</v>
      </c>
      <c r="L316" t="s">
        <v>4717</v>
      </c>
    </row>
    <row r="317">
      <c r="A317" t="s">
        <v>2393</v>
      </c>
      <c r="B317" t="s">
        <v>870</v>
      </c>
      <c r="C317" t="s">
        <v>679</v>
      </c>
      <c r="D317" t="s">
        <v>680</v>
      </c>
      <c r="E317" t="s">
        <v>862</v>
      </c>
      <c r="F317" t="s">
        <v>120</v>
      </c>
      <c r="H317" t="s">
        <v>4715</v>
      </c>
      <c r="I317" t="s">
        <v>5009</v>
      </c>
      <c r="L317" t="s">
        <v>4717</v>
      </c>
    </row>
    <row r="318">
      <c r="A318" t="s">
        <v>2393</v>
      </c>
      <c r="B318" t="s">
        <v>870</v>
      </c>
      <c r="C318" t="s">
        <v>679</v>
      </c>
      <c r="D318" t="s">
        <v>680</v>
      </c>
      <c r="E318" t="s">
        <v>862</v>
      </c>
      <c r="F318" t="s">
        <v>120</v>
      </c>
      <c r="H318" t="s">
        <v>4715</v>
      </c>
      <c r="I318" t="s">
        <v>5010</v>
      </c>
      <c r="L318" t="s">
        <v>4717</v>
      </c>
    </row>
    <row r="319">
      <c r="A319" t="s">
        <v>2393</v>
      </c>
      <c r="B319" t="s">
        <v>870</v>
      </c>
      <c r="C319" t="s">
        <v>679</v>
      </c>
      <c r="D319" t="s">
        <v>680</v>
      </c>
      <c r="E319" t="s">
        <v>862</v>
      </c>
      <c r="F319" t="s">
        <v>120</v>
      </c>
      <c r="H319" t="s">
        <v>4715</v>
      </c>
      <c r="I319" t="s">
        <v>5011</v>
      </c>
      <c r="L319" t="s">
        <v>4717</v>
      </c>
    </row>
    <row r="320">
      <c r="A320" t="s">
        <v>2396</v>
      </c>
      <c r="B320" t="s">
        <v>877</v>
      </c>
      <c r="C320" t="s">
        <v>679</v>
      </c>
      <c r="D320" t="s">
        <v>680</v>
      </c>
      <c r="E320" t="s">
        <v>862</v>
      </c>
      <c r="F320" t="s">
        <v>120</v>
      </c>
      <c r="H320" t="s">
        <v>4715</v>
      </c>
      <c r="I320" t="s">
        <v>5012</v>
      </c>
      <c r="L320" t="s">
        <v>4717</v>
      </c>
    </row>
    <row r="321">
      <c r="A321" t="s">
        <v>2396</v>
      </c>
      <c r="B321" t="s">
        <v>877</v>
      </c>
      <c r="C321" t="s">
        <v>679</v>
      </c>
      <c r="D321" t="s">
        <v>680</v>
      </c>
      <c r="E321" t="s">
        <v>862</v>
      </c>
      <c r="F321" t="s">
        <v>120</v>
      </c>
      <c r="H321" t="s">
        <v>4715</v>
      </c>
      <c r="I321" t="s">
        <v>5013</v>
      </c>
      <c r="L321" t="s">
        <v>4717</v>
      </c>
    </row>
    <row r="322">
      <c r="A322" t="s">
        <v>2396</v>
      </c>
      <c r="B322" t="s">
        <v>877</v>
      </c>
      <c r="C322" t="s">
        <v>679</v>
      </c>
      <c r="D322" t="s">
        <v>680</v>
      </c>
      <c r="E322" t="s">
        <v>862</v>
      </c>
      <c r="F322" t="s">
        <v>120</v>
      </c>
      <c r="H322" t="s">
        <v>4715</v>
      </c>
      <c r="I322" t="s">
        <v>5014</v>
      </c>
      <c r="L322" t="s">
        <v>4717</v>
      </c>
    </row>
    <row r="323">
      <c r="A323" t="s">
        <v>2399</v>
      </c>
      <c r="B323" t="s">
        <v>882</v>
      </c>
      <c r="C323" t="s">
        <v>679</v>
      </c>
      <c r="D323" t="s">
        <v>680</v>
      </c>
      <c r="E323" t="s">
        <v>862</v>
      </c>
      <c r="F323" t="s">
        <v>120</v>
      </c>
      <c r="H323" t="s">
        <v>4715</v>
      </c>
      <c r="I323" t="s">
        <v>5015</v>
      </c>
      <c r="L323" t="s">
        <v>4717</v>
      </c>
    </row>
    <row r="324">
      <c r="A324" t="s">
        <v>2399</v>
      </c>
      <c r="B324" t="s">
        <v>882</v>
      </c>
      <c r="C324" t="s">
        <v>679</v>
      </c>
      <c r="D324" t="s">
        <v>680</v>
      </c>
      <c r="E324" t="s">
        <v>862</v>
      </c>
      <c r="F324" t="s">
        <v>120</v>
      </c>
      <c r="H324" t="s">
        <v>4715</v>
      </c>
      <c r="I324" t="s">
        <v>5016</v>
      </c>
      <c r="L324" t="s">
        <v>4717</v>
      </c>
    </row>
    <row r="325">
      <c r="A325" t="s">
        <v>2399</v>
      </c>
      <c r="B325" t="s">
        <v>882</v>
      </c>
      <c r="C325" t="s">
        <v>679</v>
      </c>
      <c r="D325" t="s">
        <v>680</v>
      </c>
      <c r="E325" t="s">
        <v>862</v>
      </c>
      <c r="F325" t="s">
        <v>120</v>
      </c>
      <c r="H325" t="s">
        <v>4715</v>
      </c>
      <c r="I325" t="s">
        <v>5017</v>
      </c>
      <c r="L325" t="s">
        <v>4717</v>
      </c>
    </row>
    <row r="326">
      <c r="A326" t="s">
        <v>2402</v>
      </c>
      <c r="B326" t="s">
        <v>889</v>
      </c>
      <c r="C326" t="s">
        <v>679</v>
      </c>
      <c r="D326" t="s">
        <v>680</v>
      </c>
      <c r="E326" t="s">
        <v>862</v>
      </c>
      <c r="F326" t="s">
        <v>120</v>
      </c>
      <c r="H326" t="s">
        <v>4715</v>
      </c>
      <c r="I326" t="s">
        <v>5018</v>
      </c>
      <c r="L326" t="s">
        <v>4717</v>
      </c>
    </row>
    <row r="327">
      <c r="A327" t="s">
        <v>2402</v>
      </c>
      <c r="B327" t="s">
        <v>889</v>
      </c>
      <c r="C327" t="s">
        <v>679</v>
      </c>
      <c r="D327" t="s">
        <v>680</v>
      </c>
      <c r="E327" t="s">
        <v>862</v>
      </c>
      <c r="F327" t="s">
        <v>120</v>
      </c>
      <c r="H327" t="s">
        <v>4715</v>
      </c>
      <c r="I327" t="s">
        <v>5019</v>
      </c>
      <c r="L327" t="s">
        <v>4717</v>
      </c>
    </row>
    <row r="328">
      <c r="A328" t="s">
        <v>2402</v>
      </c>
      <c r="B328" t="s">
        <v>889</v>
      </c>
      <c r="C328" t="s">
        <v>679</v>
      </c>
      <c r="D328" t="s">
        <v>680</v>
      </c>
      <c r="E328" t="s">
        <v>862</v>
      </c>
      <c r="F328" t="s">
        <v>120</v>
      </c>
      <c r="H328" t="s">
        <v>4715</v>
      </c>
      <c r="I328" t="s">
        <v>5020</v>
      </c>
      <c r="L328" t="s">
        <v>4717</v>
      </c>
    </row>
    <row r="329">
      <c r="A329" t="s">
        <v>2405</v>
      </c>
      <c r="B329" t="s">
        <v>899</v>
      </c>
      <c r="C329" t="s">
        <v>679</v>
      </c>
      <c r="D329" t="s">
        <v>680</v>
      </c>
      <c r="E329" t="s">
        <v>897</v>
      </c>
      <c r="F329" t="s">
        <v>120</v>
      </c>
      <c r="H329" t="s">
        <v>4715</v>
      </c>
      <c r="I329" t="s">
        <v>5021</v>
      </c>
      <c r="L329" t="s">
        <v>4717</v>
      </c>
    </row>
    <row r="330">
      <c r="A330" t="s">
        <v>2405</v>
      </c>
      <c r="B330" t="s">
        <v>899</v>
      </c>
      <c r="C330" t="s">
        <v>679</v>
      </c>
      <c r="D330" t="s">
        <v>680</v>
      </c>
      <c r="E330" t="s">
        <v>897</v>
      </c>
      <c r="F330" t="s">
        <v>120</v>
      </c>
      <c r="H330" t="s">
        <v>4715</v>
      </c>
      <c r="I330" t="s">
        <v>5022</v>
      </c>
      <c r="L330" t="s">
        <v>4717</v>
      </c>
    </row>
    <row r="331">
      <c r="A331" t="s">
        <v>2405</v>
      </c>
      <c r="B331" t="s">
        <v>899</v>
      </c>
      <c r="C331" t="s">
        <v>679</v>
      </c>
      <c r="D331" t="s">
        <v>680</v>
      </c>
      <c r="E331" t="s">
        <v>897</v>
      </c>
      <c r="F331" t="s">
        <v>120</v>
      </c>
      <c r="H331" t="s">
        <v>4715</v>
      </c>
      <c r="I331" t="s">
        <v>4964</v>
      </c>
      <c r="L331" t="s">
        <v>4717</v>
      </c>
    </row>
    <row r="332">
      <c r="A332" t="s">
        <v>2408</v>
      </c>
      <c r="B332" t="s">
        <v>906</v>
      </c>
      <c r="C332" t="s">
        <v>679</v>
      </c>
      <c r="D332" t="s">
        <v>680</v>
      </c>
      <c r="E332" t="s">
        <v>897</v>
      </c>
      <c r="F332" t="s">
        <v>120</v>
      </c>
      <c r="H332" t="s">
        <v>4715</v>
      </c>
      <c r="I332" t="s">
        <v>5023</v>
      </c>
      <c r="L332" t="s">
        <v>4717</v>
      </c>
    </row>
    <row r="333">
      <c r="A333" t="s">
        <v>2408</v>
      </c>
      <c r="B333" t="s">
        <v>906</v>
      </c>
      <c r="C333" t="s">
        <v>679</v>
      </c>
      <c r="D333" t="s">
        <v>680</v>
      </c>
      <c r="E333" t="s">
        <v>897</v>
      </c>
      <c r="F333" t="s">
        <v>120</v>
      </c>
      <c r="H333" t="s">
        <v>4715</v>
      </c>
      <c r="I333" t="s">
        <v>5024</v>
      </c>
      <c r="L333" t="s">
        <v>4717</v>
      </c>
    </row>
    <row r="334">
      <c r="A334" t="s">
        <v>2408</v>
      </c>
      <c r="B334" t="s">
        <v>906</v>
      </c>
      <c r="C334" t="s">
        <v>679</v>
      </c>
      <c r="D334" t="s">
        <v>680</v>
      </c>
      <c r="E334" t="s">
        <v>897</v>
      </c>
      <c r="F334" t="s">
        <v>120</v>
      </c>
      <c r="H334" t="s">
        <v>4715</v>
      </c>
      <c r="I334" t="s">
        <v>5004</v>
      </c>
      <c r="L334" t="s">
        <v>4717</v>
      </c>
    </row>
    <row r="335">
      <c r="A335" t="s">
        <v>2411</v>
      </c>
      <c r="B335" t="s">
        <v>912</v>
      </c>
      <c r="C335" t="s">
        <v>679</v>
      </c>
      <c r="D335" t="s">
        <v>680</v>
      </c>
      <c r="E335" t="s">
        <v>897</v>
      </c>
      <c r="F335" t="s">
        <v>120</v>
      </c>
      <c r="H335" t="s">
        <v>4715</v>
      </c>
      <c r="I335" t="s">
        <v>5025</v>
      </c>
      <c r="L335" t="s">
        <v>4717</v>
      </c>
    </row>
    <row r="336">
      <c r="A336" t="s">
        <v>2411</v>
      </c>
      <c r="B336" t="s">
        <v>912</v>
      </c>
      <c r="C336" t="s">
        <v>679</v>
      </c>
      <c r="D336" t="s">
        <v>680</v>
      </c>
      <c r="E336" t="s">
        <v>897</v>
      </c>
      <c r="F336" t="s">
        <v>120</v>
      </c>
      <c r="H336" t="s">
        <v>4715</v>
      </c>
      <c r="I336" t="s">
        <v>5026</v>
      </c>
      <c r="L336" t="s">
        <v>4717</v>
      </c>
    </row>
    <row r="337">
      <c r="A337" t="s">
        <v>2411</v>
      </c>
      <c r="B337" t="s">
        <v>912</v>
      </c>
      <c r="C337" t="s">
        <v>679</v>
      </c>
      <c r="D337" t="s">
        <v>680</v>
      </c>
      <c r="E337" t="s">
        <v>897</v>
      </c>
      <c r="F337" t="s">
        <v>120</v>
      </c>
      <c r="H337" t="s">
        <v>4715</v>
      </c>
      <c r="I337" t="s">
        <v>4973</v>
      </c>
      <c r="L337" t="s">
        <v>4717</v>
      </c>
    </row>
    <row r="338">
      <c r="A338" t="s">
        <v>2414</v>
      </c>
      <c r="B338" t="s">
        <v>919</v>
      </c>
      <c r="C338" t="s">
        <v>679</v>
      </c>
      <c r="D338" t="s">
        <v>680</v>
      </c>
      <c r="E338" t="s">
        <v>897</v>
      </c>
      <c r="F338" t="s">
        <v>120</v>
      </c>
      <c r="H338" t="s">
        <v>4715</v>
      </c>
      <c r="I338" t="s">
        <v>5027</v>
      </c>
      <c r="L338" t="s">
        <v>4717</v>
      </c>
    </row>
    <row r="339">
      <c r="A339" t="s">
        <v>2414</v>
      </c>
      <c r="B339" t="s">
        <v>919</v>
      </c>
      <c r="C339" t="s">
        <v>679</v>
      </c>
      <c r="D339" t="s">
        <v>680</v>
      </c>
      <c r="E339" t="s">
        <v>897</v>
      </c>
      <c r="F339" t="s">
        <v>120</v>
      </c>
      <c r="H339" t="s">
        <v>4715</v>
      </c>
      <c r="I339" t="s">
        <v>5028</v>
      </c>
      <c r="L339" t="s">
        <v>4717</v>
      </c>
    </row>
    <row r="340">
      <c r="A340" t="s">
        <v>2414</v>
      </c>
      <c r="B340" t="s">
        <v>919</v>
      </c>
      <c r="C340" t="s">
        <v>679</v>
      </c>
      <c r="D340" t="s">
        <v>680</v>
      </c>
      <c r="E340" t="s">
        <v>897</v>
      </c>
      <c r="F340" t="s">
        <v>120</v>
      </c>
      <c r="H340" t="s">
        <v>4715</v>
      </c>
      <c r="I340" t="s">
        <v>4896</v>
      </c>
      <c r="L340" t="s">
        <v>4717</v>
      </c>
    </row>
    <row r="341">
      <c r="A341" t="s">
        <v>2417</v>
      </c>
      <c r="B341" t="s">
        <v>925</v>
      </c>
      <c r="C341" t="s">
        <v>679</v>
      </c>
      <c r="D341" t="s">
        <v>680</v>
      </c>
      <c r="E341" t="s">
        <v>897</v>
      </c>
      <c r="F341" t="s">
        <v>120</v>
      </c>
      <c r="H341" t="s">
        <v>4715</v>
      </c>
      <c r="I341" t="s">
        <v>5029</v>
      </c>
      <c r="L341" t="s">
        <v>4717</v>
      </c>
    </row>
    <row r="342">
      <c r="A342" t="s">
        <v>2417</v>
      </c>
      <c r="B342" t="s">
        <v>925</v>
      </c>
      <c r="C342" t="s">
        <v>679</v>
      </c>
      <c r="D342" t="s">
        <v>680</v>
      </c>
      <c r="E342" t="s">
        <v>897</v>
      </c>
      <c r="F342" t="s">
        <v>120</v>
      </c>
      <c r="H342" t="s">
        <v>4715</v>
      </c>
      <c r="I342" t="s">
        <v>4922</v>
      </c>
      <c r="L342" t="s">
        <v>4717</v>
      </c>
    </row>
    <row r="343">
      <c r="A343" t="s">
        <v>2417</v>
      </c>
      <c r="B343" t="s">
        <v>925</v>
      </c>
      <c r="C343" t="s">
        <v>679</v>
      </c>
      <c r="D343" t="s">
        <v>680</v>
      </c>
      <c r="E343" t="s">
        <v>897</v>
      </c>
      <c r="F343" t="s">
        <v>120</v>
      </c>
      <c r="H343" t="s">
        <v>4715</v>
      </c>
      <c r="I343" t="s">
        <v>5030</v>
      </c>
      <c r="L343" t="s">
        <v>4717</v>
      </c>
    </row>
    <row r="344">
      <c r="A344" t="s">
        <v>2420</v>
      </c>
      <c r="B344" t="s">
        <v>935</v>
      </c>
      <c r="C344" t="s">
        <v>679</v>
      </c>
      <c r="D344" t="s">
        <v>680</v>
      </c>
      <c r="E344" t="s">
        <v>933</v>
      </c>
      <c r="F344" t="s">
        <v>120</v>
      </c>
      <c r="H344" t="s">
        <v>4715</v>
      </c>
      <c r="I344" t="s">
        <v>5031</v>
      </c>
      <c r="L344" t="s">
        <v>4717</v>
      </c>
    </row>
    <row r="345">
      <c r="A345" t="s">
        <v>2420</v>
      </c>
      <c r="B345" t="s">
        <v>935</v>
      </c>
      <c r="C345" t="s">
        <v>679</v>
      </c>
      <c r="D345" t="s">
        <v>680</v>
      </c>
      <c r="E345" t="s">
        <v>933</v>
      </c>
      <c r="F345" t="s">
        <v>120</v>
      </c>
      <c r="H345" t="s">
        <v>4715</v>
      </c>
      <c r="I345" t="s">
        <v>5032</v>
      </c>
      <c r="L345" t="s">
        <v>4717</v>
      </c>
    </row>
    <row r="346">
      <c r="A346" t="s">
        <v>2420</v>
      </c>
      <c r="B346" t="s">
        <v>935</v>
      </c>
      <c r="C346" t="s">
        <v>679</v>
      </c>
      <c r="D346" t="s">
        <v>680</v>
      </c>
      <c r="E346" t="s">
        <v>933</v>
      </c>
      <c r="F346" t="s">
        <v>120</v>
      </c>
      <c r="H346" t="s">
        <v>4715</v>
      </c>
      <c r="I346" t="s">
        <v>5033</v>
      </c>
      <c r="L346" t="s">
        <v>4717</v>
      </c>
    </row>
    <row r="347">
      <c r="A347" t="s">
        <v>2423</v>
      </c>
      <c r="B347" t="s">
        <v>940</v>
      </c>
      <c r="C347" t="s">
        <v>679</v>
      </c>
      <c r="D347" t="s">
        <v>680</v>
      </c>
      <c r="E347" t="s">
        <v>933</v>
      </c>
      <c r="F347" t="s">
        <v>120</v>
      </c>
      <c r="H347" t="s">
        <v>4715</v>
      </c>
      <c r="I347" t="s">
        <v>5034</v>
      </c>
      <c r="L347" t="s">
        <v>4717</v>
      </c>
    </row>
    <row r="348">
      <c r="A348" t="s">
        <v>2423</v>
      </c>
      <c r="B348" t="s">
        <v>940</v>
      </c>
      <c r="C348" t="s">
        <v>679</v>
      </c>
      <c r="D348" t="s">
        <v>680</v>
      </c>
      <c r="E348" t="s">
        <v>933</v>
      </c>
      <c r="F348" t="s">
        <v>120</v>
      </c>
      <c r="H348" t="s">
        <v>4715</v>
      </c>
      <c r="I348" t="s">
        <v>5035</v>
      </c>
      <c r="L348" t="s">
        <v>4717</v>
      </c>
    </row>
    <row r="349">
      <c r="A349" t="s">
        <v>2423</v>
      </c>
      <c r="B349" t="s">
        <v>940</v>
      </c>
      <c r="C349" t="s">
        <v>679</v>
      </c>
      <c r="D349" t="s">
        <v>680</v>
      </c>
      <c r="E349" t="s">
        <v>933</v>
      </c>
      <c r="F349" t="s">
        <v>120</v>
      </c>
      <c r="H349" t="s">
        <v>4715</v>
      </c>
      <c r="I349" t="s">
        <v>4964</v>
      </c>
      <c r="L349" t="s">
        <v>4717</v>
      </c>
    </row>
    <row r="350">
      <c r="A350" t="s">
        <v>2426</v>
      </c>
      <c r="B350" t="s">
        <v>946</v>
      </c>
      <c r="C350" t="s">
        <v>679</v>
      </c>
      <c r="D350" t="s">
        <v>680</v>
      </c>
      <c r="E350" t="s">
        <v>933</v>
      </c>
      <c r="F350" t="s">
        <v>120</v>
      </c>
      <c r="H350" t="s">
        <v>4715</v>
      </c>
      <c r="I350" t="s">
        <v>5036</v>
      </c>
      <c r="L350" t="s">
        <v>4717</v>
      </c>
    </row>
    <row r="351">
      <c r="A351" t="s">
        <v>2426</v>
      </c>
      <c r="B351" t="s">
        <v>946</v>
      </c>
      <c r="C351" t="s">
        <v>679</v>
      </c>
      <c r="D351" t="s">
        <v>680</v>
      </c>
      <c r="E351" t="s">
        <v>933</v>
      </c>
      <c r="F351" t="s">
        <v>120</v>
      </c>
      <c r="H351" t="s">
        <v>4715</v>
      </c>
      <c r="I351" t="s">
        <v>5037</v>
      </c>
      <c r="L351" t="s">
        <v>4717</v>
      </c>
    </row>
    <row r="352">
      <c r="A352" t="s">
        <v>2426</v>
      </c>
      <c r="B352" t="s">
        <v>946</v>
      </c>
      <c r="C352" t="s">
        <v>679</v>
      </c>
      <c r="D352" t="s">
        <v>680</v>
      </c>
      <c r="E352" t="s">
        <v>933</v>
      </c>
      <c r="F352" t="s">
        <v>120</v>
      </c>
      <c r="H352" t="s">
        <v>4715</v>
      </c>
      <c r="I352" t="s">
        <v>4896</v>
      </c>
      <c r="L352" t="s">
        <v>4717</v>
      </c>
    </row>
    <row r="353">
      <c r="A353" t="s">
        <v>2429</v>
      </c>
      <c r="B353" t="s">
        <v>953</v>
      </c>
      <c r="C353" t="s">
        <v>679</v>
      </c>
      <c r="D353" t="s">
        <v>680</v>
      </c>
      <c r="E353" t="s">
        <v>933</v>
      </c>
      <c r="F353" t="s">
        <v>120</v>
      </c>
      <c r="H353" t="s">
        <v>4715</v>
      </c>
      <c r="I353" t="s">
        <v>5038</v>
      </c>
      <c r="L353" t="s">
        <v>4717</v>
      </c>
    </row>
    <row r="354">
      <c r="A354" t="s">
        <v>2429</v>
      </c>
      <c r="B354" t="s">
        <v>953</v>
      </c>
      <c r="C354" t="s">
        <v>679</v>
      </c>
      <c r="D354" t="s">
        <v>680</v>
      </c>
      <c r="E354" t="s">
        <v>933</v>
      </c>
      <c r="F354" t="s">
        <v>120</v>
      </c>
      <c r="H354" t="s">
        <v>4715</v>
      </c>
      <c r="I354" t="s">
        <v>5039</v>
      </c>
      <c r="L354" t="s">
        <v>4717</v>
      </c>
    </row>
    <row r="355">
      <c r="A355" t="s">
        <v>2429</v>
      </c>
      <c r="B355" t="s">
        <v>953</v>
      </c>
      <c r="C355" t="s">
        <v>679</v>
      </c>
      <c r="D355" t="s">
        <v>680</v>
      </c>
      <c r="E355" t="s">
        <v>933</v>
      </c>
      <c r="F355" t="s">
        <v>120</v>
      </c>
      <c r="H355" t="s">
        <v>4715</v>
      </c>
      <c r="I355" t="s">
        <v>5040</v>
      </c>
      <c r="L355" t="s">
        <v>4717</v>
      </c>
    </row>
    <row r="356">
      <c r="A356" t="s">
        <v>2431</v>
      </c>
      <c r="B356" t="s">
        <v>962</v>
      </c>
      <c r="C356" t="s">
        <v>958</v>
      </c>
      <c r="D356" t="s">
        <v>959</v>
      </c>
      <c r="E356" t="s">
        <v>960</v>
      </c>
      <c r="F356" t="s">
        <v>97</v>
      </c>
      <c r="G356" t="s">
        <v>2077</v>
      </c>
      <c r="H356" t="s">
        <v>5041</v>
      </c>
      <c r="I356" t="s">
        <v>5042</v>
      </c>
      <c r="J356" t="s">
        <v>5043</v>
      </c>
      <c r="K356" t="s">
        <v>5044</v>
      </c>
      <c r="L356" t="s">
        <v>4717</v>
      </c>
    </row>
    <row r="357">
      <c r="A357" t="s">
        <v>2431</v>
      </c>
      <c r="B357" t="s">
        <v>962</v>
      </c>
      <c r="C357" t="s">
        <v>958</v>
      </c>
      <c r="D357" t="s">
        <v>959</v>
      </c>
      <c r="E357" t="s">
        <v>960</v>
      </c>
      <c r="F357" t="s">
        <v>97</v>
      </c>
      <c r="G357" t="s">
        <v>2077</v>
      </c>
      <c r="H357" t="s">
        <v>5041</v>
      </c>
      <c r="I357" t="s">
        <v>5045</v>
      </c>
      <c r="J357" t="s">
        <v>5046</v>
      </c>
      <c r="K357" t="s">
        <v>5047</v>
      </c>
      <c r="L357" t="s">
        <v>4717</v>
      </c>
    </row>
    <row r="358">
      <c r="A358" t="s">
        <v>2431</v>
      </c>
      <c r="B358" t="s">
        <v>962</v>
      </c>
      <c r="C358" t="s">
        <v>958</v>
      </c>
      <c r="D358" t="s">
        <v>959</v>
      </c>
      <c r="E358" t="s">
        <v>960</v>
      </c>
      <c r="F358" t="s">
        <v>97</v>
      </c>
      <c r="G358" t="s">
        <v>2077</v>
      </c>
      <c r="H358" t="s">
        <v>5041</v>
      </c>
      <c r="I358" t="s">
        <v>5048</v>
      </c>
      <c r="J358" t="s">
        <v>5049</v>
      </c>
      <c r="K358" t="s">
        <v>5050</v>
      </c>
      <c r="L358" t="s">
        <v>4717</v>
      </c>
    </row>
    <row r="359">
      <c r="A359" t="s">
        <v>2431</v>
      </c>
      <c r="B359" t="s">
        <v>962</v>
      </c>
      <c r="C359" t="s">
        <v>958</v>
      </c>
      <c r="D359" t="s">
        <v>959</v>
      </c>
      <c r="E359" t="s">
        <v>960</v>
      </c>
      <c r="F359" t="s">
        <v>97</v>
      </c>
      <c r="G359" t="s">
        <v>2077</v>
      </c>
      <c r="H359" t="s">
        <v>5051</v>
      </c>
      <c r="I359" t="s">
        <v>5052</v>
      </c>
      <c r="J359" t="s">
        <v>5053</v>
      </c>
      <c r="K359" t="s">
        <v>5054</v>
      </c>
      <c r="L359" t="s">
        <v>4717</v>
      </c>
    </row>
    <row r="360">
      <c r="A360" t="s">
        <v>2431</v>
      </c>
      <c r="B360" t="s">
        <v>962</v>
      </c>
      <c r="C360" t="s">
        <v>958</v>
      </c>
      <c r="D360" t="s">
        <v>959</v>
      </c>
      <c r="E360" t="s">
        <v>960</v>
      </c>
      <c r="F360" t="s">
        <v>97</v>
      </c>
      <c r="G360" t="s">
        <v>2077</v>
      </c>
      <c r="H360" t="s">
        <v>5051</v>
      </c>
      <c r="I360" t="s">
        <v>5055</v>
      </c>
      <c r="J360" t="s">
        <v>5056</v>
      </c>
      <c r="K360" t="s">
        <v>5057</v>
      </c>
      <c r="L360" t="s">
        <v>4717</v>
      </c>
    </row>
    <row r="361">
      <c r="A361" t="s">
        <v>2431</v>
      </c>
      <c r="B361" t="s">
        <v>962</v>
      </c>
      <c r="C361" t="s">
        <v>958</v>
      </c>
      <c r="D361" t="s">
        <v>959</v>
      </c>
      <c r="E361" t="s">
        <v>960</v>
      </c>
      <c r="F361" t="s">
        <v>97</v>
      </c>
      <c r="G361" t="s">
        <v>2077</v>
      </c>
      <c r="H361" t="s">
        <v>5051</v>
      </c>
      <c r="I361" t="s">
        <v>5058</v>
      </c>
      <c r="J361" t="s">
        <v>5059</v>
      </c>
      <c r="K361" t="s">
        <v>5054</v>
      </c>
      <c r="L361" t="s">
        <v>4717</v>
      </c>
    </row>
    <row r="362">
      <c r="A362" t="s">
        <v>2431</v>
      </c>
      <c r="B362" t="s">
        <v>962</v>
      </c>
      <c r="C362" t="s">
        <v>958</v>
      </c>
      <c r="D362" t="s">
        <v>959</v>
      </c>
      <c r="E362" t="s">
        <v>960</v>
      </c>
      <c r="F362" t="s">
        <v>97</v>
      </c>
      <c r="G362" t="s">
        <v>2077</v>
      </c>
      <c r="H362" t="s">
        <v>5051</v>
      </c>
      <c r="I362" t="s">
        <v>5060</v>
      </c>
      <c r="J362" t="s">
        <v>5061</v>
      </c>
      <c r="K362" t="s">
        <v>5054</v>
      </c>
      <c r="L362" t="s">
        <v>4717</v>
      </c>
    </row>
    <row r="363">
      <c r="A363" t="s">
        <v>2431</v>
      </c>
      <c r="B363" t="s">
        <v>962</v>
      </c>
      <c r="C363" t="s">
        <v>958</v>
      </c>
      <c r="D363" t="s">
        <v>959</v>
      </c>
      <c r="E363" t="s">
        <v>960</v>
      </c>
      <c r="F363" t="s">
        <v>97</v>
      </c>
      <c r="G363" t="s">
        <v>2077</v>
      </c>
      <c r="H363" t="s">
        <v>5051</v>
      </c>
      <c r="I363" t="s">
        <v>5062</v>
      </c>
      <c r="J363" t="s">
        <v>5063</v>
      </c>
      <c r="K363" t="s">
        <v>5064</v>
      </c>
      <c r="L363" t="s">
        <v>4717</v>
      </c>
    </row>
    <row r="364">
      <c r="A364" t="s">
        <v>2431</v>
      </c>
      <c r="B364" t="s">
        <v>962</v>
      </c>
      <c r="C364" t="s">
        <v>958</v>
      </c>
      <c r="D364" t="s">
        <v>959</v>
      </c>
      <c r="E364" t="s">
        <v>960</v>
      </c>
      <c r="F364" t="s">
        <v>97</v>
      </c>
      <c r="G364" t="s">
        <v>2077</v>
      </c>
      <c r="H364" t="s">
        <v>5051</v>
      </c>
      <c r="I364" t="s">
        <v>5065</v>
      </c>
      <c r="J364" t="s">
        <v>5066</v>
      </c>
      <c r="K364" t="s">
        <v>5067</v>
      </c>
      <c r="L364" t="s">
        <v>4717</v>
      </c>
    </row>
    <row r="365">
      <c r="A365" t="s">
        <v>2431</v>
      </c>
      <c r="B365" t="s">
        <v>962</v>
      </c>
      <c r="C365" t="s">
        <v>958</v>
      </c>
      <c r="D365" t="s">
        <v>959</v>
      </c>
      <c r="E365" t="s">
        <v>960</v>
      </c>
      <c r="F365" t="s">
        <v>97</v>
      </c>
      <c r="G365" t="s">
        <v>2077</v>
      </c>
      <c r="H365" t="s">
        <v>5051</v>
      </c>
      <c r="I365" t="s">
        <v>5068</v>
      </c>
      <c r="J365" t="s">
        <v>5069</v>
      </c>
      <c r="K365" t="s">
        <v>5070</v>
      </c>
      <c r="L365" t="s">
        <v>4717</v>
      </c>
    </row>
    <row r="366">
      <c r="A366" t="s">
        <v>2431</v>
      </c>
      <c r="B366" t="s">
        <v>962</v>
      </c>
      <c r="C366" t="s">
        <v>958</v>
      </c>
      <c r="D366" t="s">
        <v>959</v>
      </c>
      <c r="E366" t="s">
        <v>960</v>
      </c>
      <c r="F366" t="s">
        <v>97</v>
      </c>
      <c r="G366" t="s">
        <v>2077</v>
      </c>
      <c r="H366" t="s">
        <v>5051</v>
      </c>
      <c r="I366" t="s">
        <v>5071</v>
      </c>
      <c r="J366" t="s">
        <v>5072</v>
      </c>
      <c r="K366" t="s">
        <v>5073</v>
      </c>
      <c r="L366" t="s">
        <v>4717</v>
      </c>
    </row>
    <row r="367">
      <c r="A367" t="s">
        <v>2431</v>
      </c>
      <c r="B367" t="s">
        <v>962</v>
      </c>
      <c r="C367" t="s">
        <v>958</v>
      </c>
      <c r="D367" t="s">
        <v>959</v>
      </c>
      <c r="E367" t="s">
        <v>960</v>
      </c>
      <c r="F367" t="s">
        <v>97</v>
      </c>
      <c r="G367" t="s">
        <v>2077</v>
      </c>
      <c r="H367" t="s">
        <v>4</v>
      </c>
      <c r="I367" t="s">
        <v>5074</v>
      </c>
      <c r="J367" t="s">
        <v>5075</v>
      </c>
      <c r="K367" t="s">
        <v>4</v>
      </c>
      <c r="L367" t="s">
        <v>4717</v>
      </c>
    </row>
    <row r="368">
      <c r="A368" t="s">
        <v>2431</v>
      </c>
      <c r="B368" t="s">
        <v>962</v>
      </c>
      <c r="C368" t="s">
        <v>958</v>
      </c>
      <c r="D368" t="s">
        <v>959</v>
      </c>
      <c r="E368" t="s">
        <v>960</v>
      </c>
      <c r="F368" t="s">
        <v>97</v>
      </c>
      <c r="G368" t="s">
        <v>2077</v>
      </c>
      <c r="H368" t="s">
        <v>4</v>
      </c>
      <c r="I368" t="s">
        <v>5076</v>
      </c>
      <c r="J368" t="s">
        <v>5077</v>
      </c>
      <c r="K368" t="s">
        <v>5078</v>
      </c>
      <c r="L368" t="s">
        <v>4717</v>
      </c>
    </row>
    <row r="369">
      <c r="A369" t="s">
        <v>2431</v>
      </c>
      <c r="B369" t="s">
        <v>962</v>
      </c>
      <c r="C369" t="s">
        <v>958</v>
      </c>
      <c r="D369" t="s">
        <v>959</v>
      </c>
      <c r="E369" t="s">
        <v>960</v>
      </c>
      <c r="F369" t="s">
        <v>97</v>
      </c>
      <c r="G369" t="s">
        <v>2077</v>
      </c>
      <c r="H369" t="s">
        <v>4</v>
      </c>
      <c r="I369" t="s">
        <v>5079</v>
      </c>
      <c r="J369" t="s">
        <v>5080</v>
      </c>
      <c r="K369" t="s">
        <v>5078</v>
      </c>
      <c r="L369" t="s">
        <v>4717</v>
      </c>
    </row>
    <row r="370">
      <c r="A370" t="s">
        <v>2431</v>
      </c>
      <c r="B370" t="s">
        <v>962</v>
      </c>
      <c r="C370" t="s">
        <v>958</v>
      </c>
      <c r="D370" t="s">
        <v>959</v>
      </c>
      <c r="E370" t="s">
        <v>960</v>
      </c>
      <c r="F370" t="s">
        <v>97</v>
      </c>
      <c r="G370" t="s">
        <v>2077</v>
      </c>
      <c r="H370" t="s">
        <v>4</v>
      </c>
      <c r="I370" t="s">
        <v>5081</v>
      </c>
      <c r="J370" t="s">
        <v>5082</v>
      </c>
      <c r="K370" t="s">
        <v>5078</v>
      </c>
      <c r="L370" t="s">
        <v>4717</v>
      </c>
    </row>
    <row r="371">
      <c r="A371" t="s">
        <v>2431</v>
      </c>
      <c r="B371" t="s">
        <v>962</v>
      </c>
      <c r="C371" t="s">
        <v>958</v>
      </c>
      <c r="D371" t="s">
        <v>959</v>
      </c>
      <c r="E371" t="s">
        <v>960</v>
      </c>
      <c r="F371" t="s">
        <v>97</v>
      </c>
      <c r="G371" t="s">
        <v>2077</v>
      </c>
      <c r="H371" t="s">
        <v>4</v>
      </c>
      <c r="I371" t="s">
        <v>5083</v>
      </c>
      <c r="J371" t="s">
        <v>5084</v>
      </c>
      <c r="K371" t="s">
        <v>5085</v>
      </c>
      <c r="L371" t="s">
        <v>4717</v>
      </c>
    </row>
    <row r="372">
      <c r="A372" t="s">
        <v>2431</v>
      </c>
      <c r="B372" t="s">
        <v>962</v>
      </c>
      <c r="C372" t="s">
        <v>958</v>
      </c>
      <c r="D372" t="s">
        <v>959</v>
      </c>
      <c r="E372" t="s">
        <v>960</v>
      </c>
      <c r="F372" t="s">
        <v>97</v>
      </c>
      <c r="G372" t="s">
        <v>2077</v>
      </c>
      <c r="H372" t="s">
        <v>4</v>
      </c>
      <c r="I372" t="s">
        <v>5086</v>
      </c>
      <c r="J372" t="s">
        <v>5087</v>
      </c>
      <c r="K372" t="s">
        <v>4158</v>
      </c>
      <c r="L372" t="s">
        <v>4717</v>
      </c>
    </row>
    <row r="373">
      <c r="A373" t="s">
        <v>2431</v>
      </c>
      <c r="B373" t="s">
        <v>962</v>
      </c>
      <c r="C373" t="s">
        <v>958</v>
      </c>
      <c r="D373" t="s">
        <v>959</v>
      </c>
      <c r="E373" t="s">
        <v>960</v>
      </c>
      <c r="F373" t="s">
        <v>97</v>
      </c>
      <c r="G373" t="s">
        <v>2077</v>
      </c>
      <c r="H373" t="s">
        <v>4</v>
      </c>
      <c r="I373" t="s">
        <v>5088</v>
      </c>
      <c r="J373" t="s">
        <v>5089</v>
      </c>
      <c r="K373" t="s">
        <v>5030</v>
      </c>
      <c r="L373" t="s">
        <v>4717</v>
      </c>
    </row>
    <row r="374">
      <c r="A374" t="s">
        <v>2431</v>
      </c>
      <c r="B374" t="s">
        <v>962</v>
      </c>
      <c r="C374" t="s">
        <v>958</v>
      </c>
      <c r="D374" t="s">
        <v>959</v>
      </c>
      <c r="E374" t="s">
        <v>960</v>
      </c>
      <c r="F374" t="s">
        <v>97</v>
      </c>
      <c r="G374" t="s">
        <v>2077</v>
      </c>
      <c r="H374" t="s">
        <v>5090</v>
      </c>
      <c r="I374" t="s">
        <v>5091</v>
      </c>
      <c r="J374" t="s">
        <v>5092</v>
      </c>
      <c r="K374" t="s">
        <v>4153</v>
      </c>
      <c r="L374" t="s">
        <v>4717</v>
      </c>
    </row>
    <row r="375">
      <c r="A375" t="s">
        <v>2431</v>
      </c>
      <c r="B375" t="s">
        <v>962</v>
      </c>
      <c r="C375" t="s">
        <v>958</v>
      </c>
      <c r="D375" t="s">
        <v>959</v>
      </c>
      <c r="E375" t="s">
        <v>960</v>
      </c>
      <c r="F375" t="s">
        <v>97</v>
      </c>
      <c r="G375" t="s">
        <v>2077</v>
      </c>
      <c r="H375" t="s">
        <v>5090</v>
      </c>
      <c r="I375" t="s">
        <v>5093</v>
      </c>
      <c r="J375" t="s">
        <v>5094</v>
      </c>
      <c r="K375" t="s">
        <v>4153</v>
      </c>
      <c r="L375" t="s">
        <v>4717</v>
      </c>
    </row>
    <row r="376">
      <c r="A376" t="s">
        <v>2431</v>
      </c>
      <c r="B376" t="s">
        <v>962</v>
      </c>
      <c r="C376" t="s">
        <v>958</v>
      </c>
      <c r="D376" t="s">
        <v>959</v>
      </c>
      <c r="E376" t="s">
        <v>960</v>
      </c>
      <c r="F376" t="s">
        <v>97</v>
      </c>
      <c r="G376" t="s">
        <v>2077</v>
      </c>
      <c r="H376" t="s">
        <v>5090</v>
      </c>
      <c r="I376" t="s">
        <v>5095</v>
      </c>
      <c r="J376" t="s">
        <v>5096</v>
      </c>
      <c r="K376" t="s">
        <v>5097</v>
      </c>
      <c r="L376" t="s">
        <v>4717</v>
      </c>
    </row>
    <row r="377">
      <c r="A377" t="s">
        <v>2431</v>
      </c>
      <c r="B377" t="s">
        <v>962</v>
      </c>
      <c r="C377" t="s">
        <v>958</v>
      </c>
      <c r="D377" t="s">
        <v>959</v>
      </c>
      <c r="E377" t="s">
        <v>960</v>
      </c>
      <c r="F377" t="s">
        <v>97</v>
      </c>
      <c r="G377" t="s">
        <v>2077</v>
      </c>
      <c r="H377" t="s">
        <v>5090</v>
      </c>
      <c r="I377" t="s">
        <v>5098</v>
      </c>
      <c r="J377" t="s">
        <v>5099</v>
      </c>
      <c r="K377" t="s">
        <v>5100</v>
      </c>
      <c r="L377" t="s">
        <v>4717</v>
      </c>
    </row>
    <row r="378">
      <c r="A378" t="s">
        <v>2431</v>
      </c>
      <c r="B378" t="s">
        <v>962</v>
      </c>
      <c r="C378" t="s">
        <v>958</v>
      </c>
      <c r="D378" t="s">
        <v>959</v>
      </c>
      <c r="E378" t="s">
        <v>960</v>
      </c>
      <c r="F378" t="s">
        <v>97</v>
      </c>
      <c r="G378" t="s">
        <v>2077</v>
      </c>
      <c r="H378" t="s">
        <v>5101</v>
      </c>
      <c r="I378" t="s">
        <v>5102</v>
      </c>
      <c r="J378" t="s">
        <v>5103</v>
      </c>
      <c r="K378" t="s">
        <v>4155</v>
      </c>
      <c r="L378" t="s">
        <v>4717</v>
      </c>
    </row>
    <row r="379">
      <c r="A379" t="s">
        <v>2431</v>
      </c>
      <c r="B379" t="s">
        <v>962</v>
      </c>
      <c r="C379" t="s">
        <v>958</v>
      </c>
      <c r="D379" t="s">
        <v>959</v>
      </c>
      <c r="E379" t="s">
        <v>960</v>
      </c>
      <c r="F379" t="s">
        <v>97</v>
      </c>
      <c r="G379" t="s">
        <v>2077</v>
      </c>
      <c r="H379" t="s">
        <v>5101</v>
      </c>
      <c r="I379" t="s">
        <v>5104</v>
      </c>
      <c r="J379" t="s">
        <v>5105</v>
      </c>
      <c r="K379" t="s">
        <v>4155</v>
      </c>
      <c r="L379" t="s">
        <v>4717</v>
      </c>
    </row>
    <row r="380">
      <c r="A380" t="s">
        <v>2431</v>
      </c>
      <c r="B380" t="s">
        <v>962</v>
      </c>
      <c r="C380" t="s">
        <v>958</v>
      </c>
      <c r="D380" t="s">
        <v>959</v>
      </c>
      <c r="E380" t="s">
        <v>960</v>
      </c>
      <c r="F380" t="s">
        <v>97</v>
      </c>
      <c r="G380" t="s">
        <v>2077</v>
      </c>
      <c r="H380" t="s">
        <v>5101</v>
      </c>
      <c r="I380" t="s">
        <v>5106</v>
      </c>
      <c r="J380" t="s">
        <v>5107</v>
      </c>
      <c r="K380" t="s">
        <v>5108</v>
      </c>
      <c r="L380" t="s">
        <v>4717</v>
      </c>
    </row>
    <row r="381">
      <c r="A381" t="s">
        <v>2431</v>
      </c>
      <c r="B381" t="s">
        <v>962</v>
      </c>
      <c r="C381" t="s">
        <v>958</v>
      </c>
      <c r="D381" t="s">
        <v>959</v>
      </c>
      <c r="E381" t="s">
        <v>960</v>
      </c>
      <c r="F381" t="s">
        <v>97</v>
      </c>
      <c r="G381" t="s">
        <v>2077</v>
      </c>
      <c r="H381" t="s">
        <v>5101</v>
      </c>
      <c r="I381" t="s">
        <v>5109</v>
      </c>
      <c r="J381" t="s">
        <v>5110</v>
      </c>
      <c r="K381" t="s">
        <v>5111</v>
      </c>
      <c r="L381" t="s">
        <v>4717</v>
      </c>
    </row>
    <row r="382">
      <c r="A382" t="s">
        <v>2431</v>
      </c>
      <c r="B382" t="s">
        <v>962</v>
      </c>
      <c r="C382" t="s">
        <v>958</v>
      </c>
      <c r="D382" t="s">
        <v>959</v>
      </c>
      <c r="E382" t="s">
        <v>960</v>
      </c>
      <c r="F382" t="s">
        <v>97</v>
      </c>
      <c r="G382" t="s">
        <v>2077</v>
      </c>
      <c r="H382" t="s">
        <v>5101</v>
      </c>
      <c r="I382" t="s">
        <v>5112</v>
      </c>
      <c r="J382" t="s">
        <v>5113</v>
      </c>
      <c r="K382" t="s">
        <v>5114</v>
      </c>
      <c r="L382" t="s">
        <v>4717</v>
      </c>
    </row>
    <row r="383">
      <c r="A383" t="s">
        <v>2431</v>
      </c>
      <c r="B383" t="s">
        <v>962</v>
      </c>
      <c r="C383" t="s">
        <v>958</v>
      </c>
      <c r="D383" t="s">
        <v>959</v>
      </c>
      <c r="E383" t="s">
        <v>960</v>
      </c>
      <c r="F383" t="s">
        <v>97</v>
      </c>
      <c r="G383" t="s">
        <v>2077</v>
      </c>
      <c r="H383" t="s">
        <v>5101</v>
      </c>
      <c r="I383" t="s">
        <v>5115</v>
      </c>
      <c r="J383" t="s">
        <v>5116</v>
      </c>
      <c r="K383" t="s">
        <v>5117</v>
      </c>
      <c r="L383" t="s">
        <v>4717</v>
      </c>
    </row>
    <row r="384">
      <c r="A384" t="s">
        <v>2431</v>
      </c>
      <c r="B384" t="s">
        <v>962</v>
      </c>
      <c r="C384" t="s">
        <v>958</v>
      </c>
      <c r="D384" t="s">
        <v>959</v>
      </c>
      <c r="E384" t="s">
        <v>960</v>
      </c>
      <c r="F384" t="s">
        <v>97</v>
      </c>
      <c r="G384" t="s">
        <v>2077</v>
      </c>
      <c r="H384" t="s">
        <v>5101</v>
      </c>
      <c r="I384" t="s">
        <v>5118</v>
      </c>
      <c r="J384" t="s">
        <v>5119</v>
      </c>
      <c r="K384" t="s">
        <v>5117</v>
      </c>
      <c r="L384" t="s">
        <v>4717</v>
      </c>
    </row>
    <row r="385">
      <c r="A385" t="s">
        <v>2431</v>
      </c>
      <c r="B385" t="s">
        <v>962</v>
      </c>
      <c r="C385" t="s">
        <v>958</v>
      </c>
      <c r="D385" t="s">
        <v>959</v>
      </c>
      <c r="E385" t="s">
        <v>960</v>
      </c>
      <c r="F385" t="s">
        <v>97</v>
      </c>
      <c r="G385" t="s">
        <v>2077</v>
      </c>
      <c r="H385" t="s">
        <v>5101</v>
      </c>
      <c r="I385" t="s">
        <v>5120</v>
      </c>
      <c r="J385" t="s">
        <v>5121</v>
      </c>
      <c r="K385" t="s">
        <v>5122</v>
      </c>
      <c r="L385" t="s">
        <v>4717</v>
      </c>
    </row>
    <row r="386">
      <c r="A386" t="s">
        <v>2431</v>
      </c>
      <c r="B386" t="s">
        <v>962</v>
      </c>
      <c r="C386" t="s">
        <v>958</v>
      </c>
      <c r="D386" t="s">
        <v>959</v>
      </c>
      <c r="E386" t="s">
        <v>960</v>
      </c>
      <c r="F386" t="s">
        <v>97</v>
      </c>
      <c r="G386" t="s">
        <v>2077</v>
      </c>
      <c r="H386" t="s">
        <v>5123</v>
      </c>
      <c r="I386" t="s">
        <v>5124</v>
      </c>
      <c r="J386" t="s">
        <v>5125</v>
      </c>
      <c r="K386" t="s">
        <v>5126</v>
      </c>
      <c r="L386" t="s">
        <v>4717</v>
      </c>
    </row>
    <row r="387">
      <c r="A387" t="s">
        <v>2431</v>
      </c>
      <c r="B387" t="s">
        <v>962</v>
      </c>
      <c r="C387" t="s">
        <v>958</v>
      </c>
      <c r="D387" t="s">
        <v>959</v>
      </c>
      <c r="E387" t="s">
        <v>960</v>
      </c>
      <c r="F387" t="s">
        <v>97</v>
      </c>
      <c r="G387" t="s">
        <v>2077</v>
      </c>
      <c r="H387" t="s">
        <v>5123</v>
      </c>
      <c r="I387" t="s">
        <v>5127</v>
      </c>
      <c r="J387" t="s">
        <v>5128</v>
      </c>
      <c r="K387" t="s">
        <v>5129</v>
      </c>
      <c r="L387" t="s">
        <v>4717</v>
      </c>
    </row>
    <row r="388">
      <c r="A388" t="s">
        <v>2431</v>
      </c>
      <c r="B388" t="s">
        <v>962</v>
      </c>
      <c r="C388" t="s">
        <v>958</v>
      </c>
      <c r="D388" t="s">
        <v>959</v>
      </c>
      <c r="E388" t="s">
        <v>960</v>
      </c>
      <c r="F388" t="s">
        <v>97</v>
      </c>
      <c r="G388" t="s">
        <v>2077</v>
      </c>
      <c r="H388" t="s">
        <v>5123</v>
      </c>
      <c r="I388" t="s">
        <v>5130</v>
      </c>
      <c r="J388" t="s">
        <v>5131</v>
      </c>
      <c r="K388" t="s">
        <v>5132</v>
      </c>
      <c r="L388" t="s">
        <v>4717</v>
      </c>
    </row>
    <row r="389">
      <c r="A389" t="s">
        <v>2431</v>
      </c>
      <c r="B389" t="s">
        <v>962</v>
      </c>
      <c r="C389" t="s">
        <v>958</v>
      </c>
      <c r="D389" t="s">
        <v>959</v>
      </c>
      <c r="E389" t="s">
        <v>960</v>
      </c>
      <c r="F389" t="s">
        <v>97</v>
      </c>
      <c r="G389" t="s">
        <v>2077</v>
      </c>
      <c r="H389" t="s">
        <v>5123</v>
      </c>
      <c r="I389" t="s">
        <v>5133</v>
      </c>
      <c r="J389" t="s">
        <v>5134</v>
      </c>
      <c r="K389" t="s">
        <v>5111</v>
      </c>
      <c r="L389" t="s">
        <v>4717</v>
      </c>
    </row>
    <row r="390">
      <c r="A390" t="s">
        <v>2431</v>
      </c>
      <c r="B390" t="s">
        <v>962</v>
      </c>
      <c r="C390" t="s">
        <v>958</v>
      </c>
      <c r="D390" t="s">
        <v>959</v>
      </c>
      <c r="E390" t="s">
        <v>960</v>
      </c>
      <c r="F390" t="s">
        <v>97</v>
      </c>
      <c r="G390" t="s">
        <v>2077</v>
      </c>
      <c r="H390" t="s">
        <v>5135</v>
      </c>
      <c r="I390" t="s">
        <v>5136</v>
      </c>
      <c r="J390" t="s">
        <v>5137</v>
      </c>
      <c r="K390" t="s">
        <v>5135</v>
      </c>
      <c r="L390" t="s">
        <v>4717</v>
      </c>
    </row>
    <row r="391">
      <c r="A391" t="s">
        <v>2431</v>
      </c>
      <c r="B391" t="s">
        <v>962</v>
      </c>
      <c r="C391" t="s">
        <v>958</v>
      </c>
      <c r="D391" t="s">
        <v>959</v>
      </c>
      <c r="E391" t="s">
        <v>960</v>
      </c>
      <c r="F391" t="s">
        <v>97</v>
      </c>
      <c r="G391" t="s">
        <v>2077</v>
      </c>
      <c r="H391" t="s">
        <v>5135</v>
      </c>
      <c r="I391" t="s">
        <v>5138</v>
      </c>
      <c r="J391" t="s">
        <v>5139</v>
      </c>
      <c r="K391" t="s">
        <v>5140</v>
      </c>
      <c r="L391" t="s">
        <v>4717</v>
      </c>
    </row>
    <row r="392">
      <c r="A392" t="s">
        <v>2431</v>
      </c>
      <c r="B392" t="s">
        <v>962</v>
      </c>
      <c r="C392" t="s">
        <v>958</v>
      </c>
      <c r="D392" t="s">
        <v>959</v>
      </c>
      <c r="E392" t="s">
        <v>960</v>
      </c>
      <c r="F392" t="s">
        <v>97</v>
      </c>
      <c r="G392" t="s">
        <v>2077</v>
      </c>
      <c r="H392" t="s">
        <v>5135</v>
      </c>
      <c r="I392" t="s">
        <v>5141</v>
      </c>
      <c r="J392" t="s">
        <v>5142</v>
      </c>
      <c r="K392" t="s">
        <v>5143</v>
      </c>
      <c r="L392" t="s">
        <v>4717</v>
      </c>
    </row>
    <row r="393">
      <c r="A393" t="s">
        <v>2431</v>
      </c>
      <c r="B393" t="s">
        <v>962</v>
      </c>
      <c r="C393" t="s">
        <v>958</v>
      </c>
      <c r="D393" t="s">
        <v>959</v>
      </c>
      <c r="E393" t="s">
        <v>960</v>
      </c>
      <c r="F393" t="s">
        <v>97</v>
      </c>
      <c r="G393" t="s">
        <v>2077</v>
      </c>
      <c r="H393" t="s">
        <v>5135</v>
      </c>
      <c r="I393" t="s">
        <v>5144</v>
      </c>
      <c r="J393" t="s">
        <v>5145</v>
      </c>
      <c r="K393" t="s">
        <v>5085</v>
      </c>
      <c r="L393" t="s">
        <v>4717</v>
      </c>
    </row>
    <row r="394">
      <c r="A394" t="s">
        <v>2431</v>
      </c>
      <c r="B394" t="s">
        <v>962</v>
      </c>
      <c r="C394" t="s">
        <v>958</v>
      </c>
      <c r="D394" t="s">
        <v>959</v>
      </c>
      <c r="E394" t="s">
        <v>960</v>
      </c>
      <c r="F394" t="s">
        <v>97</v>
      </c>
      <c r="G394" t="s">
        <v>2077</v>
      </c>
      <c r="H394" t="s">
        <v>5146</v>
      </c>
      <c r="I394" t="s">
        <v>5147</v>
      </c>
      <c r="J394" t="s">
        <v>5148</v>
      </c>
      <c r="K394" t="s">
        <v>5149</v>
      </c>
      <c r="L394" t="s">
        <v>4717</v>
      </c>
    </row>
    <row r="395">
      <c r="A395" t="s">
        <v>2431</v>
      </c>
      <c r="B395" t="s">
        <v>962</v>
      </c>
      <c r="C395" t="s">
        <v>958</v>
      </c>
      <c r="D395" t="s">
        <v>959</v>
      </c>
      <c r="E395" t="s">
        <v>960</v>
      </c>
      <c r="F395" t="s">
        <v>97</v>
      </c>
      <c r="G395" t="s">
        <v>2077</v>
      </c>
      <c r="H395" t="s">
        <v>5146</v>
      </c>
      <c r="I395" t="s">
        <v>5150</v>
      </c>
      <c r="J395" t="s">
        <v>5151</v>
      </c>
      <c r="K395" t="s">
        <v>5152</v>
      </c>
      <c r="L395" t="s">
        <v>4717</v>
      </c>
    </row>
    <row r="396">
      <c r="A396" t="s">
        <v>2431</v>
      </c>
      <c r="B396" t="s">
        <v>962</v>
      </c>
      <c r="C396" t="s">
        <v>958</v>
      </c>
      <c r="D396" t="s">
        <v>959</v>
      </c>
      <c r="E396" t="s">
        <v>960</v>
      </c>
      <c r="F396" t="s">
        <v>97</v>
      </c>
      <c r="G396" t="s">
        <v>2077</v>
      </c>
      <c r="H396" t="s">
        <v>5146</v>
      </c>
      <c r="I396" t="s">
        <v>5153</v>
      </c>
      <c r="J396" t="s">
        <v>5154</v>
      </c>
      <c r="K396" t="s">
        <v>5149</v>
      </c>
      <c r="L396" t="s">
        <v>4717</v>
      </c>
    </row>
    <row r="397">
      <c r="A397" t="s">
        <v>2431</v>
      </c>
      <c r="B397" t="s">
        <v>962</v>
      </c>
      <c r="C397" t="s">
        <v>958</v>
      </c>
      <c r="D397" t="s">
        <v>959</v>
      </c>
      <c r="E397" t="s">
        <v>960</v>
      </c>
      <c r="F397" t="s">
        <v>97</v>
      </c>
      <c r="G397" t="s">
        <v>2077</v>
      </c>
      <c r="H397" t="s">
        <v>5146</v>
      </c>
      <c r="I397" t="s">
        <v>5155</v>
      </c>
      <c r="J397" t="s">
        <v>5156</v>
      </c>
      <c r="K397" t="s">
        <v>4158</v>
      </c>
      <c r="L397" t="s">
        <v>4717</v>
      </c>
    </row>
    <row r="398">
      <c r="A398" t="s">
        <v>2431</v>
      </c>
      <c r="B398" t="s">
        <v>962</v>
      </c>
      <c r="C398" t="s">
        <v>958</v>
      </c>
      <c r="D398" t="s">
        <v>959</v>
      </c>
      <c r="E398" t="s">
        <v>960</v>
      </c>
      <c r="F398" t="s">
        <v>97</v>
      </c>
      <c r="G398" t="s">
        <v>2077</v>
      </c>
      <c r="H398" t="s">
        <v>5157</v>
      </c>
      <c r="I398" t="s">
        <v>5158</v>
      </c>
      <c r="J398" t="s">
        <v>5159</v>
      </c>
      <c r="K398" t="s">
        <v>5073</v>
      </c>
      <c r="L398" t="s">
        <v>4717</v>
      </c>
    </row>
    <row r="399">
      <c r="A399" t="s">
        <v>2431</v>
      </c>
      <c r="B399" t="s">
        <v>962</v>
      </c>
      <c r="C399" t="s">
        <v>958</v>
      </c>
      <c r="D399" t="s">
        <v>959</v>
      </c>
      <c r="E399" t="s">
        <v>960</v>
      </c>
      <c r="F399" t="s">
        <v>97</v>
      </c>
      <c r="G399" t="s">
        <v>2077</v>
      </c>
      <c r="H399" t="s">
        <v>5157</v>
      </c>
      <c r="I399" t="s">
        <v>5160</v>
      </c>
      <c r="J399" t="s">
        <v>5161</v>
      </c>
      <c r="K399" t="s">
        <v>4</v>
      </c>
      <c r="L399" t="s">
        <v>4717</v>
      </c>
    </row>
    <row r="400">
      <c r="A400" t="s">
        <v>2431</v>
      </c>
      <c r="B400" t="s">
        <v>962</v>
      </c>
      <c r="C400" t="s">
        <v>958</v>
      </c>
      <c r="D400" t="s">
        <v>959</v>
      </c>
      <c r="E400" t="s">
        <v>960</v>
      </c>
      <c r="F400" t="s">
        <v>97</v>
      </c>
      <c r="G400" t="s">
        <v>2077</v>
      </c>
      <c r="H400" t="s">
        <v>5157</v>
      </c>
      <c r="I400" t="s">
        <v>5162</v>
      </c>
      <c r="J400" t="s">
        <v>5163</v>
      </c>
      <c r="K400" t="s">
        <v>4155</v>
      </c>
      <c r="L400" t="s">
        <v>4717</v>
      </c>
    </row>
    <row r="401">
      <c r="A401" t="s">
        <v>2431</v>
      </c>
      <c r="B401" t="s">
        <v>962</v>
      </c>
      <c r="C401" t="s">
        <v>958</v>
      </c>
      <c r="D401" t="s">
        <v>959</v>
      </c>
      <c r="E401" t="s">
        <v>960</v>
      </c>
      <c r="F401" t="s">
        <v>97</v>
      </c>
      <c r="G401" t="s">
        <v>2077</v>
      </c>
      <c r="H401" t="s">
        <v>5157</v>
      </c>
      <c r="I401" t="s">
        <v>5164</v>
      </c>
      <c r="J401" t="s">
        <v>5165</v>
      </c>
      <c r="K401" t="s">
        <v>5135</v>
      </c>
      <c r="L401" t="s">
        <v>4717</v>
      </c>
    </row>
    <row r="402">
      <c r="A402" t="s">
        <v>2431</v>
      </c>
      <c r="B402" t="s">
        <v>962</v>
      </c>
      <c r="C402" t="s">
        <v>958</v>
      </c>
      <c r="D402" t="s">
        <v>959</v>
      </c>
      <c r="E402" t="s">
        <v>960</v>
      </c>
      <c r="F402" t="s">
        <v>97</v>
      </c>
      <c r="G402" t="s">
        <v>2077</v>
      </c>
      <c r="H402" t="s">
        <v>5157</v>
      </c>
      <c r="I402" t="s">
        <v>5166</v>
      </c>
      <c r="J402" t="s">
        <v>5167</v>
      </c>
      <c r="K402" t="s">
        <v>5149</v>
      </c>
      <c r="L402" t="s">
        <v>4717</v>
      </c>
    </row>
    <row r="403">
      <c r="A403" t="s">
        <v>2431</v>
      </c>
      <c r="B403" t="s">
        <v>962</v>
      </c>
      <c r="C403" t="s">
        <v>958</v>
      </c>
      <c r="D403" t="s">
        <v>959</v>
      </c>
      <c r="E403" t="s">
        <v>960</v>
      </c>
      <c r="F403" t="s">
        <v>97</v>
      </c>
      <c r="G403" t="s">
        <v>2077</v>
      </c>
      <c r="H403" t="s">
        <v>5157</v>
      </c>
      <c r="I403" t="s">
        <v>5168</v>
      </c>
      <c r="J403" t="s">
        <v>5169</v>
      </c>
      <c r="K403" t="s">
        <v>3904</v>
      </c>
      <c r="L403" t="s">
        <v>4717</v>
      </c>
    </row>
    <row r="404">
      <c r="A404" t="s">
        <v>2431</v>
      </c>
      <c r="B404" t="s">
        <v>962</v>
      </c>
      <c r="C404" t="s">
        <v>958</v>
      </c>
      <c r="D404" t="s">
        <v>959</v>
      </c>
      <c r="E404" t="s">
        <v>960</v>
      </c>
      <c r="F404" t="s">
        <v>97</v>
      </c>
      <c r="G404" t="s">
        <v>2077</v>
      </c>
      <c r="H404" t="s">
        <v>5170</v>
      </c>
      <c r="I404" t="s">
        <v>5171</v>
      </c>
      <c r="J404" t="s">
        <v>5172</v>
      </c>
      <c r="K404" t="s">
        <v>5173</v>
      </c>
      <c r="L404" t="s">
        <v>4717</v>
      </c>
    </row>
    <row r="405">
      <c r="A405" t="s">
        <v>2431</v>
      </c>
      <c r="B405" t="s">
        <v>962</v>
      </c>
      <c r="C405" t="s">
        <v>958</v>
      </c>
      <c r="D405" t="s">
        <v>959</v>
      </c>
      <c r="E405" t="s">
        <v>960</v>
      </c>
      <c r="F405" t="s">
        <v>97</v>
      </c>
      <c r="G405" t="s">
        <v>2077</v>
      </c>
      <c r="H405" t="s">
        <v>5170</v>
      </c>
      <c r="I405" t="s">
        <v>5174</v>
      </c>
      <c r="J405" t="s">
        <v>5175</v>
      </c>
      <c r="K405" t="s">
        <v>5176</v>
      </c>
      <c r="L405" t="s">
        <v>4717</v>
      </c>
    </row>
    <row r="406">
      <c r="A406" t="s">
        <v>2431</v>
      </c>
      <c r="B406" t="s">
        <v>962</v>
      </c>
      <c r="C406" t="s">
        <v>958</v>
      </c>
      <c r="D406" t="s">
        <v>959</v>
      </c>
      <c r="E406" t="s">
        <v>960</v>
      </c>
      <c r="F406" t="s">
        <v>97</v>
      </c>
      <c r="G406" t="s">
        <v>2077</v>
      </c>
      <c r="H406" t="s">
        <v>5170</v>
      </c>
      <c r="I406" t="s">
        <v>5177</v>
      </c>
      <c r="J406" t="s">
        <v>5178</v>
      </c>
      <c r="K406" t="s">
        <v>3912</v>
      </c>
      <c r="L406" t="s">
        <v>4717</v>
      </c>
    </row>
    <row r="407">
      <c r="A407" t="s">
        <v>2431</v>
      </c>
      <c r="B407" t="s">
        <v>962</v>
      </c>
      <c r="C407" t="s">
        <v>958</v>
      </c>
      <c r="D407" t="s">
        <v>959</v>
      </c>
      <c r="E407" t="s">
        <v>960</v>
      </c>
      <c r="F407" t="s">
        <v>97</v>
      </c>
      <c r="G407" t="s">
        <v>2077</v>
      </c>
      <c r="H407" t="s">
        <v>5170</v>
      </c>
      <c r="I407" t="s">
        <v>5179</v>
      </c>
      <c r="J407" t="s">
        <v>5180</v>
      </c>
      <c r="K407" t="s">
        <v>5181</v>
      </c>
      <c r="L407" t="s">
        <v>4717</v>
      </c>
    </row>
    <row r="408">
      <c r="A408" t="s">
        <v>2431</v>
      </c>
      <c r="B408" t="s">
        <v>962</v>
      </c>
      <c r="C408" t="s">
        <v>958</v>
      </c>
      <c r="D408" t="s">
        <v>959</v>
      </c>
      <c r="E408" t="s">
        <v>960</v>
      </c>
      <c r="F408" t="s">
        <v>97</v>
      </c>
      <c r="G408" t="s">
        <v>2077</v>
      </c>
      <c r="H408" t="s">
        <v>5170</v>
      </c>
      <c r="I408" t="s">
        <v>5182</v>
      </c>
      <c r="J408" t="s">
        <v>5183</v>
      </c>
      <c r="K408" t="s">
        <v>5182</v>
      </c>
      <c r="L408" t="s">
        <v>4717</v>
      </c>
    </row>
    <row r="409">
      <c r="A409" t="s">
        <v>2439</v>
      </c>
      <c r="B409" t="s">
        <v>973</v>
      </c>
      <c r="C409" t="s">
        <v>958</v>
      </c>
      <c r="D409" t="s">
        <v>970</v>
      </c>
      <c r="E409" t="s">
        <v>971</v>
      </c>
      <c r="F409" t="s">
        <v>154</v>
      </c>
      <c r="H409" t="s">
        <v>4715</v>
      </c>
      <c r="I409" t="s">
        <v>5184</v>
      </c>
      <c r="L409" t="s">
        <v>4717</v>
      </c>
    </row>
    <row r="410">
      <c r="A410" t="s">
        <v>2439</v>
      </c>
      <c r="B410" t="s">
        <v>973</v>
      </c>
      <c r="C410" t="s">
        <v>958</v>
      </c>
      <c r="D410" t="s">
        <v>970</v>
      </c>
      <c r="E410" t="s">
        <v>971</v>
      </c>
      <c r="F410" t="s">
        <v>154</v>
      </c>
      <c r="H410" t="s">
        <v>4715</v>
      </c>
      <c r="I410" t="s">
        <v>5185</v>
      </c>
      <c r="L410" t="s">
        <v>4717</v>
      </c>
    </row>
    <row r="411">
      <c r="A411" t="s">
        <v>2439</v>
      </c>
      <c r="B411" t="s">
        <v>973</v>
      </c>
      <c r="C411" t="s">
        <v>958</v>
      </c>
      <c r="D411" t="s">
        <v>970</v>
      </c>
      <c r="E411" t="s">
        <v>971</v>
      </c>
      <c r="F411" t="s">
        <v>154</v>
      </c>
      <c r="H411" t="s">
        <v>4715</v>
      </c>
      <c r="I411" t="s">
        <v>5186</v>
      </c>
      <c r="L411" t="s">
        <v>4717</v>
      </c>
    </row>
    <row r="412">
      <c r="A412" t="s">
        <v>2439</v>
      </c>
      <c r="B412" t="s">
        <v>973</v>
      </c>
      <c r="C412" t="s">
        <v>958</v>
      </c>
      <c r="D412" t="s">
        <v>970</v>
      </c>
      <c r="E412" t="s">
        <v>971</v>
      </c>
      <c r="F412" t="s">
        <v>154</v>
      </c>
      <c r="H412" t="s">
        <v>4715</v>
      </c>
      <c r="I412" t="s">
        <v>5187</v>
      </c>
      <c r="L412" t="s">
        <v>4717</v>
      </c>
    </row>
    <row r="413">
      <c r="A413" t="s">
        <v>2446</v>
      </c>
      <c r="B413" t="s">
        <v>981</v>
      </c>
      <c r="C413" t="s">
        <v>958</v>
      </c>
      <c r="D413" t="s">
        <v>970</v>
      </c>
      <c r="E413" t="s">
        <v>971</v>
      </c>
      <c r="F413" t="s">
        <v>154</v>
      </c>
      <c r="H413" t="s">
        <v>4715</v>
      </c>
      <c r="I413" t="s">
        <v>5184</v>
      </c>
      <c r="L413" t="s">
        <v>4717</v>
      </c>
    </row>
    <row r="414">
      <c r="A414" t="s">
        <v>2446</v>
      </c>
      <c r="B414" t="s">
        <v>981</v>
      </c>
      <c r="C414" t="s">
        <v>958</v>
      </c>
      <c r="D414" t="s">
        <v>970</v>
      </c>
      <c r="E414" t="s">
        <v>971</v>
      </c>
      <c r="F414" t="s">
        <v>154</v>
      </c>
      <c r="H414" t="s">
        <v>4715</v>
      </c>
      <c r="I414" t="s">
        <v>5188</v>
      </c>
      <c r="L414" t="s">
        <v>4717</v>
      </c>
    </row>
    <row r="415">
      <c r="A415" t="s">
        <v>2446</v>
      </c>
      <c r="B415" t="s">
        <v>981</v>
      </c>
      <c r="C415" t="s">
        <v>958</v>
      </c>
      <c r="D415" t="s">
        <v>970</v>
      </c>
      <c r="E415" t="s">
        <v>971</v>
      </c>
      <c r="F415" t="s">
        <v>154</v>
      </c>
      <c r="H415" t="s">
        <v>4715</v>
      </c>
      <c r="I415" t="s">
        <v>5189</v>
      </c>
      <c r="L415" t="s">
        <v>4717</v>
      </c>
    </row>
    <row r="416">
      <c r="A416" t="s">
        <v>2446</v>
      </c>
      <c r="B416" t="s">
        <v>981</v>
      </c>
      <c r="C416" t="s">
        <v>958</v>
      </c>
      <c r="D416" t="s">
        <v>970</v>
      </c>
      <c r="E416" t="s">
        <v>971</v>
      </c>
      <c r="F416" t="s">
        <v>154</v>
      </c>
      <c r="H416" t="s">
        <v>4715</v>
      </c>
      <c r="I416" t="s">
        <v>5190</v>
      </c>
      <c r="L416" t="s">
        <v>4717</v>
      </c>
    </row>
    <row r="417">
      <c r="A417" t="s">
        <v>2449</v>
      </c>
      <c r="B417" t="s">
        <v>987</v>
      </c>
      <c r="C417" t="s">
        <v>958</v>
      </c>
      <c r="D417" t="s">
        <v>970</v>
      </c>
      <c r="E417" t="s">
        <v>971</v>
      </c>
      <c r="F417" t="s">
        <v>154</v>
      </c>
      <c r="H417" t="s">
        <v>4715</v>
      </c>
      <c r="I417" t="s">
        <v>5184</v>
      </c>
      <c r="L417" t="s">
        <v>4717</v>
      </c>
    </row>
    <row r="418">
      <c r="A418" t="s">
        <v>2449</v>
      </c>
      <c r="B418" t="s">
        <v>987</v>
      </c>
      <c r="C418" t="s">
        <v>958</v>
      </c>
      <c r="D418" t="s">
        <v>970</v>
      </c>
      <c r="E418" t="s">
        <v>971</v>
      </c>
      <c r="F418" t="s">
        <v>154</v>
      </c>
      <c r="H418" t="s">
        <v>4715</v>
      </c>
      <c r="I418" t="s">
        <v>5191</v>
      </c>
      <c r="L418" t="s">
        <v>4717</v>
      </c>
    </row>
    <row r="419">
      <c r="A419" t="s">
        <v>2449</v>
      </c>
      <c r="B419" t="s">
        <v>987</v>
      </c>
      <c r="C419" t="s">
        <v>958</v>
      </c>
      <c r="D419" t="s">
        <v>970</v>
      </c>
      <c r="E419" t="s">
        <v>971</v>
      </c>
      <c r="F419" t="s">
        <v>154</v>
      </c>
      <c r="H419" t="s">
        <v>4715</v>
      </c>
      <c r="I419" t="s">
        <v>5192</v>
      </c>
      <c r="L419" t="s">
        <v>4717</v>
      </c>
    </row>
    <row r="420">
      <c r="A420" t="s">
        <v>2449</v>
      </c>
      <c r="B420" t="s">
        <v>987</v>
      </c>
      <c r="C420" t="s">
        <v>958</v>
      </c>
      <c r="D420" t="s">
        <v>970</v>
      </c>
      <c r="E420" t="s">
        <v>971</v>
      </c>
      <c r="F420" t="s">
        <v>154</v>
      </c>
      <c r="H420" t="s">
        <v>4715</v>
      </c>
      <c r="I420" t="s">
        <v>5193</v>
      </c>
      <c r="L420" t="s">
        <v>4717</v>
      </c>
    </row>
    <row r="421">
      <c r="A421" t="s">
        <v>2452</v>
      </c>
      <c r="B421" t="s">
        <v>993</v>
      </c>
      <c r="C421" t="s">
        <v>958</v>
      </c>
      <c r="D421" t="s">
        <v>970</v>
      </c>
      <c r="E421" t="s">
        <v>971</v>
      </c>
      <c r="F421" t="s">
        <v>120</v>
      </c>
      <c r="H421" t="s">
        <v>4715</v>
      </c>
      <c r="I421" t="s">
        <v>5184</v>
      </c>
      <c r="L421" t="s">
        <v>4717</v>
      </c>
    </row>
    <row r="422">
      <c r="A422" t="s">
        <v>2452</v>
      </c>
      <c r="B422" t="s">
        <v>993</v>
      </c>
      <c r="C422" t="s">
        <v>958</v>
      </c>
      <c r="D422" t="s">
        <v>970</v>
      </c>
      <c r="E422" t="s">
        <v>971</v>
      </c>
      <c r="F422" t="s">
        <v>120</v>
      </c>
      <c r="H422" t="s">
        <v>4715</v>
      </c>
      <c r="I422" t="s">
        <v>5194</v>
      </c>
      <c r="L422" t="s">
        <v>4717</v>
      </c>
    </row>
    <row r="423">
      <c r="A423" t="s">
        <v>2452</v>
      </c>
      <c r="B423" t="s">
        <v>993</v>
      </c>
      <c r="C423" t="s">
        <v>958</v>
      </c>
      <c r="D423" t="s">
        <v>970</v>
      </c>
      <c r="E423" t="s">
        <v>971</v>
      </c>
      <c r="F423" t="s">
        <v>120</v>
      </c>
      <c r="H423" t="s">
        <v>4715</v>
      </c>
      <c r="I423" t="s">
        <v>4869</v>
      </c>
      <c r="L423" t="s">
        <v>4717</v>
      </c>
    </row>
    <row r="424">
      <c r="A424" t="s">
        <v>2452</v>
      </c>
      <c r="B424" t="s">
        <v>993</v>
      </c>
      <c r="C424" t="s">
        <v>958</v>
      </c>
      <c r="D424" t="s">
        <v>970</v>
      </c>
      <c r="E424" t="s">
        <v>971</v>
      </c>
      <c r="F424" t="s">
        <v>120</v>
      </c>
      <c r="H424" t="s">
        <v>4715</v>
      </c>
      <c r="I424" t="s">
        <v>5030</v>
      </c>
      <c r="L424" t="s">
        <v>4717</v>
      </c>
    </row>
    <row r="425">
      <c r="A425" t="s">
        <v>2455</v>
      </c>
      <c r="B425" t="s">
        <v>1001</v>
      </c>
      <c r="C425" t="s">
        <v>958</v>
      </c>
      <c r="D425" t="s">
        <v>970</v>
      </c>
      <c r="E425" t="s">
        <v>971</v>
      </c>
      <c r="F425" t="s">
        <v>120</v>
      </c>
      <c r="H425" t="s">
        <v>4715</v>
      </c>
      <c r="I425" t="s">
        <v>5195</v>
      </c>
      <c r="L425" t="s">
        <v>4717</v>
      </c>
    </row>
    <row r="426">
      <c r="A426" t="s">
        <v>2455</v>
      </c>
      <c r="B426" t="s">
        <v>1001</v>
      </c>
      <c r="C426" t="s">
        <v>958</v>
      </c>
      <c r="D426" t="s">
        <v>970</v>
      </c>
      <c r="E426" t="s">
        <v>971</v>
      </c>
      <c r="F426" t="s">
        <v>120</v>
      </c>
      <c r="H426" t="s">
        <v>4715</v>
      </c>
      <c r="I426" t="s">
        <v>5196</v>
      </c>
      <c r="L426" t="s">
        <v>4717</v>
      </c>
    </row>
    <row r="427">
      <c r="A427" t="s">
        <v>2455</v>
      </c>
      <c r="B427" t="s">
        <v>1001</v>
      </c>
      <c r="C427" t="s">
        <v>958</v>
      </c>
      <c r="D427" t="s">
        <v>970</v>
      </c>
      <c r="E427" t="s">
        <v>971</v>
      </c>
      <c r="F427" t="s">
        <v>120</v>
      </c>
      <c r="H427" t="s">
        <v>4715</v>
      </c>
      <c r="I427" t="s">
        <v>5197</v>
      </c>
      <c r="L427" t="s">
        <v>4717</v>
      </c>
    </row>
    <row r="428">
      <c r="A428" t="s">
        <v>2455</v>
      </c>
      <c r="B428" t="s">
        <v>1001</v>
      </c>
      <c r="C428" t="s">
        <v>958</v>
      </c>
      <c r="D428" t="s">
        <v>970</v>
      </c>
      <c r="E428" t="s">
        <v>971</v>
      </c>
      <c r="F428" t="s">
        <v>120</v>
      </c>
      <c r="H428" t="s">
        <v>4715</v>
      </c>
      <c r="I428" t="s">
        <v>5198</v>
      </c>
      <c r="L428" t="s">
        <v>4717</v>
      </c>
    </row>
    <row r="429">
      <c r="A429" t="s">
        <v>2458</v>
      </c>
      <c r="B429" t="s">
        <v>1007</v>
      </c>
      <c r="C429" t="s">
        <v>958</v>
      </c>
      <c r="D429" t="s">
        <v>970</v>
      </c>
      <c r="E429" t="s">
        <v>971</v>
      </c>
      <c r="F429" t="s">
        <v>120</v>
      </c>
      <c r="H429" t="s">
        <v>4715</v>
      </c>
      <c r="I429" t="s">
        <v>5199</v>
      </c>
      <c r="L429" t="s">
        <v>4717</v>
      </c>
    </row>
    <row r="430">
      <c r="A430" t="s">
        <v>2458</v>
      </c>
      <c r="B430" t="s">
        <v>1007</v>
      </c>
      <c r="C430" t="s">
        <v>958</v>
      </c>
      <c r="D430" t="s">
        <v>970</v>
      </c>
      <c r="E430" t="s">
        <v>971</v>
      </c>
      <c r="F430" t="s">
        <v>120</v>
      </c>
      <c r="H430" t="s">
        <v>4715</v>
      </c>
      <c r="I430" t="s">
        <v>5200</v>
      </c>
      <c r="L430" t="s">
        <v>4717</v>
      </c>
    </row>
    <row r="431">
      <c r="A431" t="s">
        <v>2458</v>
      </c>
      <c r="B431" t="s">
        <v>1007</v>
      </c>
      <c r="C431" t="s">
        <v>958</v>
      </c>
      <c r="D431" t="s">
        <v>970</v>
      </c>
      <c r="E431" t="s">
        <v>971</v>
      </c>
      <c r="F431" t="s">
        <v>120</v>
      </c>
      <c r="H431" t="s">
        <v>4715</v>
      </c>
      <c r="I431" t="s">
        <v>4869</v>
      </c>
      <c r="L431" t="s">
        <v>4717</v>
      </c>
    </row>
    <row r="432">
      <c r="A432" t="s">
        <v>2458</v>
      </c>
      <c r="B432" t="s">
        <v>1007</v>
      </c>
      <c r="C432" t="s">
        <v>958</v>
      </c>
      <c r="D432" t="s">
        <v>970</v>
      </c>
      <c r="E432" t="s">
        <v>971</v>
      </c>
      <c r="F432" t="s">
        <v>120</v>
      </c>
      <c r="H432" t="s">
        <v>4715</v>
      </c>
      <c r="I432" t="s">
        <v>5030</v>
      </c>
      <c r="L432" t="s">
        <v>4717</v>
      </c>
    </row>
    <row r="433">
      <c r="A433" t="s">
        <v>2461</v>
      </c>
      <c r="B433" t="s">
        <v>1015</v>
      </c>
      <c r="C433" t="s">
        <v>958</v>
      </c>
      <c r="D433" t="s">
        <v>970</v>
      </c>
      <c r="E433" t="s">
        <v>1013</v>
      </c>
      <c r="F433" t="s">
        <v>154</v>
      </c>
      <c r="H433" t="s">
        <v>4715</v>
      </c>
      <c r="I433" t="s">
        <v>5201</v>
      </c>
      <c r="L433" t="s">
        <v>4717</v>
      </c>
    </row>
    <row r="434">
      <c r="A434" t="s">
        <v>2461</v>
      </c>
      <c r="B434" t="s">
        <v>1015</v>
      </c>
      <c r="C434" t="s">
        <v>958</v>
      </c>
      <c r="D434" t="s">
        <v>970</v>
      </c>
      <c r="E434" t="s">
        <v>1013</v>
      </c>
      <c r="F434" t="s">
        <v>154</v>
      </c>
      <c r="H434" t="s">
        <v>4715</v>
      </c>
      <c r="I434" t="s">
        <v>5202</v>
      </c>
      <c r="L434" t="s">
        <v>4717</v>
      </c>
    </row>
    <row r="435">
      <c r="A435" t="s">
        <v>2461</v>
      </c>
      <c r="B435" t="s">
        <v>1015</v>
      </c>
      <c r="C435" t="s">
        <v>958</v>
      </c>
      <c r="D435" t="s">
        <v>970</v>
      </c>
      <c r="E435" t="s">
        <v>1013</v>
      </c>
      <c r="F435" t="s">
        <v>154</v>
      </c>
      <c r="H435" t="s">
        <v>4715</v>
      </c>
      <c r="I435" t="s">
        <v>5030</v>
      </c>
      <c r="L435" t="s">
        <v>4717</v>
      </c>
    </row>
    <row r="436">
      <c r="A436" t="s">
        <v>2464</v>
      </c>
      <c r="B436" t="s">
        <v>1022</v>
      </c>
      <c r="C436" t="s">
        <v>958</v>
      </c>
      <c r="D436" t="s">
        <v>970</v>
      </c>
      <c r="E436" t="s">
        <v>1013</v>
      </c>
      <c r="F436" t="s">
        <v>120</v>
      </c>
      <c r="H436" t="s">
        <v>4715</v>
      </c>
      <c r="I436" t="s">
        <v>5203</v>
      </c>
      <c r="L436" t="s">
        <v>4717</v>
      </c>
    </row>
    <row r="437">
      <c r="A437" t="s">
        <v>2464</v>
      </c>
      <c r="B437" t="s">
        <v>1022</v>
      </c>
      <c r="C437" t="s">
        <v>958</v>
      </c>
      <c r="D437" t="s">
        <v>970</v>
      </c>
      <c r="E437" t="s">
        <v>1013</v>
      </c>
      <c r="F437" t="s">
        <v>120</v>
      </c>
      <c r="H437" t="s">
        <v>4715</v>
      </c>
      <c r="I437" t="s">
        <v>5204</v>
      </c>
      <c r="L437" t="s">
        <v>4717</v>
      </c>
    </row>
    <row r="438">
      <c r="A438" t="s">
        <v>2464</v>
      </c>
      <c r="B438" t="s">
        <v>1022</v>
      </c>
      <c r="C438" t="s">
        <v>958</v>
      </c>
      <c r="D438" t="s">
        <v>970</v>
      </c>
      <c r="E438" t="s">
        <v>1013</v>
      </c>
      <c r="F438" t="s">
        <v>120</v>
      </c>
      <c r="H438" t="s">
        <v>4715</v>
      </c>
      <c r="I438" t="s">
        <v>5205</v>
      </c>
      <c r="L438" t="s">
        <v>4717</v>
      </c>
    </row>
    <row r="439">
      <c r="A439" t="s">
        <v>2467</v>
      </c>
      <c r="B439" t="s">
        <v>1029</v>
      </c>
      <c r="C439" t="s">
        <v>958</v>
      </c>
      <c r="D439" t="s">
        <v>970</v>
      </c>
      <c r="E439" t="s">
        <v>1013</v>
      </c>
      <c r="F439" t="s">
        <v>154</v>
      </c>
      <c r="H439" t="s">
        <v>4715</v>
      </c>
      <c r="I439" t="s">
        <v>5206</v>
      </c>
      <c r="L439" t="s">
        <v>4717</v>
      </c>
    </row>
    <row r="440">
      <c r="A440" t="s">
        <v>2467</v>
      </c>
      <c r="B440" t="s">
        <v>1029</v>
      </c>
      <c r="C440" t="s">
        <v>958</v>
      </c>
      <c r="D440" t="s">
        <v>970</v>
      </c>
      <c r="E440" t="s">
        <v>1013</v>
      </c>
      <c r="F440" t="s">
        <v>154</v>
      </c>
      <c r="H440" t="s">
        <v>4715</v>
      </c>
      <c r="I440" t="s">
        <v>5207</v>
      </c>
      <c r="L440" t="s">
        <v>4717</v>
      </c>
    </row>
    <row r="441">
      <c r="A441" t="s">
        <v>2467</v>
      </c>
      <c r="B441" t="s">
        <v>1029</v>
      </c>
      <c r="C441" t="s">
        <v>958</v>
      </c>
      <c r="D441" t="s">
        <v>970</v>
      </c>
      <c r="E441" t="s">
        <v>1013</v>
      </c>
      <c r="F441" t="s">
        <v>154</v>
      </c>
      <c r="H441" t="s">
        <v>4715</v>
      </c>
      <c r="I441" t="s">
        <v>5208</v>
      </c>
      <c r="L441" t="s">
        <v>4717</v>
      </c>
    </row>
    <row r="442">
      <c r="A442" t="s">
        <v>2471</v>
      </c>
      <c r="B442" t="s">
        <v>1035</v>
      </c>
      <c r="C442" t="s">
        <v>958</v>
      </c>
      <c r="D442" t="s">
        <v>970</v>
      </c>
      <c r="E442" t="s">
        <v>1013</v>
      </c>
      <c r="F442" t="s">
        <v>120</v>
      </c>
      <c r="H442" t="s">
        <v>4715</v>
      </c>
      <c r="I442" t="s">
        <v>5209</v>
      </c>
      <c r="L442" t="s">
        <v>4717</v>
      </c>
    </row>
    <row r="443">
      <c r="A443" t="s">
        <v>2471</v>
      </c>
      <c r="B443" t="s">
        <v>1035</v>
      </c>
      <c r="C443" t="s">
        <v>958</v>
      </c>
      <c r="D443" t="s">
        <v>970</v>
      </c>
      <c r="E443" t="s">
        <v>1013</v>
      </c>
      <c r="F443" t="s">
        <v>120</v>
      </c>
      <c r="H443" t="s">
        <v>4715</v>
      </c>
      <c r="I443" t="s">
        <v>5210</v>
      </c>
      <c r="L443" t="s">
        <v>4717</v>
      </c>
    </row>
    <row r="444">
      <c r="A444" t="s">
        <v>2471</v>
      </c>
      <c r="B444" t="s">
        <v>1035</v>
      </c>
      <c r="C444" t="s">
        <v>958</v>
      </c>
      <c r="D444" t="s">
        <v>970</v>
      </c>
      <c r="E444" t="s">
        <v>1013</v>
      </c>
      <c r="F444" t="s">
        <v>120</v>
      </c>
      <c r="H444" t="s">
        <v>4715</v>
      </c>
      <c r="I444" t="s">
        <v>5030</v>
      </c>
      <c r="L444" t="s">
        <v>4717</v>
      </c>
    </row>
    <row r="445">
      <c r="A445" t="s">
        <v>2474</v>
      </c>
      <c r="B445" t="s">
        <v>1043</v>
      </c>
      <c r="C445" t="s">
        <v>958</v>
      </c>
      <c r="D445" t="s">
        <v>970</v>
      </c>
      <c r="E445" t="s">
        <v>1041</v>
      </c>
      <c r="F445" t="s">
        <v>120</v>
      </c>
      <c r="H445" t="s">
        <v>4715</v>
      </c>
      <c r="I445" t="s">
        <v>5211</v>
      </c>
      <c r="L445" t="s">
        <v>4717</v>
      </c>
    </row>
    <row r="446">
      <c r="A446" t="s">
        <v>2474</v>
      </c>
      <c r="B446" t="s">
        <v>1043</v>
      </c>
      <c r="C446" t="s">
        <v>958</v>
      </c>
      <c r="D446" t="s">
        <v>970</v>
      </c>
      <c r="E446" t="s">
        <v>1041</v>
      </c>
      <c r="F446" t="s">
        <v>120</v>
      </c>
      <c r="H446" t="s">
        <v>4715</v>
      </c>
      <c r="I446" t="s">
        <v>5212</v>
      </c>
      <c r="L446" t="s">
        <v>4717</v>
      </c>
    </row>
    <row r="447">
      <c r="A447" t="s">
        <v>2474</v>
      </c>
      <c r="B447" t="s">
        <v>1043</v>
      </c>
      <c r="C447" t="s">
        <v>958</v>
      </c>
      <c r="D447" t="s">
        <v>970</v>
      </c>
      <c r="E447" t="s">
        <v>1041</v>
      </c>
      <c r="F447" t="s">
        <v>120</v>
      </c>
      <c r="H447" t="s">
        <v>4715</v>
      </c>
      <c r="I447" t="s">
        <v>5030</v>
      </c>
      <c r="L447" t="s">
        <v>4717</v>
      </c>
    </row>
    <row r="448">
      <c r="A448" t="s">
        <v>2477</v>
      </c>
      <c r="B448" t="s">
        <v>1050</v>
      </c>
      <c r="C448" t="s">
        <v>958</v>
      </c>
      <c r="D448" t="s">
        <v>970</v>
      </c>
      <c r="E448" t="s">
        <v>1041</v>
      </c>
      <c r="F448" t="s">
        <v>154</v>
      </c>
      <c r="H448" t="s">
        <v>4715</v>
      </c>
      <c r="I448" t="s">
        <v>5213</v>
      </c>
      <c r="L448" t="s">
        <v>4717</v>
      </c>
    </row>
    <row r="449">
      <c r="A449" t="s">
        <v>2477</v>
      </c>
      <c r="B449" t="s">
        <v>1050</v>
      </c>
      <c r="C449" t="s">
        <v>958</v>
      </c>
      <c r="D449" t="s">
        <v>970</v>
      </c>
      <c r="E449" t="s">
        <v>1041</v>
      </c>
      <c r="F449" t="s">
        <v>154</v>
      </c>
      <c r="H449" t="s">
        <v>4715</v>
      </c>
      <c r="I449" t="s">
        <v>5214</v>
      </c>
      <c r="L449" t="s">
        <v>4717</v>
      </c>
    </row>
    <row r="450">
      <c r="A450" t="s">
        <v>2477</v>
      </c>
      <c r="B450" t="s">
        <v>1050</v>
      </c>
      <c r="C450" t="s">
        <v>958</v>
      </c>
      <c r="D450" t="s">
        <v>970</v>
      </c>
      <c r="E450" t="s">
        <v>1041</v>
      </c>
      <c r="F450" t="s">
        <v>154</v>
      </c>
      <c r="H450" t="s">
        <v>4715</v>
      </c>
      <c r="I450" t="s">
        <v>5215</v>
      </c>
      <c r="L450" t="s">
        <v>4717</v>
      </c>
    </row>
    <row r="451">
      <c r="A451" t="s">
        <v>2480</v>
      </c>
      <c r="B451" t="s">
        <v>1058</v>
      </c>
      <c r="C451" t="s">
        <v>958</v>
      </c>
      <c r="D451" t="s">
        <v>970</v>
      </c>
      <c r="E451" t="s">
        <v>1041</v>
      </c>
      <c r="F451" t="s">
        <v>120</v>
      </c>
      <c r="H451" t="s">
        <v>4715</v>
      </c>
      <c r="I451" t="s">
        <v>5216</v>
      </c>
      <c r="L451" t="s">
        <v>4717</v>
      </c>
    </row>
    <row r="452">
      <c r="A452" t="s">
        <v>2480</v>
      </c>
      <c r="B452" t="s">
        <v>1058</v>
      </c>
      <c r="C452" t="s">
        <v>958</v>
      </c>
      <c r="D452" t="s">
        <v>970</v>
      </c>
      <c r="E452" t="s">
        <v>1041</v>
      </c>
      <c r="F452" t="s">
        <v>120</v>
      </c>
      <c r="H452" t="s">
        <v>4715</v>
      </c>
      <c r="I452" t="s">
        <v>5217</v>
      </c>
      <c r="L452" t="s">
        <v>4717</v>
      </c>
    </row>
    <row r="453">
      <c r="A453" t="s">
        <v>2480</v>
      </c>
      <c r="B453" t="s">
        <v>1058</v>
      </c>
      <c r="C453" t="s">
        <v>958</v>
      </c>
      <c r="D453" t="s">
        <v>970</v>
      </c>
      <c r="E453" t="s">
        <v>1041</v>
      </c>
      <c r="F453" t="s">
        <v>120</v>
      </c>
      <c r="H453" t="s">
        <v>4715</v>
      </c>
      <c r="I453" t="s">
        <v>5030</v>
      </c>
      <c r="L453" t="s">
        <v>4717</v>
      </c>
    </row>
    <row r="454">
      <c r="A454" t="s">
        <v>2483</v>
      </c>
      <c r="B454" t="s">
        <v>1064</v>
      </c>
      <c r="C454" t="s">
        <v>958</v>
      </c>
      <c r="D454" t="s">
        <v>970</v>
      </c>
      <c r="E454" t="s">
        <v>1041</v>
      </c>
      <c r="F454" t="s">
        <v>120</v>
      </c>
      <c r="H454" t="s">
        <v>4715</v>
      </c>
      <c r="I454" t="s">
        <v>5218</v>
      </c>
      <c r="L454" t="s">
        <v>4717</v>
      </c>
    </row>
    <row r="455">
      <c r="A455" t="s">
        <v>2483</v>
      </c>
      <c r="B455" t="s">
        <v>1064</v>
      </c>
      <c r="C455" t="s">
        <v>958</v>
      </c>
      <c r="D455" t="s">
        <v>970</v>
      </c>
      <c r="E455" t="s">
        <v>1041</v>
      </c>
      <c r="F455" t="s">
        <v>120</v>
      </c>
      <c r="H455" t="s">
        <v>4715</v>
      </c>
      <c r="I455" t="s">
        <v>5219</v>
      </c>
      <c r="L455" t="s">
        <v>4717</v>
      </c>
    </row>
    <row r="456">
      <c r="A456" t="s">
        <v>2483</v>
      </c>
      <c r="B456" t="s">
        <v>1064</v>
      </c>
      <c r="C456" t="s">
        <v>958</v>
      </c>
      <c r="D456" t="s">
        <v>970</v>
      </c>
      <c r="E456" t="s">
        <v>1041</v>
      </c>
      <c r="F456" t="s">
        <v>120</v>
      </c>
      <c r="H456" t="s">
        <v>4715</v>
      </c>
      <c r="I456" t="s">
        <v>5030</v>
      </c>
      <c r="L456" t="s">
        <v>4717</v>
      </c>
    </row>
    <row r="457">
      <c r="A457" t="s">
        <v>2486</v>
      </c>
      <c r="B457" t="s">
        <v>1074</v>
      </c>
      <c r="C457" t="s">
        <v>958</v>
      </c>
      <c r="D457" t="s">
        <v>970</v>
      </c>
      <c r="E457" t="s">
        <v>1072</v>
      </c>
      <c r="F457" t="s">
        <v>120</v>
      </c>
      <c r="H457" t="s">
        <v>4715</v>
      </c>
      <c r="I457" t="s">
        <v>5220</v>
      </c>
      <c r="L457" t="s">
        <v>4717</v>
      </c>
    </row>
    <row r="458">
      <c r="A458" t="s">
        <v>2486</v>
      </c>
      <c r="B458" t="s">
        <v>1074</v>
      </c>
      <c r="C458" t="s">
        <v>958</v>
      </c>
      <c r="D458" t="s">
        <v>970</v>
      </c>
      <c r="E458" t="s">
        <v>1072</v>
      </c>
      <c r="F458" t="s">
        <v>120</v>
      </c>
      <c r="H458" t="s">
        <v>4715</v>
      </c>
      <c r="I458" t="s">
        <v>4918</v>
      </c>
      <c r="L458" t="s">
        <v>4717</v>
      </c>
    </row>
    <row r="459">
      <c r="A459" t="s">
        <v>2486</v>
      </c>
      <c r="B459" t="s">
        <v>1074</v>
      </c>
      <c r="C459" t="s">
        <v>958</v>
      </c>
      <c r="D459" t="s">
        <v>970</v>
      </c>
      <c r="E459" t="s">
        <v>1072</v>
      </c>
      <c r="F459" t="s">
        <v>120</v>
      </c>
      <c r="H459" t="s">
        <v>4715</v>
      </c>
      <c r="I459" t="s">
        <v>5221</v>
      </c>
      <c r="L459" t="s">
        <v>4717</v>
      </c>
    </row>
    <row r="460">
      <c r="A460" t="s">
        <v>2486</v>
      </c>
      <c r="B460" t="s">
        <v>1074</v>
      </c>
      <c r="C460" t="s">
        <v>958</v>
      </c>
      <c r="D460" t="s">
        <v>970</v>
      </c>
      <c r="E460" t="s">
        <v>1072</v>
      </c>
      <c r="F460" t="s">
        <v>120</v>
      </c>
      <c r="H460" t="s">
        <v>4715</v>
      </c>
      <c r="I460" t="s">
        <v>5030</v>
      </c>
      <c r="L460" t="s">
        <v>4717</v>
      </c>
    </row>
    <row r="461">
      <c r="A461" t="s">
        <v>2489</v>
      </c>
      <c r="B461" t="s">
        <v>1081</v>
      </c>
      <c r="C461" t="s">
        <v>958</v>
      </c>
      <c r="D461" t="s">
        <v>970</v>
      </c>
      <c r="E461" t="s">
        <v>1072</v>
      </c>
      <c r="F461" t="s">
        <v>120</v>
      </c>
      <c r="H461" t="s">
        <v>4715</v>
      </c>
      <c r="I461" t="s">
        <v>5222</v>
      </c>
      <c r="L461" t="s">
        <v>4717</v>
      </c>
    </row>
    <row r="462">
      <c r="A462" t="s">
        <v>2489</v>
      </c>
      <c r="B462" t="s">
        <v>1081</v>
      </c>
      <c r="C462" t="s">
        <v>958</v>
      </c>
      <c r="D462" t="s">
        <v>970</v>
      </c>
      <c r="E462" t="s">
        <v>1072</v>
      </c>
      <c r="F462" t="s">
        <v>120</v>
      </c>
      <c r="H462" t="s">
        <v>4715</v>
      </c>
      <c r="I462" t="s">
        <v>4869</v>
      </c>
      <c r="L462" t="s">
        <v>4717</v>
      </c>
    </row>
    <row r="463">
      <c r="A463" t="s">
        <v>2489</v>
      </c>
      <c r="B463" t="s">
        <v>1081</v>
      </c>
      <c r="C463" t="s">
        <v>958</v>
      </c>
      <c r="D463" t="s">
        <v>970</v>
      </c>
      <c r="E463" t="s">
        <v>1072</v>
      </c>
      <c r="F463" t="s">
        <v>120</v>
      </c>
      <c r="H463" t="s">
        <v>4715</v>
      </c>
      <c r="I463" t="s">
        <v>5030</v>
      </c>
      <c r="L463" t="s">
        <v>4717</v>
      </c>
    </row>
    <row r="464">
      <c r="A464" t="s">
        <v>2492</v>
      </c>
      <c r="B464" t="s">
        <v>1087</v>
      </c>
      <c r="C464" t="s">
        <v>958</v>
      </c>
      <c r="D464" t="s">
        <v>970</v>
      </c>
      <c r="E464" t="s">
        <v>1072</v>
      </c>
      <c r="F464" t="s">
        <v>120</v>
      </c>
      <c r="H464" t="s">
        <v>4715</v>
      </c>
      <c r="I464" t="s">
        <v>5223</v>
      </c>
      <c r="L464" t="s">
        <v>4717</v>
      </c>
    </row>
    <row r="465">
      <c r="A465" t="s">
        <v>2492</v>
      </c>
      <c r="B465" t="s">
        <v>1087</v>
      </c>
      <c r="C465" t="s">
        <v>958</v>
      </c>
      <c r="D465" t="s">
        <v>970</v>
      </c>
      <c r="E465" t="s">
        <v>1072</v>
      </c>
      <c r="F465" t="s">
        <v>120</v>
      </c>
      <c r="H465" t="s">
        <v>4715</v>
      </c>
      <c r="I465" t="s">
        <v>5224</v>
      </c>
      <c r="L465" t="s">
        <v>4717</v>
      </c>
    </row>
    <row r="466">
      <c r="A466" t="s">
        <v>2492</v>
      </c>
      <c r="B466" t="s">
        <v>1087</v>
      </c>
      <c r="C466" t="s">
        <v>958</v>
      </c>
      <c r="D466" t="s">
        <v>970</v>
      </c>
      <c r="E466" t="s">
        <v>1072</v>
      </c>
      <c r="F466" t="s">
        <v>120</v>
      </c>
      <c r="H466" t="s">
        <v>4715</v>
      </c>
      <c r="I466" t="s">
        <v>5030</v>
      </c>
      <c r="L466" t="s">
        <v>4717</v>
      </c>
    </row>
    <row r="467">
      <c r="A467" t="s">
        <v>2495</v>
      </c>
      <c r="B467" t="s">
        <v>1094</v>
      </c>
      <c r="C467" t="s">
        <v>958</v>
      </c>
      <c r="D467" t="s">
        <v>970</v>
      </c>
      <c r="E467" t="s">
        <v>1072</v>
      </c>
      <c r="F467" t="s">
        <v>120</v>
      </c>
      <c r="H467" t="s">
        <v>4715</v>
      </c>
      <c r="I467" t="s">
        <v>5225</v>
      </c>
      <c r="L467" t="s">
        <v>4717</v>
      </c>
    </row>
    <row r="468">
      <c r="A468" t="s">
        <v>2495</v>
      </c>
      <c r="B468" t="s">
        <v>1094</v>
      </c>
      <c r="C468" t="s">
        <v>958</v>
      </c>
      <c r="D468" t="s">
        <v>970</v>
      </c>
      <c r="E468" t="s">
        <v>1072</v>
      </c>
      <c r="F468" t="s">
        <v>120</v>
      </c>
      <c r="H468" t="s">
        <v>4715</v>
      </c>
      <c r="I468" t="s">
        <v>5226</v>
      </c>
      <c r="L468" t="s">
        <v>4717</v>
      </c>
    </row>
    <row r="469">
      <c r="A469" t="s">
        <v>2495</v>
      </c>
      <c r="B469" t="s">
        <v>1094</v>
      </c>
      <c r="C469" t="s">
        <v>958</v>
      </c>
      <c r="D469" t="s">
        <v>970</v>
      </c>
      <c r="E469" t="s">
        <v>1072</v>
      </c>
      <c r="F469" t="s">
        <v>120</v>
      </c>
      <c r="H469" t="s">
        <v>4715</v>
      </c>
      <c r="I469" t="s">
        <v>5030</v>
      </c>
      <c r="L469" t="s">
        <v>4717</v>
      </c>
    </row>
    <row r="470">
      <c r="A470" t="s">
        <v>2498</v>
      </c>
      <c r="B470" t="s">
        <v>1101</v>
      </c>
      <c r="C470" t="s">
        <v>958</v>
      </c>
      <c r="D470" t="s">
        <v>970</v>
      </c>
      <c r="E470" t="s">
        <v>1099</v>
      </c>
      <c r="F470" t="s">
        <v>120</v>
      </c>
      <c r="H470" t="s">
        <v>4715</v>
      </c>
      <c r="I470" t="s">
        <v>5227</v>
      </c>
      <c r="L470" t="s">
        <v>4717</v>
      </c>
    </row>
    <row r="471">
      <c r="A471" t="s">
        <v>2498</v>
      </c>
      <c r="B471" t="s">
        <v>1101</v>
      </c>
      <c r="C471" t="s">
        <v>958</v>
      </c>
      <c r="D471" t="s">
        <v>970</v>
      </c>
      <c r="E471" t="s">
        <v>1099</v>
      </c>
      <c r="F471" t="s">
        <v>120</v>
      </c>
      <c r="H471" t="s">
        <v>4715</v>
      </c>
      <c r="I471" t="s">
        <v>5228</v>
      </c>
      <c r="L471" t="s">
        <v>4717</v>
      </c>
    </row>
    <row r="472">
      <c r="A472" t="s">
        <v>2498</v>
      </c>
      <c r="B472" t="s">
        <v>1101</v>
      </c>
      <c r="C472" t="s">
        <v>958</v>
      </c>
      <c r="D472" t="s">
        <v>970</v>
      </c>
      <c r="E472" t="s">
        <v>1099</v>
      </c>
      <c r="F472" t="s">
        <v>120</v>
      </c>
      <c r="H472" t="s">
        <v>4715</v>
      </c>
      <c r="I472" t="s">
        <v>5030</v>
      </c>
      <c r="L472" t="s">
        <v>4717</v>
      </c>
    </row>
    <row r="473">
      <c r="A473" t="s">
        <v>2501</v>
      </c>
      <c r="B473" t="s">
        <v>1109</v>
      </c>
      <c r="C473" t="s">
        <v>958</v>
      </c>
      <c r="D473" t="s">
        <v>970</v>
      </c>
      <c r="E473" t="s">
        <v>1099</v>
      </c>
      <c r="F473" t="s">
        <v>120</v>
      </c>
      <c r="H473" t="s">
        <v>4715</v>
      </c>
      <c r="I473" t="s">
        <v>5203</v>
      </c>
      <c r="L473" t="s">
        <v>4717</v>
      </c>
    </row>
    <row r="474">
      <c r="A474" t="s">
        <v>2501</v>
      </c>
      <c r="B474" t="s">
        <v>1109</v>
      </c>
      <c r="C474" t="s">
        <v>958</v>
      </c>
      <c r="D474" t="s">
        <v>970</v>
      </c>
      <c r="E474" t="s">
        <v>1099</v>
      </c>
      <c r="F474" t="s">
        <v>120</v>
      </c>
      <c r="H474" t="s">
        <v>4715</v>
      </c>
      <c r="I474" t="s">
        <v>5229</v>
      </c>
      <c r="L474" t="s">
        <v>4717</v>
      </c>
    </row>
    <row r="475">
      <c r="A475" t="s">
        <v>2501</v>
      </c>
      <c r="B475" t="s">
        <v>1109</v>
      </c>
      <c r="C475" t="s">
        <v>958</v>
      </c>
      <c r="D475" t="s">
        <v>970</v>
      </c>
      <c r="E475" t="s">
        <v>1099</v>
      </c>
      <c r="F475" t="s">
        <v>120</v>
      </c>
      <c r="H475" t="s">
        <v>4715</v>
      </c>
      <c r="I475" t="s">
        <v>5030</v>
      </c>
      <c r="L475" t="s">
        <v>4717</v>
      </c>
    </row>
    <row r="476">
      <c r="A476" t="s">
        <v>2504</v>
      </c>
      <c r="B476" t="s">
        <v>1114</v>
      </c>
      <c r="C476" t="s">
        <v>958</v>
      </c>
      <c r="D476" t="s">
        <v>970</v>
      </c>
      <c r="E476" t="s">
        <v>1099</v>
      </c>
      <c r="F476" t="s">
        <v>120</v>
      </c>
      <c r="H476" t="s">
        <v>4715</v>
      </c>
      <c r="I476" t="s">
        <v>4923</v>
      </c>
      <c r="L476" t="s">
        <v>4717</v>
      </c>
    </row>
    <row r="477">
      <c r="A477" t="s">
        <v>2504</v>
      </c>
      <c r="B477" t="s">
        <v>1114</v>
      </c>
      <c r="C477" t="s">
        <v>958</v>
      </c>
      <c r="D477" t="s">
        <v>970</v>
      </c>
      <c r="E477" t="s">
        <v>1099</v>
      </c>
      <c r="F477" t="s">
        <v>120</v>
      </c>
      <c r="H477" t="s">
        <v>4715</v>
      </c>
      <c r="I477" t="s">
        <v>5230</v>
      </c>
      <c r="L477" t="s">
        <v>4717</v>
      </c>
    </row>
    <row r="478">
      <c r="A478" t="s">
        <v>2504</v>
      </c>
      <c r="B478" t="s">
        <v>1114</v>
      </c>
      <c r="C478" t="s">
        <v>958</v>
      </c>
      <c r="D478" t="s">
        <v>970</v>
      </c>
      <c r="E478" t="s">
        <v>1099</v>
      </c>
      <c r="F478" t="s">
        <v>120</v>
      </c>
      <c r="H478" t="s">
        <v>4715</v>
      </c>
      <c r="I478" t="s">
        <v>4930</v>
      </c>
      <c r="L478" t="s">
        <v>4717</v>
      </c>
    </row>
    <row r="479">
      <c r="A479" t="s">
        <v>2505</v>
      </c>
      <c r="B479" t="s">
        <v>1121</v>
      </c>
      <c r="C479" t="s">
        <v>958</v>
      </c>
      <c r="D479" t="s">
        <v>970</v>
      </c>
      <c r="E479" t="s">
        <v>1099</v>
      </c>
      <c r="F479" t="s">
        <v>120</v>
      </c>
      <c r="H479" t="s">
        <v>4715</v>
      </c>
      <c r="I479" t="s">
        <v>5231</v>
      </c>
      <c r="L479" t="s">
        <v>4717</v>
      </c>
    </row>
    <row r="480">
      <c r="A480" t="s">
        <v>2505</v>
      </c>
      <c r="B480" t="s">
        <v>1121</v>
      </c>
      <c r="C480" t="s">
        <v>958</v>
      </c>
      <c r="D480" t="s">
        <v>970</v>
      </c>
      <c r="E480" t="s">
        <v>1099</v>
      </c>
      <c r="F480" t="s">
        <v>120</v>
      </c>
      <c r="H480" t="s">
        <v>4715</v>
      </c>
      <c r="I480" t="s">
        <v>5232</v>
      </c>
      <c r="L480" t="s">
        <v>4717</v>
      </c>
    </row>
    <row r="481">
      <c r="A481" t="s">
        <v>2505</v>
      </c>
      <c r="B481" t="s">
        <v>1121</v>
      </c>
      <c r="C481" t="s">
        <v>958</v>
      </c>
      <c r="D481" t="s">
        <v>970</v>
      </c>
      <c r="E481" t="s">
        <v>1099</v>
      </c>
      <c r="F481" t="s">
        <v>120</v>
      </c>
      <c r="H481" t="s">
        <v>4715</v>
      </c>
      <c r="I481" t="s">
        <v>5030</v>
      </c>
      <c r="L481" t="s">
        <v>4717</v>
      </c>
    </row>
    <row r="482">
      <c r="A482" t="s">
        <v>2508</v>
      </c>
      <c r="B482" t="s">
        <v>1131</v>
      </c>
      <c r="C482" t="s">
        <v>958</v>
      </c>
      <c r="D482" t="s">
        <v>1128</v>
      </c>
      <c r="E482" t="s">
        <v>1129</v>
      </c>
      <c r="F482" t="s">
        <v>129</v>
      </c>
      <c r="G482" t="s">
        <v>2078</v>
      </c>
      <c r="H482" t="s">
        <v>4715</v>
      </c>
      <c r="I482" t="s">
        <v>5233</v>
      </c>
      <c r="L482" t="s">
        <v>4717</v>
      </c>
    </row>
    <row r="483">
      <c r="A483" t="s">
        <v>2508</v>
      </c>
      <c r="B483" t="s">
        <v>1131</v>
      </c>
      <c r="C483" t="s">
        <v>958</v>
      </c>
      <c r="D483" t="s">
        <v>1128</v>
      </c>
      <c r="E483" t="s">
        <v>1129</v>
      </c>
      <c r="F483" t="s">
        <v>129</v>
      </c>
      <c r="G483" t="s">
        <v>2078</v>
      </c>
      <c r="H483" t="s">
        <v>4715</v>
      </c>
      <c r="I483" t="s">
        <v>5234</v>
      </c>
      <c r="L483" t="s">
        <v>4717</v>
      </c>
    </row>
    <row r="484">
      <c r="A484" t="s">
        <v>2508</v>
      </c>
      <c r="B484" t="s">
        <v>1131</v>
      </c>
      <c r="C484" t="s">
        <v>958</v>
      </c>
      <c r="D484" t="s">
        <v>1128</v>
      </c>
      <c r="E484" t="s">
        <v>1129</v>
      </c>
      <c r="F484" t="s">
        <v>129</v>
      </c>
      <c r="G484" t="s">
        <v>2078</v>
      </c>
      <c r="H484" t="s">
        <v>4715</v>
      </c>
      <c r="I484" t="s">
        <v>5235</v>
      </c>
      <c r="L484" t="s">
        <v>4717</v>
      </c>
    </row>
    <row r="485">
      <c r="A485" t="s">
        <v>2510</v>
      </c>
      <c r="B485" t="s">
        <v>1139</v>
      </c>
      <c r="C485" t="s">
        <v>958</v>
      </c>
      <c r="D485" t="s">
        <v>1128</v>
      </c>
      <c r="E485" t="s">
        <v>1129</v>
      </c>
      <c r="F485" t="s">
        <v>129</v>
      </c>
      <c r="G485" t="s">
        <v>2078</v>
      </c>
      <c r="H485" t="s">
        <v>4715</v>
      </c>
      <c r="I485" t="s">
        <v>5236</v>
      </c>
      <c r="L485" t="s">
        <v>4717</v>
      </c>
    </row>
    <row r="486">
      <c r="A486" t="s">
        <v>2510</v>
      </c>
      <c r="B486" t="s">
        <v>1139</v>
      </c>
      <c r="C486" t="s">
        <v>958</v>
      </c>
      <c r="D486" t="s">
        <v>1128</v>
      </c>
      <c r="E486" t="s">
        <v>1129</v>
      </c>
      <c r="F486" t="s">
        <v>129</v>
      </c>
      <c r="G486" t="s">
        <v>2078</v>
      </c>
      <c r="H486" t="s">
        <v>4715</v>
      </c>
      <c r="I486" t="s">
        <v>5237</v>
      </c>
      <c r="L486" t="s">
        <v>4717</v>
      </c>
    </row>
    <row r="487">
      <c r="A487" t="s">
        <v>2510</v>
      </c>
      <c r="B487" t="s">
        <v>1139</v>
      </c>
      <c r="C487" t="s">
        <v>958</v>
      </c>
      <c r="D487" t="s">
        <v>1128</v>
      </c>
      <c r="E487" t="s">
        <v>1129</v>
      </c>
      <c r="F487" t="s">
        <v>129</v>
      </c>
      <c r="G487" t="s">
        <v>2078</v>
      </c>
      <c r="H487" t="s">
        <v>4715</v>
      </c>
      <c r="I487" t="s">
        <v>4827</v>
      </c>
      <c r="L487" t="s">
        <v>4717</v>
      </c>
    </row>
    <row r="488">
      <c r="A488" t="s">
        <v>2514</v>
      </c>
      <c r="B488" t="s">
        <v>1145</v>
      </c>
      <c r="C488" t="s">
        <v>958</v>
      </c>
      <c r="D488" t="s">
        <v>1128</v>
      </c>
      <c r="E488" t="s">
        <v>1129</v>
      </c>
      <c r="F488" t="s">
        <v>97</v>
      </c>
      <c r="G488" t="s">
        <v>2078</v>
      </c>
      <c r="H488" t="s">
        <v>4715</v>
      </c>
      <c r="I488" t="s">
        <v>5238</v>
      </c>
      <c r="L488" t="s">
        <v>4717</v>
      </c>
    </row>
    <row r="489">
      <c r="A489" t="s">
        <v>2514</v>
      </c>
      <c r="B489" t="s">
        <v>1145</v>
      </c>
      <c r="C489" t="s">
        <v>958</v>
      </c>
      <c r="D489" t="s">
        <v>1128</v>
      </c>
      <c r="E489" t="s">
        <v>1129</v>
      </c>
      <c r="F489" t="s">
        <v>97</v>
      </c>
      <c r="G489" t="s">
        <v>2078</v>
      </c>
      <c r="H489" t="s">
        <v>4715</v>
      </c>
      <c r="I489" t="s">
        <v>5239</v>
      </c>
      <c r="L489" t="s">
        <v>4717</v>
      </c>
    </row>
    <row r="490">
      <c r="A490" t="s">
        <v>2514</v>
      </c>
      <c r="B490" t="s">
        <v>1145</v>
      </c>
      <c r="C490" t="s">
        <v>958</v>
      </c>
      <c r="D490" t="s">
        <v>1128</v>
      </c>
      <c r="E490" t="s">
        <v>1129</v>
      </c>
      <c r="F490" t="s">
        <v>97</v>
      </c>
      <c r="G490" t="s">
        <v>2078</v>
      </c>
      <c r="H490" t="s">
        <v>4715</v>
      </c>
      <c r="I490" t="s">
        <v>5030</v>
      </c>
      <c r="L490" t="s">
        <v>4717</v>
      </c>
    </row>
    <row r="491">
      <c r="A491" t="s">
        <v>2519</v>
      </c>
      <c r="B491" t="s">
        <v>1152</v>
      </c>
      <c r="C491" t="s">
        <v>958</v>
      </c>
      <c r="D491" t="s">
        <v>1128</v>
      </c>
      <c r="E491" t="s">
        <v>1129</v>
      </c>
      <c r="F491" t="s">
        <v>97</v>
      </c>
      <c r="G491" t="s">
        <v>2078</v>
      </c>
      <c r="H491" t="s">
        <v>4715</v>
      </c>
      <c r="I491" t="s">
        <v>5240</v>
      </c>
      <c r="L491" t="s">
        <v>4717</v>
      </c>
    </row>
    <row r="492">
      <c r="A492" t="s">
        <v>2519</v>
      </c>
      <c r="B492" t="s">
        <v>1152</v>
      </c>
      <c r="C492" t="s">
        <v>958</v>
      </c>
      <c r="D492" t="s">
        <v>1128</v>
      </c>
      <c r="E492" t="s">
        <v>1129</v>
      </c>
      <c r="F492" t="s">
        <v>97</v>
      </c>
      <c r="G492" t="s">
        <v>2078</v>
      </c>
      <c r="H492" t="s">
        <v>4715</v>
      </c>
      <c r="I492" t="s">
        <v>4869</v>
      </c>
      <c r="L492" t="s">
        <v>4717</v>
      </c>
    </row>
    <row r="493">
      <c r="A493" t="s">
        <v>2519</v>
      </c>
      <c r="B493" t="s">
        <v>1152</v>
      </c>
      <c r="C493" t="s">
        <v>958</v>
      </c>
      <c r="D493" t="s">
        <v>1128</v>
      </c>
      <c r="E493" t="s">
        <v>1129</v>
      </c>
      <c r="F493" t="s">
        <v>97</v>
      </c>
      <c r="G493" t="s">
        <v>2078</v>
      </c>
      <c r="H493" t="s">
        <v>4715</v>
      </c>
      <c r="I493" t="s">
        <v>5241</v>
      </c>
      <c r="L493" t="s">
        <v>4717</v>
      </c>
    </row>
    <row r="494">
      <c r="A494" t="s">
        <v>2522</v>
      </c>
      <c r="B494" t="s">
        <v>1160</v>
      </c>
      <c r="C494" t="s">
        <v>958</v>
      </c>
      <c r="D494" t="s">
        <v>1128</v>
      </c>
      <c r="E494" t="s">
        <v>1129</v>
      </c>
      <c r="F494" t="s">
        <v>97</v>
      </c>
      <c r="G494" t="s">
        <v>2078</v>
      </c>
      <c r="H494" t="s">
        <v>4715</v>
      </c>
      <c r="I494" t="s">
        <v>5242</v>
      </c>
      <c r="L494" t="s">
        <v>4717</v>
      </c>
    </row>
    <row r="495">
      <c r="A495" t="s">
        <v>2522</v>
      </c>
      <c r="B495" t="s">
        <v>1160</v>
      </c>
      <c r="C495" t="s">
        <v>958</v>
      </c>
      <c r="D495" t="s">
        <v>1128</v>
      </c>
      <c r="E495" t="s">
        <v>1129</v>
      </c>
      <c r="F495" t="s">
        <v>97</v>
      </c>
      <c r="G495" t="s">
        <v>2078</v>
      </c>
      <c r="H495" t="s">
        <v>4715</v>
      </c>
      <c r="I495" t="s">
        <v>5243</v>
      </c>
      <c r="L495" t="s">
        <v>4717</v>
      </c>
    </row>
    <row r="496">
      <c r="A496" t="s">
        <v>2522</v>
      </c>
      <c r="B496" t="s">
        <v>1160</v>
      </c>
      <c r="C496" t="s">
        <v>958</v>
      </c>
      <c r="D496" t="s">
        <v>1128</v>
      </c>
      <c r="E496" t="s">
        <v>1129</v>
      </c>
      <c r="F496" t="s">
        <v>97</v>
      </c>
      <c r="G496" t="s">
        <v>2078</v>
      </c>
      <c r="H496" t="s">
        <v>4715</v>
      </c>
      <c r="I496" t="s">
        <v>5244</v>
      </c>
      <c r="L496" t="s">
        <v>4717</v>
      </c>
    </row>
    <row r="497">
      <c r="A497" t="s">
        <v>2525</v>
      </c>
      <c r="B497" t="s">
        <v>1168</v>
      </c>
      <c r="C497" t="s">
        <v>958</v>
      </c>
      <c r="D497" t="s">
        <v>1128</v>
      </c>
      <c r="E497" t="s">
        <v>1129</v>
      </c>
      <c r="F497" t="s">
        <v>154</v>
      </c>
      <c r="H497" t="s">
        <v>4715</v>
      </c>
      <c r="I497" t="s">
        <v>5245</v>
      </c>
      <c r="L497" t="s">
        <v>4717</v>
      </c>
    </row>
    <row r="498">
      <c r="A498" t="s">
        <v>2525</v>
      </c>
      <c r="B498" t="s">
        <v>1168</v>
      </c>
      <c r="C498" t="s">
        <v>958</v>
      </c>
      <c r="D498" t="s">
        <v>1128</v>
      </c>
      <c r="E498" t="s">
        <v>1129</v>
      </c>
      <c r="F498" t="s">
        <v>154</v>
      </c>
      <c r="H498" t="s">
        <v>4715</v>
      </c>
      <c r="I498" t="s">
        <v>5246</v>
      </c>
      <c r="L498" t="s">
        <v>4717</v>
      </c>
    </row>
    <row r="499">
      <c r="A499" t="s">
        <v>2525</v>
      </c>
      <c r="B499" t="s">
        <v>1168</v>
      </c>
      <c r="C499" t="s">
        <v>958</v>
      </c>
      <c r="D499" t="s">
        <v>1128</v>
      </c>
      <c r="E499" t="s">
        <v>1129</v>
      </c>
      <c r="F499" t="s">
        <v>154</v>
      </c>
      <c r="H499" t="s">
        <v>4715</v>
      </c>
      <c r="I499" t="s">
        <v>5247</v>
      </c>
      <c r="L499" t="s">
        <v>4717</v>
      </c>
    </row>
    <row r="500">
      <c r="A500" t="s">
        <v>2528</v>
      </c>
      <c r="B500" t="s">
        <v>1174</v>
      </c>
      <c r="C500" t="s">
        <v>958</v>
      </c>
      <c r="D500" t="s">
        <v>1128</v>
      </c>
      <c r="E500" t="s">
        <v>1129</v>
      </c>
      <c r="F500" t="s">
        <v>154</v>
      </c>
      <c r="H500" t="s">
        <v>4715</v>
      </c>
      <c r="I500" t="s">
        <v>5248</v>
      </c>
      <c r="L500" t="s">
        <v>4717</v>
      </c>
    </row>
    <row r="501">
      <c r="A501" t="s">
        <v>2528</v>
      </c>
      <c r="B501" t="s">
        <v>1174</v>
      </c>
      <c r="C501" t="s">
        <v>958</v>
      </c>
      <c r="D501" t="s">
        <v>1128</v>
      </c>
      <c r="E501" t="s">
        <v>1129</v>
      </c>
      <c r="F501" t="s">
        <v>154</v>
      </c>
      <c r="H501" t="s">
        <v>4715</v>
      </c>
      <c r="I501" t="s">
        <v>5249</v>
      </c>
      <c r="L501" t="s">
        <v>4717</v>
      </c>
    </row>
    <row r="502">
      <c r="A502" t="s">
        <v>2528</v>
      </c>
      <c r="B502" t="s">
        <v>1174</v>
      </c>
      <c r="C502" t="s">
        <v>958</v>
      </c>
      <c r="D502" t="s">
        <v>1128</v>
      </c>
      <c r="E502" t="s">
        <v>1129</v>
      </c>
      <c r="F502" t="s">
        <v>154</v>
      </c>
      <c r="H502" t="s">
        <v>4715</v>
      </c>
      <c r="I502" t="s">
        <v>5030</v>
      </c>
      <c r="L502" t="s">
        <v>4717</v>
      </c>
    </row>
    <row r="503">
      <c r="A503" t="s">
        <v>2531</v>
      </c>
      <c r="B503" t="s">
        <v>1182</v>
      </c>
      <c r="C503" t="s">
        <v>958</v>
      </c>
      <c r="D503" t="s">
        <v>1128</v>
      </c>
      <c r="E503" t="s">
        <v>1129</v>
      </c>
      <c r="F503" t="s">
        <v>154</v>
      </c>
      <c r="H503" t="s">
        <v>4715</v>
      </c>
      <c r="I503" t="s">
        <v>5250</v>
      </c>
      <c r="L503" t="s">
        <v>4717</v>
      </c>
    </row>
    <row r="504">
      <c r="A504" t="s">
        <v>2531</v>
      </c>
      <c r="B504" t="s">
        <v>1182</v>
      </c>
      <c r="C504" t="s">
        <v>958</v>
      </c>
      <c r="D504" t="s">
        <v>1128</v>
      </c>
      <c r="E504" t="s">
        <v>1129</v>
      </c>
      <c r="F504" t="s">
        <v>154</v>
      </c>
      <c r="H504" t="s">
        <v>4715</v>
      </c>
      <c r="I504" t="s">
        <v>5251</v>
      </c>
      <c r="L504" t="s">
        <v>4717</v>
      </c>
    </row>
    <row r="505">
      <c r="A505" t="s">
        <v>2531</v>
      </c>
      <c r="B505" t="s">
        <v>1182</v>
      </c>
      <c r="C505" t="s">
        <v>958</v>
      </c>
      <c r="D505" t="s">
        <v>1128</v>
      </c>
      <c r="E505" t="s">
        <v>1129</v>
      </c>
      <c r="F505" t="s">
        <v>154</v>
      </c>
      <c r="H505" t="s">
        <v>4715</v>
      </c>
      <c r="I505" t="s">
        <v>5252</v>
      </c>
      <c r="L505" t="s">
        <v>4717</v>
      </c>
    </row>
    <row r="506">
      <c r="A506" t="s">
        <v>2534</v>
      </c>
      <c r="B506" t="s">
        <v>1190</v>
      </c>
      <c r="C506" t="s">
        <v>958</v>
      </c>
      <c r="D506" t="s">
        <v>1128</v>
      </c>
      <c r="E506" t="s">
        <v>1129</v>
      </c>
      <c r="F506" t="s">
        <v>120</v>
      </c>
      <c r="H506" t="s">
        <v>4715</v>
      </c>
      <c r="I506" t="s">
        <v>5253</v>
      </c>
      <c r="L506" t="s">
        <v>4717</v>
      </c>
    </row>
    <row r="507">
      <c r="A507" t="s">
        <v>2534</v>
      </c>
      <c r="B507" t="s">
        <v>1190</v>
      </c>
      <c r="C507" t="s">
        <v>958</v>
      </c>
      <c r="D507" t="s">
        <v>1128</v>
      </c>
      <c r="E507" t="s">
        <v>1129</v>
      </c>
      <c r="F507" t="s">
        <v>120</v>
      </c>
      <c r="H507" t="s">
        <v>4715</v>
      </c>
      <c r="I507" t="s">
        <v>5254</v>
      </c>
      <c r="L507" t="s">
        <v>4717</v>
      </c>
    </row>
    <row r="508">
      <c r="A508" t="s">
        <v>2537</v>
      </c>
      <c r="B508" t="s">
        <v>1201</v>
      </c>
      <c r="C508" t="s">
        <v>958</v>
      </c>
      <c r="D508" t="s">
        <v>1198</v>
      </c>
      <c r="E508" t="s">
        <v>1199</v>
      </c>
      <c r="F508" t="s">
        <v>129</v>
      </c>
      <c r="G508" t="s">
        <v>2078</v>
      </c>
      <c r="H508" t="s">
        <v>4715</v>
      </c>
      <c r="I508" t="s">
        <v>5255</v>
      </c>
      <c r="L508" t="s">
        <v>4717</v>
      </c>
    </row>
    <row r="509">
      <c r="A509" t="s">
        <v>2537</v>
      </c>
      <c r="B509" t="s">
        <v>1201</v>
      </c>
      <c r="C509" t="s">
        <v>958</v>
      </c>
      <c r="D509" t="s">
        <v>1198</v>
      </c>
      <c r="E509" t="s">
        <v>1199</v>
      </c>
      <c r="F509" t="s">
        <v>129</v>
      </c>
      <c r="G509" t="s">
        <v>2078</v>
      </c>
      <c r="H509" t="s">
        <v>4715</v>
      </c>
      <c r="I509" t="s">
        <v>5256</v>
      </c>
      <c r="L509" t="s">
        <v>4717</v>
      </c>
    </row>
    <row r="510">
      <c r="A510" t="s">
        <v>2537</v>
      </c>
      <c r="B510" t="s">
        <v>1201</v>
      </c>
      <c r="C510" t="s">
        <v>958</v>
      </c>
      <c r="D510" t="s">
        <v>1198</v>
      </c>
      <c r="E510" t="s">
        <v>1199</v>
      </c>
      <c r="F510" t="s">
        <v>129</v>
      </c>
      <c r="G510" t="s">
        <v>2078</v>
      </c>
      <c r="H510" t="s">
        <v>4715</v>
      </c>
      <c r="I510" t="s">
        <v>5030</v>
      </c>
      <c r="L510" t="s">
        <v>4717</v>
      </c>
    </row>
    <row r="511">
      <c r="A511" t="s">
        <v>2541</v>
      </c>
      <c r="B511" t="s">
        <v>1209</v>
      </c>
      <c r="C511" t="s">
        <v>958</v>
      </c>
      <c r="D511" t="s">
        <v>1198</v>
      </c>
      <c r="E511" t="s">
        <v>1199</v>
      </c>
      <c r="F511" t="s">
        <v>154</v>
      </c>
      <c r="H511" t="s">
        <v>4715</v>
      </c>
      <c r="I511" t="s">
        <v>5257</v>
      </c>
      <c r="L511" t="s">
        <v>4717</v>
      </c>
    </row>
    <row r="512">
      <c r="A512" t="s">
        <v>2541</v>
      </c>
      <c r="B512" t="s">
        <v>1209</v>
      </c>
      <c r="C512" t="s">
        <v>958</v>
      </c>
      <c r="D512" t="s">
        <v>1198</v>
      </c>
      <c r="E512" t="s">
        <v>1199</v>
      </c>
      <c r="F512" t="s">
        <v>154</v>
      </c>
      <c r="H512" t="s">
        <v>4715</v>
      </c>
      <c r="I512" t="s">
        <v>5258</v>
      </c>
      <c r="L512" t="s">
        <v>4717</v>
      </c>
    </row>
    <row r="513">
      <c r="A513" t="s">
        <v>2541</v>
      </c>
      <c r="B513" t="s">
        <v>1209</v>
      </c>
      <c r="C513" t="s">
        <v>958</v>
      </c>
      <c r="D513" t="s">
        <v>1198</v>
      </c>
      <c r="E513" t="s">
        <v>1199</v>
      </c>
      <c r="F513" t="s">
        <v>154</v>
      </c>
      <c r="H513" t="s">
        <v>4715</v>
      </c>
      <c r="I513" t="s">
        <v>5030</v>
      </c>
      <c r="L513" t="s">
        <v>4717</v>
      </c>
    </row>
    <row r="514">
      <c r="A514" t="s">
        <v>2544</v>
      </c>
      <c r="B514" t="s">
        <v>1215</v>
      </c>
      <c r="C514" t="s">
        <v>958</v>
      </c>
      <c r="D514" t="s">
        <v>1198</v>
      </c>
      <c r="E514" t="s">
        <v>1199</v>
      </c>
      <c r="F514" t="s">
        <v>120</v>
      </c>
      <c r="H514" t="s">
        <v>4715</v>
      </c>
      <c r="I514" t="s">
        <v>5259</v>
      </c>
      <c r="L514" t="s">
        <v>4717</v>
      </c>
    </row>
    <row r="515">
      <c r="A515" t="s">
        <v>2544</v>
      </c>
      <c r="B515" t="s">
        <v>1215</v>
      </c>
      <c r="C515" t="s">
        <v>958</v>
      </c>
      <c r="D515" t="s">
        <v>1198</v>
      </c>
      <c r="E515" t="s">
        <v>1199</v>
      </c>
      <c r="F515" t="s">
        <v>120</v>
      </c>
      <c r="H515" t="s">
        <v>4715</v>
      </c>
      <c r="I515" t="s">
        <v>5260</v>
      </c>
      <c r="L515" t="s">
        <v>4717</v>
      </c>
    </row>
    <row r="516">
      <c r="A516" t="s">
        <v>2544</v>
      </c>
      <c r="B516" t="s">
        <v>1215</v>
      </c>
      <c r="C516" t="s">
        <v>958</v>
      </c>
      <c r="D516" t="s">
        <v>1198</v>
      </c>
      <c r="E516" t="s">
        <v>1199</v>
      </c>
      <c r="F516" t="s">
        <v>120</v>
      </c>
      <c r="H516" t="s">
        <v>4715</v>
      </c>
      <c r="I516" t="s">
        <v>5030</v>
      </c>
      <c r="L516" t="s">
        <v>4717</v>
      </c>
    </row>
    <row r="517">
      <c r="A517" t="s">
        <v>2547</v>
      </c>
      <c r="B517" t="s">
        <v>1223</v>
      </c>
      <c r="C517" t="s">
        <v>958</v>
      </c>
      <c r="D517" t="s">
        <v>1198</v>
      </c>
      <c r="E517" t="s">
        <v>1221</v>
      </c>
      <c r="F517" t="s">
        <v>154</v>
      </c>
      <c r="H517" t="s">
        <v>4715</v>
      </c>
      <c r="I517" t="s">
        <v>5261</v>
      </c>
      <c r="L517" t="s">
        <v>4717</v>
      </c>
    </row>
    <row r="518">
      <c r="A518" t="s">
        <v>2547</v>
      </c>
      <c r="B518" t="s">
        <v>1223</v>
      </c>
      <c r="C518" t="s">
        <v>958</v>
      </c>
      <c r="D518" t="s">
        <v>1198</v>
      </c>
      <c r="E518" t="s">
        <v>1221</v>
      </c>
      <c r="F518" t="s">
        <v>154</v>
      </c>
      <c r="H518" t="s">
        <v>4715</v>
      </c>
      <c r="I518" t="s">
        <v>5262</v>
      </c>
      <c r="L518" t="s">
        <v>4717</v>
      </c>
    </row>
    <row r="519">
      <c r="A519" t="s">
        <v>2547</v>
      </c>
      <c r="B519" t="s">
        <v>1223</v>
      </c>
      <c r="C519" t="s">
        <v>958</v>
      </c>
      <c r="D519" t="s">
        <v>1198</v>
      </c>
      <c r="E519" t="s">
        <v>1221</v>
      </c>
      <c r="F519" t="s">
        <v>154</v>
      </c>
      <c r="H519" t="s">
        <v>4715</v>
      </c>
      <c r="I519" t="s">
        <v>5030</v>
      </c>
      <c r="L519" t="s">
        <v>4717</v>
      </c>
    </row>
    <row r="520">
      <c r="A520" t="s">
        <v>2550</v>
      </c>
      <c r="B520" t="s">
        <v>1229</v>
      </c>
      <c r="C520" t="s">
        <v>958</v>
      </c>
      <c r="D520" t="s">
        <v>1198</v>
      </c>
      <c r="E520" t="s">
        <v>1221</v>
      </c>
      <c r="F520" t="s">
        <v>154</v>
      </c>
      <c r="H520" t="s">
        <v>4715</v>
      </c>
      <c r="I520" t="s">
        <v>5263</v>
      </c>
      <c r="L520" t="s">
        <v>4717</v>
      </c>
    </row>
    <row r="521">
      <c r="A521" t="s">
        <v>2550</v>
      </c>
      <c r="B521" t="s">
        <v>1229</v>
      </c>
      <c r="C521" t="s">
        <v>958</v>
      </c>
      <c r="D521" t="s">
        <v>1198</v>
      </c>
      <c r="E521" t="s">
        <v>1221</v>
      </c>
      <c r="F521" t="s">
        <v>154</v>
      </c>
      <c r="H521" t="s">
        <v>4715</v>
      </c>
      <c r="I521" t="s">
        <v>5264</v>
      </c>
      <c r="L521" t="s">
        <v>4717</v>
      </c>
    </row>
    <row r="522">
      <c r="A522" t="s">
        <v>2550</v>
      </c>
      <c r="B522" t="s">
        <v>1229</v>
      </c>
      <c r="C522" t="s">
        <v>958</v>
      </c>
      <c r="D522" t="s">
        <v>1198</v>
      </c>
      <c r="E522" t="s">
        <v>1221</v>
      </c>
      <c r="F522" t="s">
        <v>154</v>
      </c>
      <c r="H522" t="s">
        <v>4715</v>
      </c>
      <c r="I522" t="s">
        <v>5030</v>
      </c>
      <c r="L522" t="s">
        <v>4717</v>
      </c>
    </row>
    <row r="523">
      <c r="A523" t="s">
        <v>2553</v>
      </c>
      <c r="B523" t="s">
        <v>1235</v>
      </c>
      <c r="C523" t="s">
        <v>958</v>
      </c>
      <c r="D523" t="s">
        <v>1198</v>
      </c>
      <c r="E523" t="s">
        <v>1221</v>
      </c>
      <c r="F523" t="s">
        <v>120</v>
      </c>
      <c r="H523" t="s">
        <v>4715</v>
      </c>
      <c r="I523" t="s">
        <v>5265</v>
      </c>
      <c r="L523" t="s">
        <v>4717</v>
      </c>
    </row>
    <row r="524">
      <c r="A524" t="s">
        <v>2553</v>
      </c>
      <c r="B524" t="s">
        <v>1235</v>
      </c>
      <c r="C524" t="s">
        <v>958</v>
      </c>
      <c r="D524" t="s">
        <v>1198</v>
      </c>
      <c r="E524" t="s">
        <v>1221</v>
      </c>
      <c r="F524" t="s">
        <v>120</v>
      </c>
      <c r="H524" t="s">
        <v>4715</v>
      </c>
      <c r="I524" t="s">
        <v>5266</v>
      </c>
      <c r="L524" t="s">
        <v>4717</v>
      </c>
    </row>
    <row r="525">
      <c r="A525" t="s">
        <v>2553</v>
      </c>
      <c r="B525" t="s">
        <v>1235</v>
      </c>
      <c r="C525" t="s">
        <v>958</v>
      </c>
      <c r="D525" t="s">
        <v>1198</v>
      </c>
      <c r="E525" t="s">
        <v>1221</v>
      </c>
      <c r="F525" t="s">
        <v>120</v>
      </c>
      <c r="H525" t="s">
        <v>4715</v>
      </c>
      <c r="I525" t="s">
        <v>5030</v>
      </c>
      <c r="L525" t="s">
        <v>4717</v>
      </c>
    </row>
    <row r="526">
      <c r="A526" t="s">
        <v>2555</v>
      </c>
      <c r="B526" t="s">
        <v>1242</v>
      </c>
      <c r="C526" t="s">
        <v>958</v>
      </c>
      <c r="D526" t="s">
        <v>1198</v>
      </c>
      <c r="E526" t="s">
        <v>1221</v>
      </c>
      <c r="F526" t="s">
        <v>120</v>
      </c>
      <c r="H526" t="s">
        <v>4715</v>
      </c>
      <c r="I526" t="s">
        <v>5267</v>
      </c>
      <c r="L526" t="s">
        <v>4717</v>
      </c>
    </row>
    <row r="527">
      <c r="A527" t="s">
        <v>2555</v>
      </c>
      <c r="B527" t="s">
        <v>1242</v>
      </c>
      <c r="C527" t="s">
        <v>958</v>
      </c>
      <c r="D527" t="s">
        <v>1198</v>
      </c>
      <c r="E527" t="s">
        <v>1221</v>
      </c>
      <c r="F527" t="s">
        <v>120</v>
      </c>
      <c r="H527" t="s">
        <v>4715</v>
      </c>
      <c r="I527" t="s">
        <v>5226</v>
      </c>
      <c r="L527" t="s">
        <v>4717</v>
      </c>
    </row>
    <row r="528">
      <c r="A528" t="s">
        <v>2555</v>
      </c>
      <c r="B528" t="s">
        <v>1242</v>
      </c>
      <c r="C528" t="s">
        <v>958</v>
      </c>
      <c r="D528" t="s">
        <v>1198</v>
      </c>
      <c r="E528" t="s">
        <v>1221</v>
      </c>
      <c r="F528" t="s">
        <v>120</v>
      </c>
      <c r="H528" t="s">
        <v>4715</v>
      </c>
      <c r="I528" t="s">
        <v>5030</v>
      </c>
      <c r="L528" t="s">
        <v>4717</v>
      </c>
    </row>
    <row r="529">
      <c r="A529" t="s">
        <v>2558</v>
      </c>
      <c r="B529" t="s">
        <v>1250</v>
      </c>
      <c r="C529" t="s">
        <v>958</v>
      </c>
      <c r="D529" t="s">
        <v>1198</v>
      </c>
      <c r="E529" t="s">
        <v>1248</v>
      </c>
      <c r="F529" t="s">
        <v>154</v>
      </c>
      <c r="H529" t="s">
        <v>4715</v>
      </c>
      <c r="I529" t="s">
        <v>5268</v>
      </c>
      <c r="L529" t="s">
        <v>4717</v>
      </c>
    </row>
    <row r="530">
      <c r="A530" t="s">
        <v>2558</v>
      </c>
      <c r="B530" t="s">
        <v>1250</v>
      </c>
      <c r="C530" t="s">
        <v>958</v>
      </c>
      <c r="D530" t="s">
        <v>1198</v>
      </c>
      <c r="E530" t="s">
        <v>1248</v>
      </c>
      <c r="F530" t="s">
        <v>154</v>
      </c>
      <c r="H530" t="s">
        <v>4715</v>
      </c>
      <c r="I530" t="s">
        <v>4918</v>
      </c>
      <c r="L530" t="s">
        <v>4717</v>
      </c>
    </row>
    <row r="531">
      <c r="A531" t="s">
        <v>2558</v>
      </c>
      <c r="B531" t="s">
        <v>1250</v>
      </c>
      <c r="C531" t="s">
        <v>958</v>
      </c>
      <c r="D531" t="s">
        <v>1198</v>
      </c>
      <c r="E531" t="s">
        <v>1248</v>
      </c>
      <c r="F531" t="s">
        <v>154</v>
      </c>
      <c r="H531" t="s">
        <v>4715</v>
      </c>
      <c r="I531" t="s">
        <v>5030</v>
      </c>
      <c r="L531" t="s">
        <v>4717</v>
      </c>
    </row>
    <row r="532">
      <c r="A532" t="s">
        <v>2561</v>
      </c>
      <c r="B532" t="s">
        <v>1257</v>
      </c>
      <c r="C532" t="s">
        <v>958</v>
      </c>
      <c r="D532" t="s">
        <v>1198</v>
      </c>
      <c r="E532" t="s">
        <v>1248</v>
      </c>
      <c r="F532" t="s">
        <v>154</v>
      </c>
      <c r="H532" t="s">
        <v>4715</v>
      </c>
      <c r="I532" t="s">
        <v>5269</v>
      </c>
      <c r="L532" t="s">
        <v>4717</v>
      </c>
    </row>
    <row r="533">
      <c r="A533" t="s">
        <v>2561</v>
      </c>
      <c r="B533" t="s">
        <v>1257</v>
      </c>
      <c r="C533" t="s">
        <v>958</v>
      </c>
      <c r="D533" t="s">
        <v>1198</v>
      </c>
      <c r="E533" t="s">
        <v>1248</v>
      </c>
      <c r="F533" t="s">
        <v>154</v>
      </c>
      <c r="H533" t="s">
        <v>4715</v>
      </c>
      <c r="I533" t="s">
        <v>5270</v>
      </c>
      <c r="L533" t="s">
        <v>4717</v>
      </c>
    </row>
    <row r="534">
      <c r="A534" t="s">
        <v>2561</v>
      </c>
      <c r="B534" t="s">
        <v>1257</v>
      </c>
      <c r="C534" t="s">
        <v>958</v>
      </c>
      <c r="D534" t="s">
        <v>1198</v>
      </c>
      <c r="E534" t="s">
        <v>1248</v>
      </c>
      <c r="F534" t="s">
        <v>154</v>
      </c>
      <c r="H534" t="s">
        <v>4715</v>
      </c>
      <c r="I534" t="s">
        <v>5030</v>
      </c>
      <c r="L534" t="s">
        <v>4717</v>
      </c>
    </row>
    <row r="535">
      <c r="A535" t="s">
        <v>2564</v>
      </c>
      <c r="B535" t="s">
        <v>1263</v>
      </c>
      <c r="C535" t="s">
        <v>958</v>
      </c>
      <c r="D535" t="s">
        <v>1198</v>
      </c>
      <c r="E535" t="s">
        <v>1248</v>
      </c>
      <c r="F535" t="s">
        <v>154</v>
      </c>
      <c r="H535" t="s">
        <v>4715</v>
      </c>
      <c r="I535" t="s">
        <v>5271</v>
      </c>
      <c r="L535" t="s">
        <v>4717</v>
      </c>
    </row>
    <row r="536">
      <c r="A536" t="s">
        <v>2564</v>
      </c>
      <c r="B536" t="s">
        <v>1263</v>
      </c>
      <c r="C536" t="s">
        <v>958</v>
      </c>
      <c r="D536" t="s">
        <v>1198</v>
      </c>
      <c r="E536" t="s">
        <v>1248</v>
      </c>
      <c r="F536" t="s">
        <v>154</v>
      </c>
      <c r="H536" t="s">
        <v>4715</v>
      </c>
      <c r="I536" t="s">
        <v>5272</v>
      </c>
      <c r="L536" t="s">
        <v>4717</v>
      </c>
    </row>
    <row r="537">
      <c r="A537" t="s">
        <v>2564</v>
      </c>
      <c r="B537" t="s">
        <v>1263</v>
      </c>
      <c r="C537" t="s">
        <v>958</v>
      </c>
      <c r="D537" t="s">
        <v>1198</v>
      </c>
      <c r="E537" t="s">
        <v>1248</v>
      </c>
      <c r="F537" t="s">
        <v>154</v>
      </c>
      <c r="H537" t="s">
        <v>4715</v>
      </c>
      <c r="I537" t="s">
        <v>5030</v>
      </c>
      <c r="L537" t="s">
        <v>4717</v>
      </c>
    </row>
    <row r="538">
      <c r="A538" t="s">
        <v>2567</v>
      </c>
      <c r="B538" t="s">
        <v>1271</v>
      </c>
      <c r="C538" t="s">
        <v>958</v>
      </c>
      <c r="D538" t="s">
        <v>1198</v>
      </c>
      <c r="E538" t="s">
        <v>1248</v>
      </c>
      <c r="F538" t="s">
        <v>120</v>
      </c>
      <c r="H538" t="s">
        <v>4715</v>
      </c>
      <c r="I538" t="s">
        <v>5273</v>
      </c>
      <c r="L538" t="s">
        <v>4717</v>
      </c>
    </row>
    <row r="539">
      <c r="A539" t="s">
        <v>2567</v>
      </c>
      <c r="B539" t="s">
        <v>1271</v>
      </c>
      <c r="C539" t="s">
        <v>958</v>
      </c>
      <c r="D539" t="s">
        <v>1198</v>
      </c>
      <c r="E539" t="s">
        <v>1248</v>
      </c>
      <c r="F539" t="s">
        <v>120</v>
      </c>
      <c r="H539" t="s">
        <v>4715</v>
      </c>
      <c r="I539" t="s">
        <v>5274</v>
      </c>
      <c r="L539" t="s">
        <v>4717</v>
      </c>
    </row>
    <row r="540">
      <c r="A540" t="s">
        <v>2567</v>
      </c>
      <c r="B540" t="s">
        <v>1271</v>
      </c>
      <c r="C540" t="s">
        <v>958</v>
      </c>
      <c r="D540" t="s">
        <v>1198</v>
      </c>
      <c r="E540" t="s">
        <v>1248</v>
      </c>
      <c r="F540" t="s">
        <v>120</v>
      </c>
      <c r="H540" t="s">
        <v>4715</v>
      </c>
      <c r="I540" t="s">
        <v>5275</v>
      </c>
      <c r="L540" t="s">
        <v>4717</v>
      </c>
    </row>
    <row r="541">
      <c r="A541" t="s">
        <v>2570</v>
      </c>
      <c r="B541" t="s">
        <v>1279</v>
      </c>
      <c r="C541" t="s">
        <v>958</v>
      </c>
      <c r="D541" t="s">
        <v>1198</v>
      </c>
      <c r="E541" t="s">
        <v>1277</v>
      </c>
      <c r="F541" t="s">
        <v>129</v>
      </c>
      <c r="G541" t="s">
        <v>2078</v>
      </c>
      <c r="H541" t="s">
        <v>4715</v>
      </c>
      <c r="I541" t="s">
        <v>5276</v>
      </c>
      <c r="L541" t="s">
        <v>4717</v>
      </c>
    </row>
    <row r="542">
      <c r="A542" t="s">
        <v>2570</v>
      </c>
      <c r="B542" t="s">
        <v>1279</v>
      </c>
      <c r="C542" t="s">
        <v>958</v>
      </c>
      <c r="D542" t="s">
        <v>1198</v>
      </c>
      <c r="E542" t="s">
        <v>1277</v>
      </c>
      <c r="F542" t="s">
        <v>129</v>
      </c>
      <c r="G542" t="s">
        <v>2078</v>
      </c>
      <c r="H542" t="s">
        <v>4715</v>
      </c>
      <c r="I542" t="s">
        <v>5277</v>
      </c>
      <c r="L542" t="s">
        <v>4717</v>
      </c>
    </row>
    <row r="543">
      <c r="A543" t="s">
        <v>2570</v>
      </c>
      <c r="B543" t="s">
        <v>1279</v>
      </c>
      <c r="C543" t="s">
        <v>958</v>
      </c>
      <c r="D543" t="s">
        <v>1198</v>
      </c>
      <c r="E543" t="s">
        <v>1277</v>
      </c>
      <c r="F543" t="s">
        <v>129</v>
      </c>
      <c r="G543" t="s">
        <v>2078</v>
      </c>
      <c r="H543" t="s">
        <v>4715</v>
      </c>
      <c r="I543" t="s">
        <v>5278</v>
      </c>
      <c r="L543" t="s">
        <v>4717</v>
      </c>
    </row>
    <row r="544">
      <c r="A544" t="s">
        <v>2573</v>
      </c>
      <c r="B544" t="s">
        <v>1287</v>
      </c>
      <c r="C544" t="s">
        <v>958</v>
      </c>
      <c r="D544" t="s">
        <v>1198</v>
      </c>
      <c r="E544" t="s">
        <v>1277</v>
      </c>
      <c r="F544" t="s">
        <v>97</v>
      </c>
      <c r="G544" t="s">
        <v>2078</v>
      </c>
      <c r="H544" t="s">
        <v>4715</v>
      </c>
      <c r="I544" t="s">
        <v>5279</v>
      </c>
      <c r="L544" t="s">
        <v>4717</v>
      </c>
    </row>
    <row r="545">
      <c r="A545" t="s">
        <v>2573</v>
      </c>
      <c r="B545" t="s">
        <v>1287</v>
      </c>
      <c r="C545" t="s">
        <v>958</v>
      </c>
      <c r="D545" t="s">
        <v>1198</v>
      </c>
      <c r="E545" t="s">
        <v>1277</v>
      </c>
      <c r="F545" t="s">
        <v>97</v>
      </c>
      <c r="G545" t="s">
        <v>2078</v>
      </c>
      <c r="H545" t="s">
        <v>4715</v>
      </c>
      <c r="I545" t="s">
        <v>5280</v>
      </c>
      <c r="L545" t="s">
        <v>4717</v>
      </c>
    </row>
    <row r="546">
      <c r="A546" t="s">
        <v>2573</v>
      </c>
      <c r="B546" t="s">
        <v>1287</v>
      </c>
      <c r="C546" t="s">
        <v>958</v>
      </c>
      <c r="D546" t="s">
        <v>1198</v>
      </c>
      <c r="E546" t="s">
        <v>1277</v>
      </c>
      <c r="F546" t="s">
        <v>97</v>
      </c>
      <c r="G546" t="s">
        <v>2078</v>
      </c>
      <c r="H546" t="s">
        <v>4715</v>
      </c>
      <c r="I546" t="s">
        <v>5030</v>
      </c>
      <c r="L546" t="s">
        <v>4717</v>
      </c>
    </row>
    <row r="547">
      <c r="A547" t="s">
        <v>2576</v>
      </c>
      <c r="B547" t="s">
        <v>1294</v>
      </c>
      <c r="C547" t="s">
        <v>958</v>
      </c>
      <c r="D547" t="s">
        <v>1198</v>
      </c>
      <c r="E547" t="s">
        <v>1277</v>
      </c>
      <c r="F547" t="s">
        <v>120</v>
      </c>
      <c r="H547" t="s">
        <v>4715</v>
      </c>
      <c r="I547" t="s">
        <v>5281</v>
      </c>
      <c r="L547" t="s">
        <v>4717</v>
      </c>
    </row>
    <row r="548">
      <c r="A548" t="s">
        <v>2576</v>
      </c>
      <c r="B548" t="s">
        <v>1294</v>
      </c>
      <c r="C548" t="s">
        <v>958</v>
      </c>
      <c r="D548" t="s">
        <v>1198</v>
      </c>
      <c r="E548" t="s">
        <v>1277</v>
      </c>
      <c r="F548" t="s">
        <v>120</v>
      </c>
      <c r="H548" t="s">
        <v>4715</v>
      </c>
      <c r="I548" t="s">
        <v>5282</v>
      </c>
      <c r="L548" t="s">
        <v>4717</v>
      </c>
    </row>
    <row r="549">
      <c r="A549" t="s">
        <v>2576</v>
      </c>
      <c r="B549" t="s">
        <v>1294</v>
      </c>
      <c r="C549" t="s">
        <v>958</v>
      </c>
      <c r="D549" t="s">
        <v>1198</v>
      </c>
      <c r="E549" t="s">
        <v>1277</v>
      </c>
      <c r="F549" t="s">
        <v>120</v>
      </c>
      <c r="H549" t="s">
        <v>4715</v>
      </c>
      <c r="I549" t="s">
        <v>5283</v>
      </c>
      <c r="L549" t="s">
        <v>4717</v>
      </c>
    </row>
    <row r="550">
      <c r="A550" t="s">
        <v>2579</v>
      </c>
      <c r="B550" t="s">
        <v>1302</v>
      </c>
      <c r="C550" t="s">
        <v>958</v>
      </c>
      <c r="D550" t="s">
        <v>1198</v>
      </c>
      <c r="E550" t="s">
        <v>1277</v>
      </c>
      <c r="F550" t="s">
        <v>120</v>
      </c>
      <c r="H550" t="s">
        <v>4715</v>
      </c>
      <c r="I550" t="s">
        <v>5284</v>
      </c>
      <c r="L550" t="s">
        <v>4717</v>
      </c>
    </row>
    <row r="551">
      <c r="A551" t="s">
        <v>2579</v>
      </c>
      <c r="B551" t="s">
        <v>1302</v>
      </c>
      <c r="C551" t="s">
        <v>958</v>
      </c>
      <c r="D551" t="s">
        <v>1198</v>
      </c>
      <c r="E551" t="s">
        <v>1277</v>
      </c>
      <c r="F551" t="s">
        <v>120</v>
      </c>
      <c r="H551" t="s">
        <v>4715</v>
      </c>
      <c r="I551" t="s">
        <v>5285</v>
      </c>
      <c r="L551" t="s">
        <v>4717</v>
      </c>
    </row>
    <row r="552">
      <c r="A552" t="s">
        <v>2579</v>
      </c>
      <c r="B552" t="s">
        <v>1302</v>
      </c>
      <c r="C552" t="s">
        <v>958</v>
      </c>
      <c r="D552" t="s">
        <v>1198</v>
      </c>
      <c r="E552" t="s">
        <v>1277</v>
      </c>
      <c r="F552" t="s">
        <v>120</v>
      </c>
      <c r="H552" t="s">
        <v>4715</v>
      </c>
      <c r="I552" t="s">
        <v>5030</v>
      </c>
      <c r="L552" t="s">
        <v>4717</v>
      </c>
    </row>
    <row r="553">
      <c r="A553" t="s">
        <v>2582</v>
      </c>
      <c r="B553" t="s">
        <v>1312</v>
      </c>
      <c r="C553" t="s">
        <v>958</v>
      </c>
      <c r="D553" t="s">
        <v>1198</v>
      </c>
      <c r="E553" t="s">
        <v>1310</v>
      </c>
      <c r="F553" t="s">
        <v>97</v>
      </c>
      <c r="G553" t="s">
        <v>2078</v>
      </c>
      <c r="H553" t="s">
        <v>4715</v>
      </c>
      <c r="I553" t="s">
        <v>5286</v>
      </c>
      <c r="L553" t="s">
        <v>4717</v>
      </c>
    </row>
    <row r="554">
      <c r="A554" t="s">
        <v>2582</v>
      </c>
      <c r="B554" t="s">
        <v>1312</v>
      </c>
      <c r="C554" t="s">
        <v>958</v>
      </c>
      <c r="D554" t="s">
        <v>1198</v>
      </c>
      <c r="E554" t="s">
        <v>1310</v>
      </c>
      <c r="F554" t="s">
        <v>97</v>
      </c>
      <c r="G554" t="s">
        <v>2078</v>
      </c>
      <c r="H554" t="s">
        <v>4715</v>
      </c>
      <c r="I554" t="s">
        <v>5287</v>
      </c>
      <c r="L554" t="s">
        <v>4717</v>
      </c>
    </row>
    <row r="555">
      <c r="A555" t="s">
        <v>2582</v>
      </c>
      <c r="B555" t="s">
        <v>1312</v>
      </c>
      <c r="C555" t="s">
        <v>958</v>
      </c>
      <c r="D555" t="s">
        <v>1198</v>
      </c>
      <c r="E555" t="s">
        <v>1310</v>
      </c>
      <c r="F555" t="s">
        <v>97</v>
      </c>
      <c r="G555" t="s">
        <v>2078</v>
      </c>
      <c r="H555" t="s">
        <v>4715</v>
      </c>
      <c r="I555" t="s">
        <v>5030</v>
      </c>
      <c r="L555" t="s">
        <v>4717</v>
      </c>
    </row>
    <row r="556">
      <c r="A556" t="s">
        <v>2585</v>
      </c>
      <c r="B556" t="s">
        <v>1320</v>
      </c>
      <c r="C556" t="s">
        <v>958</v>
      </c>
      <c r="D556" t="s">
        <v>1198</v>
      </c>
      <c r="E556" t="s">
        <v>1310</v>
      </c>
      <c r="F556" t="s">
        <v>120</v>
      </c>
      <c r="H556" t="s">
        <v>4715</v>
      </c>
      <c r="I556" t="s">
        <v>5288</v>
      </c>
      <c r="L556" t="s">
        <v>4717</v>
      </c>
    </row>
    <row r="557">
      <c r="A557" t="s">
        <v>2585</v>
      </c>
      <c r="B557" t="s">
        <v>1320</v>
      </c>
      <c r="C557" t="s">
        <v>958</v>
      </c>
      <c r="D557" t="s">
        <v>1198</v>
      </c>
      <c r="E557" t="s">
        <v>1310</v>
      </c>
      <c r="F557" t="s">
        <v>120</v>
      </c>
      <c r="H557" t="s">
        <v>4715</v>
      </c>
      <c r="I557" t="s">
        <v>5289</v>
      </c>
      <c r="L557" t="s">
        <v>4717</v>
      </c>
    </row>
    <row r="558">
      <c r="A558" t="s">
        <v>2585</v>
      </c>
      <c r="B558" t="s">
        <v>1320</v>
      </c>
      <c r="C558" t="s">
        <v>958</v>
      </c>
      <c r="D558" t="s">
        <v>1198</v>
      </c>
      <c r="E558" t="s">
        <v>1310</v>
      </c>
      <c r="F558" t="s">
        <v>120</v>
      </c>
      <c r="H558" t="s">
        <v>4715</v>
      </c>
      <c r="I558" t="s">
        <v>4922</v>
      </c>
      <c r="L558" t="s">
        <v>4717</v>
      </c>
    </row>
    <row r="559">
      <c r="A559" t="s">
        <v>2588</v>
      </c>
      <c r="B559" t="s">
        <v>1328</v>
      </c>
      <c r="C559" t="s">
        <v>958</v>
      </c>
      <c r="D559" t="s">
        <v>1198</v>
      </c>
      <c r="E559" t="s">
        <v>1310</v>
      </c>
      <c r="F559" t="s">
        <v>120</v>
      </c>
      <c r="H559" t="s">
        <v>4715</v>
      </c>
      <c r="I559" t="s">
        <v>5290</v>
      </c>
      <c r="L559" t="s">
        <v>4717</v>
      </c>
    </row>
    <row r="560">
      <c r="A560" t="s">
        <v>2588</v>
      </c>
      <c r="B560" t="s">
        <v>1328</v>
      </c>
      <c r="C560" t="s">
        <v>958</v>
      </c>
      <c r="D560" t="s">
        <v>1198</v>
      </c>
      <c r="E560" t="s">
        <v>1310</v>
      </c>
      <c r="F560" t="s">
        <v>120</v>
      </c>
      <c r="H560" t="s">
        <v>4715</v>
      </c>
      <c r="I560" t="s">
        <v>5291</v>
      </c>
      <c r="L560" t="s">
        <v>4717</v>
      </c>
    </row>
    <row r="561">
      <c r="A561" t="s">
        <v>2588</v>
      </c>
      <c r="B561" t="s">
        <v>1328</v>
      </c>
      <c r="C561" t="s">
        <v>958</v>
      </c>
      <c r="D561" t="s">
        <v>1198</v>
      </c>
      <c r="E561" t="s">
        <v>1310</v>
      </c>
      <c r="F561" t="s">
        <v>120</v>
      </c>
      <c r="H561" t="s">
        <v>4715</v>
      </c>
      <c r="I561" t="s">
        <v>5292</v>
      </c>
      <c r="L561" t="s">
        <v>4717</v>
      </c>
    </row>
    <row r="562">
      <c r="A562" t="s">
        <v>2590</v>
      </c>
      <c r="B562" t="s">
        <v>1334</v>
      </c>
      <c r="C562" t="s">
        <v>958</v>
      </c>
      <c r="D562" t="s">
        <v>1198</v>
      </c>
      <c r="E562" t="s">
        <v>1310</v>
      </c>
      <c r="F562" t="s">
        <v>120</v>
      </c>
      <c r="H562" t="s">
        <v>4715</v>
      </c>
      <c r="I562" t="s">
        <v>5293</v>
      </c>
      <c r="L562" t="s">
        <v>4717</v>
      </c>
    </row>
    <row r="563">
      <c r="A563" t="s">
        <v>2590</v>
      </c>
      <c r="B563" t="s">
        <v>1334</v>
      </c>
      <c r="C563" t="s">
        <v>958</v>
      </c>
      <c r="D563" t="s">
        <v>1198</v>
      </c>
      <c r="E563" t="s">
        <v>1310</v>
      </c>
      <c r="F563" t="s">
        <v>120</v>
      </c>
      <c r="H563" t="s">
        <v>4715</v>
      </c>
      <c r="I563" t="s">
        <v>5294</v>
      </c>
      <c r="L563" t="s">
        <v>4717</v>
      </c>
    </row>
    <row r="564">
      <c r="A564" t="s">
        <v>2590</v>
      </c>
      <c r="B564" t="s">
        <v>1334</v>
      </c>
      <c r="C564" t="s">
        <v>958</v>
      </c>
      <c r="D564" t="s">
        <v>1198</v>
      </c>
      <c r="E564" t="s">
        <v>1310</v>
      </c>
      <c r="F564" t="s">
        <v>120</v>
      </c>
      <c r="H564" t="s">
        <v>4715</v>
      </c>
      <c r="I564" t="s">
        <v>5030</v>
      </c>
      <c r="L564" t="s">
        <v>4717</v>
      </c>
    </row>
    <row r="565">
      <c r="A565" t="s">
        <v>2593</v>
      </c>
      <c r="B565" t="s">
        <v>1344</v>
      </c>
      <c r="C565" t="s">
        <v>958</v>
      </c>
      <c r="D565" t="s">
        <v>1198</v>
      </c>
      <c r="E565" t="s">
        <v>1342</v>
      </c>
      <c r="F565" t="s">
        <v>97</v>
      </c>
      <c r="G565" t="s">
        <v>2078</v>
      </c>
      <c r="H565" t="s">
        <v>4715</v>
      </c>
      <c r="I565" t="s">
        <v>5295</v>
      </c>
      <c r="L565" t="s">
        <v>4717</v>
      </c>
    </row>
    <row r="566">
      <c r="A566" t="s">
        <v>2593</v>
      </c>
      <c r="B566" t="s">
        <v>1344</v>
      </c>
      <c r="C566" t="s">
        <v>958</v>
      </c>
      <c r="D566" t="s">
        <v>1198</v>
      </c>
      <c r="E566" t="s">
        <v>1342</v>
      </c>
      <c r="F566" t="s">
        <v>97</v>
      </c>
      <c r="G566" t="s">
        <v>2078</v>
      </c>
      <c r="H566" t="s">
        <v>4715</v>
      </c>
      <c r="I566" t="s">
        <v>5296</v>
      </c>
      <c r="L566" t="s">
        <v>4717</v>
      </c>
    </row>
    <row r="567">
      <c r="A567" t="s">
        <v>2593</v>
      </c>
      <c r="B567" t="s">
        <v>1344</v>
      </c>
      <c r="C567" t="s">
        <v>958</v>
      </c>
      <c r="D567" t="s">
        <v>1198</v>
      </c>
      <c r="E567" t="s">
        <v>1342</v>
      </c>
      <c r="F567" t="s">
        <v>97</v>
      </c>
      <c r="G567" t="s">
        <v>2078</v>
      </c>
      <c r="H567" t="s">
        <v>4715</v>
      </c>
      <c r="I567" t="s">
        <v>5030</v>
      </c>
      <c r="L567" t="s">
        <v>4717</v>
      </c>
    </row>
    <row r="568">
      <c r="A568" t="s">
        <v>2596</v>
      </c>
      <c r="B568" t="s">
        <v>1352</v>
      </c>
      <c r="C568" t="s">
        <v>958</v>
      </c>
      <c r="D568" t="s">
        <v>1198</v>
      </c>
      <c r="E568" t="s">
        <v>1342</v>
      </c>
      <c r="F568" t="s">
        <v>97</v>
      </c>
      <c r="G568" t="s">
        <v>2078</v>
      </c>
      <c r="H568" t="s">
        <v>4715</v>
      </c>
      <c r="I568" t="s">
        <v>5192</v>
      </c>
      <c r="L568" t="s">
        <v>4717</v>
      </c>
    </row>
    <row r="569">
      <c r="A569" t="s">
        <v>2596</v>
      </c>
      <c r="B569" t="s">
        <v>1352</v>
      </c>
      <c r="C569" t="s">
        <v>958</v>
      </c>
      <c r="D569" t="s">
        <v>1198</v>
      </c>
      <c r="E569" t="s">
        <v>1342</v>
      </c>
      <c r="F569" t="s">
        <v>97</v>
      </c>
      <c r="G569" t="s">
        <v>2078</v>
      </c>
      <c r="H569" t="s">
        <v>4715</v>
      </c>
      <c r="I569" t="s">
        <v>5297</v>
      </c>
      <c r="L569" t="s">
        <v>4717</v>
      </c>
    </row>
    <row r="570">
      <c r="A570" t="s">
        <v>2596</v>
      </c>
      <c r="B570" t="s">
        <v>1352</v>
      </c>
      <c r="C570" t="s">
        <v>958</v>
      </c>
      <c r="D570" t="s">
        <v>1198</v>
      </c>
      <c r="E570" t="s">
        <v>1342</v>
      </c>
      <c r="F570" t="s">
        <v>97</v>
      </c>
      <c r="G570" t="s">
        <v>2078</v>
      </c>
      <c r="H570" t="s">
        <v>4715</v>
      </c>
      <c r="I570" t="s">
        <v>5030</v>
      </c>
      <c r="L570" t="s">
        <v>4717</v>
      </c>
    </row>
    <row r="571">
      <c r="A571" t="s">
        <v>2599</v>
      </c>
      <c r="B571" t="s">
        <v>1359</v>
      </c>
      <c r="C571" t="s">
        <v>958</v>
      </c>
      <c r="D571" t="s">
        <v>1198</v>
      </c>
      <c r="E571" t="s">
        <v>1342</v>
      </c>
      <c r="F571" t="s">
        <v>154</v>
      </c>
      <c r="H571" t="s">
        <v>4715</v>
      </c>
      <c r="I571" t="s">
        <v>5298</v>
      </c>
      <c r="L571" t="s">
        <v>4717</v>
      </c>
    </row>
    <row r="572">
      <c r="A572" t="s">
        <v>2599</v>
      </c>
      <c r="B572" t="s">
        <v>1359</v>
      </c>
      <c r="C572" t="s">
        <v>958</v>
      </c>
      <c r="D572" t="s">
        <v>1198</v>
      </c>
      <c r="E572" t="s">
        <v>1342</v>
      </c>
      <c r="F572" t="s">
        <v>154</v>
      </c>
      <c r="H572" t="s">
        <v>4715</v>
      </c>
      <c r="I572" t="s">
        <v>5299</v>
      </c>
      <c r="L572" t="s">
        <v>4717</v>
      </c>
    </row>
    <row r="573">
      <c r="A573" t="s">
        <v>2599</v>
      </c>
      <c r="B573" t="s">
        <v>1359</v>
      </c>
      <c r="C573" t="s">
        <v>958</v>
      </c>
      <c r="D573" t="s">
        <v>1198</v>
      </c>
      <c r="E573" t="s">
        <v>1342</v>
      </c>
      <c r="F573" t="s">
        <v>154</v>
      </c>
      <c r="H573" t="s">
        <v>4715</v>
      </c>
      <c r="I573" t="s">
        <v>5030</v>
      </c>
      <c r="L573" t="s">
        <v>4717</v>
      </c>
    </row>
    <row r="574">
      <c r="A574" t="s">
        <v>2602</v>
      </c>
      <c r="B574" t="s">
        <v>1366</v>
      </c>
      <c r="C574" t="s">
        <v>958</v>
      </c>
      <c r="D574" t="s">
        <v>1198</v>
      </c>
      <c r="E574" t="s">
        <v>1342</v>
      </c>
      <c r="F574" t="s">
        <v>154</v>
      </c>
      <c r="H574" t="s">
        <v>4715</v>
      </c>
      <c r="I574" t="s">
        <v>5300</v>
      </c>
      <c r="L574" t="s">
        <v>4717</v>
      </c>
    </row>
    <row r="575">
      <c r="A575" t="s">
        <v>2602</v>
      </c>
      <c r="B575" t="s">
        <v>1366</v>
      </c>
      <c r="C575" t="s">
        <v>958</v>
      </c>
      <c r="D575" t="s">
        <v>1198</v>
      </c>
      <c r="E575" t="s">
        <v>1342</v>
      </c>
      <c r="F575" t="s">
        <v>154</v>
      </c>
      <c r="H575" t="s">
        <v>4715</v>
      </c>
      <c r="I575" t="s">
        <v>5301</v>
      </c>
      <c r="L575" t="s">
        <v>4717</v>
      </c>
    </row>
    <row r="576">
      <c r="A576" t="s">
        <v>2602</v>
      </c>
      <c r="B576" t="s">
        <v>1366</v>
      </c>
      <c r="C576" t="s">
        <v>958</v>
      </c>
      <c r="D576" t="s">
        <v>1198</v>
      </c>
      <c r="E576" t="s">
        <v>1342</v>
      </c>
      <c r="F576" t="s">
        <v>154</v>
      </c>
      <c r="H576" t="s">
        <v>4715</v>
      </c>
      <c r="I576" t="s">
        <v>5030</v>
      </c>
      <c r="L576" t="s">
        <v>4717</v>
      </c>
    </row>
    <row r="577">
      <c r="A577" t="s">
        <v>2605</v>
      </c>
      <c r="B577" t="s">
        <v>1372</v>
      </c>
      <c r="C577" t="s">
        <v>958</v>
      </c>
      <c r="D577" t="s">
        <v>1198</v>
      </c>
      <c r="E577" t="s">
        <v>1342</v>
      </c>
      <c r="F577" t="s">
        <v>120</v>
      </c>
      <c r="H577" t="s">
        <v>4715</v>
      </c>
      <c r="I577" t="s">
        <v>5302</v>
      </c>
      <c r="L577" t="s">
        <v>4717</v>
      </c>
    </row>
    <row r="578">
      <c r="A578" t="s">
        <v>2605</v>
      </c>
      <c r="B578" t="s">
        <v>1372</v>
      </c>
      <c r="C578" t="s">
        <v>958</v>
      </c>
      <c r="D578" t="s">
        <v>1198</v>
      </c>
      <c r="E578" t="s">
        <v>1342</v>
      </c>
      <c r="F578" t="s">
        <v>120</v>
      </c>
      <c r="H578" t="s">
        <v>4715</v>
      </c>
      <c r="I578" t="s">
        <v>4869</v>
      </c>
      <c r="L578" t="s">
        <v>4717</v>
      </c>
    </row>
    <row r="579">
      <c r="A579" t="s">
        <v>2605</v>
      </c>
      <c r="B579" t="s">
        <v>1372</v>
      </c>
      <c r="C579" t="s">
        <v>958</v>
      </c>
      <c r="D579" t="s">
        <v>1198</v>
      </c>
      <c r="E579" t="s">
        <v>1342</v>
      </c>
      <c r="F579" t="s">
        <v>120</v>
      </c>
      <c r="H579" t="s">
        <v>4715</v>
      </c>
      <c r="I579" t="s">
        <v>5303</v>
      </c>
      <c r="L579" t="s">
        <v>4717</v>
      </c>
    </row>
    <row r="580">
      <c r="A580" t="s">
        <v>2608</v>
      </c>
      <c r="B580" t="s">
        <v>1383</v>
      </c>
      <c r="C580" t="s">
        <v>958</v>
      </c>
      <c r="D580" t="s">
        <v>1380</v>
      </c>
      <c r="E580" t="s">
        <v>1381</v>
      </c>
      <c r="F580" t="s">
        <v>97</v>
      </c>
      <c r="G580" t="s">
        <v>2078</v>
      </c>
      <c r="H580" t="s">
        <v>4715</v>
      </c>
      <c r="I580" t="s">
        <v>5304</v>
      </c>
      <c r="L580" t="s">
        <v>4717</v>
      </c>
    </row>
    <row r="581">
      <c r="A581" t="s">
        <v>2608</v>
      </c>
      <c r="B581" t="s">
        <v>1383</v>
      </c>
      <c r="C581" t="s">
        <v>958</v>
      </c>
      <c r="D581" t="s">
        <v>1380</v>
      </c>
      <c r="E581" t="s">
        <v>1381</v>
      </c>
      <c r="F581" t="s">
        <v>97</v>
      </c>
      <c r="G581" t="s">
        <v>2078</v>
      </c>
      <c r="H581" t="s">
        <v>4715</v>
      </c>
      <c r="I581" t="s">
        <v>5305</v>
      </c>
      <c r="L581" t="s">
        <v>4717</v>
      </c>
    </row>
    <row r="582">
      <c r="A582" t="s">
        <v>2608</v>
      </c>
      <c r="B582" t="s">
        <v>1383</v>
      </c>
      <c r="C582" t="s">
        <v>958</v>
      </c>
      <c r="D582" t="s">
        <v>1380</v>
      </c>
      <c r="E582" t="s">
        <v>1381</v>
      </c>
      <c r="F582" t="s">
        <v>97</v>
      </c>
      <c r="G582" t="s">
        <v>2078</v>
      </c>
      <c r="H582" t="s">
        <v>4715</v>
      </c>
      <c r="I582" t="s">
        <v>5030</v>
      </c>
      <c r="L582" t="s">
        <v>4717</v>
      </c>
    </row>
    <row r="583">
      <c r="A583" t="s">
        <v>2611</v>
      </c>
      <c r="B583" t="s">
        <v>1390</v>
      </c>
      <c r="C583" t="s">
        <v>958</v>
      </c>
      <c r="D583" t="s">
        <v>1380</v>
      </c>
      <c r="E583" t="s">
        <v>1381</v>
      </c>
      <c r="F583" t="s">
        <v>97</v>
      </c>
      <c r="G583" t="s">
        <v>2078</v>
      </c>
      <c r="H583" t="s">
        <v>4715</v>
      </c>
      <c r="I583" t="s">
        <v>5306</v>
      </c>
      <c r="L583" t="s">
        <v>4717</v>
      </c>
    </row>
    <row r="584">
      <c r="A584" t="s">
        <v>2611</v>
      </c>
      <c r="B584" t="s">
        <v>1390</v>
      </c>
      <c r="C584" t="s">
        <v>958</v>
      </c>
      <c r="D584" t="s">
        <v>1380</v>
      </c>
      <c r="E584" t="s">
        <v>1381</v>
      </c>
      <c r="F584" t="s">
        <v>97</v>
      </c>
      <c r="G584" t="s">
        <v>2078</v>
      </c>
      <c r="H584" t="s">
        <v>4715</v>
      </c>
      <c r="I584" t="s">
        <v>5307</v>
      </c>
      <c r="L584" t="s">
        <v>4717</v>
      </c>
    </row>
    <row r="585">
      <c r="A585" t="s">
        <v>2611</v>
      </c>
      <c r="B585" t="s">
        <v>1390</v>
      </c>
      <c r="C585" t="s">
        <v>958</v>
      </c>
      <c r="D585" t="s">
        <v>1380</v>
      </c>
      <c r="E585" t="s">
        <v>1381</v>
      </c>
      <c r="F585" t="s">
        <v>97</v>
      </c>
      <c r="G585" t="s">
        <v>2078</v>
      </c>
      <c r="H585" t="s">
        <v>4715</v>
      </c>
      <c r="I585" t="s">
        <v>5308</v>
      </c>
      <c r="L585" t="s">
        <v>4717</v>
      </c>
    </row>
    <row r="586">
      <c r="A586" t="s">
        <v>2614</v>
      </c>
      <c r="B586" t="s">
        <v>1396</v>
      </c>
      <c r="C586" t="s">
        <v>958</v>
      </c>
      <c r="D586" t="s">
        <v>1380</v>
      </c>
      <c r="E586" t="s">
        <v>1381</v>
      </c>
      <c r="F586" t="s">
        <v>154</v>
      </c>
      <c r="H586" t="s">
        <v>4715</v>
      </c>
      <c r="I586" t="s">
        <v>5309</v>
      </c>
      <c r="L586" t="s">
        <v>4717</v>
      </c>
    </row>
    <row r="587">
      <c r="A587" t="s">
        <v>2614</v>
      </c>
      <c r="B587" t="s">
        <v>1396</v>
      </c>
      <c r="C587" t="s">
        <v>958</v>
      </c>
      <c r="D587" t="s">
        <v>1380</v>
      </c>
      <c r="E587" t="s">
        <v>1381</v>
      </c>
      <c r="F587" t="s">
        <v>154</v>
      </c>
      <c r="H587" t="s">
        <v>4715</v>
      </c>
      <c r="I587" t="s">
        <v>5310</v>
      </c>
      <c r="L587" t="s">
        <v>4717</v>
      </c>
    </row>
    <row r="588">
      <c r="A588" t="s">
        <v>2614</v>
      </c>
      <c r="B588" t="s">
        <v>1396</v>
      </c>
      <c r="C588" t="s">
        <v>958</v>
      </c>
      <c r="D588" t="s">
        <v>1380</v>
      </c>
      <c r="E588" t="s">
        <v>1381</v>
      </c>
      <c r="F588" t="s">
        <v>154</v>
      </c>
      <c r="H588" t="s">
        <v>4715</v>
      </c>
      <c r="I588" t="s">
        <v>5030</v>
      </c>
      <c r="L588" t="s">
        <v>4717</v>
      </c>
    </row>
    <row r="589">
      <c r="A589" t="s">
        <v>2617</v>
      </c>
      <c r="B589" t="s">
        <v>1402</v>
      </c>
      <c r="C589" t="s">
        <v>958</v>
      </c>
      <c r="D589" t="s">
        <v>1380</v>
      </c>
      <c r="E589" t="s">
        <v>1381</v>
      </c>
      <c r="F589" t="s">
        <v>120</v>
      </c>
      <c r="H589" t="s">
        <v>4715</v>
      </c>
      <c r="I589" t="s">
        <v>5311</v>
      </c>
      <c r="L589" t="s">
        <v>4717</v>
      </c>
    </row>
    <row r="590">
      <c r="A590" t="s">
        <v>2617</v>
      </c>
      <c r="B590" t="s">
        <v>1402</v>
      </c>
      <c r="C590" t="s">
        <v>958</v>
      </c>
      <c r="D590" t="s">
        <v>1380</v>
      </c>
      <c r="E590" t="s">
        <v>1381</v>
      </c>
      <c r="F590" t="s">
        <v>120</v>
      </c>
      <c r="H590" t="s">
        <v>4715</v>
      </c>
      <c r="I590" t="s">
        <v>4827</v>
      </c>
      <c r="L590" t="s">
        <v>4717</v>
      </c>
    </row>
    <row r="591">
      <c r="A591" t="s">
        <v>2617</v>
      </c>
      <c r="B591" t="s">
        <v>1402</v>
      </c>
      <c r="C591" t="s">
        <v>958</v>
      </c>
      <c r="D591" t="s">
        <v>1380</v>
      </c>
      <c r="E591" t="s">
        <v>1381</v>
      </c>
      <c r="F591" t="s">
        <v>120</v>
      </c>
      <c r="H591" t="s">
        <v>4715</v>
      </c>
      <c r="I591" t="s">
        <v>5030</v>
      </c>
      <c r="L591" t="s">
        <v>4717</v>
      </c>
    </row>
    <row r="592">
      <c r="A592" t="s">
        <v>2620</v>
      </c>
      <c r="B592" t="s">
        <v>1410</v>
      </c>
      <c r="C592" t="s">
        <v>958</v>
      </c>
      <c r="D592" t="s">
        <v>1380</v>
      </c>
      <c r="E592" t="s">
        <v>1381</v>
      </c>
      <c r="F592" t="s">
        <v>120</v>
      </c>
      <c r="H592" t="s">
        <v>4715</v>
      </c>
      <c r="I592" t="s">
        <v>5312</v>
      </c>
      <c r="L592" t="s">
        <v>4717</v>
      </c>
    </row>
    <row r="593">
      <c r="A593" t="s">
        <v>2620</v>
      </c>
      <c r="B593" t="s">
        <v>1410</v>
      </c>
      <c r="C593" t="s">
        <v>958</v>
      </c>
      <c r="D593" t="s">
        <v>1380</v>
      </c>
      <c r="E593" t="s">
        <v>1381</v>
      </c>
      <c r="F593" t="s">
        <v>120</v>
      </c>
      <c r="H593" t="s">
        <v>4715</v>
      </c>
      <c r="I593" t="s">
        <v>5313</v>
      </c>
      <c r="L593" t="s">
        <v>4717</v>
      </c>
    </row>
    <row r="594">
      <c r="A594" t="s">
        <v>2620</v>
      </c>
      <c r="B594" t="s">
        <v>1410</v>
      </c>
      <c r="C594" t="s">
        <v>958</v>
      </c>
      <c r="D594" t="s">
        <v>1380</v>
      </c>
      <c r="E594" t="s">
        <v>1381</v>
      </c>
      <c r="F594" t="s">
        <v>120</v>
      </c>
      <c r="H594" t="s">
        <v>4715</v>
      </c>
      <c r="I594" t="s">
        <v>5314</v>
      </c>
      <c r="L594" t="s">
        <v>4717</v>
      </c>
    </row>
    <row r="595">
      <c r="A595" t="s">
        <v>2623</v>
      </c>
      <c r="B595" t="s">
        <v>1420</v>
      </c>
      <c r="C595" t="s">
        <v>958</v>
      </c>
      <c r="D595" t="s">
        <v>1380</v>
      </c>
      <c r="E595" t="s">
        <v>1418</v>
      </c>
      <c r="F595" t="s">
        <v>154</v>
      </c>
      <c r="H595" t="s">
        <v>4715</v>
      </c>
      <c r="I595" t="s">
        <v>5315</v>
      </c>
      <c r="L595" t="s">
        <v>4717</v>
      </c>
    </row>
    <row r="596">
      <c r="A596" t="s">
        <v>2623</v>
      </c>
      <c r="B596" t="s">
        <v>1420</v>
      </c>
      <c r="C596" t="s">
        <v>958</v>
      </c>
      <c r="D596" t="s">
        <v>1380</v>
      </c>
      <c r="E596" t="s">
        <v>1418</v>
      </c>
      <c r="F596" t="s">
        <v>154</v>
      </c>
      <c r="H596" t="s">
        <v>4715</v>
      </c>
      <c r="I596" t="s">
        <v>5316</v>
      </c>
      <c r="L596" t="s">
        <v>4717</v>
      </c>
    </row>
    <row r="597">
      <c r="A597" t="s">
        <v>2623</v>
      </c>
      <c r="B597" t="s">
        <v>1420</v>
      </c>
      <c r="C597" t="s">
        <v>958</v>
      </c>
      <c r="D597" t="s">
        <v>1380</v>
      </c>
      <c r="E597" t="s">
        <v>1418</v>
      </c>
      <c r="F597" t="s">
        <v>154</v>
      </c>
      <c r="H597" t="s">
        <v>4715</v>
      </c>
      <c r="I597" t="s">
        <v>4827</v>
      </c>
      <c r="L597" t="s">
        <v>4717</v>
      </c>
    </row>
    <row r="598">
      <c r="A598" t="s">
        <v>2626</v>
      </c>
      <c r="B598" t="s">
        <v>1428</v>
      </c>
      <c r="C598" t="s">
        <v>958</v>
      </c>
      <c r="D598" t="s">
        <v>1380</v>
      </c>
      <c r="E598" t="s">
        <v>1418</v>
      </c>
      <c r="F598" t="s">
        <v>154</v>
      </c>
      <c r="H598" t="s">
        <v>4715</v>
      </c>
      <c r="I598" t="s">
        <v>5317</v>
      </c>
      <c r="L598" t="s">
        <v>4717</v>
      </c>
    </row>
    <row r="599">
      <c r="A599" t="s">
        <v>2626</v>
      </c>
      <c r="B599" t="s">
        <v>1428</v>
      </c>
      <c r="C599" t="s">
        <v>958</v>
      </c>
      <c r="D599" t="s">
        <v>1380</v>
      </c>
      <c r="E599" t="s">
        <v>1418</v>
      </c>
      <c r="F599" t="s">
        <v>154</v>
      </c>
      <c r="H599" t="s">
        <v>4715</v>
      </c>
      <c r="I599" t="s">
        <v>4826</v>
      </c>
      <c r="L599" t="s">
        <v>4717</v>
      </c>
    </row>
    <row r="600">
      <c r="A600" t="s">
        <v>2626</v>
      </c>
      <c r="B600" t="s">
        <v>1428</v>
      </c>
      <c r="C600" t="s">
        <v>958</v>
      </c>
      <c r="D600" t="s">
        <v>1380</v>
      </c>
      <c r="E600" t="s">
        <v>1418</v>
      </c>
      <c r="F600" t="s">
        <v>154</v>
      </c>
      <c r="H600" t="s">
        <v>4715</v>
      </c>
      <c r="I600" t="s">
        <v>4827</v>
      </c>
      <c r="L600" t="s">
        <v>4717</v>
      </c>
    </row>
    <row r="601">
      <c r="A601" t="s">
        <v>2628</v>
      </c>
      <c r="B601" t="s">
        <v>1435</v>
      </c>
      <c r="C601" t="s">
        <v>958</v>
      </c>
      <c r="D601" t="s">
        <v>1380</v>
      </c>
      <c r="E601" t="s">
        <v>1418</v>
      </c>
      <c r="F601" t="s">
        <v>120</v>
      </c>
      <c r="H601" t="s">
        <v>4715</v>
      </c>
      <c r="I601" t="s">
        <v>5318</v>
      </c>
      <c r="L601" t="s">
        <v>4717</v>
      </c>
    </row>
    <row r="602">
      <c r="A602" t="s">
        <v>2628</v>
      </c>
      <c r="B602" t="s">
        <v>1435</v>
      </c>
      <c r="C602" t="s">
        <v>958</v>
      </c>
      <c r="D602" t="s">
        <v>1380</v>
      </c>
      <c r="E602" t="s">
        <v>1418</v>
      </c>
      <c r="F602" t="s">
        <v>120</v>
      </c>
      <c r="H602" t="s">
        <v>4715</v>
      </c>
      <c r="I602" t="s">
        <v>5319</v>
      </c>
      <c r="L602" t="s">
        <v>4717</v>
      </c>
    </row>
    <row r="603">
      <c r="A603" t="s">
        <v>2628</v>
      </c>
      <c r="B603" t="s">
        <v>1435</v>
      </c>
      <c r="C603" t="s">
        <v>958</v>
      </c>
      <c r="D603" t="s">
        <v>1380</v>
      </c>
      <c r="E603" t="s">
        <v>1418</v>
      </c>
      <c r="F603" t="s">
        <v>120</v>
      </c>
      <c r="H603" t="s">
        <v>4715</v>
      </c>
      <c r="I603" t="s">
        <v>4869</v>
      </c>
      <c r="L603" t="s">
        <v>4717</v>
      </c>
    </row>
    <row r="604">
      <c r="A604" t="s">
        <v>2631</v>
      </c>
      <c r="B604" t="s">
        <v>1440</v>
      </c>
      <c r="C604" t="s">
        <v>958</v>
      </c>
      <c r="D604" t="s">
        <v>1380</v>
      </c>
      <c r="E604" t="s">
        <v>1418</v>
      </c>
      <c r="F604" t="s">
        <v>120</v>
      </c>
      <c r="H604" t="s">
        <v>4715</v>
      </c>
      <c r="I604" t="s">
        <v>5320</v>
      </c>
      <c r="L604" t="s">
        <v>4717</v>
      </c>
    </row>
    <row r="605">
      <c r="A605" t="s">
        <v>2631</v>
      </c>
      <c r="B605" t="s">
        <v>1440</v>
      </c>
      <c r="C605" t="s">
        <v>958</v>
      </c>
      <c r="D605" t="s">
        <v>1380</v>
      </c>
      <c r="E605" t="s">
        <v>1418</v>
      </c>
      <c r="F605" t="s">
        <v>120</v>
      </c>
      <c r="H605" t="s">
        <v>4715</v>
      </c>
      <c r="I605" t="s">
        <v>5321</v>
      </c>
      <c r="L605" t="s">
        <v>4717</v>
      </c>
    </row>
    <row r="606">
      <c r="A606" t="s">
        <v>2631</v>
      </c>
      <c r="B606" t="s">
        <v>1440</v>
      </c>
      <c r="C606" t="s">
        <v>958</v>
      </c>
      <c r="D606" t="s">
        <v>1380</v>
      </c>
      <c r="E606" t="s">
        <v>1418</v>
      </c>
      <c r="F606" t="s">
        <v>120</v>
      </c>
      <c r="H606" t="s">
        <v>4715</v>
      </c>
      <c r="I606" t="s">
        <v>5030</v>
      </c>
      <c r="L606" t="s">
        <v>4717</v>
      </c>
    </row>
    <row r="607">
      <c r="A607" t="s">
        <v>2634</v>
      </c>
      <c r="B607" t="s">
        <v>1445</v>
      </c>
      <c r="C607" t="s">
        <v>958</v>
      </c>
      <c r="D607" t="s">
        <v>1380</v>
      </c>
      <c r="E607" t="s">
        <v>1418</v>
      </c>
      <c r="F607" t="s">
        <v>120</v>
      </c>
      <c r="H607" t="s">
        <v>4715</v>
      </c>
      <c r="I607" t="s">
        <v>5322</v>
      </c>
      <c r="L607" t="s">
        <v>4717</v>
      </c>
    </row>
    <row r="608">
      <c r="A608" t="s">
        <v>2634</v>
      </c>
      <c r="B608" t="s">
        <v>1445</v>
      </c>
      <c r="C608" t="s">
        <v>958</v>
      </c>
      <c r="D608" t="s">
        <v>1380</v>
      </c>
      <c r="E608" t="s">
        <v>1418</v>
      </c>
      <c r="F608" t="s">
        <v>120</v>
      </c>
      <c r="H608" t="s">
        <v>4715</v>
      </c>
      <c r="I608" t="s">
        <v>5226</v>
      </c>
      <c r="L608" t="s">
        <v>4717</v>
      </c>
    </row>
    <row r="609">
      <c r="A609" t="s">
        <v>2634</v>
      </c>
      <c r="B609" t="s">
        <v>1445</v>
      </c>
      <c r="C609" t="s">
        <v>958</v>
      </c>
      <c r="D609" t="s">
        <v>1380</v>
      </c>
      <c r="E609" t="s">
        <v>1418</v>
      </c>
      <c r="F609" t="s">
        <v>120</v>
      </c>
      <c r="H609" t="s">
        <v>4715</v>
      </c>
      <c r="I609" t="s">
        <v>5323</v>
      </c>
      <c r="L609" t="s">
        <v>4717</v>
      </c>
    </row>
    <row r="610">
      <c r="A610" t="s">
        <v>2637</v>
      </c>
      <c r="B610" t="s">
        <v>1455</v>
      </c>
      <c r="C610" t="s">
        <v>958</v>
      </c>
      <c r="D610" t="s">
        <v>1380</v>
      </c>
      <c r="E610" t="s">
        <v>1453</v>
      </c>
      <c r="F610" t="s">
        <v>154</v>
      </c>
      <c r="H610" t="s">
        <v>4715</v>
      </c>
      <c r="I610" t="s">
        <v>5324</v>
      </c>
      <c r="L610" t="s">
        <v>4717</v>
      </c>
    </row>
    <row r="611">
      <c r="A611" t="s">
        <v>2637</v>
      </c>
      <c r="B611" t="s">
        <v>1455</v>
      </c>
      <c r="C611" t="s">
        <v>958</v>
      </c>
      <c r="D611" t="s">
        <v>1380</v>
      </c>
      <c r="E611" t="s">
        <v>1453</v>
      </c>
      <c r="F611" t="s">
        <v>154</v>
      </c>
      <c r="H611" t="s">
        <v>4715</v>
      </c>
      <c r="I611" t="s">
        <v>5325</v>
      </c>
      <c r="L611" t="s">
        <v>4717</v>
      </c>
    </row>
    <row r="612">
      <c r="A612" t="s">
        <v>2637</v>
      </c>
      <c r="B612" t="s">
        <v>1455</v>
      </c>
      <c r="C612" t="s">
        <v>958</v>
      </c>
      <c r="D612" t="s">
        <v>1380</v>
      </c>
      <c r="E612" t="s">
        <v>1453</v>
      </c>
      <c r="F612" t="s">
        <v>154</v>
      </c>
      <c r="H612" t="s">
        <v>4715</v>
      </c>
      <c r="I612" t="s">
        <v>4827</v>
      </c>
      <c r="L612" t="s">
        <v>4717</v>
      </c>
    </row>
    <row r="613">
      <c r="A613" t="s">
        <v>2640</v>
      </c>
      <c r="B613" t="s">
        <v>1463</v>
      </c>
      <c r="C613" t="s">
        <v>958</v>
      </c>
      <c r="D613" t="s">
        <v>1380</v>
      </c>
      <c r="E613" t="s">
        <v>1453</v>
      </c>
      <c r="F613" t="s">
        <v>120</v>
      </c>
      <c r="H613" t="s">
        <v>4715</v>
      </c>
      <c r="I613" t="s">
        <v>5326</v>
      </c>
      <c r="L613" t="s">
        <v>4717</v>
      </c>
    </row>
    <row r="614">
      <c r="A614" t="s">
        <v>2640</v>
      </c>
      <c r="B614" t="s">
        <v>1463</v>
      </c>
      <c r="C614" t="s">
        <v>958</v>
      </c>
      <c r="D614" t="s">
        <v>1380</v>
      </c>
      <c r="E614" t="s">
        <v>1453</v>
      </c>
      <c r="F614" t="s">
        <v>120</v>
      </c>
      <c r="H614" t="s">
        <v>4715</v>
      </c>
      <c r="I614" t="s">
        <v>5327</v>
      </c>
      <c r="L614" t="s">
        <v>4717</v>
      </c>
    </row>
    <row r="615">
      <c r="A615" t="s">
        <v>2640</v>
      </c>
      <c r="B615" t="s">
        <v>1463</v>
      </c>
      <c r="C615" t="s">
        <v>958</v>
      </c>
      <c r="D615" t="s">
        <v>1380</v>
      </c>
      <c r="E615" t="s">
        <v>1453</v>
      </c>
      <c r="F615" t="s">
        <v>120</v>
      </c>
      <c r="H615" t="s">
        <v>4715</v>
      </c>
      <c r="I615" t="s">
        <v>5030</v>
      </c>
      <c r="L615" t="s">
        <v>4717</v>
      </c>
    </row>
    <row r="616">
      <c r="A616" t="s">
        <v>2643</v>
      </c>
      <c r="B616" t="s">
        <v>1468</v>
      </c>
      <c r="C616" t="s">
        <v>958</v>
      </c>
      <c r="D616" t="s">
        <v>1380</v>
      </c>
      <c r="E616" t="s">
        <v>1453</v>
      </c>
      <c r="F616" t="s">
        <v>120</v>
      </c>
      <c r="H616" t="s">
        <v>4715</v>
      </c>
      <c r="I616" t="s">
        <v>5328</v>
      </c>
      <c r="L616" t="s">
        <v>4717</v>
      </c>
    </row>
    <row r="617">
      <c r="A617" t="s">
        <v>2643</v>
      </c>
      <c r="B617" t="s">
        <v>1468</v>
      </c>
      <c r="C617" t="s">
        <v>958</v>
      </c>
      <c r="D617" t="s">
        <v>1380</v>
      </c>
      <c r="E617" t="s">
        <v>1453</v>
      </c>
      <c r="F617" t="s">
        <v>120</v>
      </c>
      <c r="H617" t="s">
        <v>4715</v>
      </c>
      <c r="I617" t="s">
        <v>5329</v>
      </c>
      <c r="L617" t="s">
        <v>4717</v>
      </c>
    </row>
    <row r="618">
      <c r="A618" t="s">
        <v>2643</v>
      </c>
      <c r="B618" t="s">
        <v>1468</v>
      </c>
      <c r="C618" t="s">
        <v>958</v>
      </c>
      <c r="D618" t="s">
        <v>1380</v>
      </c>
      <c r="E618" t="s">
        <v>1453</v>
      </c>
      <c r="F618" t="s">
        <v>120</v>
      </c>
      <c r="H618" t="s">
        <v>4715</v>
      </c>
      <c r="I618" t="s">
        <v>4928</v>
      </c>
      <c r="L618" t="s">
        <v>4717</v>
      </c>
    </row>
    <row r="619">
      <c r="A619" t="s">
        <v>2646</v>
      </c>
      <c r="B619" t="s">
        <v>1473</v>
      </c>
      <c r="C619" t="s">
        <v>958</v>
      </c>
      <c r="D619" t="s">
        <v>1380</v>
      </c>
      <c r="E619" t="s">
        <v>1453</v>
      </c>
      <c r="F619" t="s">
        <v>120</v>
      </c>
      <c r="H619" t="s">
        <v>4715</v>
      </c>
      <c r="I619" t="s">
        <v>5330</v>
      </c>
      <c r="L619" t="s">
        <v>4717</v>
      </c>
    </row>
    <row r="620">
      <c r="A620" t="s">
        <v>2646</v>
      </c>
      <c r="B620" t="s">
        <v>1473</v>
      </c>
      <c r="C620" t="s">
        <v>958</v>
      </c>
      <c r="D620" t="s">
        <v>1380</v>
      </c>
      <c r="E620" t="s">
        <v>1453</v>
      </c>
      <c r="F620" t="s">
        <v>120</v>
      </c>
      <c r="H620" t="s">
        <v>4715</v>
      </c>
      <c r="I620" t="s">
        <v>5331</v>
      </c>
      <c r="L620" t="s">
        <v>4717</v>
      </c>
    </row>
    <row r="621">
      <c r="A621" t="s">
        <v>2646</v>
      </c>
      <c r="B621" t="s">
        <v>1473</v>
      </c>
      <c r="C621" t="s">
        <v>958</v>
      </c>
      <c r="D621" t="s">
        <v>1380</v>
      </c>
      <c r="E621" t="s">
        <v>1453</v>
      </c>
      <c r="F621" t="s">
        <v>120</v>
      </c>
      <c r="H621" t="s">
        <v>4715</v>
      </c>
      <c r="I621" t="s">
        <v>5030</v>
      </c>
      <c r="L621" t="s">
        <v>4717</v>
      </c>
    </row>
    <row r="622">
      <c r="A622" t="s">
        <v>2649</v>
      </c>
      <c r="B622" t="s">
        <v>1481</v>
      </c>
      <c r="C622" t="s">
        <v>958</v>
      </c>
      <c r="D622" t="s">
        <v>1380</v>
      </c>
      <c r="E622" t="s">
        <v>1453</v>
      </c>
      <c r="F622" t="s">
        <v>120</v>
      </c>
      <c r="H622" t="s">
        <v>4715</v>
      </c>
      <c r="I622" t="s">
        <v>5332</v>
      </c>
      <c r="L622" t="s">
        <v>4717</v>
      </c>
    </row>
    <row r="623">
      <c r="A623" t="s">
        <v>2649</v>
      </c>
      <c r="B623" t="s">
        <v>1481</v>
      </c>
      <c r="C623" t="s">
        <v>958</v>
      </c>
      <c r="D623" t="s">
        <v>1380</v>
      </c>
      <c r="E623" t="s">
        <v>1453</v>
      </c>
      <c r="F623" t="s">
        <v>120</v>
      </c>
      <c r="H623" t="s">
        <v>4715</v>
      </c>
      <c r="I623" t="s">
        <v>5301</v>
      </c>
      <c r="L623" t="s">
        <v>4717</v>
      </c>
    </row>
    <row r="624">
      <c r="A624" t="s">
        <v>2649</v>
      </c>
      <c r="B624" t="s">
        <v>1481</v>
      </c>
      <c r="C624" t="s">
        <v>958</v>
      </c>
      <c r="D624" t="s">
        <v>1380</v>
      </c>
      <c r="E624" t="s">
        <v>1453</v>
      </c>
      <c r="F624" t="s">
        <v>120</v>
      </c>
      <c r="H624" t="s">
        <v>4715</v>
      </c>
      <c r="I624" t="s">
        <v>5030</v>
      </c>
      <c r="L624" t="s">
        <v>4717</v>
      </c>
    </row>
    <row r="625">
      <c r="A625" t="s">
        <v>2652</v>
      </c>
      <c r="B625" t="s">
        <v>1489</v>
      </c>
      <c r="C625" t="s">
        <v>958</v>
      </c>
      <c r="D625" t="s">
        <v>1486</v>
      </c>
      <c r="E625" t="s">
        <v>1487</v>
      </c>
      <c r="F625" t="s">
        <v>120</v>
      </c>
      <c r="H625" t="s">
        <v>4715</v>
      </c>
      <c r="I625" t="s">
        <v>5333</v>
      </c>
      <c r="L625" t="s">
        <v>4717</v>
      </c>
    </row>
    <row r="626">
      <c r="A626" t="s">
        <v>2652</v>
      </c>
      <c r="B626" t="s">
        <v>1489</v>
      </c>
      <c r="C626" t="s">
        <v>958</v>
      </c>
      <c r="D626" t="s">
        <v>1486</v>
      </c>
      <c r="E626" t="s">
        <v>1487</v>
      </c>
      <c r="F626" t="s">
        <v>120</v>
      </c>
      <c r="H626" t="s">
        <v>4715</v>
      </c>
      <c r="I626" t="s">
        <v>5334</v>
      </c>
      <c r="L626" t="s">
        <v>4717</v>
      </c>
    </row>
    <row r="627">
      <c r="A627" t="s">
        <v>2652</v>
      </c>
      <c r="B627" t="s">
        <v>1489</v>
      </c>
      <c r="C627" t="s">
        <v>958</v>
      </c>
      <c r="D627" t="s">
        <v>1486</v>
      </c>
      <c r="E627" t="s">
        <v>1487</v>
      </c>
      <c r="F627" t="s">
        <v>120</v>
      </c>
      <c r="H627" t="s">
        <v>4715</v>
      </c>
      <c r="I627" t="s">
        <v>5030</v>
      </c>
      <c r="L627" t="s">
        <v>4717</v>
      </c>
    </row>
    <row r="628">
      <c r="A628" t="s">
        <v>2655</v>
      </c>
      <c r="B628" t="s">
        <v>1497</v>
      </c>
      <c r="C628" t="s">
        <v>958</v>
      </c>
      <c r="D628" t="s">
        <v>1486</v>
      </c>
      <c r="E628" t="s">
        <v>1487</v>
      </c>
      <c r="F628" t="s">
        <v>120</v>
      </c>
      <c r="H628" t="s">
        <v>4715</v>
      </c>
      <c r="I628" t="s">
        <v>5335</v>
      </c>
      <c r="L628" t="s">
        <v>4717</v>
      </c>
    </row>
    <row r="629">
      <c r="A629" t="s">
        <v>2655</v>
      </c>
      <c r="B629" t="s">
        <v>1497</v>
      </c>
      <c r="C629" t="s">
        <v>958</v>
      </c>
      <c r="D629" t="s">
        <v>1486</v>
      </c>
      <c r="E629" t="s">
        <v>1487</v>
      </c>
      <c r="F629" t="s">
        <v>120</v>
      </c>
      <c r="H629" t="s">
        <v>4715</v>
      </c>
      <c r="I629" t="s">
        <v>4869</v>
      </c>
      <c r="L629" t="s">
        <v>4717</v>
      </c>
    </row>
    <row r="630">
      <c r="A630" t="s">
        <v>2655</v>
      </c>
      <c r="B630" t="s">
        <v>1497</v>
      </c>
      <c r="C630" t="s">
        <v>958</v>
      </c>
      <c r="D630" t="s">
        <v>1486</v>
      </c>
      <c r="E630" t="s">
        <v>1487</v>
      </c>
      <c r="F630" t="s">
        <v>120</v>
      </c>
      <c r="H630" t="s">
        <v>4715</v>
      </c>
      <c r="I630" t="s">
        <v>5030</v>
      </c>
      <c r="L630" t="s">
        <v>4717</v>
      </c>
    </row>
    <row r="631">
      <c r="A631" t="s">
        <v>2658</v>
      </c>
      <c r="B631" t="s">
        <v>1502</v>
      </c>
      <c r="C631" t="s">
        <v>958</v>
      </c>
      <c r="D631" t="s">
        <v>1486</v>
      </c>
      <c r="E631" t="s">
        <v>1487</v>
      </c>
      <c r="F631" t="s">
        <v>120</v>
      </c>
      <c r="H631" t="s">
        <v>4715</v>
      </c>
      <c r="I631" t="s">
        <v>5336</v>
      </c>
      <c r="L631" t="s">
        <v>4717</v>
      </c>
    </row>
    <row r="632">
      <c r="A632" t="s">
        <v>2658</v>
      </c>
      <c r="B632" t="s">
        <v>1502</v>
      </c>
      <c r="C632" t="s">
        <v>958</v>
      </c>
      <c r="D632" t="s">
        <v>1486</v>
      </c>
      <c r="E632" t="s">
        <v>1487</v>
      </c>
      <c r="F632" t="s">
        <v>120</v>
      </c>
      <c r="H632" t="s">
        <v>4715</v>
      </c>
      <c r="I632" t="s">
        <v>5337</v>
      </c>
      <c r="L632" t="s">
        <v>4717</v>
      </c>
    </row>
    <row r="633">
      <c r="A633" t="s">
        <v>2658</v>
      </c>
      <c r="B633" t="s">
        <v>1502</v>
      </c>
      <c r="C633" t="s">
        <v>958</v>
      </c>
      <c r="D633" t="s">
        <v>1486</v>
      </c>
      <c r="E633" t="s">
        <v>1487</v>
      </c>
      <c r="F633" t="s">
        <v>120</v>
      </c>
      <c r="H633" t="s">
        <v>4715</v>
      </c>
      <c r="I633" t="s">
        <v>5030</v>
      </c>
      <c r="L633" t="s">
        <v>4717</v>
      </c>
    </row>
    <row r="634">
      <c r="A634" t="s">
        <v>2661</v>
      </c>
      <c r="B634" t="s">
        <v>1509</v>
      </c>
      <c r="C634" t="s">
        <v>958</v>
      </c>
      <c r="D634" t="s">
        <v>1486</v>
      </c>
      <c r="E634" t="s">
        <v>1487</v>
      </c>
      <c r="F634" t="s">
        <v>120</v>
      </c>
      <c r="H634" t="s">
        <v>4715</v>
      </c>
      <c r="I634" t="s">
        <v>5338</v>
      </c>
      <c r="L634" t="s">
        <v>4717</v>
      </c>
    </row>
    <row r="635">
      <c r="A635" t="s">
        <v>2661</v>
      </c>
      <c r="B635" t="s">
        <v>1509</v>
      </c>
      <c r="C635" t="s">
        <v>958</v>
      </c>
      <c r="D635" t="s">
        <v>1486</v>
      </c>
      <c r="E635" t="s">
        <v>1487</v>
      </c>
      <c r="F635" t="s">
        <v>120</v>
      </c>
      <c r="H635" t="s">
        <v>4715</v>
      </c>
      <c r="I635" t="s">
        <v>5339</v>
      </c>
      <c r="L635" t="s">
        <v>4717</v>
      </c>
    </row>
    <row r="636">
      <c r="A636" t="s">
        <v>2661</v>
      </c>
      <c r="B636" t="s">
        <v>1509</v>
      </c>
      <c r="C636" t="s">
        <v>958</v>
      </c>
      <c r="D636" t="s">
        <v>1486</v>
      </c>
      <c r="E636" t="s">
        <v>1487</v>
      </c>
      <c r="F636" t="s">
        <v>120</v>
      </c>
      <c r="H636" t="s">
        <v>4715</v>
      </c>
      <c r="I636" t="s">
        <v>5303</v>
      </c>
      <c r="L636" t="s">
        <v>4717</v>
      </c>
    </row>
    <row r="637">
      <c r="A637" t="s">
        <v>2664</v>
      </c>
      <c r="B637" t="s">
        <v>1515</v>
      </c>
      <c r="C637" t="s">
        <v>958</v>
      </c>
      <c r="D637" t="s">
        <v>1486</v>
      </c>
      <c r="E637" t="s">
        <v>1487</v>
      </c>
      <c r="F637" t="s">
        <v>120</v>
      </c>
      <c r="H637" t="s">
        <v>4715</v>
      </c>
      <c r="I637" t="s">
        <v>5340</v>
      </c>
      <c r="L637" t="s">
        <v>4717</v>
      </c>
    </row>
    <row r="638">
      <c r="A638" t="s">
        <v>2664</v>
      </c>
      <c r="B638" t="s">
        <v>1515</v>
      </c>
      <c r="C638" t="s">
        <v>958</v>
      </c>
      <c r="D638" t="s">
        <v>1486</v>
      </c>
      <c r="E638" t="s">
        <v>1487</v>
      </c>
      <c r="F638" t="s">
        <v>120</v>
      </c>
      <c r="H638" t="s">
        <v>4715</v>
      </c>
      <c r="I638" t="s">
        <v>5341</v>
      </c>
      <c r="L638" t="s">
        <v>4717</v>
      </c>
    </row>
    <row r="639">
      <c r="A639" t="s">
        <v>2664</v>
      </c>
      <c r="B639" t="s">
        <v>1515</v>
      </c>
      <c r="C639" t="s">
        <v>958</v>
      </c>
      <c r="D639" t="s">
        <v>1486</v>
      </c>
      <c r="E639" t="s">
        <v>1487</v>
      </c>
      <c r="F639" t="s">
        <v>120</v>
      </c>
      <c r="H639" t="s">
        <v>4715</v>
      </c>
      <c r="I639" t="s">
        <v>5030</v>
      </c>
      <c r="L639" t="s">
        <v>4717</v>
      </c>
    </row>
    <row r="640">
      <c r="A640" t="s">
        <v>2667</v>
      </c>
      <c r="B640" t="s">
        <v>1524</v>
      </c>
      <c r="C640" t="s">
        <v>958</v>
      </c>
      <c r="D640" t="s">
        <v>1521</v>
      </c>
      <c r="E640" t="s">
        <v>1522</v>
      </c>
      <c r="F640" t="s">
        <v>120</v>
      </c>
      <c r="H640" t="s">
        <v>4715</v>
      </c>
      <c r="I640" t="s">
        <v>5342</v>
      </c>
      <c r="L640" t="s">
        <v>4717</v>
      </c>
    </row>
    <row r="641">
      <c r="A641" t="s">
        <v>2667</v>
      </c>
      <c r="B641" t="s">
        <v>1524</v>
      </c>
      <c r="C641" t="s">
        <v>958</v>
      </c>
      <c r="D641" t="s">
        <v>1521</v>
      </c>
      <c r="E641" t="s">
        <v>1522</v>
      </c>
      <c r="F641" t="s">
        <v>120</v>
      </c>
      <c r="H641" t="s">
        <v>4715</v>
      </c>
      <c r="I641" t="s">
        <v>5343</v>
      </c>
      <c r="L641" t="s">
        <v>4717</v>
      </c>
    </row>
    <row r="642">
      <c r="A642" t="s">
        <v>2667</v>
      </c>
      <c r="B642" t="s">
        <v>1524</v>
      </c>
      <c r="C642" t="s">
        <v>958</v>
      </c>
      <c r="D642" t="s">
        <v>1521</v>
      </c>
      <c r="E642" t="s">
        <v>1522</v>
      </c>
      <c r="F642" t="s">
        <v>120</v>
      </c>
      <c r="H642" t="s">
        <v>4715</v>
      </c>
      <c r="I642" t="s">
        <v>5030</v>
      </c>
      <c r="L642" t="s">
        <v>4717</v>
      </c>
    </row>
    <row r="643">
      <c r="A643" t="s">
        <v>2671</v>
      </c>
      <c r="B643" t="s">
        <v>1532</v>
      </c>
      <c r="C643" t="s">
        <v>958</v>
      </c>
      <c r="D643" t="s">
        <v>1521</v>
      </c>
      <c r="E643" t="s">
        <v>1522</v>
      </c>
      <c r="F643" t="s">
        <v>120</v>
      </c>
      <c r="H643" t="s">
        <v>4715</v>
      </c>
      <c r="I643" t="s">
        <v>5344</v>
      </c>
      <c r="L643" t="s">
        <v>4717</v>
      </c>
    </row>
    <row r="644">
      <c r="A644" t="s">
        <v>2671</v>
      </c>
      <c r="B644" t="s">
        <v>1532</v>
      </c>
      <c r="C644" t="s">
        <v>958</v>
      </c>
      <c r="D644" t="s">
        <v>1521</v>
      </c>
      <c r="E644" t="s">
        <v>1522</v>
      </c>
      <c r="F644" t="s">
        <v>120</v>
      </c>
      <c r="H644" t="s">
        <v>4715</v>
      </c>
      <c r="I644" t="s">
        <v>5345</v>
      </c>
      <c r="L644" t="s">
        <v>4717</v>
      </c>
    </row>
    <row r="645">
      <c r="A645" t="s">
        <v>2671</v>
      </c>
      <c r="B645" t="s">
        <v>1532</v>
      </c>
      <c r="C645" t="s">
        <v>958</v>
      </c>
      <c r="D645" t="s">
        <v>1521</v>
      </c>
      <c r="E645" t="s">
        <v>1522</v>
      </c>
      <c r="F645" t="s">
        <v>120</v>
      </c>
      <c r="H645" t="s">
        <v>4715</v>
      </c>
      <c r="I645" t="s">
        <v>5030</v>
      </c>
      <c r="L645" t="s">
        <v>4717</v>
      </c>
    </row>
    <row r="646">
      <c r="A646" t="s">
        <v>2674</v>
      </c>
      <c r="B646" t="s">
        <v>1539</v>
      </c>
      <c r="C646" t="s">
        <v>958</v>
      </c>
      <c r="D646" t="s">
        <v>1521</v>
      </c>
      <c r="E646" t="s">
        <v>1522</v>
      </c>
      <c r="F646" t="s">
        <v>120</v>
      </c>
      <c r="H646" t="s">
        <v>4715</v>
      </c>
      <c r="I646" t="s">
        <v>5346</v>
      </c>
      <c r="L646" t="s">
        <v>4717</v>
      </c>
    </row>
    <row r="647">
      <c r="A647" t="s">
        <v>2674</v>
      </c>
      <c r="B647" t="s">
        <v>1539</v>
      </c>
      <c r="C647" t="s">
        <v>958</v>
      </c>
      <c r="D647" t="s">
        <v>1521</v>
      </c>
      <c r="E647" t="s">
        <v>1522</v>
      </c>
      <c r="F647" t="s">
        <v>120</v>
      </c>
      <c r="H647" t="s">
        <v>4715</v>
      </c>
      <c r="I647" t="s">
        <v>5347</v>
      </c>
      <c r="L647" t="s">
        <v>4717</v>
      </c>
    </row>
    <row r="648">
      <c r="A648" t="s">
        <v>2674</v>
      </c>
      <c r="B648" t="s">
        <v>1539</v>
      </c>
      <c r="C648" t="s">
        <v>958</v>
      </c>
      <c r="D648" t="s">
        <v>1521</v>
      </c>
      <c r="E648" t="s">
        <v>1522</v>
      </c>
      <c r="F648" t="s">
        <v>120</v>
      </c>
      <c r="H648" t="s">
        <v>4715</v>
      </c>
      <c r="I648" t="s">
        <v>5348</v>
      </c>
      <c r="L648" t="s">
        <v>4717</v>
      </c>
    </row>
    <row r="649">
      <c r="A649" t="s">
        <v>2677</v>
      </c>
      <c r="B649" t="s">
        <v>1547</v>
      </c>
      <c r="C649" t="s">
        <v>958</v>
      </c>
      <c r="D649" t="s">
        <v>1521</v>
      </c>
      <c r="E649" t="s">
        <v>1522</v>
      </c>
      <c r="F649" t="s">
        <v>120</v>
      </c>
      <c r="H649" t="s">
        <v>4715</v>
      </c>
      <c r="I649" t="s">
        <v>5349</v>
      </c>
      <c r="L649" t="s">
        <v>4717</v>
      </c>
    </row>
    <row r="650">
      <c r="A650" t="s">
        <v>2677</v>
      </c>
      <c r="B650" t="s">
        <v>1547</v>
      </c>
      <c r="C650" t="s">
        <v>958</v>
      </c>
      <c r="D650" t="s">
        <v>1521</v>
      </c>
      <c r="E650" t="s">
        <v>1522</v>
      </c>
      <c r="F650" t="s">
        <v>120</v>
      </c>
      <c r="H650" t="s">
        <v>4715</v>
      </c>
      <c r="I650" t="s">
        <v>5350</v>
      </c>
      <c r="L650" t="s">
        <v>4717</v>
      </c>
    </row>
    <row r="651">
      <c r="A651" t="s">
        <v>2677</v>
      </c>
      <c r="B651" t="s">
        <v>1547</v>
      </c>
      <c r="C651" t="s">
        <v>958</v>
      </c>
      <c r="D651" t="s">
        <v>1521</v>
      </c>
      <c r="E651" t="s">
        <v>1522</v>
      </c>
      <c r="F651" t="s">
        <v>120</v>
      </c>
      <c r="H651" t="s">
        <v>4715</v>
      </c>
      <c r="I651" t="s">
        <v>5017</v>
      </c>
      <c r="L651" t="s">
        <v>4717</v>
      </c>
    </row>
    <row r="652">
      <c r="A652" t="s">
        <v>2680</v>
      </c>
      <c r="B652" t="s">
        <v>1555</v>
      </c>
      <c r="C652" t="s">
        <v>958</v>
      </c>
      <c r="D652" t="s">
        <v>1521</v>
      </c>
      <c r="E652" t="s">
        <v>1522</v>
      </c>
      <c r="F652" t="s">
        <v>120</v>
      </c>
      <c r="H652" t="s">
        <v>4715</v>
      </c>
      <c r="I652" t="s">
        <v>5351</v>
      </c>
      <c r="L652" t="s">
        <v>4717</v>
      </c>
    </row>
    <row r="653">
      <c r="A653" t="s">
        <v>2680</v>
      </c>
      <c r="B653" t="s">
        <v>1555</v>
      </c>
      <c r="C653" t="s">
        <v>958</v>
      </c>
      <c r="D653" t="s">
        <v>1521</v>
      </c>
      <c r="E653" t="s">
        <v>1522</v>
      </c>
      <c r="F653" t="s">
        <v>120</v>
      </c>
      <c r="H653" t="s">
        <v>4715</v>
      </c>
      <c r="I653" t="s">
        <v>5352</v>
      </c>
      <c r="L653" t="s">
        <v>4717</v>
      </c>
    </row>
    <row r="654">
      <c r="A654" t="s">
        <v>2680</v>
      </c>
      <c r="B654" t="s">
        <v>1555</v>
      </c>
      <c r="C654" t="s">
        <v>958</v>
      </c>
      <c r="D654" t="s">
        <v>1521</v>
      </c>
      <c r="E654" t="s">
        <v>1522</v>
      </c>
      <c r="F654" t="s">
        <v>120</v>
      </c>
      <c r="H654" t="s">
        <v>4715</v>
      </c>
      <c r="I654" t="s">
        <v>4827</v>
      </c>
      <c r="L654" t="s">
        <v>4717</v>
      </c>
    </row>
    <row r="655">
      <c r="A655" t="s">
        <v>2683</v>
      </c>
      <c r="B655" t="s">
        <v>1566</v>
      </c>
      <c r="C655" t="s">
        <v>958</v>
      </c>
      <c r="D655" t="s">
        <v>1563</v>
      </c>
      <c r="E655" t="s">
        <v>1564</v>
      </c>
      <c r="F655" t="s">
        <v>120</v>
      </c>
      <c r="H655" t="s">
        <v>4715</v>
      </c>
      <c r="I655" t="s">
        <v>5353</v>
      </c>
      <c r="L655" t="s">
        <v>4717</v>
      </c>
    </row>
    <row r="656">
      <c r="A656" t="s">
        <v>2683</v>
      </c>
      <c r="B656" t="s">
        <v>1566</v>
      </c>
      <c r="C656" t="s">
        <v>958</v>
      </c>
      <c r="D656" t="s">
        <v>1563</v>
      </c>
      <c r="E656" t="s">
        <v>1564</v>
      </c>
      <c r="F656" t="s">
        <v>120</v>
      </c>
      <c r="H656" t="s">
        <v>4715</v>
      </c>
      <c r="I656" t="s">
        <v>5354</v>
      </c>
      <c r="L656" t="s">
        <v>4717</v>
      </c>
    </row>
    <row r="657">
      <c r="A657" t="s">
        <v>2683</v>
      </c>
      <c r="B657" t="s">
        <v>1566</v>
      </c>
      <c r="C657" t="s">
        <v>958</v>
      </c>
      <c r="D657" t="s">
        <v>1563</v>
      </c>
      <c r="E657" t="s">
        <v>1564</v>
      </c>
      <c r="F657" t="s">
        <v>120</v>
      </c>
      <c r="H657" t="s">
        <v>4715</v>
      </c>
      <c r="I657" t="s">
        <v>5030</v>
      </c>
      <c r="L657" t="s">
        <v>4717</v>
      </c>
    </row>
    <row r="658">
      <c r="A658" t="s">
        <v>2686</v>
      </c>
      <c r="B658" t="s">
        <v>1532</v>
      </c>
      <c r="C658" t="s">
        <v>958</v>
      </c>
      <c r="D658" t="s">
        <v>1563</v>
      </c>
      <c r="E658" t="s">
        <v>1564</v>
      </c>
      <c r="F658" t="s">
        <v>120</v>
      </c>
      <c r="H658" t="s">
        <v>4715</v>
      </c>
      <c r="I658" t="s">
        <v>5355</v>
      </c>
      <c r="L658" t="s">
        <v>4717</v>
      </c>
    </row>
    <row r="659">
      <c r="A659" t="s">
        <v>2686</v>
      </c>
      <c r="B659" t="s">
        <v>1532</v>
      </c>
      <c r="C659" t="s">
        <v>958</v>
      </c>
      <c r="D659" t="s">
        <v>1563</v>
      </c>
      <c r="E659" t="s">
        <v>1564</v>
      </c>
      <c r="F659" t="s">
        <v>120</v>
      </c>
      <c r="H659" t="s">
        <v>4715</v>
      </c>
      <c r="I659" t="s">
        <v>5356</v>
      </c>
      <c r="L659" t="s">
        <v>4717</v>
      </c>
    </row>
    <row r="660">
      <c r="A660" t="s">
        <v>2686</v>
      </c>
      <c r="B660" t="s">
        <v>1532</v>
      </c>
      <c r="C660" t="s">
        <v>958</v>
      </c>
      <c r="D660" t="s">
        <v>1563</v>
      </c>
      <c r="E660" t="s">
        <v>1564</v>
      </c>
      <c r="F660" t="s">
        <v>120</v>
      </c>
      <c r="H660" t="s">
        <v>4715</v>
      </c>
      <c r="I660" t="s">
        <v>5030</v>
      </c>
      <c r="L660" t="s">
        <v>4717</v>
      </c>
    </row>
    <row r="661">
      <c r="A661" t="s">
        <v>2689</v>
      </c>
      <c r="B661" t="s">
        <v>1578</v>
      </c>
      <c r="C661" t="s">
        <v>958</v>
      </c>
      <c r="D661" t="s">
        <v>1563</v>
      </c>
      <c r="E661" t="s">
        <v>1564</v>
      </c>
      <c r="F661" t="s">
        <v>120</v>
      </c>
      <c r="H661" t="s">
        <v>4715</v>
      </c>
      <c r="I661" t="s">
        <v>5357</v>
      </c>
      <c r="L661" t="s">
        <v>4717</v>
      </c>
    </row>
    <row r="662">
      <c r="A662" t="s">
        <v>2689</v>
      </c>
      <c r="B662" t="s">
        <v>1578</v>
      </c>
      <c r="C662" t="s">
        <v>958</v>
      </c>
      <c r="D662" t="s">
        <v>1563</v>
      </c>
      <c r="E662" t="s">
        <v>1564</v>
      </c>
      <c r="F662" t="s">
        <v>120</v>
      </c>
      <c r="H662" t="s">
        <v>4715</v>
      </c>
      <c r="I662" t="s">
        <v>5358</v>
      </c>
      <c r="L662" t="s">
        <v>4717</v>
      </c>
    </row>
    <row r="663">
      <c r="A663" t="s">
        <v>2689</v>
      </c>
      <c r="B663" t="s">
        <v>1578</v>
      </c>
      <c r="C663" t="s">
        <v>958</v>
      </c>
      <c r="D663" t="s">
        <v>1563</v>
      </c>
      <c r="E663" t="s">
        <v>1564</v>
      </c>
      <c r="F663" t="s">
        <v>120</v>
      </c>
      <c r="H663" t="s">
        <v>4715</v>
      </c>
      <c r="I663" t="s">
        <v>5359</v>
      </c>
      <c r="L663" t="s">
        <v>4717</v>
      </c>
    </row>
    <row r="664">
      <c r="A664" t="s">
        <v>2692</v>
      </c>
      <c r="B664" t="s">
        <v>1586</v>
      </c>
      <c r="C664" t="s">
        <v>958</v>
      </c>
      <c r="D664" t="s">
        <v>1563</v>
      </c>
      <c r="E664" t="s">
        <v>1564</v>
      </c>
      <c r="F664" t="s">
        <v>120</v>
      </c>
      <c r="H664" t="s">
        <v>4715</v>
      </c>
      <c r="I664" t="s">
        <v>5360</v>
      </c>
      <c r="L664" t="s">
        <v>4717</v>
      </c>
    </row>
    <row r="665">
      <c r="A665" t="s">
        <v>2692</v>
      </c>
      <c r="B665" t="s">
        <v>1586</v>
      </c>
      <c r="C665" t="s">
        <v>958</v>
      </c>
      <c r="D665" t="s">
        <v>1563</v>
      </c>
      <c r="E665" t="s">
        <v>1564</v>
      </c>
      <c r="F665" t="s">
        <v>120</v>
      </c>
      <c r="H665" t="s">
        <v>4715</v>
      </c>
      <c r="I665" t="s">
        <v>5361</v>
      </c>
      <c r="L665" t="s">
        <v>4717</v>
      </c>
    </row>
    <row r="666">
      <c r="A666" t="s">
        <v>2692</v>
      </c>
      <c r="B666" t="s">
        <v>1586</v>
      </c>
      <c r="C666" t="s">
        <v>958</v>
      </c>
      <c r="D666" t="s">
        <v>1563</v>
      </c>
      <c r="E666" t="s">
        <v>1564</v>
      </c>
      <c r="F666" t="s">
        <v>120</v>
      </c>
      <c r="H666" t="s">
        <v>4715</v>
      </c>
      <c r="I666" t="s">
        <v>5362</v>
      </c>
      <c r="L666" t="s">
        <v>4717</v>
      </c>
    </row>
    <row r="667">
      <c r="A667" t="s">
        <v>2695</v>
      </c>
      <c r="B667" t="s">
        <v>1596</v>
      </c>
      <c r="C667" t="s">
        <v>958</v>
      </c>
      <c r="D667" t="s">
        <v>1593</v>
      </c>
      <c r="E667" t="s">
        <v>1594</v>
      </c>
      <c r="F667" t="s">
        <v>120</v>
      </c>
      <c r="H667" t="s">
        <v>4715</v>
      </c>
      <c r="I667" t="s">
        <v>5363</v>
      </c>
      <c r="L667" t="s">
        <v>4717</v>
      </c>
    </row>
    <row r="668">
      <c r="A668" t="s">
        <v>2695</v>
      </c>
      <c r="B668" t="s">
        <v>1596</v>
      </c>
      <c r="C668" t="s">
        <v>958</v>
      </c>
      <c r="D668" t="s">
        <v>1593</v>
      </c>
      <c r="E668" t="s">
        <v>1594</v>
      </c>
      <c r="F668" t="s">
        <v>120</v>
      </c>
      <c r="H668" t="s">
        <v>4715</v>
      </c>
      <c r="I668" t="s">
        <v>5364</v>
      </c>
      <c r="L668" t="s">
        <v>4717</v>
      </c>
    </row>
    <row r="669">
      <c r="A669" t="s">
        <v>2695</v>
      </c>
      <c r="B669" t="s">
        <v>1596</v>
      </c>
      <c r="C669" t="s">
        <v>958</v>
      </c>
      <c r="D669" t="s">
        <v>1593</v>
      </c>
      <c r="E669" t="s">
        <v>1594</v>
      </c>
      <c r="F669" t="s">
        <v>120</v>
      </c>
      <c r="H669" t="s">
        <v>4715</v>
      </c>
      <c r="I669" t="s">
        <v>5030</v>
      </c>
      <c r="L669" t="s">
        <v>4717</v>
      </c>
    </row>
    <row r="670">
      <c r="A670" t="s">
        <v>2698</v>
      </c>
      <c r="B670" t="s">
        <v>1604</v>
      </c>
      <c r="C670" t="s">
        <v>958</v>
      </c>
      <c r="D670" t="s">
        <v>1593</v>
      </c>
      <c r="E670" t="s">
        <v>1594</v>
      </c>
      <c r="F670" t="s">
        <v>120</v>
      </c>
      <c r="H670" t="s">
        <v>4715</v>
      </c>
      <c r="I670" t="s">
        <v>5365</v>
      </c>
      <c r="L670" t="s">
        <v>4717</v>
      </c>
    </row>
    <row r="671">
      <c r="A671" t="s">
        <v>2698</v>
      </c>
      <c r="B671" t="s">
        <v>1604</v>
      </c>
      <c r="C671" t="s">
        <v>958</v>
      </c>
      <c r="D671" t="s">
        <v>1593</v>
      </c>
      <c r="E671" t="s">
        <v>1594</v>
      </c>
      <c r="F671" t="s">
        <v>120</v>
      </c>
      <c r="H671" t="s">
        <v>4715</v>
      </c>
      <c r="I671" t="s">
        <v>5366</v>
      </c>
      <c r="L671" t="s">
        <v>4717</v>
      </c>
    </row>
    <row r="672">
      <c r="A672" t="s">
        <v>2698</v>
      </c>
      <c r="B672" t="s">
        <v>1604</v>
      </c>
      <c r="C672" t="s">
        <v>958</v>
      </c>
      <c r="D672" t="s">
        <v>1593</v>
      </c>
      <c r="E672" t="s">
        <v>1594</v>
      </c>
      <c r="F672" t="s">
        <v>120</v>
      </c>
      <c r="H672" t="s">
        <v>4715</v>
      </c>
      <c r="I672" t="s">
        <v>5367</v>
      </c>
      <c r="L672" t="s">
        <v>4717</v>
      </c>
    </row>
    <row r="673">
      <c r="A673" t="s">
        <v>2701</v>
      </c>
      <c r="B673" t="s">
        <v>1612</v>
      </c>
      <c r="C673" t="s">
        <v>958</v>
      </c>
      <c r="D673" t="s">
        <v>1593</v>
      </c>
      <c r="E673" t="s">
        <v>1594</v>
      </c>
      <c r="F673" t="s">
        <v>120</v>
      </c>
      <c r="H673" t="s">
        <v>4715</v>
      </c>
      <c r="I673" t="s">
        <v>5368</v>
      </c>
      <c r="L673" t="s">
        <v>4717</v>
      </c>
    </row>
    <row r="674">
      <c r="A674" t="s">
        <v>2701</v>
      </c>
      <c r="B674" t="s">
        <v>1612</v>
      </c>
      <c r="C674" t="s">
        <v>958</v>
      </c>
      <c r="D674" t="s">
        <v>1593</v>
      </c>
      <c r="E674" t="s">
        <v>1594</v>
      </c>
      <c r="F674" t="s">
        <v>120</v>
      </c>
      <c r="H674" t="s">
        <v>4715</v>
      </c>
      <c r="I674" t="s">
        <v>5369</v>
      </c>
      <c r="L674" t="s">
        <v>4717</v>
      </c>
    </row>
    <row r="675">
      <c r="A675" t="s">
        <v>2701</v>
      </c>
      <c r="B675" t="s">
        <v>1612</v>
      </c>
      <c r="C675" t="s">
        <v>958</v>
      </c>
      <c r="D675" t="s">
        <v>1593</v>
      </c>
      <c r="E675" t="s">
        <v>1594</v>
      </c>
      <c r="F675" t="s">
        <v>120</v>
      </c>
      <c r="H675" t="s">
        <v>4715</v>
      </c>
      <c r="I675" t="s">
        <v>5030</v>
      </c>
      <c r="L675" t="s">
        <v>4717</v>
      </c>
    </row>
    <row r="676">
      <c r="A676" t="s">
        <v>2704</v>
      </c>
      <c r="B676" t="s">
        <v>1620</v>
      </c>
      <c r="C676" t="s">
        <v>958</v>
      </c>
      <c r="D676" t="s">
        <v>1593</v>
      </c>
      <c r="E676" t="s">
        <v>1594</v>
      </c>
      <c r="F676" t="s">
        <v>120</v>
      </c>
      <c r="H676" t="s">
        <v>4715</v>
      </c>
      <c r="I676" t="s">
        <v>5370</v>
      </c>
      <c r="L676" t="s">
        <v>4717</v>
      </c>
    </row>
    <row r="677">
      <c r="A677" t="s">
        <v>2704</v>
      </c>
      <c r="B677" t="s">
        <v>1620</v>
      </c>
      <c r="C677" t="s">
        <v>958</v>
      </c>
      <c r="D677" t="s">
        <v>1593</v>
      </c>
      <c r="E677" t="s">
        <v>1594</v>
      </c>
      <c r="F677" t="s">
        <v>120</v>
      </c>
      <c r="H677" t="s">
        <v>4715</v>
      </c>
      <c r="I677" t="s">
        <v>5371</v>
      </c>
      <c r="L677" t="s">
        <v>4717</v>
      </c>
    </row>
    <row r="678">
      <c r="A678" t="s">
        <v>2704</v>
      </c>
      <c r="B678" t="s">
        <v>1620</v>
      </c>
      <c r="C678" t="s">
        <v>958</v>
      </c>
      <c r="D678" t="s">
        <v>1593</v>
      </c>
      <c r="E678" t="s">
        <v>1594</v>
      </c>
      <c r="F678" t="s">
        <v>120</v>
      </c>
      <c r="H678" t="s">
        <v>4715</v>
      </c>
      <c r="I678" t="s">
        <v>5372</v>
      </c>
      <c r="L678" t="s">
        <v>4717</v>
      </c>
    </row>
    <row r="679">
      <c r="A679" t="s">
        <v>2707</v>
      </c>
      <c r="B679" t="s">
        <v>1632</v>
      </c>
      <c r="C679" t="s">
        <v>1628</v>
      </c>
      <c r="D679" t="s">
        <v>1629</v>
      </c>
      <c r="E679" t="s">
        <v>1630</v>
      </c>
      <c r="F679" t="s">
        <v>129</v>
      </c>
      <c r="G679" t="s">
        <v>2078</v>
      </c>
      <c r="H679" t="s">
        <v>4715</v>
      </c>
      <c r="I679" t="s">
        <v>5373</v>
      </c>
      <c r="L679" t="s">
        <v>4717</v>
      </c>
    </row>
    <row r="680">
      <c r="A680" t="s">
        <v>2707</v>
      </c>
      <c r="B680" t="s">
        <v>1632</v>
      </c>
      <c r="C680" t="s">
        <v>1628</v>
      </c>
      <c r="D680" t="s">
        <v>1629</v>
      </c>
      <c r="E680" t="s">
        <v>1630</v>
      </c>
      <c r="F680" t="s">
        <v>129</v>
      </c>
      <c r="G680" t="s">
        <v>2078</v>
      </c>
      <c r="H680" t="s">
        <v>4715</v>
      </c>
      <c r="I680" t="s">
        <v>5374</v>
      </c>
      <c r="L680" t="s">
        <v>4717</v>
      </c>
    </row>
    <row r="681">
      <c r="A681" t="s">
        <v>2707</v>
      </c>
      <c r="B681" t="s">
        <v>1632</v>
      </c>
      <c r="C681" t="s">
        <v>1628</v>
      </c>
      <c r="D681" t="s">
        <v>1629</v>
      </c>
      <c r="E681" t="s">
        <v>1630</v>
      </c>
      <c r="F681" t="s">
        <v>129</v>
      </c>
      <c r="G681" t="s">
        <v>2078</v>
      </c>
      <c r="H681" t="s">
        <v>4715</v>
      </c>
      <c r="I681" t="s">
        <v>5030</v>
      </c>
      <c r="L681" t="s">
        <v>4717</v>
      </c>
    </row>
    <row r="682">
      <c r="A682" t="s">
        <v>2712</v>
      </c>
      <c r="B682" t="s">
        <v>1640</v>
      </c>
      <c r="C682" t="s">
        <v>1628</v>
      </c>
      <c r="D682" t="s">
        <v>1629</v>
      </c>
      <c r="E682" t="s">
        <v>1630</v>
      </c>
      <c r="F682" t="s">
        <v>97</v>
      </c>
      <c r="G682" t="s">
        <v>2078</v>
      </c>
      <c r="H682" t="s">
        <v>4715</v>
      </c>
      <c r="I682" t="s">
        <v>5375</v>
      </c>
      <c r="L682" t="s">
        <v>4717</v>
      </c>
    </row>
    <row r="683">
      <c r="A683" t="s">
        <v>2712</v>
      </c>
      <c r="B683" t="s">
        <v>1640</v>
      </c>
      <c r="C683" t="s">
        <v>1628</v>
      </c>
      <c r="D683" t="s">
        <v>1629</v>
      </c>
      <c r="E683" t="s">
        <v>1630</v>
      </c>
      <c r="F683" t="s">
        <v>97</v>
      </c>
      <c r="G683" t="s">
        <v>2078</v>
      </c>
      <c r="H683" t="s">
        <v>4715</v>
      </c>
      <c r="I683" t="s">
        <v>5376</v>
      </c>
      <c r="L683" t="s">
        <v>4717</v>
      </c>
    </row>
    <row r="684">
      <c r="A684" t="s">
        <v>2712</v>
      </c>
      <c r="B684" t="s">
        <v>1640</v>
      </c>
      <c r="C684" t="s">
        <v>1628</v>
      </c>
      <c r="D684" t="s">
        <v>1629</v>
      </c>
      <c r="E684" t="s">
        <v>1630</v>
      </c>
      <c r="F684" t="s">
        <v>97</v>
      </c>
      <c r="G684" t="s">
        <v>2078</v>
      </c>
      <c r="H684" t="s">
        <v>4715</v>
      </c>
      <c r="I684" t="s">
        <v>5030</v>
      </c>
      <c r="L684" t="s">
        <v>4717</v>
      </c>
    </row>
    <row r="685">
      <c r="A685" t="s">
        <v>2715</v>
      </c>
      <c r="B685" t="s">
        <v>1645</v>
      </c>
      <c r="C685" t="s">
        <v>1628</v>
      </c>
      <c r="D685" t="s">
        <v>1629</v>
      </c>
      <c r="E685" t="s">
        <v>1630</v>
      </c>
      <c r="F685" t="s">
        <v>97</v>
      </c>
      <c r="G685" t="s">
        <v>2078</v>
      </c>
      <c r="H685" t="s">
        <v>4715</v>
      </c>
      <c r="I685" t="s">
        <v>5377</v>
      </c>
      <c r="L685" t="s">
        <v>4717</v>
      </c>
    </row>
    <row r="686">
      <c r="A686" t="s">
        <v>2715</v>
      </c>
      <c r="B686" t="s">
        <v>1645</v>
      </c>
      <c r="C686" t="s">
        <v>1628</v>
      </c>
      <c r="D686" t="s">
        <v>1629</v>
      </c>
      <c r="E686" t="s">
        <v>1630</v>
      </c>
      <c r="F686" t="s">
        <v>97</v>
      </c>
      <c r="G686" t="s">
        <v>2078</v>
      </c>
      <c r="H686" t="s">
        <v>4715</v>
      </c>
      <c r="I686" t="s">
        <v>5378</v>
      </c>
      <c r="L686" t="s">
        <v>4717</v>
      </c>
    </row>
    <row r="687">
      <c r="A687" t="s">
        <v>2715</v>
      </c>
      <c r="B687" t="s">
        <v>1645</v>
      </c>
      <c r="C687" t="s">
        <v>1628</v>
      </c>
      <c r="D687" t="s">
        <v>1629</v>
      </c>
      <c r="E687" t="s">
        <v>1630</v>
      </c>
      <c r="F687" t="s">
        <v>97</v>
      </c>
      <c r="G687" t="s">
        <v>2078</v>
      </c>
      <c r="H687" t="s">
        <v>4715</v>
      </c>
      <c r="I687" t="s">
        <v>5030</v>
      </c>
      <c r="L687" t="s">
        <v>4717</v>
      </c>
    </row>
    <row r="688">
      <c r="A688" t="s">
        <v>2718</v>
      </c>
      <c r="B688" t="s">
        <v>1651</v>
      </c>
      <c r="C688" t="s">
        <v>1628</v>
      </c>
      <c r="D688" t="s">
        <v>1629</v>
      </c>
      <c r="E688" t="s">
        <v>1630</v>
      </c>
      <c r="F688" t="s">
        <v>129</v>
      </c>
      <c r="G688" t="s">
        <v>2078</v>
      </c>
      <c r="H688" t="s">
        <v>4715</v>
      </c>
      <c r="I688" t="s">
        <v>5379</v>
      </c>
      <c r="L688" t="s">
        <v>4717</v>
      </c>
    </row>
    <row r="689">
      <c r="A689" t="s">
        <v>2718</v>
      </c>
      <c r="B689" t="s">
        <v>1651</v>
      </c>
      <c r="C689" t="s">
        <v>1628</v>
      </c>
      <c r="D689" t="s">
        <v>1629</v>
      </c>
      <c r="E689" t="s">
        <v>1630</v>
      </c>
      <c r="F689" t="s">
        <v>129</v>
      </c>
      <c r="G689" t="s">
        <v>2078</v>
      </c>
      <c r="H689" t="s">
        <v>4715</v>
      </c>
      <c r="I689" t="s">
        <v>5249</v>
      </c>
      <c r="L689" t="s">
        <v>4717</v>
      </c>
    </row>
    <row r="690">
      <c r="A690" t="s">
        <v>2718</v>
      </c>
      <c r="B690" t="s">
        <v>1651</v>
      </c>
      <c r="C690" t="s">
        <v>1628</v>
      </c>
      <c r="D690" t="s">
        <v>1629</v>
      </c>
      <c r="E690" t="s">
        <v>1630</v>
      </c>
      <c r="F690" t="s">
        <v>129</v>
      </c>
      <c r="G690" t="s">
        <v>2078</v>
      </c>
      <c r="H690" t="s">
        <v>4715</v>
      </c>
      <c r="I690" t="s">
        <v>5030</v>
      </c>
      <c r="L690" t="s">
        <v>4717</v>
      </c>
    </row>
    <row r="691">
      <c r="A691" t="s">
        <v>2721</v>
      </c>
      <c r="B691" t="s">
        <v>1657</v>
      </c>
      <c r="C691" t="s">
        <v>1628</v>
      </c>
      <c r="D691" t="s">
        <v>1629</v>
      </c>
      <c r="E691" t="s">
        <v>1630</v>
      </c>
      <c r="F691" t="s">
        <v>154</v>
      </c>
      <c r="H691" t="s">
        <v>4715</v>
      </c>
      <c r="I691" t="s">
        <v>5380</v>
      </c>
      <c r="L691" t="s">
        <v>4717</v>
      </c>
    </row>
    <row r="692">
      <c r="A692" t="s">
        <v>2721</v>
      </c>
      <c r="B692" t="s">
        <v>1657</v>
      </c>
      <c r="C692" t="s">
        <v>1628</v>
      </c>
      <c r="D692" t="s">
        <v>1629</v>
      </c>
      <c r="E692" t="s">
        <v>1630</v>
      </c>
      <c r="F692" t="s">
        <v>154</v>
      </c>
      <c r="H692" t="s">
        <v>4715</v>
      </c>
      <c r="I692" t="s">
        <v>5381</v>
      </c>
      <c r="L692" t="s">
        <v>4717</v>
      </c>
    </row>
    <row r="693">
      <c r="A693" t="s">
        <v>2721</v>
      </c>
      <c r="B693" t="s">
        <v>1657</v>
      </c>
      <c r="C693" t="s">
        <v>1628</v>
      </c>
      <c r="D693" t="s">
        <v>1629</v>
      </c>
      <c r="E693" t="s">
        <v>1630</v>
      </c>
      <c r="F693" t="s">
        <v>154</v>
      </c>
      <c r="H693" t="s">
        <v>4715</v>
      </c>
      <c r="I693" t="s">
        <v>5030</v>
      </c>
      <c r="L693" t="s">
        <v>4717</v>
      </c>
    </row>
    <row r="694">
      <c r="A694" t="s">
        <v>2724</v>
      </c>
      <c r="B694" t="s">
        <v>1663</v>
      </c>
      <c r="C694" t="s">
        <v>1628</v>
      </c>
      <c r="D694" t="s">
        <v>1629</v>
      </c>
      <c r="E694" t="s">
        <v>1630</v>
      </c>
      <c r="F694" t="s">
        <v>154</v>
      </c>
      <c r="H694" t="s">
        <v>4715</v>
      </c>
      <c r="I694" t="s">
        <v>5382</v>
      </c>
      <c r="L694" t="s">
        <v>4717</v>
      </c>
    </row>
    <row r="695">
      <c r="A695" t="s">
        <v>2724</v>
      </c>
      <c r="B695" t="s">
        <v>1663</v>
      </c>
      <c r="C695" t="s">
        <v>1628</v>
      </c>
      <c r="D695" t="s">
        <v>1629</v>
      </c>
      <c r="E695" t="s">
        <v>1630</v>
      </c>
      <c r="F695" t="s">
        <v>154</v>
      </c>
      <c r="H695" t="s">
        <v>4715</v>
      </c>
      <c r="I695" t="s">
        <v>5383</v>
      </c>
      <c r="L695" t="s">
        <v>4717</v>
      </c>
    </row>
    <row r="696">
      <c r="A696" t="s">
        <v>2724</v>
      </c>
      <c r="B696" t="s">
        <v>1663</v>
      </c>
      <c r="C696" t="s">
        <v>1628</v>
      </c>
      <c r="D696" t="s">
        <v>1629</v>
      </c>
      <c r="E696" t="s">
        <v>1630</v>
      </c>
      <c r="F696" t="s">
        <v>154</v>
      </c>
      <c r="H696" t="s">
        <v>4715</v>
      </c>
      <c r="I696" t="s">
        <v>5030</v>
      </c>
      <c r="L696" t="s">
        <v>4717</v>
      </c>
    </row>
    <row r="697">
      <c r="A697" t="s">
        <v>2727</v>
      </c>
      <c r="B697" t="s">
        <v>1671</v>
      </c>
      <c r="C697" t="s">
        <v>1628</v>
      </c>
      <c r="D697" t="s">
        <v>1668</v>
      </c>
      <c r="E697" t="s">
        <v>1669</v>
      </c>
      <c r="F697" t="s">
        <v>129</v>
      </c>
      <c r="G697" t="s">
        <v>2078</v>
      </c>
      <c r="H697" t="s">
        <v>4715</v>
      </c>
      <c r="I697" t="s">
        <v>4728</v>
      </c>
      <c r="L697" t="s">
        <v>4717</v>
      </c>
    </row>
    <row r="698">
      <c r="A698" t="s">
        <v>2727</v>
      </c>
      <c r="B698" t="s">
        <v>1671</v>
      </c>
      <c r="C698" t="s">
        <v>1628</v>
      </c>
      <c r="D698" t="s">
        <v>1668</v>
      </c>
      <c r="E698" t="s">
        <v>1669</v>
      </c>
      <c r="F698" t="s">
        <v>129</v>
      </c>
      <c r="G698" t="s">
        <v>2078</v>
      </c>
      <c r="H698" t="s">
        <v>4715</v>
      </c>
      <c r="I698" t="s">
        <v>5384</v>
      </c>
      <c r="L698" t="s">
        <v>4717</v>
      </c>
    </row>
    <row r="699">
      <c r="A699" t="s">
        <v>2727</v>
      </c>
      <c r="B699" t="s">
        <v>1671</v>
      </c>
      <c r="C699" t="s">
        <v>1628</v>
      </c>
      <c r="D699" t="s">
        <v>1668</v>
      </c>
      <c r="E699" t="s">
        <v>1669</v>
      </c>
      <c r="F699" t="s">
        <v>129</v>
      </c>
      <c r="G699" t="s">
        <v>2078</v>
      </c>
      <c r="H699" t="s">
        <v>4715</v>
      </c>
      <c r="I699" t="s">
        <v>5385</v>
      </c>
      <c r="L699" t="s">
        <v>4717</v>
      </c>
    </row>
    <row r="700">
      <c r="A700" t="s">
        <v>2730</v>
      </c>
      <c r="B700" t="s">
        <v>1678</v>
      </c>
      <c r="C700" t="s">
        <v>1628</v>
      </c>
      <c r="D700" t="s">
        <v>1668</v>
      </c>
      <c r="E700" t="s">
        <v>1669</v>
      </c>
      <c r="F700" t="s">
        <v>97</v>
      </c>
      <c r="G700" t="s">
        <v>2078</v>
      </c>
      <c r="H700" t="s">
        <v>4715</v>
      </c>
      <c r="I700" t="s">
        <v>5386</v>
      </c>
      <c r="L700" t="s">
        <v>4717</v>
      </c>
    </row>
    <row r="701">
      <c r="A701" t="s">
        <v>2730</v>
      </c>
      <c r="B701" t="s">
        <v>1678</v>
      </c>
      <c r="C701" t="s">
        <v>1628</v>
      </c>
      <c r="D701" t="s">
        <v>1668</v>
      </c>
      <c r="E701" t="s">
        <v>1669</v>
      </c>
      <c r="F701" t="s">
        <v>97</v>
      </c>
      <c r="G701" t="s">
        <v>2078</v>
      </c>
      <c r="H701" t="s">
        <v>4715</v>
      </c>
      <c r="I701" t="s">
        <v>5387</v>
      </c>
      <c r="L701" t="s">
        <v>4717</v>
      </c>
    </row>
    <row r="702">
      <c r="A702" t="s">
        <v>2730</v>
      </c>
      <c r="B702" t="s">
        <v>1678</v>
      </c>
      <c r="C702" t="s">
        <v>1628</v>
      </c>
      <c r="D702" t="s">
        <v>1668</v>
      </c>
      <c r="E702" t="s">
        <v>1669</v>
      </c>
      <c r="F702" t="s">
        <v>97</v>
      </c>
      <c r="G702" t="s">
        <v>2078</v>
      </c>
      <c r="H702" t="s">
        <v>4715</v>
      </c>
      <c r="I702" t="s">
        <v>5388</v>
      </c>
      <c r="L702" t="s">
        <v>4717</v>
      </c>
    </row>
    <row r="703">
      <c r="A703" t="s">
        <v>2733</v>
      </c>
      <c r="B703" t="s">
        <v>1684</v>
      </c>
      <c r="C703" t="s">
        <v>1628</v>
      </c>
      <c r="D703" t="s">
        <v>1668</v>
      </c>
      <c r="E703" t="s">
        <v>1669</v>
      </c>
      <c r="F703" t="s">
        <v>154</v>
      </c>
      <c r="H703" t="s">
        <v>4715</v>
      </c>
      <c r="I703" t="s">
        <v>5389</v>
      </c>
      <c r="L703" t="s">
        <v>4717</v>
      </c>
    </row>
    <row r="704">
      <c r="A704" t="s">
        <v>2733</v>
      </c>
      <c r="B704" t="s">
        <v>1684</v>
      </c>
      <c r="C704" t="s">
        <v>1628</v>
      </c>
      <c r="D704" t="s">
        <v>1668</v>
      </c>
      <c r="E704" t="s">
        <v>1669</v>
      </c>
      <c r="F704" t="s">
        <v>154</v>
      </c>
      <c r="H704" t="s">
        <v>4715</v>
      </c>
      <c r="I704" t="s">
        <v>5390</v>
      </c>
      <c r="L704" t="s">
        <v>4717</v>
      </c>
    </row>
    <row r="705">
      <c r="A705" t="s">
        <v>2733</v>
      </c>
      <c r="B705" t="s">
        <v>1684</v>
      </c>
      <c r="C705" t="s">
        <v>1628</v>
      </c>
      <c r="D705" t="s">
        <v>1668</v>
      </c>
      <c r="E705" t="s">
        <v>1669</v>
      </c>
      <c r="F705" t="s">
        <v>154</v>
      </c>
      <c r="H705" t="s">
        <v>4715</v>
      </c>
      <c r="I705" t="s">
        <v>5241</v>
      </c>
      <c r="L705" t="s">
        <v>4717</v>
      </c>
    </row>
    <row r="706">
      <c r="A706" t="s">
        <v>2736</v>
      </c>
      <c r="B706" t="s">
        <v>1690</v>
      </c>
      <c r="C706" t="s">
        <v>1628</v>
      </c>
      <c r="D706" t="s">
        <v>1668</v>
      </c>
      <c r="E706" t="s">
        <v>1669</v>
      </c>
      <c r="F706" t="s">
        <v>154</v>
      </c>
      <c r="H706" t="s">
        <v>4715</v>
      </c>
      <c r="I706" t="s">
        <v>5391</v>
      </c>
      <c r="L706" t="s">
        <v>4717</v>
      </c>
    </row>
    <row r="707">
      <c r="A707" t="s">
        <v>2736</v>
      </c>
      <c r="B707" t="s">
        <v>1690</v>
      </c>
      <c r="C707" t="s">
        <v>1628</v>
      </c>
      <c r="D707" t="s">
        <v>1668</v>
      </c>
      <c r="E707" t="s">
        <v>1669</v>
      </c>
      <c r="F707" t="s">
        <v>154</v>
      </c>
      <c r="H707" t="s">
        <v>4715</v>
      </c>
      <c r="I707" t="s">
        <v>5392</v>
      </c>
      <c r="L707" t="s">
        <v>4717</v>
      </c>
    </row>
    <row r="708">
      <c r="A708" t="s">
        <v>2736</v>
      </c>
      <c r="B708" t="s">
        <v>1690</v>
      </c>
      <c r="C708" t="s">
        <v>1628</v>
      </c>
      <c r="D708" t="s">
        <v>1668</v>
      </c>
      <c r="E708" t="s">
        <v>1669</v>
      </c>
      <c r="F708" t="s">
        <v>154</v>
      </c>
      <c r="H708" t="s">
        <v>4715</v>
      </c>
      <c r="I708" t="s">
        <v>5393</v>
      </c>
      <c r="L708" t="s">
        <v>4717</v>
      </c>
    </row>
    <row r="709">
      <c r="A709" t="s">
        <v>2739</v>
      </c>
      <c r="B709" t="s">
        <v>1696</v>
      </c>
      <c r="C709" t="s">
        <v>1628</v>
      </c>
      <c r="D709" t="s">
        <v>1668</v>
      </c>
      <c r="E709" t="s">
        <v>1669</v>
      </c>
      <c r="F709" t="s">
        <v>154</v>
      </c>
      <c r="H709" t="s">
        <v>4715</v>
      </c>
      <c r="I709" t="s">
        <v>5394</v>
      </c>
      <c r="L709" t="s">
        <v>4717</v>
      </c>
    </row>
    <row r="710">
      <c r="A710" t="s">
        <v>2739</v>
      </c>
      <c r="B710" t="s">
        <v>1696</v>
      </c>
      <c r="C710" t="s">
        <v>1628</v>
      </c>
      <c r="D710" t="s">
        <v>1668</v>
      </c>
      <c r="E710" t="s">
        <v>1669</v>
      </c>
      <c r="F710" t="s">
        <v>154</v>
      </c>
      <c r="H710" t="s">
        <v>4715</v>
      </c>
      <c r="I710" t="s">
        <v>5395</v>
      </c>
      <c r="L710" t="s">
        <v>4717</v>
      </c>
    </row>
    <row r="711">
      <c r="A711" t="s">
        <v>2739</v>
      </c>
      <c r="B711" t="s">
        <v>1696</v>
      </c>
      <c r="C711" t="s">
        <v>1628</v>
      </c>
      <c r="D711" t="s">
        <v>1668</v>
      </c>
      <c r="E711" t="s">
        <v>1669</v>
      </c>
      <c r="F711" t="s">
        <v>154</v>
      </c>
      <c r="H711" t="s">
        <v>4715</v>
      </c>
      <c r="I711" t="s">
        <v>5396</v>
      </c>
      <c r="L711" t="s">
        <v>4717</v>
      </c>
    </row>
    <row r="712">
      <c r="A712" t="s">
        <v>2739</v>
      </c>
      <c r="B712" t="s">
        <v>1696</v>
      </c>
      <c r="C712" t="s">
        <v>1628</v>
      </c>
      <c r="D712" t="s">
        <v>1668</v>
      </c>
      <c r="E712" t="s">
        <v>1669</v>
      </c>
      <c r="F712" t="s">
        <v>154</v>
      </c>
      <c r="H712" t="s">
        <v>4715</v>
      </c>
      <c r="I712" t="s">
        <v>5397</v>
      </c>
      <c r="L712" t="s">
        <v>4717</v>
      </c>
    </row>
    <row r="713">
      <c r="A713" t="s">
        <v>2742</v>
      </c>
      <c r="B713" t="s">
        <v>1706</v>
      </c>
      <c r="C713" t="s">
        <v>1628</v>
      </c>
      <c r="D713" t="s">
        <v>1703</v>
      </c>
      <c r="E713" t="s">
        <v>1704</v>
      </c>
      <c r="F713" t="s">
        <v>154</v>
      </c>
      <c r="H713" t="s">
        <v>4715</v>
      </c>
      <c r="I713" t="s">
        <v>5398</v>
      </c>
      <c r="L713" t="s">
        <v>4717</v>
      </c>
    </row>
    <row r="714">
      <c r="A714" t="s">
        <v>2742</v>
      </c>
      <c r="B714" t="s">
        <v>1706</v>
      </c>
      <c r="C714" t="s">
        <v>1628</v>
      </c>
      <c r="D714" t="s">
        <v>1703</v>
      </c>
      <c r="E714" t="s">
        <v>1704</v>
      </c>
      <c r="F714" t="s">
        <v>154</v>
      </c>
      <c r="H714" t="s">
        <v>4715</v>
      </c>
      <c r="I714" t="s">
        <v>5249</v>
      </c>
      <c r="L714" t="s">
        <v>4717</v>
      </c>
    </row>
    <row r="715">
      <c r="A715" t="s">
        <v>2742</v>
      </c>
      <c r="B715" t="s">
        <v>1706</v>
      </c>
      <c r="C715" t="s">
        <v>1628</v>
      </c>
      <c r="D715" t="s">
        <v>1703</v>
      </c>
      <c r="E715" t="s">
        <v>1704</v>
      </c>
      <c r="F715" t="s">
        <v>154</v>
      </c>
      <c r="H715" t="s">
        <v>4715</v>
      </c>
      <c r="I715" t="s">
        <v>5030</v>
      </c>
      <c r="L715" t="s">
        <v>4717</v>
      </c>
    </row>
    <row r="716">
      <c r="A716" t="s">
        <v>2745</v>
      </c>
      <c r="B716" t="s">
        <v>1713</v>
      </c>
      <c r="C716" t="s">
        <v>1628</v>
      </c>
      <c r="D716" t="s">
        <v>1703</v>
      </c>
      <c r="E716" t="s">
        <v>1704</v>
      </c>
      <c r="F716" t="s">
        <v>154</v>
      </c>
      <c r="H716" t="s">
        <v>4715</v>
      </c>
      <c r="I716" t="s">
        <v>1713</v>
      </c>
      <c r="L716" t="s">
        <v>4717</v>
      </c>
    </row>
    <row r="717">
      <c r="A717" t="s">
        <v>2745</v>
      </c>
      <c r="B717" t="s">
        <v>1713</v>
      </c>
      <c r="C717" t="s">
        <v>1628</v>
      </c>
      <c r="D717" t="s">
        <v>1703</v>
      </c>
      <c r="E717" t="s">
        <v>1704</v>
      </c>
      <c r="F717" t="s">
        <v>154</v>
      </c>
      <c r="H717" t="s">
        <v>4715</v>
      </c>
      <c r="I717" t="s">
        <v>5399</v>
      </c>
      <c r="L717" t="s">
        <v>4717</v>
      </c>
    </row>
    <row r="718">
      <c r="A718" t="s">
        <v>2745</v>
      </c>
      <c r="B718" t="s">
        <v>1713</v>
      </c>
      <c r="C718" t="s">
        <v>1628</v>
      </c>
      <c r="D718" t="s">
        <v>1703</v>
      </c>
      <c r="E718" t="s">
        <v>1704</v>
      </c>
      <c r="F718" t="s">
        <v>154</v>
      </c>
      <c r="H718" t="s">
        <v>4715</v>
      </c>
      <c r="I718" t="s">
        <v>5400</v>
      </c>
      <c r="L718" t="s">
        <v>4717</v>
      </c>
    </row>
    <row r="719">
      <c r="A719" t="s">
        <v>2748</v>
      </c>
      <c r="B719" t="s">
        <v>1720</v>
      </c>
      <c r="C719" t="s">
        <v>1628</v>
      </c>
      <c r="D719" t="s">
        <v>1703</v>
      </c>
      <c r="E719" t="s">
        <v>1704</v>
      </c>
      <c r="F719" t="s">
        <v>120</v>
      </c>
      <c r="H719" t="s">
        <v>4715</v>
      </c>
      <c r="I719" t="s">
        <v>5401</v>
      </c>
      <c r="L719" t="s">
        <v>4717</v>
      </c>
    </row>
    <row r="720">
      <c r="A720" t="s">
        <v>2748</v>
      </c>
      <c r="B720" t="s">
        <v>1720</v>
      </c>
      <c r="C720" t="s">
        <v>1628</v>
      </c>
      <c r="D720" t="s">
        <v>1703</v>
      </c>
      <c r="E720" t="s">
        <v>1704</v>
      </c>
      <c r="F720" t="s">
        <v>120</v>
      </c>
      <c r="H720" t="s">
        <v>4715</v>
      </c>
      <c r="I720" t="s">
        <v>5402</v>
      </c>
      <c r="L720" t="s">
        <v>4717</v>
      </c>
    </row>
    <row r="721">
      <c r="A721" t="s">
        <v>2748</v>
      </c>
      <c r="B721" t="s">
        <v>1720</v>
      </c>
      <c r="C721" t="s">
        <v>1628</v>
      </c>
      <c r="D721" t="s">
        <v>1703</v>
      </c>
      <c r="E721" t="s">
        <v>1704</v>
      </c>
      <c r="F721" t="s">
        <v>120</v>
      </c>
      <c r="H721" t="s">
        <v>4715</v>
      </c>
      <c r="I721" t="s">
        <v>5030</v>
      </c>
      <c r="L721" t="s">
        <v>4717</v>
      </c>
    </row>
    <row r="722">
      <c r="A722" t="s">
        <v>2751</v>
      </c>
      <c r="B722" t="s">
        <v>1726</v>
      </c>
      <c r="C722" t="s">
        <v>1628</v>
      </c>
      <c r="D722" t="s">
        <v>1703</v>
      </c>
      <c r="E722" t="s">
        <v>1704</v>
      </c>
      <c r="F722" t="s">
        <v>120</v>
      </c>
      <c r="H722" t="s">
        <v>4715</v>
      </c>
      <c r="I722" t="s">
        <v>5403</v>
      </c>
      <c r="L722" t="s">
        <v>4717</v>
      </c>
    </row>
    <row r="723">
      <c r="A723" t="s">
        <v>2751</v>
      </c>
      <c r="B723" t="s">
        <v>1726</v>
      </c>
      <c r="C723" t="s">
        <v>1628</v>
      </c>
      <c r="D723" t="s">
        <v>1703</v>
      </c>
      <c r="E723" t="s">
        <v>1704</v>
      </c>
      <c r="F723" t="s">
        <v>120</v>
      </c>
      <c r="H723" t="s">
        <v>4715</v>
      </c>
      <c r="I723" t="s">
        <v>5404</v>
      </c>
      <c r="L723" t="s">
        <v>4717</v>
      </c>
    </row>
    <row r="724">
      <c r="A724" t="s">
        <v>2751</v>
      </c>
      <c r="B724" t="s">
        <v>1726</v>
      </c>
      <c r="C724" t="s">
        <v>1628</v>
      </c>
      <c r="D724" t="s">
        <v>1703</v>
      </c>
      <c r="E724" t="s">
        <v>1704</v>
      </c>
      <c r="F724" t="s">
        <v>120</v>
      </c>
      <c r="H724" t="s">
        <v>4715</v>
      </c>
      <c r="I724" t="s">
        <v>5030</v>
      </c>
      <c r="L724" t="s">
        <v>4717</v>
      </c>
    </row>
    <row r="725">
      <c r="A725" t="s">
        <v>2754</v>
      </c>
      <c r="B725" t="s">
        <v>1735</v>
      </c>
      <c r="C725" t="s">
        <v>1628</v>
      </c>
      <c r="D725" t="s">
        <v>1732</v>
      </c>
      <c r="E725" t="s">
        <v>1733</v>
      </c>
      <c r="F725" t="s">
        <v>129</v>
      </c>
      <c r="G725" t="s">
        <v>2078</v>
      </c>
      <c r="H725" t="s">
        <v>4715</v>
      </c>
      <c r="I725" t="s">
        <v>5405</v>
      </c>
      <c r="L725" t="s">
        <v>4717</v>
      </c>
    </row>
    <row r="726">
      <c r="A726" t="s">
        <v>2754</v>
      </c>
      <c r="B726" t="s">
        <v>1735</v>
      </c>
      <c r="C726" t="s">
        <v>1628</v>
      </c>
      <c r="D726" t="s">
        <v>1732</v>
      </c>
      <c r="E726" t="s">
        <v>1733</v>
      </c>
      <c r="F726" t="s">
        <v>129</v>
      </c>
      <c r="G726" t="s">
        <v>2078</v>
      </c>
      <c r="H726" t="s">
        <v>4715</v>
      </c>
      <c r="I726" t="s">
        <v>5406</v>
      </c>
      <c r="L726" t="s">
        <v>4717</v>
      </c>
    </row>
    <row r="727">
      <c r="A727" t="s">
        <v>2754</v>
      </c>
      <c r="B727" t="s">
        <v>1735</v>
      </c>
      <c r="C727" t="s">
        <v>1628</v>
      </c>
      <c r="D727" t="s">
        <v>1732</v>
      </c>
      <c r="E727" t="s">
        <v>1733</v>
      </c>
      <c r="F727" t="s">
        <v>129</v>
      </c>
      <c r="G727" t="s">
        <v>2078</v>
      </c>
      <c r="H727" t="s">
        <v>4715</v>
      </c>
      <c r="I727" t="s">
        <v>5407</v>
      </c>
      <c r="L727" t="s">
        <v>4717</v>
      </c>
    </row>
    <row r="728">
      <c r="A728" t="s">
        <v>2757</v>
      </c>
      <c r="B728" t="s">
        <v>1743</v>
      </c>
      <c r="C728" t="s">
        <v>1628</v>
      </c>
      <c r="D728" t="s">
        <v>1732</v>
      </c>
      <c r="E728" t="s">
        <v>1733</v>
      </c>
      <c r="F728" t="s">
        <v>97</v>
      </c>
      <c r="G728" t="s">
        <v>2078</v>
      </c>
      <c r="H728" t="s">
        <v>4715</v>
      </c>
      <c r="I728" t="s">
        <v>5408</v>
      </c>
      <c r="L728" t="s">
        <v>4717</v>
      </c>
    </row>
    <row r="729">
      <c r="A729" t="s">
        <v>2757</v>
      </c>
      <c r="B729" t="s">
        <v>1743</v>
      </c>
      <c r="C729" t="s">
        <v>1628</v>
      </c>
      <c r="D729" t="s">
        <v>1732</v>
      </c>
      <c r="E729" t="s">
        <v>1733</v>
      </c>
      <c r="F729" t="s">
        <v>97</v>
      </c>
      <c r="G729" t="s">
        <v>2078</v>
      </c>
      <c r="H729" t="s">
        <v>4715</v>
      </c>
      <c r="I729" t="s">
        <v>5409</v>
      </c>
      <c r="L729" t="s">
        <v>4717</v>
      </c>
    </row>
    <row r="730">
      <c r="A730" t="s">
        <v>2757</v>
      </c>
      <c r="B730" t="s">
        <v>1743</v>
      </c>
      <c r="C730" t="s">
        <v>1628</v>
      </c>
      <c r="D730" t="s">
        <v>1732</v>
      </c>
      <c r="E730" t="s">
        <v>1733</v>
      </c>
      <c r="F730" t="s">
        <v>97</v>
      </c>
      <c r="G730" t="s">
        <v>2078</v>
      </c>
      <c r="H730" t="s">
        <v>4715</v>
      </c>
      <c r="I730" t="s">
        <v>5410</v>
      </c>
      <c r="L730" t="s">
        <v>4717</v>
      </c>
    </row>
    <row r="731">
      <c r="A731" t="s">
        <v>2760</v>
      </c>
      <c r="B731" t="s">
        <v>1750</v>
      </c>
      <c r="C731" t="s">
        <v>1628</v>
      </c>
      <c r="D731" t="s">
        <v>1732</v>
      </c>
      <c r="E731" t="s">
        <v>1733</v>
      </c>
      <c r="F731" t="s">
        <v>154</v>
      </c>
      <c r="H731" t="s">
        <v>4715</v>
      </c>
      <c r="I731" t="s">
        <v>5411</v>
      </c>
      <c r="L731" t="s">
        <v>4717</v>
      </c>
    </row>
    <row r="732">
      <c r="A732" t="s">
        <v>2760</v>
      </c>
      <c r="B732" t="s">
        <v>1750</v>
      </c>
      <c r="C732" t="s">
        <v>1628</v>
      </c>
      <c r="D732" t="s">
        <v>1732</v>
      </c>
      <c r="E732" t="s">
        <v>1733</v>
      </c>
      <c r="F732" t="s">
        <v>154</v>
      </c>
      <c r="H732" t="s">
        <v>4715</v>
      </c>
      <c r="I732" t="s">
        <v>5412</v>
      </c>
      <c r="L732" t="s">
        <v>4717</v>
      </c>
    </row>
    <row r="733">
      <c r="A733" t="s">
        <v>2760</v>
      </c>
      <c r="B733" t="s">
        <v>1750</v>
      </c>
      <c r="C733" t="s">
        <v>1628</v>
      </c>
      <c r="D733" t="s">
        <v>1732</v>
      </c>
      <c r="E733" t="s">
        <v>1733</v>
      </c>
      <c r="F733" t="s">
        <v>154</v>
      </c>
      <c r="H733" t="s">
        <v>4715</v>
      </c>
      <c r="I733" t="s">
        <v>5030</v>
      </c>
      <c r="L733" t="s">
        <v>4717</v>
      </c>
    </row>
    <row r="734">
      <c r="A734" t="s">
        <v>2763</v>
      </c>
      <c r="B734" t="s">
        <v>1756</v>
      </c>
      <c r="C734" t="s">
        <v>1628</v>
      </c>
      <c r="D734" t="s">
        <v>1732</v>
      </c>
      <c r="E734" t="s">
        <v>1733</v>
      </c>
      <c r="F734" t="s">
        <v>97</v>
      </c>
      <c r="G734" t="s">
        <v>2078</v>
      </c>
      <c r="H734" t="s">
        <v>4715</v>
      </c>
      <c r="I734" t="s">
        <v>5413</v>
      </c>
      <c r="L734" t="s">
        <v>4717</v>
      </c>
    </row>
    <row r="735">
      <c r="A735" t="s">
        <v>2763</v>
      </c>
      <c r="B735" t="s">
        <v>1756</v>
      </c>
      <c r="C735" t="s">
        <v>1628</v>
      </c>
      <c r="D735" t="s">
        <v>1732</v>
      </c>
      <c r="E735" t="s">
        <v>1733</v>
      </c>
      <c r="F735" t="s">
        <v>97</v>
      </c>
      <c r="G735" t="s">
        <v>2078</v>
      </c>
      <c r="H735" t="s">
        <v>4715</v>
      </c>
      <c r="I735" t="s">
        <v>5414</v>
      </c>
      <c r="L735" t="s">
        <v>4717</v>
      </c>
    </row>
    <row r="736">
      <c r="A736" t="s">
        <v>2763</v>
      </c>
      <c r="B736" t="s">
        <v>1756</v>
      </c>
      <c r="C736" t="s">
        <v>1628</v>
      </c>
      <c r="D736" t="s">
        <v>1732</v>
      </c>
      <c r="E736" t="s">
        <v>1733</v>
      </c>
      <c r="F736" t="s">
        <v>97</v>
      </c>
      <c r="G736" t="s">
        <v>2078</v>
      </c>
      <c r="H736" t="s">
        <v>4715</v>
      </c>
      <c r="I736" t="s">
        <v>5249</v>
      </c>
      <c r="L736" t="s">
        <v>4717</v>
      </c>
    </row>
    <row r="737">
      <c r="A737" t="s">
        <v>2766</v>
      </c>
      <c r="B737" t="s">
        <v>1762</v>
      </c>
      <c r="C737" t="s">
        <v>1628</v>
      </c>
      <c r="D737" t="s">
        <v>1732</v>
      </c>
      <c r="E737" t="s">
        <v>1733</v>
      </c>
      <c r="F737" t="s">
        <v>154</v>
      </c>
      <c r="H737" t="s">
        <v>4715</v>
      </c>
      <c r="I737" t="s">
        <v>5415</v>
      </c>
      <c r="L737" t="s">
        <v>4717</v>
      </c>
    </row>
    <row r="738">
      <c r="A738" t="s">
        <v>2766</v>
      </c>
      <c r="B738" t="s">
        <v>1762</v>
      </c>
      <c r="C738" t="s">
        <v>1628</v>
      </c>
      <c r="D738" t="s">
        <v>1732</v>
      </c>
      <c r="E738" t="s">
        <v>1733</v>
      </c>
      <c r="F738" t="s">
        <v>154</v>
      </c>
      <c r="H738" t="s">
        <v>4715</v>
      </c>
      <c r="I738" t="s">
        <v>5416</v>
      </c>
      <c r="L738" t="s">
        <v>4717</v>
      </c>
    </row>
    <row r="739">
      <c r="A739" t="s">
        <v>2766</v>
      </c>
      <c r="B739" t="s">
        <v>1762</v>
      </c>
      <c r="C739" t="s">
        <v>1628</v>
      </c>
      <c r="D739" t="s">
        <v>1732</v>
      </c>
      <c r="E739" t="s">
        <v>1733</v>
      </c>
      <c r="F739" t="s">
        <v>154</v>
      </c>
      <c r="H739" t="s">
        <v>4715</v>
      </c>
      <c r="I739" t="s">
        <v>5417</v>
      </c>
      <c r="L739" t="s">
        <v>4717</v>
      </c>
    </row>
    <row r="740">
      <c r="A740" t="s">
        <v>2769</v>
      </c>
      <c r="B740" t="s">
        <v>1768</v>
      </c>
      <c r="C740" t="s">
        <v>1628</v>
      </c>
      <c r="D740" t="s">
        <v>1732</v>
      </c>
      <c r="E740" t="s">
        <v>1733</v>
      </c>
      <c r="F740" t="s">
        <v>97</v>
      </c>
      <c r="G740" t="s">
        <v>2078</v>
      </c>
      <c r="H740" t="s">
        <v>4715</v>
      </c>
      <c r="I740" t="s">
        <v>1768</v>
      </c>
      <c r="L740" t="s">
        <v>4717</v>
      </c>
    </row>
    <row r="741">
      <c r="A741" t="s">
        <v>2769</v>
      </c>
      <c r="B741" t="s">
        <v>1768</v>
      </c>
      <c r="C741" t="s">
        <v>1628</v>
      </c>
      <c r="D741" t="s">
        <v>1732</v>
      </c>
      <c r="E741" t="s">
        <v>1733</v>
      </c>
      <c r="F741" t="s">
        <v>97</v>
      </c>
      <c r="G741" t="s">
        <v>2078</v>
      </c>
      <c r="H741" t="s">
        <v>4715</v>
      </c>
      <c r="I741" t="s">
        <v>5418</v>
      </c>
      <c r="L741" t="s">
        <v>4717</v>
      </c>
    </row>
    <row r="742">
      <c r="A742" t="s">
        <v>2769</v>
      </c>
      <c r="B742" t="s">
        <v>1768</v>
      </c>
      <c r="C742" t="s">
        <v>1628</v>
      </c>
      <c r="D742" t="s">
        <v>1732</v>
      </c>
      <c r="E742" t="s">
        <v>1733</v>
      </c>
      <c r="F742" t="s">
        <v>97</v>
      </c>
      <c r="G742" t="s">
        <v>2078</v>
      </c>
      <c r="H742" t="s">
        <v>4715</v>
      </c>
      <c r="I742" t="s">
        <v>5419</v>
      </c>
      <c r="L742" t="s">
        <v>4717</v>
      </c>
    </row>
    <row r="743">
      <c r="A743" t="s">
        <v>2772</v>
      </c>
      <c r="B743" t="s">
        <v>1777</v>
      </c>
      <c r="C743" t="s">
        <v>1628</v>
      </c>
      <c r="D743" t="s">
        <v>1774</v>
      </c>
      <c r="E743" t="s">
        <v>1775</v>
      </c>
      <c r="F743" t="s">
        <v>129</v>
      </c>
      <c r="G743" t="s">
        <v>2078</v>
      </c>
      <c r="H743" t="s">
        <v>4715</v>
      </c>
      <c r="I743" t="s">
        <v>5420</v>
      </c>
      <c r="L743" t="s">
        <v>4717</v>
      </c>
    </row>
    <row r="744">
      <c r="A744" t="s">
        <v>2772</v>
      </c>
      <c r="B744" t="s">
        <v>1777</v>
      </c>
      <c r="C744" t="s">
        <v>1628</v>
      </c>
      <c r="D744" t="s">
        <v>1774</v>
      </c>
      <c r="E744" t="s">
        <v>1775</v>
      </c>
      <c r="F744" t="s">
        <v>129</v>
      </c>
      <c r="G744" t="s">
        <v>2078</v>
      </c>
      <c r="H744" t="s">
        <v>4715</v>
      </c>
      <c r="I744" t="s">
        <v>5421</v>
      </c>
      <c r="L744" t="s">
        <v>4717</v>
      </c>
    </row>
    <row r="745">
      <c r="A745" t="s">
        <v>2772</v>
      </c>
      <c r="B745" t="s">
        <v>1777</v>
      </c>
      <c r="C745" t="s">
        <v>1628</v>
      </c>
      <c r="D745" t="s">
        <v>1774</v>
      </c>
      <c r="E745" t="s">
        <v>1775</v>
      </c>
      <c r="F745" t="s">
        <v>129</v>
      </c>
      <c r="G745" t="s">
        <v>2078</v>
      </c>
      <c r="H745" t="s">
        <v>4715</v>
      </c>
      <c r="I745" t="s">
        <v>5422</v>
      </c>
      <c r="L745" t="s">
        <v>4717</v>
      </c>
    </row>
    <row r="746">
      <c r="A746" t="s">
        <v>2776</v>
      </c>
      <c r="B746" t="s">
        <v>1785</v>
      </c>
      <c r="C746" t="s">
        <v>1628</v>
      </c>
      <c r="D746" t="s">
        <v>1774</v>
      </c>
      <c r="E746" t="s">
        <v>1775</v>
      </c>
      <c r="F746" t="s">
        <v>154</v>
      </c>
      <c r="H746" t="s">
        <v>4715</v>
      </c>
      <c r="I746" t="s">
        <v>5423</v>
      </c>
      <c r="L746" t="s">
        <v>4717</v>
      </c>
    </row>
    <row r="747">
      <c r="A747" t="s">
        <v>2776</v>
      </c>
      <c r="B747" t="s">
        <v>1785</v>
      </c>
      <c r="C747" t="s">
        <v>1628</v>
      </c>
      <c r="D747" t="s">
        <v>1774</v>
      </c>
      <c r="E747" t="s">
        <v>1775</v>
      </c>
      <c r="F747" t="s">
        <v>154</v>
      </c>
      <c r="H747" t="s">
        <v>4715</v>
      </c>
      <c r="I747" t="s">
        <v>5424</v>
      </c>
      <c r="L747" t="s">
        <v>4717</v>
      </c>
    </row>
    <row r="748">
      <c r="A748" t="s">
        <v>2776</v>
      </c>
      <c r="B748" t="s">
        <v>1785</v>
      </c>
      <c r="C748" t="s">
        <v>1628</v>
      </c>
      <c r="D748" t="s">
        <v>1774</v>
      </c>
      <c r="E748" t="s">
        <v>1775</v>
      </c>
      <c r="F748" t="s">
        <v>154</v>
      </c>
      <c r="H748" t="s">
        <v>4715</v>
      </c>
      <c r="I748" t="s">
        <v>5425</v>
      </c>
      <c r="L748" t="s">
        <v>4717</v>
      </c>
    </row>
    <row r="749">
      <c r="A749" t="s">
        <v>2779</v>
      </c>
      <c r="B749" t="s">
        <v>1792</v>
      </c>
      <c r="C749" t="s">
        <v>1628</v>
      </c>
      <c r="D749" t="s">
        <v>1774</v>
      </c>
      <c r="E749" t="s">
        <v>1775</v>
      </c>
      <c r="F749" t="s">
        <v>154</v>
      </c>
      <c r="H749" t="s">
        <v>4715</v>
      </c>
      <c r="I749" t="s">
        <v>5426</v>
      </c>
      <c r="L749" t="s">
        <v>4717</v>
      </c>
    </row>
    <row r="750">
      <c r="A750" t="s">
        <v>2779</v>
      </c>
      <c r="B750" t="s">
        <v>1792</v>
      </c>
      <c r="C750" t="s">
        <v>1628</v>
      </c>
      <c r="D750" t="s">
        <v>1774</v>
      </c>
      <c r="E750" t="s">
        <v>1775</v>
      </c>
      <c r="F750" t="s">
        <v>154</v>
      </c>
      <c r="H750" t="s">
        <v>4715</v>
      </c>
      <c r="I750" t="s">
        <v>4965</v>
      </c>
      <c r="L750" t="s">
        <v>4717</v>
      </c>
    </row>
    <row r="751">
      <c r="A751" t="s">
        <v>2779</v>
      </c>
      <c r="B751" t="s">
        <v>1792</v>
      </c>
      <c r="C751" t="s">
        <v>1628</v>
      </c>
      <c r="D751" t="s">
        <v>1774</v>
      </c>
      <c r="E751" t="s">
        <v>1775</v>
      </c>
      <c r="F751" t="s">
        <v>154</v>
      </c>
      <c r="H751" t="s">
        <v>4715</v>
      </c>
      <c r="I751" t="s">
        <v>5427</v>
      </c>
      <c r="L751" t="s">
        <v>4717</v>
      </c>
    </row>
    <row r="752">
      <c r="A752" t="s">
        <v>2782</v>
      </c>
      <c r="B752" t="s">
        <v>1802</v>
      </c>
      <c r="C752" t="s">
        <v>1798</v>
      </c>
      <c r="D752" t="s">
        <v>1799</v>
      </c>
      <c r="E752" t="s">
        <v>1800</v>
      </c>
      <c r="F752" t="s">
        <v>154</v>
      </c>
      <c r="H752" t="s">
        <v>4715</v>
      </c>
      <c r="I752" t="s">
        <v>5428</v>
      </c>
      <c r="L752" t="s">
        <v>4717</v>
      </c>
    </row>
    <row r="753">
      <c r="A753" t="s">
        <v>2782</v>
      </c>
      <c r="B753" t="s">
        <v>1802</v>
      </c>
      <c r="C753" t="s">
        <v>1798</v>
      </c>
      <c r="D753" t="s">
        <v>1799</v>
      </c>
      <c r="E753" t="s">
        <v>1800</v>
      </c>
      <c r="F753" t="s">
        <v>154</v>
      </c>
      <c r="H753" t="s">
        <v>4715</v>
      </c>
      <c r="I753" t="s">
        <v>5429</v>
      </c>
      <c r="L753" t="s">
        <v>4717</v>
      </c>
    </row>
    <row r="754">
      <c r="A754" t="s">
        <v>2782</v>
      </c>
      <c r="B754" t="s">
        <v>1802</v>
      </c>
      <c r="C754" t="s">
        <v>1798</v>
      </c>
      <c r="D754" t="s">
        <v>1799</v>
      </c>
      <c r="E754" t="s">
        <v>1800</v>
      </c>
      <c r="F754" t="s">
        <v>154</v>
      </c>
      <c r="H754" t="s">
        <v>4715</v>
      </c>
      <c r="I754" t="s">
        <v>5430</v>
      </c>
      <c r="L754" t="s">
        <v>4717</v>
      </c>
    </row>
    <row r="755">
      <c r="A755" t="s">
        <v>2782</v>
      </c>
      <c r="B755" t="s">
        <v>1802</v>
      </c>
      <c r="C755" t="s">
        <v>1798</v>
      </c>
      <c r="D755" t="s">
        <v>1799</v>
      </c>
      <c r="E755" t="s">
        <v>1800</v>
      </c>
      <c r="F755" t="s">
        <v>154</v>
      </c>
      <c r="H755" t="s">
        <v>4715</v>
      </c>
      <c r="I755" t="s">
        <v>5030</v>
      </c>
      <c r="L755" t="s">
        <v>4717</v>
      </c>
    </row>
    <row r="756">
      <c r="A756" t="s">
        <v>2785</v>
      </c>
      <c r="B756" t="s">
        <v>1810</v>
      </c>
      <c r="C756" t="s">
        <v>1798</v>
      </c>
      <c r="D756" t="s">
        <v>1799</v>
      </c>
      <c r="E756" t="s">
        <v>1800</v>
      </c>
      <c r="F756" t="s">
        <v>120</v>
      </c>
      <c r="H756" t="s">
        <v>4715</v>
      </c>
      <c r="I756" t="s">
        <v>5431</v>
      </c>
      <c r="L756" t="s">
        <v>4717</v>
      </c>
    </row>
    <row r="757">
      <c r="A757" t="s">
        <v>2785</v>
      </c>
      <c r="B757" t="s">
        <v>1810</v>
      </c>
      <c r="C757" t="s">
        <v>1798</v>
      </c>
      <c r="D757" t="s">
        <v>1799</v>
      </c>
      <c r="E757" t="s">
        <v>1800</v>
      </c>
      <c r="F757" t="s">
        <v>120</v>
      </c>
      <c r="H757" t="s">
        <v>4715</v>
      </c>
      <c r="I757" t="s">
        <v>5432</v>
      </c>
      <c r="L757" t="s">
        <v>4717</v>
      </c>
    </row>
    <row r="758">
      <c r="A758" t="s">
        <v>2785</v>
      </c>
      <c r="B758" t="s">
        <v>1810</v>
      </c>
      <c r="C758" t="s">
        <v>1798</v>
      </c>
      <c r="D758" t="s">
        <v>1799</v>
      </c>
      <c r="E758" t="s">
        <v>1800</v>
      </c>
      <c r="F758" t="s">
        <v>120</v>
      </c>
      <c r="H758" t="s">
        <v>4715</v>
      </c>
      <c r="I758" t="s">
        <v>5030</v>
      </c>
      <c r="L758" t="s">
        <v>4717</v>
      </c>
    </row>
    <row r="759">
      <c r="A759" t="s">
        <v>2788</v>
      </c>
      <c r="B759" t="s">
        <v>1816</v>
      </c>
      <c r="C759" t="s">
        <v>1798</v>
      </c>
      <c r="D759" t="s">
        <v>1799</v>
      </c>
      <c r="E759" t="s">
        <v>1800</v>
      </c>
      <c r="F759" t="s">
        <v>120</v>
      </c>
      <c r="H759" t="s">
        <v>4715</v>
      </c>
      <c r="I759" t="s">
        <v>5433</v>
      </c>
      <c r="L759" t="s">
        <v>4717</v>
      </c>
    </row>
    <row r="760">
      <c r="A760" t="s">
        <v>2788</v>
      </c>
      <c r="B760" t="s">
        <v>1816</v>
      </c>
      <c r="C760" t="s">
        <v>1798</v>
      </c>
      <c r="D760" t="s">
        <v>1799</v>
      </c>
      <c r="E760" t="s">
        <v>1800</v>
      </c>
      <c r="F760" t="s">
        <v>120</v>
      </c>
      <c r="H760" t="s">
        <v>4715</v>
      </c>
      <c r="I760" t="s">
        <v>5434</v>
      </c>
      <c r="L760" t="s">
        <v>4717</v>
      </c>
    </row>
    <row r="761">
      <c r="A761" t="s">
        <v>2788</v>
      </c>
      <c r="B761" t="s">
        <v>1816</v>
      </c>
      <c r="C761" t="s">
        <v>1798</v>
      </c>
      <c r="D761" t="s">
        <v>1799</v>
      </c>
      <c r="E761" t="s">
        <v>1800</v>
      </c>
      <c r="F761" t="s">
        <v>120</v>
      </c>
      <c r="H761" t="s">
        <v>4715</v>
      </c>
      <c r="I761" t="s">
        <v>4922</v>
      </c>
      <c r="L761" t="s">
        <v>4717</v>
      </c>
    </row>
    <row r="762">
      <c r="A762" t="s">
        <v>2790</v>
      </c>
      <c r="B762" t="s">
        <v>1822</v>
      </c>
      <c r="C762" t="s">
        <v>1798</v>
      </c>
      <c r="D762" t="s">
        <v>1799</v>
      </c>
      <c r="E762" t="s">
        <v>1800</v>
      </c>
      <c r="F762" t="s">
        <v>120</v>
      </c>
      <c r="H762" t="s">
        <v>4715</v>
      </c>
      <c r="I762" t="s">
        <v>5435</v>
      </c>
      <c r="L762" t="s">
        <v>4717</v>
      </c>
    </row>
    <row r="763">
      <c r="A763" t="s">
        <v>2790</v>
      </c>
      <c r="B763" t="s">
        <v>1822</v>
      </c>
      <c r="C763" t="s">
        <v>1798</v>
      </c>
      <c r="D763" t="s">
        <v>1799</v>
      </c>
      <c r="E763" t="s">
        <v>1800</v>
      </c>
      <c r="F763" t="s">
        <v>120</v>
      </c>
      <c r="H763" t="s">
        <v>4715</v>
      </c>
      <c r="I763" t="s">
        <v>5217</v>
      </c>
      <c r="L763" t="s">
        <v>4717</v>
      </c>
    </row>
    <row r="764">
      <c r="A764" t="s">
        <v>2790</v>
      </c>
      <c r="B764" t="s">
        <v>1822</v>
      </c>
      <c r="C764" t="s">
        <v>1798</v>
      </c>
      <c r="D764" t="s">
        <v>1799</v>
      </c>
      <c r="E764" t="s">
        <v>1800</v>
      </c>
      <c r="F764" t="s">
        <v>120</v>
      </c>
      <c r="H764" t="s">
        <v>4715</v>
      </c>
      <c r="I764" t="s">
        <v>5030</v>
      </c>
      <c r="L764" t="s">
        <v>4717</v>
      </c>
    </row>
    <row r="765">
      <c r="A765" t="s">
        <v>2793</v>
      </c>
      <c r="B765" t="s">
        <v>1829</v>
      </c>
      <c r="C765" t="s">
        <v>1798</v>
      </c>
      <c r="D765" t="s">
        <v>1799</v>
      </c>
      <c r="E765" t="s">
        <v>1800</v>
      </c>
      <c r="F765" t="s">
        <v>120</v>
      </c>
      <c r="H765" t="s">
        <v>4715</v>
      </c>
      <c r="I765" t="s">
        <v>5436</v>
      </c>
      <c r="L765" t="s">
        <v>4717</v>
      </c>
    </row>
    <row r="766">
      <c r="A766" t="s">
        <v>2793</v>
      </c>
      <c r="B766" t="s">
        <v>1829</v>
      </c>
      <c r="C766" t="s">
        <v>1798</v>
      </c>
      <c r="D766" t="s">
        <v>1799</v>
      </c>
      <c r="E766" t="s">
        <v>1800</v>
      </c>
      <c r="F766" t="s">
        <v>120</v>
      </c>
      <c r="H766" t="s">
        <v>4715</v>
      </c>
      <c r="I766" t="s">
        <v>5437</v>
      </c>
      <c r="L766" t="s">
        <v>4717</v>
      </c>
    </row>
    <row r="767">
      <c r="A767" t="s">
        <v>2793</v>
      </c>
      <c r="B767" t="s">
        <v>1829</v>
      </c>
      <c r="C767" t="s">
        <v>1798</v>
      </c>
      <c r="D767" t="s">
        <v>1799</v>
      </c>
      <c r="E767" t="s">
        <v>1800</v>
      </c>
      <c r="F767" t="s">
        <v>120</v>
      </c>
      <c r="H767" t="s">
        <v>4715</v>
      </c>
      <c r="I767" t="s">
        <v>5030</v>
      </c>
      <c r="L767" t="s">
        <v>4717</v>
      </c>
    </row>
    <row r="768">
      <c r="A768" t="s">
        <v>2796</v>
      </c>
      <c r="B768" t="s">
        <v>1836</v>
      </c>
      <c r="C768" t="s">
        <v>1798</v>
      </c>
      <c r="D768" t="s">
        <v>1799</v>
      </c>
      <c r="E768" t="s">
        <v>1800</v>
      </c>
      <c r="F768" t="s">
        <v>120</v>
      </c>
      <c r="H768" t="s">
        <v>4715</v>
      </c>
      <c r="I768" t="s">
        <v>5438</v>
      </c>
      <c r="L768" t="s">
        <v>4717</v>
      </c>
    </row>
    <row r="769">
      <c r="A769" t="s">
        <v>2796</v>
      </c>
      <c r="B769" t="s">
        <v>1836</v>
      </c>
      <c r="C769" t="s">
        <v>1798</v>
      </c>
      <c r="D769" t="s">
        <v>1799</v>
      </c>
      <c r="E769" t="s">
        <v>1800</v>
      </c>
      <c r="F769" t="s">
        <v>120</v>
      </c>
      <c r="H769" t="s">
        <v>4715</v>
      </c>
      <c r="I769" t="s">
        <v>5439</v>
      </c>
      <c r="L769" t="s">
        <v>4717</v>
      </c>
    </row>
    <row r="770">
      <c r="A770" t="s">
        <v>2796</v>
      </c>
      <c r="B770" t="s">
        <v>1836</v>
      </c>
      <c r="C770" t="s">
        <v>1798</v>
      </c>
      <c r="D770" t="s">
        <v>1799</v>
      </c>
      <c r="E770" t="s">
        <v>1800</v>
      </c>
      <c r="F770" t="s">
        <v>120</v>
      </c>
      <c r="H770" t="s">
        <v>4715</v>
      </c>
      <c r="I770" t="s">
        <v>5372</v>
      </c>
      <c r="L770" t="s">
        <v>4717</v>
      </c>
    </row>
    <row r="771">
      <c r="A771" t="s">
        <v>2799</v>
      </c>
      <c r="B771" t="s">
        <v>1847</v>
      </c>
      <c r="C771" t="s">
        <v>1798</v>
      </c>
      <c r="D771" t="s">
        <v>1844</v>
      </c>
      <c r="E771" t="s">
        <v>1845</v>
      </c>
      <c r="F771" t="s">
        <v>120</v>
      </c>
      <c r="H771" t="s">
        <v>4715</v>
      </c>
      <c r="I771" t="s">
        <v>5440</v>
      </c>
      <c r="L771" t="s">
        <v>4717</v>
      </c>
    </row>
    <row r="772">
      <c r="A772" t="s">
        <v>2799</v>
      </c>
      <c r="B772" t="s">
        <v>1847</v>
      </c>
      <c r="C772" t="s">
        <v>1798</v>
      </c>
      <c r="D772" t="s">
        <v>1844</v>
      </c>
      <c r="E772" t="s">
        <v>1845</v>
      </c>
      <c r="F772" t="s">
        <v>120</v>
      </c>
      <c r="H772" t="s">
        <v>4715</v>
      </c>
      <c r="I772" t="s">
        <v>5441</v>
      </c>
      <c r="L772" t="s">
        <v>4717</v>
      </c>
    </row>
    <row r="773">
      <c r="A773" t="s">
        <v>2799</v>
      </c>
      <c r="B773" t="s">
        <v>1847</v>
      </c>
      <c r="C773" t="s">
        <v>1798</v>
      </c>
      <c r="D773" t="s">
        <v>1844</v>
      </c>
      <c r="E773" t="s">
        <v>1845</v>
      </c>
      <c r="F773" t="s">
        <v>120</v>
      </c>
      <c r="H773" t="s">
        <v>4715</v>
      </c>
      <c r="I773" t="s">
        <v>5030</v>
      </c>
      <c r="L773" t="s">
        <v>4717</v>
      </c>
    </row>
    <row r="774">
      <c r="A774" t="s">
        <v>2802</v>
      </c>
      <c r="B774" t="s">
        <v>1855</v>
      </c>
      <c r="C774" t="s">
        <v>1798</v>
      </c>
      <c r="D774" t="s">
        <v>1844</v>
      </c>
      <c r="E774" t="s">
        <v>1845</v>
      </c>
      <c r="F774" t="s">
        <v>120</v>
      </c>
      <c r="H774" t="s">
        <v>4715</v>
      </c>
      <c r="I774" t="s">
        <v>5442</v>
      </c>
      <c r="L774" t="s">
        <v>4717</v>
      </c>
    </row>
    <row r="775">
      <c r="A775" t="s">
        <v>2802</v>
      </c>
      <c r="B775" t="s">
        <v>1855</v>
      </c>
      <c r="C775" t="s">
        <v>1798</v>
      </c>
      <c r="D775" t="s">
        <v>1844</v>
      </c>
      <c r="E775" t="s">
        <v>1845</v>
      </c>
      <c r="F775" t="s">
        <v>120</v>
      </c>
      <c r="H775" t="s">
        <v>4715</v>
      </c>
      <c r="I775" t="s">
        <v>5443</v>
      </c>
      <c r="L775" t="s">
        <v>4717</v>
      </c>
    </row>
    <row r="776">
      <c r="A776" t="s">
        <v>2802</v>
      </c>
      <c r="B776" t="s">
        <v>1855</v>
      </c>
      <c r="C776" t="s">
        <v>1798</v>
      </c>
      <c r="D776" t="s">
        <v>1844</v>
      </c>
      <c r="E776" t="s">
        <v>1845</v>
      </c>
      <c r="F776" t="s">
        <v>120</v>
      </c>
      <c r="H776" t="s">
        <v>4715</v>
      </c>
      <c r="I776" t="s">
        <v>5030</v>
      </c>
      <c r="L776" t="s">
        <v>4717</v>
      </c>
    </row>
    <row r="777">
      <c r="A777" t="s">
        <v>2804</v>
      </c>
      <c r="B777" t="s">
        <v>1861</v>
      </c>
      <c r="C777" t="s">
        <v>1798</v>
      </c>
      <c r="D777" t="s">
        <v>1844</v>
      </c>
      <c r="E777" t="s">
        <v>1845</v>
      </c>
      <c r="F777" t="s">
        <v>120</v>
      </c>
      <c r="H777" t="s">
        <v>4715</v>
      </c>
      <c r="I777" t="s">
        <v>5444</v>
      </c>
      <c r="L777" t="s">
        <v>4717</v>
      </c>
    </row>
    <row r="778">
      <c r="A778" t="s">
        <v>2804</v>
      </c>
      <c r="B778" t="s">
        <v>1861</v>
      </c>
      <c r="C778" t="s">
        <v>1798</v>
      </c>
      <c r="D778" t="s">
        <v>1844</v>
      </c>
      <c r="E778" t="s">
        <v>1845</v>
      </c>
      <c r="F778" t="s">
        <v>120</v>
      </c>
      <c r="H778" t="s">
        <v>4715</v>
      </c>
      <c r="I778" t="s">
        <v>5343</v>
      </c>
      <c r="L778" t="s">
        <v>4717</v>
      </c>
    </row>
    <row r="779">
      <c r="A779" t="s">
        <v>2804</v>
      </c>
      <c r="B779" t="s">
        <v>1861</v>
      </c>
      <c r="C779" t="s">
        <v>1798</v>
      </c>
      <c r="D779" t="s">
        <v>1844</v>
      </c>
      <c r="E779" t="s">
        <v>1845</v>
      </c>
      <c r="F779" t="s">
        <v>120</v>
      </c>
      <c r="H779" t="s">
        <v>4715</v>
      </c>
      <c r="I779" t="s">
        <v>5030</v>
      </c>
      <c r="L779" t="s">
        <v>4717</v>
      </c>
    </row>
    <row r="780">
      <c r="A780" t="s">
        <v>2806</v>
      </c>
      <c r="B780" t="s">
        <v>1868</v>
      </c>
      <c r="C780" t="s">
        <v>1798</v>
      </c>
      <c r="D780" t="s">
        <v>1844</v>
      </c>
      <c r="E780" t="s">
        <v>1845</v>
      </c>
      <c r="F780" t="s">
        <v>120</v>
      </c>
      <c r="H780" t="s">
        <v>4715</v>
      </c>
      <c r="I780" t="s">
        <v>5445</v>
      </c>
      <c r="L780" t="s">
        <v>4717</v>
      </c>
    </row>
    <row r="781">
      <c r="A781" t="s">
        <v>2806</v>
      </c>
      <c r="B781" t="s">
        <v>1868</v>
      </c>
      <c r="C781" t="s">
        <v>1798</v>
      </c>
      <c r="D781" t="s">
        <v>1844</v>
      </c>
      <c r="E781" t="s">
        <v>1845</v>
      </c>
      <c r="F781" t="s">
        <v>120</v>
      </c>
      <c r="H781" t="s">
        <v>4715</v>
      </c>
      <c r="I781" t="s">
        <v>5446</v>
      </c>
      <c r="L781" t="s">
        <v>4717</v>
      </c>
    </row>
    <row r="782">
      <c r="A782" t="s">
        <v>2806</v>
      </c>
      <c r="B782" t="s">
        <v>1868</v>
      </c>
      <c r="C782" t="s">
        <v>1798</v>
      </c>
      <c r="D782" t="s">
        <v>1844</v>
      </c>
      <c r="E782" t="s">
        <v>1845</v>
      </c>
      <c r="F782" t="s">
        <v>120</v>
      </c>
      <c r="H782" t="s">
        <v>4715</v>
      </c>
      <c r="I782" t="s">
        <v>5447</v>
      </c>
      <c r="L782" t="s">
        <v>4717</v>
      </c>
    </row>
    <row r="783">
      <c r="A783" t="s">
        <v>2809</v>
      </c>
      <c r="B783" t="s">
        <v>1877</v>
      </c>
      <c r="C783" t="s">
        <v>1798</v>
      </c>
      <c r="D783" t="s">
        <v>1874</v>
      </c>
      <c r="E783" t="s">
        <v>1875</v>
      </c>
      <c r="F783" t="s">
        <v>120</v>
      </c>
      <c r="H783" t="s">
        <v>4715</v>
      </c>
      <c r="I783" t="s">
        <v>5448</v>
      </c>
      <c r="L783" t="s">
        <v>4717</v>
      </c>
    </row>
    <row r="784">
      <c r="A784" t="s">
        <v>2809</v>
      </c>
      <c r="B784" t="s">
        <v>1877</v>
      </c>
      <c r="C784" t="s">
        <v>1798</v>
      </c>
      <c r="D784" t="s">
        <v>1874</v>
      </c>
      <c r="E784" t="s">
        <v>1875</v>
      </c>
      <c r="F784" t="s">
        <v>120</v>
      </c>
      <c r="H784" t="s">
        <v>4715</v>
      </c>
      <c r="I784" t="s">
        <v>5449</v>
      </c>
      <c r="L784" t="s">
        <v>4717</v>
      </c>
    </row>
    <row r="785">
      <c r="A785" t="s">
        <v>2809</v>
      </c>
      <c r="B785" t="s">
        <v>1877</v>
      </c>
      <c r="C785" t="s">
        <v>1798</v>
      </c>
      <c r="D785" t="s">
        <v>1874</v>
      </c>
      <c r="E785" t="s">
        <v>1875</v>
      </c>
      <c r="F785" t="s">
        <v>120</v>
      </c>
      <c r="H785" t="s">
        <v>4715</v>
      </c>
      <c r="I785" t="s">
        <v>5030</v>
      </c>
      <c r="L785" t="s">
        <v>4717</v>
      </c>
    </row>
    <row r="786">
      <c r="A786" t="s">
        <v>2812</v>
      </c>
      <c r="B786" t="s">
        <v>1885</v>
      </c>
      <c r="C786" t="s">
        <v>1798</v>
      </c>
      <c r="D786" t="s">
        <v>1874</v>
      </c>
      <c r="E786" t="s">
        <v>1875</v>
      </c>
      <c r="F786" t="s">
        <v>120</v>
      </c>
      <c r="H786" t="s">
        <v>4715</v>
      </c>
      <c r="I786" t="s">
        <v>5450</v>
      </c>
      <c r="L786" t="s">
        <v>4717</v>
      </c>
    </row>
    <row r="787">
      <c r="A787" t="s">
        <v>2812</v>
      </c>
      <c r="B787" t="s">
        <v>1885</v>
      </c>
      <c r="C787" t="s">
        <v>1798</v>
      </c>
      <c r="D787" t="s">
        <v>1874</v>
      </c>
      <c r="E787" t="s">
        <v>1875</v>
      </c>
      <c r="F787" t="s">
        <v>120</v>
      </c>
      <c r="H787" t="s">
        <v>4715</v>
      </c>
      <c r="I787" t="s">
        <v>5451</v>
      </c>
      <c r="L787" t="s">
        <v>4717</v>
      </c>
    </row>
    <row r="788">
      <c r="A788" t="s">
        <v>2812</v>
      </c>
      <c r="B788" t="s">
        <v>1885</v>
      </c>
      <c r="C788" t="s">
        <v>1798</v>
      </c>
      <c r="D788" t="s">
        <v>1874</v>
      </c>
      <c r="E788" t="s">
        <v>1875</v>
      </c>
      <c r="F788" t="s">
        <v>120</v>
      </c>
      <c r="H788" t="s">
        <v>4715</v>
      </c>
      <c r="I788" t="s">
        <v>5030</v>
      </c>
      <c r="L788" t="s">
        <v>4717</v>
      </c>
    </row>
    <row r="789">
      <c r="A789" t="s">
        <v>2814</v>
      </c>
      <c r="B789" t="s">
        <v>1890</v>
      </c>
      <c r="C789" t="s">
        <v>1798</v>
      </c>
      <c r="D789" t="s">
        <v>1874</v>
      </c>
      <c r="E789" t="s">
        <v>1875</v>
      </c>
      <c r="F789" t="s">
        <v>120</v>
      </c>
      <c r="H789" t="s">
        <v>4715</v>
      </c>
      <c r="I789" t="s">
        <v>5452</v>
      </c>
      <c r="L789" t="s">
        <v>4717</v>
      </c>
    </row>
    <row r="790">
      <c r="A790" t="s">
        <v>2814</v>
      </c>
      <c r="B790" t="s">
        <v>1890</v>
      </c>
      <c r="C790" t="s">
        <v>1798</v>
      </c>
      <c r="D790" t="s">
        <v>1874</v>
      </c>
      <c r="E790" t="s">
        <v>1875</v>
      </c>
      <c r="F790" t="s">
        <v>120</v>
      </c>
      <c r="H790" t="s">
        <v>4715</v>
      </c>
      <c r="I790" t="s">
        <v>5453</v>
      </c>
      <c r="L790" t="s">
        <v>4717</v>
      </c>
    </row>
    <row r="791">
      <c r="A791" t="s">
        <v>2814</v>
      </c>
      <c r="B791" t="s">
        <v>1890</v>
      </c>
      <c r="C791" t="s">
        <v>1798</v>
      </c>
      <c r="D791" t="s">
        <v>1874</v>
      </c>
      <c r="E791" t="s">
        <v>1875</v>
      </c>
      <c r="F791" t="s">
        <v>120</v>
      </c>
      <c r="H791" t="s">
        <v>4715</v>
      </c>
      <c r="I791" t="s">
        <v>5030</v>
      </c>
      <c r="L791" t="s">
        <v>4717</v>
      </c>
    </row>
    <row r="792">
      <c r="A792" t="s">
        <v>2816</v>
      </c>
      <c r="B792" t="s">
        <v>1897</v>
      </c>
      <c r="C792" t="s">
        <v>1798</v>
      </c>
      <c r="D792" t="s">
        <v>1874</v>
      </c>
      <c r="E792" t="s">
        <v>1875</v>
      </c>
      <c r="F792" t="s">
        <v>120</v>
      </c>
      <c r="H792" t="s">
        <v>4715</v>
      </c>
      <c r="I792" t="s">
        <v>5454</v>
      </c>
      <c r="L792" t="s">
        <v>4717</v>
      </c>
    </row>
    <row r="793">
      <c r="A793" t="s">
        <v>2816</v>
      </c>
      <c r="B793" t="s">
        <v>1897</v>
      </c>
      <c r="C793" t="s">
        <v>1798</v>
      </c>
      <c r="D793" t="s">
        <v>1874</v>
      </c>
      <c r="E793" t="s">
        <v>1875</v>
      </c>
      <c r="F793" t="s">
        <v>120</v>
      </c>
      <c r="H793" t="s">
        <v>4715</v>
      </c>
      <c r="I793" t="s">
        <v>5455</v>
      </c>
      <c r="L793" t="s">
        <v>4717</v>
      </c>
    </row>
    <row r="794">
      <c r="A794" t="s">
        <v>2816</v>
      </c>
      <c r="B794" t="s">
        <v>1897</v>
      </c>
      <c r="C794" t="s">
        <v>1798</v>
      </c>
      <c r="D794" t="s">
        <v>1874</v>
      </c>
      <c r="E794" t="s">
        <v>1875</v>
      </c>
      <c r="F794" t="s">
        <v>120</v>
      </c>
      <c r="H794" t="s">
        <v>4715</v>
      </c>
      <c r="I794" t="s">
        <v>4827</v>
      </c>
      <c r="L794" t="s">
        <v>4717</v>
      </c>
    </row>
    <row r="795">
      <c r="A795" t="s">
        <v>2819</v>
      </c>
      <c r="B795" t="s">
        <v>1905</v>
      </c>
      <c r="C795" t="s">
        <v>1798</v>
      </c>
      <c r="D795" t="s">
        <v>1874</v>
      </c>
      <c r="E795" t="s">
        <v>1875</v>
      </c>
      <c r="F795" t="s">
        <v>120</v>
      </c>
      <c r="H795" t="s">
        <v>4715</v>
      </c>
      <c r="I795" t="s">
        <v>5456</v>
      </c>
      <c r="L795" t="s">
        <v>4717</v>
      </c>
    </row>
    <row r="796">
      <c r="A796" t="s">
        <v>2819</v>
      </c>
      <c r="B796" t="s">
        <v>1905</v>
      </c>
      <c r="C796" t="s">
        <v>1798</v>
      </c>
      <c r="D796" t="s">
        <v>1874</v>
      </c>
      <c r="E796" t="s">
        <v>1875</v>
      </c>
      <c r="F796" t="s">
        <v>120</v>
      </c>
      <c r="H796" t="s">
        <v>4715</v>
      </c>
      <c r="I796" t="s">
        <v>5457</v>
      </c>
      <c r="L796" t="s">
        <v>4717</v>
      </c>
    </row>
    <row r="797">
      <c r="A797" t="s">
        <v>2819</v>
      </c>
      <c r="B797" t="s">
        <v>1905</v>
      </c>
      <c r="C797" t="s">
        <v>1798</v>
      </c>
      <c r="D797" t="s">
        <v>1874</v>
      </c>
      <c r="E797" t="s">
        <v>1875</v>
      </c>
      <c r="F797" t="s">
        <v>120</v>
      </c>
      <c r="H797" t="s">
        <v>4715</v>
      </c>
      <c r="I797" t="s">
        <v>5030</v>
      </c>
      <c r="L797" t="s">
        <v>4717</v>
      </c>
    </row>
    <row r="798">
      <c r="A798" t="s">
        <v>2821</v>
      </c>
      <c r="B798" t="s">
        <v>1916</v>
      </c>
      <c r="C798" t="s">
        <v>1798</v>
      </c>
      <c r="D798" t="s">
        <v>1913</v>
      </c>
      <c r="E798" t="s">
        <v>1914</v>
      </c>
      <c r="F798" t="s">
        <v>154</v>
      </c>
      <c r="H798" t="s">
        <v>4715</v>
      </c>
      <c r="I798" t="s">
        <v>5458</v>
      </c>
      <c r="L798" t="s">
        <v>4717</v>
      </c>
    </row>
    <row r="799">
      <c r="A799" t="s">
        <v>2821</v>
      </c>
      <c r="B799" t="s">
        <v>1916</v>
      </c>
      <c r="C799" t="s">
        <v>1798</v>
      </c>
      <c r="D799" t="s">
        <v>1913</v>
      </c>
      <c r="E799" t="s">
        <v>1914</v>
      </c>
      <c r="F799" t="s">
        <v>154</v>
      </c>
      <c r="H799" t="s">
        <v>4715</v>
      </c>
      <c r="I799" t="s">
        <v>5459</v>
      </c>
      <c r="L799" t="s">
        <v>4717</v>
      </c>
    </row>
    <row r="800">
      <c r="A800" t="s">
        <v>2821</v>
      </c>
      <c r="B800" t="s">
        <v>1916</v>
      </c>
      <c r="C800" t="s">
        <v>1798</v>
      </c>
      <c r="D800" t="s">
        <v>1913</v>
      </c>
      <c r="E800" t="s">
        <v>1914</v>
      </c>
      <c r="F800" t="s">
        <v>154</v>
      </c>
      <c r="H800" t="s">
        <v>4715</v>
      </c>
      <c r="I800" t="s">
        <v>5308</v>
      </c>
      <c r="L800" t="s">
        <v>4717</v>
      </c>
    </row>
    <row r="801">
      <c r="A801" t="s">
        <v>2823</v>
      </c>
      <c r="B801" t="s">
        <v>1924</v>
      </c>
      <c r="C801" t="s">
        <v>1798</v>
      </c>
      <c r="D801" t="s">
        <v>1913</v>
      </c>
      <c r="E801" t="s">
        <v>1914</v>
      </c>
      <c r="F801" t="s">
        <v>120</v>
      </c>
      <c r="H801" t="s">
        <v>4715</v>
      </c>
      <c r="I801" t="s">
        <v>5460</v>
      </c>
      <c r="L801" t="s">
        <v>4717</v>
      </c>
    </row>
    <row r="802">
      <c r="A802" t="s">
        <v>2823</v>
      </c>
      <c r="B802" t="s">
        <v>1924</v>
      </c>
      <c r="C802" t="s">
        <v>1798</v>
      </c>
      <c r="D802" t="s">
        <v>1913</v>
      </c>
      <c r="E802" t="s">
        <v>1914</v>
      </c>
      <c r="F802" t="s">
        <v>120</v>
      </c>
      <c r="H802" t="s">
        <v>4715</v>
      </c>
      <c r="I802" t="s">
        <v>4827</v>
      </c>
      <c r="L802" t="s">
        <v>4717</v>
      </c>
    </row>
    <row r="803">
      <c r="A803" t="s">
        <v>2823</v>
      </c>
      <c r="B803" t="s">
        <v>1924</v>
      </c>
      <c r="C803" t="s">
        <v>1798</v>
      </c>
      <c r="D803" t="s">
        <v>1913</v>
      </c>
      <c r="E803" t="s">
        <v>1914</v>
      </c>
      <c r="F803" t="s">
        <v>120</v>
      </c>
      <c r="H803" t="s">
        <v>4715</v>
      </c>
      <c r="I803" t="s">
        <v>5030</v>
      </c>
      <c r="L803" t="s">
        <v>4717</v>
      </c>
    </row>
    <row r="804">
      <c r="A804" t="s">
        <v>2826</v>
      </c>
      <c r="B804" t="s">
        <v>1932</v>
      </c>
      <c r="C804" t="s">
        <v>1798</v>
      </c>
      <c r="D804" t="s">
        <v>1913</v>
      </c>
      <c r="E804" t="s">
        <v>1914</v>
      </c>
      <c r="F804" t="s">
        <v>120</v>
      </c>
      <c r="H804" t="s">
        <v>4715</v>
      </c>
      <c r="I804" t="s">
        <v>5461</v>
      </c>
      <c r="L804" t="s">
        <v>4717</v>
      </c>
    </row>
    <row r="805">
      <c r="A805" t="s">
        <v>2826</v>
      </c>
      <c r="B805" t="s">
        <v>1932</v>
      </c>
      <c r="C805" t="s">
        <v>1798</v>
      </c>
      <c r="D805" t="s">
        <v>1913</v>
      </c>
      <c r="E805" t="s">
        <v>1914</v>
      </c>
      <c r="F805" t="s">
        <v>120</v>
      </c>
      <c r="H805" t="s">
        <v>4715</v>
      </c>
      <c r="I805" t="s">
        <v>5462</v>
      </c>
      <c r="L805" t="s">
        <v>4717</v>
      </c>
    </row>
    <row r="806">
      <c r="A806" t="s">
        <v>2826</v>
      </c>
      <c r="B806" t="s">
        <v>1932</v>
      </c>
      <c r="C806" t="s">
        <v>1798</v>
      </c>
      <c r="D806" t="s">
        <v>1913</v>
      </c>
      <c r="E806" t="s">
        <v>1914</v>
      </c>
      <c r="F806" t="s">
        <v>120</v>
      </c>
      <c r="H806" t="s">
        <v>4715</v>
      </c>
      <c r="I806" t="s">
        <v>5030</v>
      </c>
      <c r="L806" t="s">
        <v>4717</v>
      </c>
    </row>
    <row r="807">
      <c r="A807" t="s">
        <v>2830</v>
      </c>
      <c r="B807" t="s">
        <v>1942</v>
      </c>
      <c r="C807" t="s">
        <v>1798</v>
      </c>
      <c r="D807" t="s">
        <v>1939</v>
      </c>
      <c r="E807" t="s">
        <v>1940</v>
      </c>
      <c r="F807" t="s">
        <v>154</v>
      </c>
      <c r="H807" t="s">
        <v>4715</v>
      </c>
      <c r="I807" t="s">
        <v>5463</v>
      </c>
      <c r="L807" t="s">
        <v>4717</v>
      </c>
    </row>
    <row r="808">
      <c r="A808" t="s">
        <v>2830</v>
      </c>
      <c r="B808" t="s">
        <v>1942</v>
      </c>
      <c r="C808" t="s">
        <v>1798</v>
      </c>
      <c r="D808" t="s">
        <v>1939</v>
      </c>
      <c r="E808" t="s">
        <v>1940</v>
      </c>
      <c r="F808" t="s">
        <v>154</v>
      </c>
      <c r="H808" t="s">
        <v>4715</v>
      </c>
      <c r="I808" t="s">
        <v>5464</v>
      </c>
      <c r="L808" t="s">
        <v>4717</v>
      </c>
    </row>
    <row r="809">
      <c r="A809" t="s">
        <v>2830</v>
      </c>
      <c r="B809" t="s">
        <v>1942</v>
      </c>
      <c r="C809" t="s">
        <v>1798</v>
      </c>
      <c r="D809" t="s">
        <v>1939</v>
      </c>
      <c r="E809" t="s">
        <v>1940</v>
      </c>
      <c r="F809" t="s">
        <v>154</v>
      </c>
      <c r="H809" t="s">
        <v>4715</v>
      </c>
      <c r="I809" t="s">
        <v>5249</v>
      </c>
      <c r="L809" t="s">
        <v>4717</v>
      </c>
    </row>
    <row r="810">
      <c r="A810" t="s">
        <v>2835</v>
      </c>
      <c r="B810" t="s">
        <v>1949</v>
      </c>
      <c r="C810" t="s">
        <v>1798</v>
      </c>
      <c r="D810" t="s">
        <v>1939</v>
      </c>
      <c r="E810" t="s">
        <v>1940</v>
      </c>
      <c r="F810" t="s">
        <v>154</v>
      </c>
      <c r="H810" t="s">
        <v>4715</v>
      </c>
      <c r="I810" t="s">
        <v>5465</v>
      </c>
      <c r="L810" t="s">
        <v>4717</v>
      </c>
    </row>
    <row r="811">
      <c r="A811" t="s">
        <v>2835</v>
      </c>
      <c r="B811" t="s">
        <v>1949</v>
      </c>
      <c r="C811" t="s">
        <v>1798</v>
      </c>
      <c r="D811" t="s">
        <v>1939</v>
      </c>
      <c r="E811" t="s">
        <v>1940</v>
      </c>
      <c r="F811" t="s">
        <v>154</v>
      </c>
      <c r="H811" t="s">
        <v>4715</v>
      </c>
      <c r="I811" t="s">
        <v>5466</v>
      </c>
      <c r="L811" t="s">
        <v>4717</v>
      </c>
    </row>
    <row r="812">
      <c r="A812" t="s">
        <v>2835</v>
      </c>
      <c r="B812" t="s">
        <v>1949</v>
      </c>
      <c r="C812" t="s">
        <v>1798</v>
      </c>
      <c r="D812" t="s">
        <v>1939</v>
      </c>
      <c r="E812" t="s">
        <v>1940</v>
      </c>
      <c r="F812" t="s">
        <v>154</v>
      </c>
      <c r="H812" t="s">
        <v>4715</v>
      </c>
      <c r="I812" t="s">
        <v>4922</v>
      </c>
      <c r="L812" t="s">
        <v>4717</v>
      </c>
    </row>
    <row r="813">
      <c r="A813" t="s">
        <v>2837</v>
      </c>
      <c r="B813" t="s">
        <v>1955</v>
      </c>
      <c r="C813" t="s">
        <v>1798</v>
      </c>
      <c r="D813" t="s">
        <v>1939</v>
      </c>
      <c r="E813" t="s">
        <v>1940</v>
      </c>
      <c r="F813" t="s">
        <v>120</v>
      </c>
      <c r="H813" t="s">
        <v>4715</v>
      </c>
      <c r="I813" t="s">
        <v>5467</v>
      </c>
      <c r="L813" t="s">
        <v>4717</v>
      </c>
    </row>
    <row r="814">
      <c r="A814" t="s">
        <v>2837</v>
      </c>
      <c r="B814" t="s">
        <v>1955</v>
      </c>
      <c r="C814" t="s">
        <v>1798</v>
      </c>
      <c r="D814" t="s">
        <v>1939</v>
      </c>
      <c r="E814" t="s">
        <v>1940</v>
      </c>
      <c r="F814" t="s">
        <v>120</v>
      </c>
      <c r="H814" t="s">
        <v>4715</v>
      </c>
      <c r="I814" t="s">
        <v>4922</v>
      </c>
      <c r="L814" t="s">
        <v>4717</v>
      </c>
    </row>
    <row r="815">
      <c r="A815" t="s">
        <v>2837</v>
      </c>
      <c r="B815" t="s">
        <v>1955</v>
      </c>
      <c r="C815" t="s">
        <v>1798</v>
      </c>
      <c r="D815" t="s">
        <v>1939</v>
      </c>
      <c r="E815" t="s">
        <v>1940</v>
      </c>
      <c r="F815" t="s">
        <v>120</v>
      </c>
      <c r="H815" t="s">
        <v>4715</v>
      </c>
      <c r="I815" t="s">
        <v>5427</v>
      </c>
      <c r="L815" t="s">
        <v>4717</v>
      </c>
    </row>
    <row r="816">
      <c r="A816" t="s">
        <v>2839</v>
      </c>
      <c r="B816" t="s">
        <v>2843</v>
      </c>
      <c r="C816" t="s">
        <v>2858</v>
      </c>
      <c r="D816" t="s">
        <v>2859</v>
      </c>
      <c r="E816" t="s">
        <v>1986</v>
      </c>
      <c r="F816" t="s">
        <v>129</v>
      </c>
      <c r="G816" t="s">
        <v>2078</v>
      </c>
      <c r="H816" t="s">
        <v>4715</v>
      </c>
      <c r="I816" t="s">
        <v>5468</v>
      </c>
      <c r="L816" t="s">
        <v>4717</v>
      </c>
    </row>
    <row r="817">
      <c r="A817" t="s">
        <v>2839</v>
      </c>
      <c r="B817" t="s">
        <v>2843</v>
      </c>
      <c r="C817" t="s">
        <v>2858</v>
      </c>
      <c r="D817" t="s">
        <v>2859</v>
      </c>
      <c r="E817" t="s">
        <v>1986</v>
      </c>
      <c r="F817" t="s">
        <v>129</v>
      </c>
      <c r="G817" t="s">
        <v>2078</v>
      </c>
      <c r="H817" t="s">
        <v>4715</v>
      </c>
      <c r="I817" t="s">
        <v>5469</v>
      </c>
      <c r="L817" t="s">
        <v>4717</v>
      </c>
    </row>
    <row r="818">
      <c r="A818" t="s">
        <v>2857</v>
      </c>
      <c r="B818" t="s">
        <v>2861</v>
      </c>
      <c r="C818" t="s">
        <v>2858</v>
      </c>
      <c r="D818" t="s">
        <v>2859</v>
      </c>
      <c r="E818" t="s">
        <v>1986</v>
      </c>
      <c r="F818" t="s">
        <v>129</v>
      </c>
      <c r="G818" t="s">
        <v>2078</v>
      </c>
      <c r="H818" t="s">
        <v>4715</v>
      </c>
      <c r="I818" t="s">
        <v>5468</v>
      </c>
      <c r="L818" t="s">
        <v>4717</v>
      </c>
    </row>
    <row r="819">
      <c r="A819" t="s">
        <v>2857</v>
      </c>
      <c r="B819" t="s">
        <v>2861</v>
      </c>
      <c r="C819" t="s">
        <v>2858</v>
      </c>
      <c r="D819" t="s">
        <v>2859</v>
      </c>
      <c r="E819" t="s">
        <v>1986</v>
      </c>
      <c r="F819" t="s">
        <v>129</v>
      </c>
      <c r="G819" t="s">
        <v>2078</v>
      </c>
      <c r="H819" t="s">
        <v>4715</v>
      </c>
      <c r="I819" t="s">
        <v>5469</v>
      </c>
      <c r="L819" t="s">
        <v>4717</v>
      </c>
    </row>
    <row r="820">
      <c r="A820" t="s">
        <v>2871</v>
      </c>
      <c r="B820" t="s">
        <v>2872</v>
      </c>
      <c r="C820" t="s">
        <v>2858</v>
      </c>
      <c r="D820" t="s">
        <v>2859</v>
      </c>
      <c r="E820" t="s">
        <v>1986</v>
      </c>
      <c r="F820" t="s">
        <v>129</v>
      </c>
      <c r="G820" t="s">
        <v>2078</v>
      </c>
      <c r="H820" t="s">
        <v>4715</v>
      </c>
      <c r="I820" t="s">
        <v>5468</v>
      </c>
      <c r="L820" t="s">
        <v>4717</v>
      </c>
    </row>
    <row r="821">
      <c r="A821" t="s">
        <v>2871</v>
      </c>
      <c r="B821" t="s">
        <v>2872</v>
      </c>
      <c r="C821" t="s">
        <v>2858</v>
      </c>
      <c r="D821" t="s">
        <v>2859</v>
      </c>
      <c r="E821" t="s">
        <v>1986</v>
      </c>
      <c r="F821" t="s">
        <v>129</v>
      </c>
      <c r="G821" t="s">
        <v>2078</v>
      </c>
      <c r="H821" t="s">
        <v>4715</v>
      </c>
      <c r="I821" t="s">
        <v>5469</v>
      </c>
      <c r="L821" t="s">
        <v>4717</v>
      </c>
    </row>
    <row r="822">
      <c r="A822" t="s">
        <v>2877</v>
      </c>
      <c r="B822" t="s">
        <v>2878</v>
      </c>
      <c r="C822" t="s">
        <v>2858</v>
      </c>
      <c r="D822" t="s">
        <v>2859</v>
      </c>
      <c r="E822" t="s">
        <v>1986</v>
      </c>
      <c r="F822" t="s">
        <v>129</v>
      </c>
      <c r="G822" t="s">
        <v>2078</v>
      </c>
      <c r="H822" t="s">
        <v>4715</v>
      </c>
      <c r="I822" t="s">
        <v>5468</v>
      </c>
      <c r="L822" t="s">
        <v>4717</v>
      </c>
    </row>
    <row r="823">
      <c r="A823" t="s">
        <v>2877</v>
      </c>
      <c r="B823" t="s">
        <v>2878</v>
      </c>
      <c r="C823" t="s">
        <v>2858</v>
      </c>
      <c r="D823" t="s">
        <v>2859</v>
      </c>
      <c r="E823" t="s">
        <v>1986</v>
      </c>
      <c r="F823" t="s">
        <v>129</v>
      </c>
      <c r="G823" t="s">
        <v>2078</v>
      </c>
      <c r="H823" t="s">
        <v>4715</v>
      </c>
      <c r="I823" t="s">
        <v>5469</v>
      </c>
      <c r="L823" t="s">
        <v>4717</v>
      </c>
    </row>
    <row r="824">
      <c r="A824" t="s">
        <v>2877</v>
      </c>
      <c r="B824" t="s">
        <v>2878</v>
      </c>
      <c r="C824" t="s">
        <v>2858</v>
      </c>
      <c r="D824" t="s">
        <v>2859</v>
      </c>
      <c r="E824" t="s">
        <v>1986</v>
      </c>
      <c r="F824" t="s">
        <v>129</v>
      </c>
      <c r="G824" t="s">
        <v>2078</v>
      </c>
      <c r="H824" t="s">
        <v>5041</v>
      </c>
      <c r="I824" t="s">
        <v>5470</v>
      </c>
      <c r="J824" t="s">
        <v>5471</v>
      </c>
      <c r="K824" t="s">
        <v>5472</v>
      </c>
      <c r="L824" t="s">
        <v>1987</v>
      </c>
      <c r="M824" t="s">
        <v>5473</v>
      </c>
    </row>
    <row r="825">
      <c r="A825" t="s">
        <v>2877</v>
      </c>
      <c r="B825" t="s">
        <v>2878</v>
      </c>
      <c r="C825" t="s">
        <v>2858</v>
      </c>
      <c r="D825" t="s">
        <v>2859</v>
      </c>
      <c r="E825" t="s">
        <v>1986</v>
      </c>
      <c r="F825" t="s">
        <v>129</v>
      </c>
      <c r="G825" t="s">
        <v>2078</v>
      </c>
      <c r="H825" t="s">
        <v>5474</v>
      </c>
      <c r="I825" t="s">
        <v>4825</v>
      </c>
      <c r="J825" t="s">
        <v>5475</v>
      </c>
      <c r="K825" t="s">
        <v>5476</v>
      </c>
      <c r="L825" t="s">
        <v>1987</v>
      </c>
      <c r="M825" t="s">
        <v>5473</v>
      </c>
    </row>
    <row r="826">
      <c r="A826" t="s">
        <v>2877</v>
      </c>
      <c r="B826" t="s">
        <v>2878</v>
      </c>
      <c r="C826" t="s">
        <v>2858</v>
      </c>
      <c r="D826" t="s">
        <v>2859</v>
      </c>
      <c r="E826" t="s">
        <v>1986</v>
      </c>
      <c r="F826" t="s">
        <v>129</v>
      </c>
      <c r="G826" t="s">
        <v>2078</v>
      </c>
      <c r="H826" t="s">
        <v>5474</v>
      </c>
      <c r="I826" t="s">
        <v>5477</v>
      </c>
      <c r="J826" t="s">
        <v>5478</v>
      </c>
      <c r="K826" t="s">
        <v>5479</v>
      </c>
      <c r="L826" t="s">
        <v>1987</v>
      </c>
      <c r="M826" t="s">
        <v>5473</v>
      </c>
    </row>
    <row r="827">
      <c r="A827" t="s">
        <v>2877</v>
      </c>
      <c r="B827" t="s">
        <v>2878</v>
      </c>
      <c r="C827" t="s">
        <v>2858</v>
      </c>
      <c r="D827" t="s">
        <v>2859</v>
      </c>
      <c r="E827" t="s">
        <v>1986</v>
      </c>
      <c r="F827" t="s">
        <v>129</v>
      </c>
      <c r="G827" t="s">
        <v>2078</v>
      </c>
      <c r="H827" t="s">
        <v>5474</v>
      </c>
      <c r="I827" t="s">
        <v>5480</v>
      </c>
      <c r="J827" t="s">
        <v>5481</v>
      </c>
      <c r="K827" t="s">
        <v>5482</v>
      </c>
      <c r="L827" t="s">
        <v>1987</v>
      </c>
      <c r="M827" t="s">
        <v>5473</v>
      </c>
    </row>
    <row r="828">
      <c r="A828" t="s">
        <v>2877</v>
      </c>
      <c r="B828" t="s">
        <v>2878</v>
      </c>
      <c r="C828" t="s">
        <v>2858</v>
      </c>
      <c r="D828" t="s">
        <v>2859</v>
      </c>
      <c r="E828" t="s">
        <v>1986</v>
      </c>
      <c r="F828" t="s">
        <v>129</v>
      </c>
      <c r="G828" t="s">
        <v>2078</v>
      </c>
      <c r="H828" t="s">
        <v>5483</v>
      </c>
      <c r="I828" t="s">
        <v>5484</v>
      </c>
      <c r="J828" t="s">
        <v>5485</v>
      </c>
      <c r="K828" t="s">
        <v>5486</v>
      </c>
      <c r="L828" t="s">
        <v>1987</v>
      </c>
      <c r="M828" t="s">
        <v>5473</v>
      </c>
    </row>
    <row r="829">
      <c r="A829" t="s">
        <v>2877</v>
      </c>
      <c r="B829" t="s">
        <v>2878</v>
      </c>
      <c r="C829" t="s">
        <v>2858</v>
      </c>
      <c r="D829" t="s">
        <v>2859</v>
      </c>
      <c r="E829" t="s">
        <v>1986</v>
      </c>
      <c r="F829" t="s">
        <v>129</v>
      </c>
      <c r="G829" t="s">
        <v>2078</v>
      </c>
      <c r="H829" t="s">
        <v>5483</v>
      </c>
      <c r="I829" t="s">
        <v>5487</v>
      </c>
      <c r="J829" t="s">
        <v>5488</v>
      </c>
      <c r="K829" t="s">
        <v>5489</v>
      </c>
      <c r="L829" t="s">
        <v>1987</v>
      </c>
      <c r="M829" t="s">
        <v>5473</v>
      </c>
    </row>
    <row r="830">
      <c r="A830" t="s">
        <v>2877</v>
      </c>
      <c r="B830" t="s">
        <v>2878</v>
      </c>
      <c r="C830" t="s">
        <v>2858</v>
      </c>
      <c r="D830" t="s">
        <v>2859</v>
      </c>
      <c r="E830" t="s">
        <v>1986</v>
      </c>
      <c r="F830" t="s">
        <v>129</v>
      </c>
      <c r="G830" t="s">
        <v>2078</v>
      </c>
      <c r="H830" t="s">
        <v>4159</v>
      </c>
      <c r="I830" t="s">
        <v>5490</v>
      </c>
      <c r="J830" t="s">
        <v>5491</v>
      </c>
      <c r="K830" t="s">
        <v>5492</v>
      </c>
      <c r="L830" t="s">
        <v>1987</v>
      </c>
      <c r="M830" t="s">
        <v>5473</v>
      </c>
    </row>
    <row r="831">
      <c r="A831" t="s">
        <v>2877</v>
      </c>
      <c r="B831" t="s">
        <v>2878</v>
      </c>
      <c r="C831" t="s">
        <v>2858</v>
      </c>
      <c r="D831" t="s">
        <v>2859</v>
      </c>
      <c r="E831" t="s">
        <v>1986</v>
      </c>
      <c r="F831" t="s">
        <v>129</v>
      </c>
      <c r="G831" t="s">
        <v>2078</v>
      </c>
      <c r="H831" t="s">
        <v>4159</v>
      </c>
      <c r="I831" t="s">
        <v>5493</v>
      </c>
      <c r="J831" t="s">
        <v>5494</v>
      </c>
      <c r="K831" t="s">
        <v>5495</v>
      </c>
      <c r="L831" t="s">
        <v>1987</v>
      </c>
      <c r="M831" t="s">
        <v>5473</v>
      </c>
    </row>
    <row r="832">
      <c r="A832" t="s">
        <v>2877</v>
      </c>
      <c r="B832" t="s">
        <v>2878</v>
      </c>
      <c r="C832" t="s">
        <v>2858</v>
      </c>
      <c r="D832" t="s">
        <v>2859</v>
      </c>
      <c r="E832" t="s">
        <v>1986</v>
      </c>
      <c r="F832" t="s">
        <v>129</v>
      </c>
      <c r="G832" t="s">
        <v>2078</v>
      </c>
      <c r="H832" t="s">
        <v>5496</v>
      </c>
      <c r="I832" t="s">
        <v>5497</v>
      </c>
      <c r="J832" t="s">
        <v>5498</v>
      </c>
      <c r="K832" t="s">
        <v>5499</v>
      </c>
      <c r="L832" t="s">
        <v>1987</v>
      </c>
      <c r="M832" t="s">
        <v>5473</v>
      </c>
    </row>
    <row r="833">
      <c r="A833" t="s">
        <v>2877</v>
      </c>
      <c r="B833" t="s">
        <v>2878</v>
      </c>
      <c r="C833" t="s">
        <v>2858</v>
      </c>
      <c r="D833" t="s">
        <v>2859</v>
      </c>
      <c r="E833" t="s">
        <v>1986</v>
      </c>
      <c r="F833" t="s">
        <v>129</v>
      </c>
      <c r="G833" t="s">
        <v>2078</v>
      </c>
      <c r="H833" t="s">
        <v>5496</v>
      </c>
      <c r="I833" t="s">
        <v>4826</v>
      </c>
      <c r="J833" t="s">
        <v>5500</v>
      </c>
      <c r="K833" t="s">
        <v>5501</v>
      </c>
      <c r="L833" t="s">
        <v>1987</v>
      </c>
      <c r="M833" t="s">
        <v>5473</v>
      </c>
    </row>
    <row r="834">
      <c r="A834" t="s">
        <v>2877</v>
      </c>
      <c r="B834" t="s">
        <v>2878</v>
      </c>
      <c r="C834" t="s">
        <v>2858</v>
      </c>
      <c r="D834" t="s">
        <v>2859</v>
      </c>
      <c r="E834" t="s">
        <v>1986</v>
      </c>
      <c r="F834" t="s">
        <v>129</v>
      </c>
      <c r="G834" t="s">
        <v>2078</v>
      </c>
      <c r="H834" t="s">
        <v>5496</v>
      </c>
      <c r="I834" t="s">
        <v>5502</v>
      </c>
      <c r="J834" t="s">
        <v>5503</v>
      </c>
      <c r="K834" t="s">
        <v>5504</v>
      </c>
      <c r="L834" t="s">
        <v>1987</v>
      </c>
      <c r="M834" t="s">
        <v>5473</v>
      </c>
    </row>
    <row r="835">
      <c r="A835" t="s">
        <v>2877</v>
      </c>
      <c r="B835" t="s">
        <v>2878</v>
      </c>
      <c r="C835" t="s">
        <v>2858</v>
      </c>
      <c r="D835" t="s">
        <v>2859</v>
      </c>
      <c r="E835" t="s">
        <v>1986</v>
      </c>
      <c r="F835" t="s">
        <v>129</v>
      </c>
      <c r="G835" t="s">
        <v>2078</v>
      </c>
      <c r="H835" t="s">
        <v>5170</v>
      </c>
      <c r="I835" t="s">
        <v>5505</v>
      </c>
      <c r="J835" t="s">
        <v>5506</v>
      </c>
      <c r="K835" t="s">
        <v>5507</v>
      </c>
      <c r="L835" t="s">
        <v>1987</v>
      </c>
      <c r="M835" t="s">
        <v>5473</v>
      </c>
    </row>
    <row r="836">
      <c r="A836" t="s">
        <v>2877</v>
      </c>
      <c r="B836" t="s">
        <v>2878</v>
      </c>
      <c r="C836" t="s">
        <v>2858</v>
      </c>
      <c r="D836" t="s">
        <v>2859</v>
      </c>
      <c r="E836" t="s">
        <v>1986</v>
      </c>
      <c r="F836" t="s">
        <v>129</v>
      </c>
      <c r="G836" t="s">
        <v>2078</v>
      </c>
      <c r="H836" t="s">
        <v>5170</v>
      </c>
      <c r="I836" t="s">
        <v>5508</v>
      </c>
      <c r="J836" t="s">
        <v>5509</v>
      </c>
      <c r="K836" t="s">
        <v>5510</v>
      </c>
      <c r="L836" t="s">
        <v>1987</v>
      </c>
      <c r="M836" t="s">
        <v>5473</v>
      </c>
    </row>
    <row r="837">
      <c r="A837" t="s">
        <v>2877</v>
      </c>
      <c r="B837" t="s">
        <v>2878</v>
      </c>
      <c r="C837" t="s">
        <v>2858</v>
      </c>
      <c r="D837" t="s">
        <v>2859</v>
      </c>
      <c r="E837" t="s">
        <v>1986</v>
      </c>
      <c r="F837" t="s">
        <v>129</v>
      </c>
      <c r="G837" t="s">
        <v>2078</v>
      </c>
      <c r="H837" t="s">
        <v>5170</v>
      </c>
      <c r="I837" t="s">
        <v>5511</v>
      </c>
      <c r="J837" t="s">
        <v>5512</v>
      </c>
      <c r="K837" t="s">
        <v>5513</v>
      </c>
      <c r="L837" t="s">
        <v>1987</v>
      </c>
      <c r="M837" t="s">
        <v>5473</v>
      </c>
    </row>
    <row r="838">
      <c r="A838" t="s">
        <v>2877</v>
      </c>
      <c r="B838" t="s">
        <v>2878</v>
      </c>
      <c r="C838" t="s">
        <v>2858</v>
      </c>
      <c r="D838" t="s">
        <v>2859</v>
      </c>
      <c r="E838" t="s">
        <v>1986</v>
      </c>
      <c r="F838" t="s">
        <v>129</v>
      </c>
      <c r="G838" t="s">
        <v>2078</v>
      </c>
      <c r="H838" t="s">
        <v>5514</v>
      </c>
      <c r="I838" t="s">
        <v>5515</v>
      </c>
      <c r="J838" t="s">
        <v>5516</v>
      </c>
      <c r="K838" t="s">
        <v>5030</v>
      </c>
      <c r="L838" t="s">
        <v>1987</v>
      </c>
      <c r="M838" t="s">
        <v>5473</v>
      </c>
    </row>
    <row r="839">
      <c r="A839" t="s">
        <v>2877</v>
      </c>
      <c r="B839" t="s">
        <v>2878</v>
      </c>
      <c r="C839" t="s">
        <v>2858</v>
      </c>
      <c r="D839" t="s">
        <v>2859</v>
      </c>
      <c r="E839" t="s">
        <v>1986</v>
      </c>
      <c r="F839" t="s">
        <v>129</v>
      </c>
      <c r="G839" t="s">
        <v>2078</v>
      </c>
      <c r="H839" t="s">
        <v>4159</v>
      </c>
      <c r="I839" t="s">
        <v>5517</v>
      </c>
      <c r="J839" t="s">
        <v>5518</v>
      </c>
      <c r="K839" t="s">
        <v>4832</v>
      </c>
      <c r="L839" t="s">
        <v>1987</v>
      </c>
      <c r="M839" t="s">
        <v>5473</v>
      </c>
    </row>
    <row r="840">
      <c r="A840" t="s">
        <v>2877</v>
      </c>
      <c r="B840" t="s">
        <v>2878</v>
      </c>
      <c r="C840" t="s">
        <v>2858</v>
      </c>
      <c r="D840" t="s">
        <v>2859</v>
      </c>
      <c r="E840" t="s">
        <v>1986</v>
      </c>
      <c r="F840" t="s">
        <v>129</v>
      </c>
      <c r="G840" t="s">
        <v>2078</v>
      </c>
      <c r="H840" t="s">
        <v>5519</v>
      </c>
      <c r="I840" t="s">
        <v>3872</v>
      </c>
      <c r="J840" t="s">
        <v>5520</v>
      </c>
      <c r="K840" t="s">
        <v>5521</v>
      </c>
      <c r="L840" t="s">
        <v>1987</v>
      </c>
      <c r="M840" t="s">
        <v>5473</v>
      </c>
    </row>
    <row r="841">
      <c r="A841" t="s">
        <v>2877</v>
      </c>
      <c r="B841" t="s">
        <v>2878</v>
      </c>
      <c r="C841" t="s">
        <v>2858</v>
      </c>
      <c r="D841" t="s">
        <v>2859</v>
      </c>
      <c r="E841" t="s">
        <v>1986</v>
      </c>
      <c r="F841" t="s">
        <v>129</v>
      </c>
      <c r="G841" t="s">
        <v>2078</v>
      </c>
      <c r="H841" t="s">
        <v>5522</v>
      </c>
      <c r="I841" t="s">
        <v>5523</v>
      </c>
      <c r="J841" t="s">
        <v>5524</v>
      </c>
      <c r="K841" t="s">
        <v>5525</v>
      </c>
      <c r="L841" t="s">
        <v>1987</v>
      </c>
      <c r="M841" t="s">
        <v>5473</v>
      </c>
    </row>
    <row r="842">
      <c r="A842" t="s">
        <v>2877</v>
      </c>
      <c r="B842" t="s">
        <v>2878</v>
      </c>
      <c r="C842" t="s">
        <v>2858</v>
      </c>
      <c r="D842" t="s">
        <v>2859</v>
      </c>
      <c r="E842" t="s">
        <v>1986</v>
      </c>
      <c r="F842" t="s">
        <v>129</v>
      </c>
      <c r="G842" t="s">
        <v>2078</v>
      </c>
      <c r="H842" t="s">
        <v>5522</v>
      </c>
      <c r="I842" t="s">
        <v>5526</v>
      </c>
      <c r="J842" t="s">
        <v>5527</v>
      </c>
      <c r="K842" t="s">
        <v>5499</v>
      </c>
      <c r="L842" t="s">
        <v>1987</v>
      </c>
      <c r="M842" t="s">
        <v>5473</v>
      </c>
    </row>
    <row r="843">
      <c r="A843" t="s">
        <v>2883</v>
      </c>
      <c r="B843" t="s">
        <v>2884</v>
      </c>
      <c r="C843" t="s">
        <v>2858</v>
      </c>
      <c r="D843" t="s">
        <v>2859</v>
      </c>
      <c r="E843" t="s">
        <v>1986</v>
      </c>
      <c r="F843" t="s">
        <v>129</v>
      </c>
      <c r="G843" t="s">
        <v>2078</v>
      </c>
      <c r="H843" t="s">
        <v>4715</v>
      </c>
      <c r="I843" t="s">
        <v>5468</v>
      </c>
      <c r="L843" t="s">
        <v>4717</v>
      </c>
    </row>
    <row r="844">
      <c r="A844" t="s">
        <v>2883</v>
      </c>
      <c r="B844" t="s">
        <v>2884</v>
      </c>
      <c r="C844" t="s">
        <v>2858</v>
      </c>
      <c r="D844" t="s">
        <v>2859</v>
      </c>
      <c r="E844" t="s">
        <v>1986</v>
      </c>
      <c r="F844" t="s">
        <v>129</v>
      </c>
      <c r="G844" t="s">
        <v>2078</v>
      </c>
      <c r="H844" t="s">
        <v>4715</v>
      </c>
      <c r="I844" t="s">
        <v>5469</v>
      </c>
      <c r="L844" t="s">
        <v>4717</v>
      </c>
    </row>
    <row r="845">
      <c r="A845" t="s">
        <v>2883</v>
      </c>
      <c r="B845" t="s">
        <v>2884</v>
      </c>
      <c r="C845" t="s">
        <v>2858</v>
      </c>
      <c r="D845" t="s">
        <v>2859</v>
      </c>
      <c r="E845" t="s">
        <v>1986</v>
      </c>
      <c r="F845" t="s">
        <v>129</v>
      </c>
      <c r="G845" t="s">
        <v>2078</v>
      </c>
      <c r="H845" t="s">
        <v>5041</v>
      </c>
      <c r="I845" t="s">
        <v>5470</v>
      </c>
      <c r="J845" t="s">
        <v>5471</v>
      </c>
      <c r="K845" t="s">
        <v>5472</v>
      </c>
      <c r="L845" t="s">
        <v>1987</v>
      </c>
      <c r="M845" t="s">
        <v>5473</v>
      </c>
    </row>
    <row r="846">
      <c r="A846" t="s">
        <v>2883</v>
      </c>
      <c r="B846" t="s">
        <v>2884</v>
      </c>
      <c r="C846" t="s">
        <v>2858</v>
      </c>
      <c r="D846" t="s">
        <v>2859</v>
      </c>
      <c r="E846" t="s">
        <v>1986</v>
      </c>
      <c r="F846" t="s">
        <v>129</v>
      </c>
      <c r="G846" t="s">
        <v>2078</v>
      </c>
      <c r="H846" t="s">
        <v>5474</v>
      </c>
      <c r="I846" t="s">
        <v>4825</v>
      </c>
      <c r="J846" t="s">
        <v>5475</v>
      </c>
      <c r="K846" t="s">
        <v>5476</v>
      </c>
      <c r="L846" t="s">
        <v>1987</v>
      </c>
      <c r="M846" t="s">
        <v>5473</v>
      </c>
    </row>
    <row r="847">
      <c r="A847" t="s">
        <v>2883</v>
      </c>
      <c r="B847" t="s">
        <v>2884</v>
      </c>
      <c r="C847" t="s">
        <v>2858</v>
      </c>
      <c r="D847" t="s">
        <v>2859</v>
      </c>
      <c r="E847" t="s">
        <v>1986</v>
      </c>
      <c r="F847" t="s">
        <v>129</v>
      </c>
      <c r="G847" t="s">
        <v>2078</v>
      </c>
      <c r="H847" t="s">
        <v>5474</v>
      </c>
      <c r="I847" t="s">
        <v>5477</v>
      </c>
      <c r="J847" t="s">
        <v>5478</v>
      </c>
      <c r="K847" t="s">
        <v>5479</v>
      </c>
      <c r="L847" t="s">
        <v>1987</v>
      </c>
      <c r="M847" t="s">
        <v>5473</v>
      </c>
    </row>
    <row r="848">
      <c r="A848" t="s">
        <v>2883</v>
      </c>
      <c r="B848" t="s">
        <v>2884</v>
      </c>
      <c r="C848" t="s">
        <v>2858</v>
      </c>
      <c r="D848" t="s">
        <v>2859</v>
      </c>
      <c r="E848" t="s">
        <v>1986</v>
      </c>
      <c r="F848" t="s">
        <v>129</v>
      </c>
      <c r="G848" t="s">
        <v>2078</v>
      </c>
      <c r="H848" t="s">
        <v>5474</v>
      </c>
      <c r="I848" t="s">
        <v>5480</v>
      </c>
      <c r="J848" t="s">
        <v>5481</v>
      </c>
      <c r="K848" t="s">
        <v>5482</v>
      </c>
      <c r="L848" t="s">
        <v>1987</v>
      </c>
      <c r="M848" t="s">
        <v>5473</v>
      </c>
    </row>
    <row r="849">
      <c r="A849" t="s">
        <v>2883</v>
      </c>
      <c r="B849" t="s">
        <v>2884</v>
      </c>
      <c r="C849" t="s">
        <v>2858</v>
      </c>
      <c r="D849" t="s">
        <v>2859</v>
      </c>
      <c r="E849" t="s">
        <v>1986</v>
      </c>
      <c r="F849" t="s">
        <v>129</v>
      </c>
      <c r="G849" t="s">
        <v>2078</v>
      </c>
      <c r="H849" t="s">
        <v>5483</v>
      </c>
      <c r="I849" t="s">
        <v>5484</v>
      </c>
      <c r="J849" t="s">
        <v>5485</v>
      </c>
      <c r="K849" t="s">
        <v>5486</v>
      </c>
      <c r="L849" t="s">
        <v>1987</v>
      </c>
      <c r="M849" t="s">
        <v>5473</v>
      </c>
    </row>
    <row r="850">
      <c r="A850" t="s">
        <v>2883</v>
      </c>
      <c r="B850" t="s">
        <v>2884</v>
      </c>
      <c r="C850" t="s">
        <v>2858</v>
      </c>
      <c r="D850" t="s">
        <v>2859</v>
      </c>
      <c r="E850" t="s">
        <v>1986</v>
      </c>
      <c r="F850" t="s">
        <v>129</v>
      </c>
      <c r="G850" t="s">
        <v>2078</v>
      </c>
      <c r="H850" t="s">
        <v>5483</v>
      </c>
      <c r="I850" t="s">
        <v>5487</v>
      </c>
      <c r="J850" t="s">
        <v>5488</v>
      </c>
      <c r="K850" t="s">
        <v>5489</v>
      </c>
      <c r="L850" t="s">
        <v>1987</v>
      </c>
      <c r="M850" t="s">
        <v>5473</v>
      </c>
    </row>
    <row r="851">
      <c r="A851" t="s">
        <v>2883</v>
      </c>
      <c r="B851" t="s">
        <v>2884</v>
      </c>
      <c r="C851" t="s">
        <v>2858</v>
      </c>
      <c r="D851" t="s">
        <v>2859</v>
      </c>
      <c r="E851" t="s">
        <v>1986</v>
      </c>
      <c r="F851" t="s">
        <v>129</v>
      </c>
      <c r="G851" t="s">
        <v>2078</v>
      </c>
      <c r="H851" t="s">
        <v>4159</v>
      </c>
      <c r="I851" t="s">
        <v>5490</v>
      </c>
      <c r="J851" t="s">
        <v>5491</v>
      </c>
      <c r="K851" t="s">
        <v>5492</v>
      </c>
      <c r="L851" t="s">
        <v>1987</v>
      </c>
      <c r="M851" t="s">
        <v>5473</v>
      </c>
    </row>
    <row r="852">
      <c r="A852" t="s">
        <v>2883</v>
      </c>
      <c r="B852" t="s">
        <v>2884</v>
      </c>
      <c r="C852" t="s">
        <v>2858</v>
      </c>
      <c r="D852" t="s">
        <v>2859</v>
      </c>
      <c r="E852" t="s">
        <v>1986</v>
      </c>
      <c r="F852" t="s">
        <v>129</v>
      </c>
      <c r="G852" t="s">
        <v>2078</v>
      </c>
      <c r="H852" t="s">
        <v>4159</v>
      </c>
      <c r="I852" t="s">
        <v>5493</v>
      </c>
      <c r="J852" t="s">
        <v>5494</v>
      </c>
      <c r="K852" t="s">
        <v>5495</v>
      </c>
      <c r="L852" t="s">
        <v>1987</v>
      </c>
      <c r="M852" t="s">
        <v>5473</v>
      </c>
    </row>
    <row r="853">
      <c r="A853" t="s">
        <v>2883</v>
      </c>
      <c r="B853" t="s">
        <v>2884</v>
      </c>
      <c r="C853" t="s">
        <v>2858</v>
      </c>
      <c r="D853" t="s">
        <v>2859</v>
      </c>
      <c r="E853" t="s">
        <v>1986</v>
      </c>
      <c r="F853" t="s">
        <v>129</v>
      </c>
      <c r="G853" t="s">
        <v>2078</v>
      </c>
      <c r="H853" t="s">
        <v>5496</v>
      </c>
      <c r="I853" t="s">
        <v>5497</v>
      </c>
      <c r="J853" t="s">
        <v>5498</v>
      </c>
      <c r="K853" t="s">
        <v>5499</v>
      </c>
      <c r="L853" t="s">
        <v>1987</v>
      </c>
      <c r="M853" t="s">
        <v>5473</v>
      </c>
    </row>
    <row r="854">
      <c r="A854" t="s">
        <v>2883</v>
      </c>
      <c r="B854" t="s">
        <v>2884</v>
      </c>
      <c r="C854" t="s">
        <v>2858</v>
      </c>
      <c r="D854" t="s">
        <v>2859</v>
      </c>
      <c r="E854" t="s">
        <v>1986</v>
      </c>
      <c r="F854" t="s">
        <v>129</v>
      </c>
      <c r="G854" t="s">
        <v>2078</v>
      </c>
      <c r="H854" t="s">
        <v>5496</v>
      </c>
      <c r="I854" t="s">
        <v>4826</v>
      </c>
      <c r="J854" t="s">
        <v>5500</v>
      </c>
      <c r="K854" t="s">
        <v>5501</v>
      </c>
      <c r="L854" t="s">
        <v>1987</v>
      </c>
      <c r="M854" t="s">
        <v>5473</v>
      </c>
    </row>
    <row r="855">
      <c r="A855" t="s">
        <v>2883</v>
      </c>
      <c r="B855" t="s">
        <v>2884</v>
      </c>
      <c r="C855" t="s">
        <v>2858</v>
      </c>
      <c r="D855" t="s">
        <v>2859</v>
      </c>
      <c r="E855" t="s">
        <v>1986</v>
      </c>
      <c r="F855" t="s">
        <v>129</v>
      </c>
      <c r="G855" t="s">
        <v>2078</v>
      </c>
      <c r="H855" t="s">
        <v>5496</v>
      </c>
      <c r="I855" t="s">
        <v>5502</v>
      </c>
      <c r="J855" t="s">
        <v>5503</v>
      </c>
      <c r="K855" t="s">
        <v>5504</v>
      </c>
      <c r="L855" t="s">
        <v>1987</v>
      </c>
      <c r="M855" t="s">
        <v>5473</v>
      </c>
    </row>
    <row r="856">
      <c r="A856" t="s">
        <v>2883</v>
      </c>
      <c r="B856" t="s">
        <v>2884</v>
      </c>
      <c r="C856" t="s">
        <v>2858</v>
      </c>
      <c r="D856" t="s">
        <v>2859</v>
      </c>
      <c r="E856" t="s">
        <v>1986</v>
      </c>
      <c r="F856" t="s">
        <v>129</v>
      </c>
      <c r="G856" t="s">
        <v>2078</v>
      </c>
      <c r="H856" t="s">
        <v>5170</v>
      </c>
      <c r="I856" t="s">
        <v>5505</v>
      </c>
      <c r="J856" t="s">
        <v>5506</v>
      </c>
      <c r="K856" t="s">
        <v>5507</v>
      </c>
      <c r="L856" t="s">
        <v>1987</v>
      </c>
      <c r="M856" t="s">
        <v>5473</v>
      </c>
    </row>
    <row r="857">
      <c r="A857" t="s">
        <v>2883</v>
      </c>
      <c r="B857" t="s">
        <v>2884</v>
      </c>
      <c r="C857" t="s">
        <v>2858</v>
      </c>
      <c r="D857" t="s">
        <v>2859</v>
      </c>
      <c r="E857" t="s">
        <v>1986</v>
      </c>
      <c r="F857" t="s">
        <v>129</v>
      </c>
      <c r="G857" t="s">
        <v>2078</v>
      </c>
      <c r="H857" t="s">
        <v>5170</v>
      </c>
      <c r="I857" t="s">
        <v>5508</v>
      </c>
      <c r="J857" t="s">
        <v>5509</v>
      </c>
      <c r="K857" t="s">
        <v>5510</v>
      </c>
      <c r="L857" t="s">
        <v>1987</v>
      </c>
      <c r="M857" t="s">
        <v>5473</v>
      </c>
    </row>
    <row r="858">
      <c r="A858" t="s">
        <v>2883</v>
      </c>
      <c r="B858" t="s">
        <v>2884</v>
      </c>
      <c r="C858" t="s">
        <v>2858</v>
      </c>
      <c r="D858" t="s">
        <v>2859</v>
      </c>
      <c r="E858" t="s">
        <v>1986</v>
      </c>
      <c r="F858" t="s">
        <v>129</v>
      </c>
      <c r="G858" t="s">
        <v>2078</v>
      </c>
      <c r="H858" t="s">
        <v>5170</v>
      </c>
      <c r="I858" t="s">
        <v>5511</v>
      </c>
      <c r="J858" t="s">
        <v>5512</v>
      </c>
      <c r="K858" t="s">
        <v>5513</v>
      </c>
      <c r="L858" t="s">
        <v>1987</v>
      </c>
      <c r="M858" t="s">
        <v>5473</v>
      </c>
    </row>
    <row r="859">
      <c r="A859" t="s">
        <v>2883</v>
      </c>
      <c r="B859" t="s">
        <v>2884</v>
      </c>
      <c r="C859" t="s">
        <v>2858</v>
      </c>
      <c r="D859" t="s">
        <v>2859</v>
      </c>
      <c r="E859" t="s">
        <v>1986</v>
      </c>
      <c r="F859" t="s">
        <v>129</v>
      </c>
      <c r="G859" t="s">
        <v>2078</v>
      </c>
      <c r="H859" t="s">
        <v>5514</v>
      </c>
      <c r="I859" t="s">
        <v>5515</v>
      </c>
      <c r="J859" t="s">
        <v>5516</v>
      </c>
      <c r="K859" t="s">
        <v>5030</v>
      </c>
      <c r="L859" t="s">
        <v>1987</v>
      </c>
      <c r="M859" t="s">
        <v>5473</v>
      </c>
    </row>
    <row r="860">
      <c r="A860" t="s">
        <v>2883</v>
      </c>
      <c r="B860" t="s">
        <v>2884</v>
      </c>
      <c r="C860" t="s">
        <v>2858</v>
      </c>
      <c r="D860" t="s">
        <v>2859</v>
      </c>
      <c r="E860" t="s">
        <v>1986</v>
      </c>
      <c r="F860" t="s">
        <v>129</v>
      </c>
      <c r="G860" t="s">
        <v>2078</v>
      </c>
      <c r="H860" t="s">
        <v>4159</v>
      </c>
      <c r="I860" t="s">
        <v>5517</v>
      </c>
      <c r="J860" t="s">
        <v>5518</v>
      </c>
      <c r="K860" t="s">
        <v>4832</v>
      </c>
      <c r="L860" t="s">
        <v>1987</v>
      </c>
      <c r="M860" t="s">
        <v>5473</v>
      </c>
    </row>
    <row r="861">
      <c r="A861" t="s">
        <v>2883</v>
      </c>
      <c r="B861" t="s">
        <v>2884</v>
      </c>
      <c r="C861" t="s">
        <v>2858</v>
      </c>
      <c r="D861" t="s">
        <v>2859</v>
      </c>
      <c r="E861" t="s">
        <v>1986</v>
      </c>
      <c r="F861" t="s">
        <v>129</v>
      </c>
      <c r="G861" t="s">
        <v>2078</v>
      </c>
      <c r="H861" t="s">
        <v>5519</v>
      </c>
      <c r="I861" t="s">
        <v>3872</v>
      </c>
      <c r="J861" t="s">
        <v>5520</v>
      </c>
      <c r="K861" t="s">
        <v>5521</v>
      </c>
      <c r="L861" t="s">
        <v>1987</v>
      </c>
      <c r="M861" t="s">
        <v>5473</v>
      </c>
    </row>
    <row r="862">
      <c r="A862" t="s">
        <v>2883</v>
      </c>
      <c r="B862" t="s">
        <v>2884</v>
      </c>
      <c r="C862" t="s">
        <v>2858</v>
      </c>
      <c r="D862" t="s">
        <v>2859</v>
      </c>
      <c r="E862" t="s">
        <v>1986</v>
      </c>
      <c r="F862" t="s">
        <v>129</v>
      </c>
      <c r="G862" t="s">
        <v>2078</v>
      </c>
      <c r="H862" t="s">
        <v>5522</v>
      </c>
      <c r="I862" t="s">
        <v>5523</v>
      </c>
      <c r="J862" t="s">
        <v>5524</v>
      </c>
      <c r="K862" t="s">
        <v>5525</v>
      </c>
      <c r="L862" t="s">
        <v>1987</v>
      </c>
      <c r="M862" t="s">
        <v>5473</v>
      </c>
    </row>
    <row r="863">
      <c r="A863" t="s">
        <v>2883</v>
      </c>
      <c r="B863" t="s">
        <v>2884</v>
      </c>
      <c r="C863" t="s">
        <v>2858</v>
      </c>
      <c r="D863" t="s">
        <v>2859</v>
      </c>
      <c r="E863" t="s">
        <v>1986</v>
      </c>
      <c r="F863" t="s">
        <v>129</v>
      </c>
      <c r="G863" t="s">
        <v>2078</v>
      </c>
      <c r="H863" t="s">
        <v>5522</v>
      </c>
      <c r="I863" t="s">
        <v>5526</v>
      </c>
      <c r="J863" t="s">
        <v>5527</v>
      </c>
      <c r="K863" t="s">
        <v>5499</v>
      </c>
      <c r="L863" t="s">
        <v>1987</v>
      </c>
      <c r="M863" t="s">
        <v>5473</v>
      </c>
    </row>
    <row r="864">
      <c r="A864" t="s">
        <v>2889</v>
      </c>
      <c r="B864" t="s">
        <v>2890</v>
      </c>
      <c r="C864" t="s">
        <v>2858</v>
      </c>
      <c r="D864" t="s">
        <v>2859</v>
      </c>
      <c r="E864" t="s">
        <v>1986</v>
      </c>
      <c r="F864" t="s">
        <v>129</v>
      </c>
      <c r="G864" t="s">
        <v>2078</v>
      </c>
      <c r="H864" t="s">
        <v>4715</v>
      </c>
      <c r="I864" t="s">
        <v>5468</v>
      </c>
      <c r="L864" t="s">
        <v>4717</v>
      </c>
    </row>
    <row r="865">
      <c r="A865" t="s">
        <v>2889</v>
      </c>
      <c r="B865" t="s">
        <v>2890</v>
      </c>
      <c r="C865" t="s">
        <v>2858</v>
      </c>
      <c r="D865" t="s">
        <v>2859</v>
      </c>
      <c r="E865" t="s">
        <v>1986</v>
      </c>
      <c r="F865" t="s">
        <v>129</v>
      </c>
      <c r="G865" t="s">
        <v>2078</v>
      </c>
      <c r="H865" t="s">
        <v>4715</v>
      </c>
      <c r="I865" t="s">
        <v>5469</v>
      </c>
      <c r="L865" t="s">
        <v>4717</v>
      </c>
    </row>
    <row r="866">
      <c r="A866" t="s">
        <v>2894</v>
      </c>
      <c r="B866" t="s">
        <v>2895</v>
      </c>
      <c r="C866" t="s">
        <v>2858</v>
      </c>
      <c r="D866" t="s">
        <v>2859</v>
      </c>
      <c r="E866" t="s">
        <v>1986</v>
      </c>
      <c r="F866" t="s">
        <v>129</v>
      </c>
      <c r="G866" t="s">
        <v>2078</v>
      </c>
      <c r="H866" t="s">
        <v>4715</v>
      </c>
      <c r="I866" t="s">
        <v>5468</v>
      </c>
      <c r="L866" t="s">
        <v>4717</v>
      </c>
    </row>
    <row r="867">
      <c r="A867" t="s">
        <v>2894</v>
      </c>
      <c r="B867" t="s">
        <v>2895</v>
      </c>
      <c r="C867" t="s">
        <v>2858</v>
      </c>
      <c r="D867" t="s">
        <v>2859</v>
      </c>
      <c r="E867" t="s">
        <v>1986</v>
      </c>
      <c r="F867" t="s">
        <v>129</v>
      </c>
      <c r="G867" t="s">
        <v>2078</v>
      </c>
      <c r="H867" t="s">
        <v>4715</v>
      </c>
      <c r="I867" t="s">
        <v>5469</v>
      </c>
      <c r="L867" t="s">
        <v>4717</v>
      </c>
    </row>
    <row r="868">
      <c r="A868" t="s">
        <v>2900</v>
      </c>
      <c r="B868" t="s">
        <v>2901</v>
      </c>
      <c r="C868" t="s">
        <v>2858</v>
      </c>
      <c r="D868" t="s">
        <v>2859</v>
      </c>
      <c r="E868" t="s">
        <v>1986</v>
      </c>
      <c r="F868" t="s">
        <v>129</v>
      </c>
      <c r="G868" t="s">
        <v>2078</v>
      </c>
      <c r="H868" t="s">
        <v>4715</v>
      </c>
      <c r="I868" t="s">
        <v>5468</v>
      </c>
      <c r="L868" t="s">
        <v>4717</v>
      </c>
    </row>
    <row r="869">
      <c r="A869" t="s">
        <v>2900</v>
      </c>
      <c r="B869" t="s">
        <v>2901</v>
      </c>
      <c r="C869" t="s">
        <v>2858</v>
      </c>
      <c r="D869" t="s">
        <v>2859</v>
      </c>
      <c r="E869" t="s">
        <v>1986</v>
      </c>
      <c r="F869" t="s">
        <v>129</v>
      </c>
      <c r="G869" t="s">
        <v>2078</v>
      </c>
      <c r="H869" t="s">
        <v>4715</v>
      </c>
      <c r="I869" t="s">
        <v>5469</v>
      </c>
      <c r="L869" t="s">
        <v>4717</v>
      </c>
    </row>
    <row r="870">
      <c r="A870" t="s">
        <v>2906</v>
      </c>
      <c r="B870" t="s">
        <v>2907</v>
      </c>
      <c r="C870" t="s">
        <v>2858</v>
      </c>
      <c r="D870" t="s">
        <v>2859</v>
      </c>
      <c r="E870" t="s">
        <v>1986</v>
      </c>
      <c r="F870" t="s">
        <v>129</v>
      </c>
      <c r="G870" t="s">
        <v>2078</v>
      </c>
      <c r="H870" t="s">
        <v>4715</v>
      </c>
      <c r="I870" t="s">
        <v>5468</v>
      </c>
      <c r="L870" t="s">
        <v>4717</v>
      </c>
    </row>
    <row r="871">
      <c r="A871" t="s">
        <v>2906</v>
      </c>
      <c r="B871" t="s">
        <v>2907</v>
      </c>
      <c r="C871" t="s">
        <v>2858</v>
      </c>
      <c r="D871" t="s">
        <v>2859</v>
      </c>
      <c r="E871" t="s">
        <v>1986</v>
      </c>
      <c r="F871" t="s">
        <v>129</v>
      </c>
      <c r="G871" t="s">
        <v>2078</v>
      </c>
      <c r="H871" t="s">
        <v>4715</v>
      </c>
      <c r="I871" t="s">
        <v>5469</v>
      </c>
      <c r="L871" t="s">
        <v>4717</v>
      </c>
    </row>
    <row r="872">
      <c r="A872" t="s">
        <v>2912</v>
      </c>
      <c r="B872" t="s">
        <v>2913</v>
      </c>
      <c r="C872" t="s">
        <v>2858</v>
      </c>
      <c r="D872" t="s">
        <v>2859</v>
      </c>
      <c r="E872" t="s">
        <v>1986</v>
      </c>
      <c r="F872" t="s">
        <v>129</v>
      </c>
      <c r="G872" t="s">
        <v>2078</v>
      </c>
      <c r="H872" t="s">
        <v>4715</v>
      </c>
      <c r="I872" t="s">
        <v>5468</v>
      </c>
      <c r="L872" t="s">
        <v>4717</v>
      </c>
    </row>
    <row r="873">
      <c r="A873" t="s">
        <v>2912</v>
      </c>
      <c r="B873" t="s">
        <v>2913</v>
      </c>
      <c r="C873" t="s">
        <v>2858</v>
      </c>
      <c r="D873" t="s">
        <v>2859</v>
      </c>
      <c r="E873" t="s">
        <v>1986</v>
      </c>
      <c r="F873" t="s">
        <v>129</v>
      </c>
      <c r="G873" t="s">
        <v>2078</v>
      </c>
      <c r="H873" t="s">
        <v>4715</v>
      </c>
      <c r="I873" t="s">
        <v>5469</v>
      </c>
      <c r="L873" t="s">
        <v>4717</v>
      </c>
    </row>
    <row r="874">
      <c r="A874" t="s">
        <v>2918</v>
      </c>
      <c r="B874" t="s">
        <v>2919</v>
      </c>
      <c r="C874" t="s">
        <v>2858</v>
      </c>
      <c r="D874" t="s">
        <v>2859</v>
      </c>
      <c r="E874" t="s">
        <v>1987</v>
      </c>
      <c r="F874" t="s">
        <v>129</v>
      </c>
      <c r="G874" t="s">
        <v>2077</v>
      </c>
      <c r="H874" t="s">
        <v>4715</v>
      </c>
      <c r="I874" t="s">
        <v>5468</v>
      </c>
      <c r="L874" t="s">
        <v>4717</v>
      </c>
    </row>
    <row r="875">
      <c r="A875" t="s">
        <v>2918</v>
      </c>
      <c r="B875" t="s">
        <v>2919</v>
      </c>
      <c r="C875" t="s">
        <v>2858</v>
      </c>
      <c r="D875" t="s">
        <v>2859</v>
      </c>
      <c r="E875" t="s">
        <v>1987</v>
      </c>
      <c r="F875" t="s">
        <v>129</v>
      </c>
      <c r="G875" t="s">
        <v>2077</v>
      </c>
      <c r="H875" t="s">
        <v>4715</v>
      </c>
      <c r="I875" t="s">
        <v>5469</v>
      </c>
      <c r="L875" t="s">
        <v>4717</v>
      </c>
    </row>
    <row r="876">
      <c r="A876" t="s">
        <v>2925</v>
      </c>
      <c r="B876" t="s">
        <v>2929</v>
      </c>
      <c r="C876" t="s">
        <v>2858</v>
      </c>
      <c r="D876" t="s">
        <v>2859</v>
      </c>
      <c r="E876" t="s">
        <v>1987</v>
      </c>
      <c r="F876" t="s">
        <v>129</v>
      </c>
      <c r="G876" t="s">
        <v>2077</v>
      </c>
      <c r="H876" t="s">
        <v>4715</v>
      </c>
      <c r="I876" t="s">
        <v>5468</v>
      </c>
      <c r="L876" t="s">
        <v>4717</v>
      </c>
    </row>
    <row r="877">
      <c r="A877" t="s">
        <v>2925</v>
      </c>
      <c r="B877" t="s">
        <v>2929</v>
      </c>
      <c r="C877" t="s">
        <v>2858</v>
      </c>
      <c r="D877" t="s">
        <v>2859</v>
      </c>
      <c r="E877" t="s">
        <v>1987</v>
      </c>
      <c r="F877" t="s">
        <v>129</v>
      </c>
      <c r="G877" t="s">
        <v>2077</v>
      </c>
      <c r="H877" t="s">
        <v>4715</v>
      </c>
      <c r="I877" t="s">
        <v>5469</v>
      </c>
      <c r="L877" t="s">
        <v>4717</v>
      </c>
    </row>
    <row r="878">
      <c r="A878" t="s">
        <v>2940</v>
      </c>
      <c r="B878" t="s">
        <v>2941</v>
      </c>
      <c r="C878" t="s">
        <v>2858</v>
      </c>
      <c r="D878" t="s">
        <v>2859</v>
      </c>
      <c r="E878" t="s">
        <v>1987</v>
      </c>
      <c r="F878" t="s">
        <v>129</v>
      </c>
      <c r="G878" t="s">
        <v>2078</v>
      </c>
      <c r="H878" t="s">
        <v>4715</v>
      </c>
      <c r="I878" t="s">
        <v>5468</v>
      </c>
      <c r="L878" t="s">
        <v>4717</v>
      </c>
    </row>
    <row r="879">
      <c r="A879" t="s">
        <v>2940</v>
      </c>
      <c r="B879" t="s">
        <v>2941</v>
      </c>
      <c r="C879" t="s">
        <v>2858</v>
      </c>
      <c r="D879" t="s">
        <v>2859</v>
      </c>
      <c r="E879" t="s">
        <v>1987</v>
      </c>
      <c r="F879" t="s">
        <v>129</v>
      </c>
      <c r="G879" t="s">
        <v>2078</v>
      </c>
      <c r="H879" t="s">
        <v>4715</v>
      </c>
      <c r="I879" t="s">
        <v>5469</v>
      </c>
      <c r="L879" t="s">
        <v>4717</v>
      </c>
    </row>
    <row r="880">
      <c r="A880" t="s">
        <v>2945</v>
      </c>
      <c r="B880" t="s">
        <v>2946</v>
      </c>
      <c r="C880" t="s">
        <v>2858</v>
      </c>
      <c r="D880" t="s">
        <v>2859</v>
      </c>
      <c r="E880" t="s">
        <v>1987</v>
      </c>
      <c r="F880" t="s">
        <v>129</v>
      </c>
      <c r="G880" t="s">
        <v>2078</v>
      </c>
      <c r="H880" t="s">
        <v>4715</v>
      </c>
      <c r="I880" t="s">
        <v>5468</v>
      </c>
      <c r="L880" t="s">
        <v>4717</v>
      </c>
    </row>
    <row r="881">
      <c r="A881" t="s">
        <v>2945</v>
      </c>
      <c r="B881" t="s">
        <v>2946</v>
      </c>
      <c r="C881" t="s">
        <v>2858</v>
      </c>
      <c r="D881" t="s">
        <v>2859</v>
      </c>
      <c r="E881" t="s">
        <v>1987</v>
      </c>
      <c r="F881" t="s">
        <v>129</v>
      </c>
      <c r="G881" t="s">
        <v>2078</v>
      </c>
      <c r="H881" t="s">
        <v>4715</v>
      </c>
      <c r="I881" t="s">
        <v>5469</v>
      </c>
      <c r="L881" t="s">
        <v>4717</v>
      </c>
    </row>
    <row r="882">
      <c r="A882" t="s">
        <v>2948</v>
      </c>
      <c r="B882" t="s">
        <v>2949</v>
      </c>
      <c r="C882" t="s">
        <v>2858</v>
      </c>
      <c r="D882" t="s">
        <v>2859</v>
      </c>
      <c r="E882" t="s">
        <v>1987</v>
      </c>
      <c r="F882" t="s">
        <v>129</v>
      </c>
      <c r="G882" t="s">
        <v>2078</v>
      </c>
      <c r="H882" t="s">
        <v>4715</v>
      </c>
      <c r="I882" t="s">
        <v>5468</v>
      </c>
      <c r="L882" t="s">
        <v>4717</v>
      </c>
    </row>
    <row r="883">
      <c r="A883" t="s">
        <v>2948</v>
      </c>
      <c r="B883" t="s">
        <v>2949</v>
      </c>
      <c r="C883" t="s">
        <v>2858</v>
      </c>
      <c r="D883" t="s">
        <v>2859</v>
      </c>
      <c r="E883" t="s">
        <v>1987</v>
      </c>
      <c r="F883" t="s">
        <v>129</v>
      </c>
      <c r="G883" t="s">
        <v>2078</v>
      </c>
      <c r="H883" t="s">
        <v>4715</v>
      </c>
      <c r="I883" t="s">
        <v>5469</v>
      </c>
      <c r="L883" t="s">
        <v>4717</v>
      </c>
    </row>
    <row r="884">
      <c r="A884" t="s">
        <v>2954</v>
      </c>
      <c r="B884" t="s">
        <v>2955</v>
      </c>
      <c r="C884" t="s">
        <v>2858</v>
      </c>
      <c r="D884" t="s">
        <v>2859</v>
      </c>
      <c r="E884" t="s">
        <v>1987</v>
      </c>
      <c r="F884" t="s">
        <v>129</v>
      </c>
      <c r="G884" t="s">
        <v>2078</v>
      </c>
      <c r="H884" t="s">
        <v>4715</v>
      </c>
      <c r="I884" t="s">
        <v>5468</v>
      </c>
      <c r="L884" t="s">
        <v>4717</v>
      </c>
    </row>
    <row r="885">
      <c r="A885" t="s">
        <v>2954</v>
      </c>
      <c r="B885" t="s">
        <v>2955</v>
      </c>
      <c r="C885" t="s">
        <v>2858</v>
      </c>
      <c r="D885" t="s">
        <v>2859</v>
      </c>
      <c r="E885" t="s">
        <v>1987</v>
      </c>
      <c r="F885" t="s">
        <v>129</v>
      </c>
      <c r="G885" t="s">
        <v>2078</v>
      </c>
      <c r="H885" t="s">
        <v>4715</v>
      </c>
      <c r="I885" t="s">
        <v>5469</v>
      </c>
      <c r="L885" t="s">
        <v>4717</v>
      </c>
    </row>
    <row r="886">
      <c r="A886" t="s">
        <v>2960</v>
      </c>
      <c r="B886" t="s">
        <v>2961</v>
      </c>
      <c r="C886" t="s">
        <v>2858</v>
      </c>
      <c r="D886" t="s">
        <v>2859</v>
      </c>
      <c r="E886" t="s">
        <v>1987</v>
      </c>
      <c r="F886" t="s">
        <v>129</v>
      </c>
      <c r="G886" t="s">
        <v>2078</v>
      </c>
      <c r="H886" t="s">
        <v>4715</v>
      </c>
      <c r="I886" t="s">
        <v>5468</v>
      </c>
      <c r="L886" t="s">
        <v>4717</v>
      </c>
    </row>
    <row r="887">
      <c r="A887" t="s">
        <v>2960</v>
      </c>
      <c r="B887" t="s">
        <v>2961</v>
      </c>
      <c r="C887" t="s">
        <v>2858</v>
      </c>
      <c r="D887" t="s">
        <v>2859</v>
      </c>
      <c r="E887" t="s">
        <v>1987</v>
      </c>
      <c r="F887" t="s">
        <v>129</v>
      </c>
      <c r="G887" t="s">
        <v>2078</v>
      </c>
      <c r="H887" t="s">
        <v>4715</v>
      </c>
      <c r="I887" t="s">
        <v>5469</v>
      </c>
      <c r="L887" t="s">
        <v>4717</v>
      </c>
    </row>
    <row r="888">
      <c r="A888" t="s">
        <v>2966</v>
      </c>
      <c r="B888" t="s">
        <v>2967</v>
      </c>
      <c r="C888" t="s">
        <v>2858</v>
      </c>
      <c r="D888" t="s">
        <v>2859</v>
      </c>
      <c r="E888" t="s">
        <v>1987</v>
      </c>
      <c r="F888" t="s">
        <v>129</v>
      </c>
      <c r="G888" t="s">
        <v>2078</v>
      </c>
      <c r="H888" t="s">
        <v>4715</v>
      </c>
      <c r="I888" t="s">
        <v>5468</v>
      </c>
      <c r="L888" t="s">
        <v>4717</v>
      </c>
    </row>
    <row r="889">
      <c r="A889" t="s">
        <v>2966</v>
      </c>
      <c r="B889" t="s">
        <v>2967</v>
      </c>
      <c r="C889" t="s">
        <v>2858</v>
      </c>
      <c r="D889" t="s">
        <v>2859</v>
      </c>
      <c r="E889" t="s">
        <v>1987</v>
      </c>
      <c r="F889" t="s">
        <v>129</v>
      </c>
      <c r="G889" t="s">
        <v>2078</v>
      </c>
      <c r="H889" t="s">
        <v>4715</v>
      </c>
      <c r="I889" t="s">
        <v>5469</v>
      </c>
      <c r="L889" t="s">
        <v>4717</v>
      </c>
    </row>
    <row r="890">
      <c r="A890" t="s">
        <v>2970</v>
      </c>
      <c r="B890" t="s">
        <v>2971</v>
      </c>
      <c r="C890" t="s">
        <v>2858</v>
      </c>
      <c r="D890" t="s">
        <v>2859</v>
      </c>
      <c r="E890" t="s">
        <v>1987</v>
      </c>
      <c r="F890" t="s">
        <v>129</v>
      </c>
      <c r="G890" t="s">
        <v>2078</v>
      </c>
      <c r="H890" t="s">
        <v>4715</v>
      </c>
      <c r="I890" t="s">
        <v>5468</v>
      </c>
      <c r="L890" t="s">
        <v>4717</v>
      </c>
    </row>
    <row r="891">
      <c r="A891" t="s">
        <v>2970</v>
      </c>
      <c r="B891" t="s">
        <v>2971</v>
      </c>
      <c r="C891" t="s">
        <v>2858</v>
      </c>
      <c r="D891" t="s">
        <v>2859</v>
      </c>
      <c r="E891" t="s">
        <v>1987</v>
      </c>
      <c r="F891" t="s">
        <v>129</v>
      </c>
      <c r="G891" t="s">
        <v>2078</v>
      </c>
      <c r="H891" t="s">
        <v>4715</v>
      </c>
      <c r="I891" t="s">
        <v>5469</v>
      </c>
      <c r="L891" t="s">
        <v>4717</v>
      </c>
    </row>
    <row r="892">
      <c r="A892" t="s">
        <v>2976</v>
      </c>
      <c r="B892" t="s">
        <v>2977</v>
      </c>
      <c r="C892" t="s">
        <v>2858</v>
      </c>
      <c r="D892" t="s">
        <v>2859</v>
      </c>
      <c r="E892" t="s">
        <v>1987</v>
      </c>
      <c r="F892" t="s">
        <v>129</v>
      </c>
      <c r="G892" t="s">
        <v>2078</v>
      </c>
      <c r="H892" t="s">
        <v>4715</v>
      </c>
      <c r="I892" t="s">
        <v>5468</v>
      </c>
      <c r="L892" t="s">
        <v>4717</v>
      </c>
    </row>
    <row r="893">
      <c r="A893" t="s">
        <v>2976</v>
      </c>
      <c r="B893" t="s">
        <v>2977</v>
      </c>
      <c r="C893" t="s">
        <v>2858</v>
      </c>
      <c r="D893" t="s">
        <v>2859</v>
      </c>
      <c r="E893" t="s">
        <v>1987</v>
      </c>
      <c r="F893" t="s">
        <v>129</v>
      </c>
      <c r="G893" t="s">
        <v>2078</v>
      </c>
      <c r="H893" t="s">
        <v>4715</v>
      </c>
      <c r="I893" t="s">
        <v>5469</v>
      </c>
      <c r="L893" t="s">
        <v>4717</v>
      </c>
    </row>
    <row r="894">
      <c r="A894" t="s">
        <v>2982</v>
      </c>
      <c r="B894" t="s">
        <v>2983</v>
      </c>
      <c r="C894" t="s">
        <v>2858</v>
      </c>
      <c r="D894" t="s">
        <v>2859</v>
      </c>
      <c r="E894" t="s">
        <v>1987</v>
      </c>
      <c r="F894" t="s">
        <v>129</v>
      </c>
      <c r="G894" t="s">
        <v>2078</v>
      </c>
      <c r="H894" t="s">
        <v>4715</v>
      </c>
      <c r="I894" t="s">
        <v>5468</v>
      </c>
      <c r="L894" t="s">
        <v>4717</v>
      </c>
    </row>
    <row r="895">
      <c r="A895" t="s">
        <v>2982</v>
      </c>
      <c r="B895" t="s">
        <v>2983</v>
      </c>
      <c r="C895" t="s">
        <v>2858</v>
      </c>
      <c r="D895" t="s">
        <v>2859</v>
      </c>
      <c r="E895" t="s">
        <v>1987</v>
      </c>
      <c r="F895" t="s">
        <v>129</v>
      </c>
      <c r="G895" t="s">
        <v>2078</v>
      </c>
      <c r="H895" t="s">
        <v>4715</v>
      </c>
      <c r="I895" t="s">
        <v>5469</v>
      </c>
      <c r="L895" t="s">
        <v>4717</v>
      </c>
    </row>
    <row r="896">
      <c r="A896" t="s">
        <v>2988</v>
      </c>
      <c r="B896" t="s">
        <v>2989</v>
      </c>
      <c r="C896" t="s">
        <v>2858</v>
      </c>
      <c r="D896" t="s">
        <v>2859</v>
      </c>
      <c r="E896" t="s">
        <v>1987</v>
      </c>
      <c r="F896" t="s">
        <v>129</v>
      </c>
      <c r="G896" t="s">
        <v>2078</v>
      </c>
      <c r="H896" t="s">
        <v>4715</v>
      </c>
      <c r="I896" t="s">
        <v>5468</v>
      </c>
      <c r="L896" t="s">
        <v>4717</v>
      </c>
    </row>
    <row r="897">
      <c r="A897" t="s">
        <v>2988</v>
      </c>
      <c r="B897" t="s">
        <v>2989</v>
      </c>
      <c r="C897" t="s">
        <v>2858</v>
      </c>
      <c r="D897" t="s">
        <v>2859</v>
      </c>
      <c r="E897" t="s">
        <v>1987</v>
      </c>
      <c r="F897" t="s">
        <v>129</v>
      </c>
      <c r="G897" t="s">
        <v>2078</v>
      </c>
      <c r="H897" t="s">
        <v>4715</v>
      </c>
      <c r="I897" t="s">
        <v>5469</v>
      </c>
      <c r="L897" t="s">
        <v>4717</v>
      </c>
    </row>
    <row r="898">
      <c r="A898" t="s">
        <v>2994</v>
      </c>
      <c r="B898" t="s">
        <v>2995</v>
      </c>
      <c r="C898" t="s">
        <v>2858</v>
      </c>
      <c r="D898" t="s">
        <v>2859</v>
      </c>
      <c r="E898" t="s">
        <v>1987</v>
      </c>
      <c r="F898" t="s">
        <v>129</v>
      </c>
      <c r="G898" t="s">
        <v>2078</v>
      </c>
      <c r="H898" t="s">
        <v>4715</v>
      </c>
      <c r="I898" t="s">
        <v>5468</v>
      </c>
      <c r="L898" t="s">
        <v>4717</v>
      </c>
    </row>
    <row r="899">
      <c r="A899" t="s">
        <v>2994</v>
      </c>
      <c r="B899" t="s">
        <v>2995</v>
      </c>
      <c r="C899" t="s">
        <v>2858</v>
      </c>
      <c r="D899" t="s">
        <v>2859</v>
      </c>
      <c r="E899" t="s">
        <v>1987</v>
      </c>
      <c r="F899" t="s">
        <v>129</v>
      </c>
      <c r="G899" t="s">
        <v>2078</v>
      </c>
      <c r="H899" t="s">
        <v>4715</v>
      </c>
      <c r="I899" t="s">
        <v>5469</v>
      </c>
      <c r="L899" t="s">
        <v>4717</v>
      </c>
    </row>
    <row r="900">
      <c r="A900" t="s">
        <v>2998</v>
      </c>
      <c r="B900" t="s">
        <v>2999</v>
      </c>
      <c r="C900" t="s">
        <v>2858</v>
      </c>
      <c r="D900" t="s">
        <v>2859</v>
      </c>
      <c r="E900" t="s">
        <v>1987</v>
      </c>
      <c r="F900" t="s">
        <v>129</v>
      </c>
      <c r="G900" t="s">
        <v>2078</v>
      </c>
      <c r="H900" t="s">
        <v>4715</v>
      </c>
      <c r="I900" t="s">
        <v>5468</v>
      </c>
      <c r="L900" t="s">
        <v>4717</v>
      </c>
    </row>
    <row r="901">
      <c r="A901" t="s">
        <v>2998</v>
      </c>
      <c r="B901" t="s">
        <v>2999</v>
      </c>
      <c r="C901" t="s">
        <v>2858</v>
      </c>
      <c r="D901" t="s">
        <v>2859</v>
      </c>
      <c r="E901" t="s">
        <v>1987</v>
      </c>
      <c r="F901" t="s">
        <v>129</v>
      </c>
      <c r="G901" t="s">
        <v>2078</v>
      </c>
      <c r="H901" t="s">
        <v>4715</v>
      </c>
      <c r="I901" t="s">
        <v>5469</v>
      </c>
      <c r="L901" t="s">
        <v>4717</v>
      </c>
    </row>
    <row r="902">
      <c r="A902" t="s">
        <v>3004</v>
      </c>
      <c r="B902" t="s">
        <v>3005</v>
      </c>
      <c r="C902" t="s">
        <v>2858</v>
      </c>
      <c r="D902" t="s">
        <v>2859</v>
      </c>
      <c r="E902" t="s">
        <v>1987</v>
      </c>
      <c r="F902" t="s">
        <v>129</v>
      </c>
      <c r="G902" t="s">
        <v>2078</v>
      </c>
      <c r="H902" t="s">
        <v>4715</v>
      </c>
      <c r="I902" t="s">
        <v>5468</v>
      </c>
      <c r="L902" t="s">
        <v>4717</v>
      </c>
    </row>
    <row r="903">
      <c r="A903" t="s">
        <v>3004</v>
      </c>
      <c r="B903" t="s">
        <v>3005</v>
      </c>
      <c r="C903" t="s">
        <v>2858</v>
      </c>
      <c r="D903" t="s">
        <v>2859</v>
      </c>
      <c r="E903" t="s">
        <v>1987</v>
      </c>
      <c r="F903" t="s">
        <v>129</v>
      </c>
      <c r="G903" t="s">
        <v>2078</v>
      </c>
      <c r="H903" t="s">
        <v>4715</v>
      </c>
      <c r="I903" t="s">
        <v>5469</v>
      </c>
      <c r="L903" t="s">
        <v>4717</v>
      </c>
    </row>
    <row r="904">
      <c r="A904" t="s">
        <v>3010</v>
      </c>
      <c r="B904" t="s">
        <v>3011</v>
      </c>
      <c r="C904" t="s">
        <v>2858</v>
      </c>
      <c r="D904" t="s">
        <v>2859</v>
      </c>
      <c r="E904" t="s">
        <v>1987</v>
      </c>
      <c r="F904" t="s">
        <v>129</v>
      </c>
      <c r="G904" t="s">
        <v>2078</v>
      </c>
      <c r="H904" t="s">
        <v>4715</v>
      </c>
      <c r="I904" t="s">
        <v>5468</v>
      </c>
      <c r="L904" t="s">
        <v>4717</v>
      </c>
    </row>
    <row r="905">
      <c r="A905" t="s">
        <v>3010</v>
      </c>
      <c r="B905" t="s">
        <v>3011</v>
      </c>
      <c r="C905" t="s">
        <v>2858</v>
      </c>
      <c r="D905" t="s">
        <v>2859</v>
      </c>
      <c r="E905" t="s">
        <v>1987</v>
      </c>
      <c r="F905" t="s">
        <v>129</v>
      </c>
      <c r="G905" t="s">
        <v>2078</v>
      </c>
      <c r="H905" t="s">
        <v>4715</v>
      </c>
      <c r="I905" t="s">
        <v>5469</v>
      </c>
      <c r="L905" t="s">
        <v>4717</v>
      </c>
    </row>
    <row r="906">
      <c r="A906" t="s">
        <v>3015</v>
      </c>
      <c r="B906" t="s">
        <v>3016</v>
      </c>
      <c r="C906" t="s">
        <v>2858</v>
      </c>
      <c r="D906" t="s">
        <v>2859</v>
      </c>
      <c r="E906" t="s">
        <v>1987</v>
      </c>
      <c r="F906" t="s">
        <v>129</v>
      </c>
      <c r="G906" t="s">
        <v>2078</v>
      </c>
      <c r="H906" t="s">
        <v>4715</v>
      </c>
      <c r="I906" t="s">
        <v>5468</v>
      </c>
      <c r="L906" t="s">
        <v>4717</v>
      </c>
    </row>
    <row r="907">
      <c r="A907" t="s">
        <v>3015</v>
      </c>
      <c r="B907" t="s">
        <v>3016</v>
      </c>
      <c r="C907" t="s">
        <v>2858</v>
      </c>
      <c r="D907" t="s">
        <v>2859</v>
      </c>
      <c r="E907" t="s">
        <v>1987</v>
      </c>
      <c r="F907" t="s">
        <v>129</v>
      </c>
      <c r="G907" t="s">
        <v>2078</v>
      </c>
      <c r="H907" t="s">
        <v>4715</v>
      </c>
      <c r="I907" t="s">
        <v>5469</v>
      </c>
      <c r="L907" t="s">
        <v>4717</v>
      </c>
    </row>
    <row r="908">
      <c r="A908" t="s">
        <v>3019</v>
      </c>
      <c r="B908" t="s">
        <v>3020</v>
      </c>
      <c r="C908" t="s">
        <v>2858</v>
      </c>
      <c r="D908" t="s">
        <v>2859</v>
      </c>
      <c r="E908" t="s">
        <v>1987</v>
      </c>
      <c r="F908" t="s">
        <v>129</v>
      </c>
      <c r="G908" t="s">
        <v>2078</v>
      </c>
      <c r="H908" t="s">
        <v>4715</v>
      </c>
      <c r="I908" t="s">
        <v>5468</v>
      </c>
      <c r="L908" t="s">
        <v>4717</v>
      </c>
    </row>
    <row r="909">
      <c r="A909" t="s">
        <v>3019</v>
      </c>
      <c r="B909" t="s">
        <v>3020</v>
      </c>
      <c r="C909" t="s">
        <v>2858</v>
      </c>
      <c r="D909" t="s">
        <v>2859</v>
      </c>
      <c r="E909" t="s">
        <v>1987</v>
      </c>
      <c r="F909" t="s">
        <v>129</v>
      </c>
      <c r="G909" t="s">
        <v>2078</v>
      </c>
      <c r="H909" t="s">
        <v>4715</v>
      </c>
      <c r="I909" t="s">
        <v>5469</v>
      </c>
      <c r="L909" t="s">
        <v>4717</v>
      </c>
    </row>
    <row r="910">
      <c r="A910" t="s">
        <v>3055</v>
      </c>
      <c r="B910" t="s">
        <v>3057</v>
      </c>
      <c r="C910" t="s">
        <v>160</v>
      </c>
      <c r="D910" t="s">
        <v>340</v>
      </c>
      <c r="E910" t="s">
        <v>376</v>
      </c>
      <c r="F910" t="s">
        <v>120</v>
      </c>
      <c r="H910" t="s">
        <v>5528</v>
      </c>
      <c r="I910" t="s">
        <v>5529</v>
      </c>
      <c r="J910" t="s">
        <v>5530</v>
      </c>
      <c r="K910" t="s">
        <v>5531</v>
      </c>
      <c r="L910" t="s">
        <v>5532</v>
      </c>
      <c r="M910" t="s">
        <v>5533</v>
      </c>
    </row>
    <row r="911">
      <c r="A911" t="s">
        <v>3055</v>
      </c>
      <c r="B911" t="s">
        <v>3057</v>
      </c>
      <c r="C911" t="s">
        <v>160</v>
      </c>
      <c r="D911" t="s">
        <v>340</v>
      </c>
      <c r="E911" t="s">
        <v>376</v>
      </c>
      <c r="F911" t="s">
        <v>120</v>
      </c>
      <c r="H911" t="s">
        <v>5534</v>
      </c>
      <c r="I911" t="s">
        <v>5535</v>
      </c>
      <c r="J911" t="s">
        <v>5536</v>
      </c>
      <c r="K911" t="s">
        <v>5537</v>
      </c>
      <c r="L911" t="s">
        <v>5532</v>
      </c>
      <c r="M911" t="s">
        <v>5538</v>
      </c>
    </row>
    <row r="912">
      <c r="A912" t="s">
        <v>3055</v>
      </c>
      <c r="B912" t="s">
        <v>3057</v>
      </c>
      <c r="C912" t="s">
        <v>160</v>
      </c>
      <c r="D912" t="s">
        <v>340</v>
      </c>
      <c r="E912" t="s">
        <v>376</v>
      </c>
      <c r="F912" t="s">
        <v>120</v>
      </c>
      <c r="H912" t="s">
        <v>5539</v>
      </c>
      <c r="I912" t="s">
        <v>5540</v>
      </c>
      <c r="J912" t="s">
        <v>5541</v>
      </c>
      <c r="K912" t="s">
        <v>5542</v>
      </c>
      <c r="L912" t="s">
        <v>5532</v>
      </c>
    </row>
    <row r="913">
      <c r="A913" t="s">
        <v>3055</v>
      </c>
      <c r="B913" t="s">
        <v>3057</v>
      </c>
      <c r="C913" t="s">
        <v>160</v>
      </c>
      <c r="D913" t="s">
        <v>340</v>
      </c>
      <c r="E913" t="s">
        <v>376</v>
      </c>
      <c r="F913" t="s">
        <v>120</v>
      </c>
      <c r="H913" t="s">
        <v>5539</v>
      </c>
      <c r="I913" t="s">
        <v>5543</v>
      </c>
      <c r="J913" t="s">
        <v>5544</v>
      </c>
      <c r="K913" t="s">
        <v>5545</v>
      </c>
      <c r="L913" t="s">
        <v>5532</v>
      </c>
    </row>
    <row r="914">
      <c r="A914" t="s">
        <v>3055</v>
      </c>
      <c r="B914" t="s">
        <v>3057</v>
      </c>
      <c r="C914" t="s">
        <v>160</v>
      </c>
      <c r="D914" t="s">
        <v>340</v>
      </c>
      <c r="E914" t="s">
        <v>376</v>
      </c>
      <c r="F914" t="s">
        <v>120</v>
      </c>
      <c r="H914" t="s">
        <v>5514</v>
      </c>
      <c r="I914" t="s">
        <v>5546</v>
      </c>
      <c r="J914" t="s">
        <v>5547</v>
      </c>
      <c r="K914" t="s">
        <v>5548</v>
      </c>
      <c r="L914" t="s">
        <v>5532</v>
      </c>
    </row>
    <row r="915">
      <c r="A915" t="s">
        <v>3069</v>
      </c>
      <c r="B915" t="s">
        <v>3072</v>
      </c>
      <c r="C915" t="s">
        <v>958</v>
      </c>
      <c r="D915" t="s">
        <v>1198</v>
      </c>
      <c r="E915" t="s">
        <v>3070</v>
      </c>
      <c r="F915" t="s">
        <v>120</v>
      </c>
      <c r="H915" t="s">
        <v>5549</v>
      </c>
      <c r="I915" t="s">
        <v>5550</v>
      </c>
      <c r="J915" t="s">
        <v>5551</v>
      </c>
      <c r="K915" t="s">
        <v>5552</v>
      </c>
      <c r="L915" t="s">
        <v>5532</v>
      </c>
    </row>
    <row r="916">
      <c r="A916" t="s">
        <v>3069</v>
      </c>
      <c r="B916" t="s">
        <v>3072</v>
      </c>
      <c r="C916" t="s">
        <v>958</v>
      </c>
      <c r="D916" t="s">
        <v>1198</v>
      </c>
      <c r="E916" t="s">
        <v>3070</v>
      </c>
      <c r="F916" t="s">
        <v>120</v>
      </c>
      <c r="H916" t="s">
        <v>5549</v>
      </c>
      <c r="I916" t="s">
        <v>5553</v>
      </c>
      <c r="J916" t="s">
        <v>5554</v>
      </c>
      <c r="K916" t="s">
        <v>5555</v>
      </c>
      <c r="L916" t="s">
        <v>5532</v>
      </c>
    </row>
    <row r="917">
      <c r="A917" t="s">
        <v>3069</v>
      </c>
      <c r="B917" t="s">
        <v>3072</v>
      </c>
      <c r="C917" t="s">
        <v>958</v>
      </c>
      <c r="D917" t="s">
        <v>1198</v>
      </c>
      <c r="E917" t="s">
        <v>3070</v>
      </c>
      <c r="F917" t="s">
        <v>120</v>
      </c>
      <c r="H917" t="s">
        <v>5556</v>
      </c>
      <c r="I917" t="s">
        <v>5557</v>
      </c>
      <c r="J917" t="s">
        <v>5558</v>
      </c>
      <c r="K917" t="s">
        <v>5559</v>
      </c>
      <c r="L917" t="s">
        <v>5532</v>
      </c>
    </row>
    <row r="918">
      <c r="A918" t="s">
        <v>3069</v>
      </c>
      <c r="B918" t="s">
        <v>3072</v>
      </c>
      <c r="C918" t="s">
        <v>958</v>
      </c>
      <c r="D918" t="s">
        <v>1198</v>
      </c>
      <c r="E918" t="s">
        <v>3070</v>
      </c>
      <c r="F918" t="s">
        <v>120</v>
      </c>
      <c r="H918" t="s">
        <v>5560</v>
      </c>
      <c r="I918" t="s">
        <v>5561</v>
      </c>
      <c r="J918" t="s">
        <v>5562</v>
      </c>
      <c r="K918" t="s">
        <v>5563</v>
      </c>
      <c r="L918" t="s">
        <v>5532</v>
      </c>
    </row>
    <row r="919">
      <c r="A919" t="s">
        <v>3069</v>
      </c>
      <c r="B919" t="s">
        <v>3072</v>
      </c>
      <c r="C919" t="s">
        <v>958</v>
      </c>
      <c r="D919" t="s">
        <v>1198</v>
      </c>
      <c r="E919" t="s">
        <v>3070</v>
      </c>
      <c r="F919" t="s">
        <v>120</v>
      </c>
      <c r="H919" t="s">
        <v>4159</v>
      </c>
      <c r="I919" t="s">
        <v>5564</v>
      </c>
      <c r="J919" t="s">
        <v>5565</v>
      </c>
      <c r="K919" t="s">
        <v>5566</v>
      </c>
      <c r="L919" t="s">
        <v>5532</v>
      </c>
    </row>
    <row r="920">
      <c r="A920" t="s">
        <v>3069</v>
      </c>
      <c r="B920" t="s">
        <v>3072</v>
      </c>
      <c r="C920" t="s">
        <v>958</v>
      </c>
      <c r="D920" t="s">
        <v>1198</v>
      </c>
      <c r="E920" t="s">
        <v>3070</v>
      </c>
      <c r="F920" t="s">
        <v>120</v>
      </c>
      <c r="H920" t="s">
        <v>5567</v>
      </c>
      <c r="I920" t="s">
        <v>5568</v>
      </c>
      <c r="J920" t="s">
        <v>5569</v>
      </c>
      <c r="K920" t="s">
        <v>5570</v>
      </c>
      <c r="L920" t="s">
        <v>5532</v>
      </c>
    </row>
    <row r="921">
      <c r="A921" t="s">
        <v>3086</v>
      </c>
      <c r="B921" t="s">
        <v>3088</v>
      </c>
      <c r="C921" t="s">
        <v>958</v>
      </c>
      <c r="D921" t="s">
        <v>1198</v>
      </c>
      <c r="E921" t="s">
        <v>3070</v>
      </c>
      <c r="F921" t="s">
        <v>120</v>
      </c>
      <c r="H921" t="s">
        <v>5571</v>
      </c>
      <c r="I921" t="s">
        <v>5572</v>
      </c>
      <c r="J921" t="s">
        <v>5573</v>
      </c>
      <c r="K921" t="s">
        <v>5574</v>
      </c>
      <c r="L921" t="s">
        <v>5532</v>
      </c>
    </row>
    <row r="922">
      <c r="A922" t="s">
        <v>3086</v>
      </c>
      <c r="B922" t="s">
        <v>3088</v>
      </c>
      <c r="C922" t="s">
        <v>958</v>
      </c>
      <c r="D922" t="s">
        <v>1198</v>
      </c>
      <c r="E922" t="s">
        <v>3070</v>
      </c>
      <c r="F922" t="s">
        <v>120</v>
      </c>
      <c r="H922" t="s">
        <v>4159</v>
      </c>
      <c r="I922" t="s">
        <v>5575</v>
      </c>
      <c r="J922" t="s">
        <v>5576</v>
      </c>
      <c r="K922" t="s">
        <v>5577</v>
      </c>
      <c r="L922" t="s">
        <v>5532</v>
      </c>
    </row>
    <row r="923">
      <c r="A923" t="s">
        <v>3086</v>
      </c>
      <c r="B923" t="s">
        <v>3088</v>
      </c>
      <c r="C923" t="s">
        <v>958</v>
      </c>
      <c r="D923" t="s">
        <v>1198</v>
      </c>
      <c r="E923" t="s">
        <v>3070</v>
      </c>
      <c r="F923" t="s">
        <v>120</v>
      </c>
      <c r="H923" t="s">
        <v>5578</v>
      </c>
      <c r="I923" t="s">
        <v>5579</v>
      </c>
      <c r="J923" t="s">
        <v>5580</v>
      </c>
      <c r="K923" t="s">
        <v>5581</v>
      </c>
      <c r="L923" t="s">
        <v>5532</v>
      </c>
    </row>
    <row r="924">
      <c r="A924" t="s">
        <v>3086</v>
      </c>
      <c r="B924" t="s">
        <v>3088</v>
      </c>
      <c r="C924" t="s">
        <v>958</v>
      </c>
      <c r="D924" t="s">
        <v>1198</v>
      </c>
      <c r="E924" t="s">
        <v>3070</v>
      </c>
      <c r="F924" t="s">
        <v>120</v>
      </c>
      <c r="H924" t="s">
        <v>5582</v>
      </c>
      <c r="I924" t="s">
        <v>5583</v>
      </c>
      <c r="J924" t="s">
        <v>5584</v>
      </c>
      <c r="K924" t="s">
        <v>5585</v>
      </c>
      <c r="L924" t="s">
        <v>5532</v>
      </c>
    </row>
    <row r="925">
      <c r="A925" t="s">
        <v>3086</v>
      </c>
      <c r="B925" t="s">
        <v>3088</v>
      </c>
      <c r="C925" t="s">
        <v>958</v>
      </c>
      <c r="D925" t="s">
        <v>1198</v>
      </c>
      <c r="E925" t="s">
        <v>3070</v>
      </c>
      <c r="F925" t="s">
        <v>120</v>
      </c>
      <c r="H925" t="s">
        <v>5586</v>
      </c>
      <c r="I925" t="s">
        <v>5587</v>
      </c>
      <c r="J925" t="s">
        <v>5588</v>
      </c>
      <c r="K925" t="s">
        <v>5589</v>
      </c>
      <c r="L925" t="s">
        <v>5532</v>
      </c>
    </row>
    <row r="926">
      <c r="A926" t="s">
        <v>3086</v>
      </c>
      <c r="B926" t="s">
        <v>3088</v>
      </c>
      <c r="C926" t="s">
        <v>958</v>
      </c>
      <c r="D926" t="s">
        <v>1198</v>
      </c>
      <c r="E926" t="s">
        <v>3070</v>
      </c>
      <c r="F926" t="s">
        <v>120</v>
      </c>
      <c r="H926" t="s">
        <v>5590</v>
      </c>
      <c r="I926" t="s">
        <v>5217</v>
      </c>
      <c r="J926" t="s">
        <v>5591</v>
      </c>
      <c r="K926" t="s">
        <v>5592</v>
      </c>
      <c r="L926" t="s">
        <v>5532</v>
      </c>
    </row>
    <row r="927">
      <c r="A927" t="s">
        <v>3086</v>
      </c>
      <c r="B927" t="s">
        <v>3088</v>
      </c>
      <c r="C927" t="s">
        <v>958</v>
      </c>
      <c r="D927" t="s">
        <v>1198</v>
      </c>
      <c r="E927" t="s">
        <v>3070</v>
      </c>
      <c r="F927" t="s">
        <v>120</v>
      </c>
      <c r="H927" t="s">
        <v>5593</v>
      </c>
      <c r="I927" t="s">
        <v>5594</v>
      </c>
      <c r="J927" t="s">
        <v>5595</v>
      </c>
      <c r="K927" t="s">
        <v>5596</v>
      </c>
      <c r="L927" t="s">
        <v>5532</v>
      </c>
    </row>
    <row r="928">
      <c r="A928" t="s">
        <v>3099</v>
      </c>
      <c r="B928" t="s">
        <v>3101</v>
      </c>
      <c r="C928" t="s">
        <v>958</v>
      </c>
      <c r="D928" t="s">
        <v>1198</v>
      </c>
      <c r="E928" t="s">
        <v>3070</v>
      </c>
      <c r="F928" t="s">
        <v>120</v>
      </c>
      <c r="H928" t="s">
        <v>5571</v>
      </c>
      <c r="I928" t="s">
        <v>5597</v>
      </c>
      <c r="J928" t="s">
        <v>5598</v>
      </c>
      <c r="K928" t="s">
        <v>5599</v>
      </c>
      <c r="L928" t="s">
        <v>5532</v>
      </c>
    </row>
    <row r="929">
      <c r="A929" t="s">
        <v>3099</v>
      </c>
      <c r="B929" t="s">
        <v>3101</v>
      </c>
      <c r="C929" t="s">
        <v>958</v>
      </c>
      <c r="D929" t="s">
        <v>1198</v>
      </c>
      <c r="E929" t="s">
        <v>3070</v>
      </c>
      <c r="F929" t="s">
        <v>120</v>
      </c>
      <c r="H929" t="s">
        <v>5499</v>
      </c>
      <c r="I929" t="s">
        <v>5600</v>
      </c>
      <c r="J929" t="s">
        <v>5601</v>
      </c>
      <c r="K929" t="s">
        <v>5602</v>
      </c>
      <c r="L929" t="s">
        <v>5532</v>
      </c>
    </row>
    <row r="930">
      <c r="A930" t="s">
        <v>3099</v>
      </c>
      <c r="B930" t="s">
        <v>3101</v>
      </c>
      <c r="C930" t="s">
        <v>958</v>
      </c>
      <c r="D930" t="s">
        <v>1198</v>
      </c>
      <c r="E930" t="s">
        <v>3070</v>
      </c>
      <c r="F930" t="s">
        <v>120</v>
      </c>
      <c r="H930" t="s">
        <v>5603</v>
      </c>
      <c r="I930" t="s">
        <v>5604</v>
      </c>
      <c r="J930" t="s">
        <v>5605</v>
      </c>
      <c r="K930" t="s">
        <v>5606</v>
      </c>
      <c r="L930" t="s">
        <v>5532</v>
      </c>
    </row>
    <row r="931">
      <c r="A931" t="s">
        <v>3099</v>
      </c>
      <c r="B931" t="s">
        <v>3101</v>
      </c>
      <c r="C931" t="s">
        <v>958</v>
      </c>
      <c r="D931" t="s">
        <v>1198</v>
      </c>
      <c r="E931" t="s">
        <v>3070</v>
      </c>
      <c r="F931" t="s">
        <v>120</v>
      </c>
      <c r="H931" t="s">
        <v>5607</v>
      </c>
      <c r="I931" t="s">
        <v>5608</v>
      </c>
      <c r="J931" t="s">
        <v>5609</v>
      </c>
      <c r="K931" t="s">
        <v>5610</v>
      </c>
      <c r="L931" t="s">
        <v>5532</v>
      </c>
    </row>
    <row r="932">
      <c r="A932" t="s">
        <v>3099</v>
      </c>
      <c r="B932" t="s">
        <v>3101</v>
      </c>
      <c r="C932" t="s">
        <v>958</v>
      </c>
      <c r="D932" t="s">
        <v>1198</v>
      </c>
      <c r="E932" t="s">
        <v>3070</v>
      </c>
      <c r="F932" t="s">
        <v>120</v>
      </c>
      <c r="H932" t="s">
        <v>3904</v>
      </c>
      <c r="I932" t="s">
        <v>5611</v>
      </c>
      <c r="J932" t="s">
        <v>5612</v>
      </c>
      <c r="K932" t="s">
        <v>5613</v>
      </c>
      <c r="L932" t="s">
        <v>5532</v>
      </c>
    </row>
    <row r="933">
      <c r="A933" t="s">
        <v>2461</v>
      </c>
      <c r="B933" t="s">
        <v>1015</v>
      </c>
      <c r="C933" t="s">
        <v>958</v>
      </c>
      <c r="D933" t="s">
        <v>970</v>
      </c>
      <c r="E933" t="s">
        <v>1013</v>
      </c>
      <c r="F933" t="s">
        <v>154</v>
      </c>
      <c r="G933" t="s">
        <v>4715</v>
      </c>
      <c r="H933" t="s">
        <v>5041</v>
      </c>
      <c r="I933" t="s">
        <v>5614</v>
      </c>
      <c r="J933" t="s">
        <v>5615</v>
      </c>
      <c r="K933" t="s">
        <v>4169</v>
      </c>
      <c r="L933" t="s">
        <v>4717</v>
      </c>
    </row>
    <row r="934">
      <c r="A934" t="s">
        <v>2461</v>
      </c>
      <c r="B934" t="s">
        <v>1015</v>
      </c>
      <c r="C934" t="s">
        <v>958</v>
      </c>
      <c r="D934" t="s">
        <v>970</v>
      </c>
      <c r="E934" t="s">
        <v>1013</v>
      </c>
      <c r="F934" t="s">
        <v>154</v>
      </c>
      <c r="G934" t="s">
        <v>4715</v>
      </c>
      <c r="H934" t="s">
        <v>5616</v>
      </c>
      <c r="I934" t="s">
        <v>5617</v>
      </c>
      <c r="J934" t="s">
        <v>5618</v>
      </c>
      <c r="K934" t="s">
        <v>5619</v>
      </c>
      <c r="L934" t="s">
        <v>4717</v>
      </c>
    </row>
    <row r="935">
      <c r="A935" t="s">
        <v>2461</v>
      </c>
      <c r="B935" t="s">
        <v>1015</v>
      </c>
      <c r="C935" t="s">
        <v>958</v>
      </c>
      <c r="D935" t="s">
        <v>970</v>
      </c>
      <c r="E935" t="s">
        <v>1013</v>
      </c>
      <c r="F935" t="s">
        <v>154</v>
      </c>
      <c r="G935" t="s">
        <v>4715</v>
      </c>
      <c r="H935" t="s">
        <v>5499</v>
      </c>
      <c r="I935" t="s">
        <v>5620</v>
      </c>
      <c r="J935" t="s">
        <v>5621</v>
      </c>
      <c r="K935" t="s">
        <v>5622</v>
      </c>
      <c r="L935" t="s">
        <v>4717</v>
      </c>
    </row>
    <row r="936">
      <c r="A936" t="s">
        <v>2461</v>
      </c>
      <c r="B936" t="s">
        <v>1015</v>
      </c>
      <c r="C936" t="s">
        <v>958</v>
      </c>
      <c r="D936" t="s">
        <v>970</v>
      </c>
      <c r="E936" t="s">
        <v>1013</v>
      </c>
      <c r="F936" t="s">
        <v>154</v>
      </c>
      <c r="G936" t="s">
        <v>4715</v>
      </c>
      <c r="H936" t="s">
        <v>5623</v>
      </c>
      <c r="I936" t="s">
        <v>5624</v>
      </c>
      <c r="J936" t="s">
        <v>5625</v>
      </c>
      <c r="K936" t="s">
        <v>5626</v>
      </c>
      <c r="L936" t="s">
        <v>4717</v>
      </c>
    </row>
    <row r="937">
      <c r="A937" t="s">
        <v>2461</v>
      </c>
      <c r="B937" t="s">
        <v>1015</v>
      </c>
      <c r="C937" t="s">
        <v>958</v>
      </c>
      <c r="D937" t="s">
        <v>970</v>
      </c>
      <c r="E937" t="s">
        <v>1013</v>
      </c>
      <c r="F937" t="s">
        <v>154</v>
      </c>
      <c r="G937" t="s">
        <v>4715</v>
      </c>
      <c r="H937" t="s">
        <v>3904</v>
      </c>
      <c r="I937" t="s">
        <v>5627</v>
      </c>
      <c r="J937" t="s">
        <v>5628</v>
      </c>
      <c r="K937" t="s">
        <v>5629</v>
      </c>
      <c r="L937" t="s">
        <v>4717</v>
      </c>
    </row>
    <row r="938">
      <c r="A938" t="s">
        <v>2461</v>
      </c>
      <c r="B938" t="s">
        <v>1015</v>
      </c>
      <c r="C938" t="s">
        <v>958</v>
      </c>
      <c r="D938" t="s">
        <v>970</v>
      </c>
      <c r="E938" t="s">
        <v>1013</v>
      </c>
      <c r="F938" t="s">
        <v>154</v>
      </c>
      <c r="G938" t="s">
        <v>4715</v>
      </c>
      <c r="H938" t="s">
        <v>5630</v>
      </c>
      <c r="I938" t="s">
        <v>5474</v>
      </c>
      <c r="J938" t="s">
        <v>5631</v>
      </c>
      <c r="K938" t="s">
        <v>5632</v>
      </c>
      <c r="L938" t="s">
        <v>4717</v>
      </c>
    </row>
    <row r="939">
      <c r="A939" t="s">
        <v>2461</v>
      </c>
      <c r="B939" t="s">
        <v>1015</v>
      </c>
      <c r="C939" t="s">
        <v>958</v>
      </c>
      <c r="D939" t="s">
        <v>970</v>
      </c>
      <c r="E939" t="s">
        <v>1013</v>
      </c>
      <c r="F939" t="s">
        <v>154</v>
      </c>
      <c r="G939" t="s">
        <v>4715</v>
      </c>
      <c r="H939" t="s">
        <v>5170</v>
      </c>
      <c r="I939" t="s">
        <v>5171</v>
      </c>
      <c r="J939" t="s">
        <v>5633</v>
      </c>
      <c r="K939" t="s">
        <v>5634</v>
      </c>
      <c r="L939" t="s">
        <v>4717</v>
      </c>
    </row>
    <row r="940">
      <c r="A940" t="s">
        <v>2461</v>
      </c>
      <c r="B940" t="s">
        <v>1015</v>
      </c>
      <c r="C940" t="s">
        <v>958</v>
      </c>
      <c r="D940" t="s">
        <v>970</v>
      </c>
      <c r="E940" t="s">
        <v>1013</v>
      </c>
      <c r="F940" t="s">
        <v>154</v>
      </c>
      <c r="G940" t="s">
        <v>4715</v>
      </c>
      <c r="H940" t="s">
        <v>5157</v>
      </c>
      <c r="I940" t="s">
        <v>5635</v>
      </c>
      <c r="J940" t="s">
        <v>5636</v>
      </c>
      <c r="K940" t="s">
        <v>5637</v>
      </c>
      <c r="L940" t="s">
        <v>4717</v>
      </c>
    </row>
    <row r="941">
      <c r="A941" t="s">
        <v>2461</v>
      </c>
      <c r="B941" t="s">
        <v>1015</v>
      </c>
      <c r="C941" t="s">
        <v>958</v>
      </c>
      <c r="D941" t="s">
        <v>970</v>
      </c>
      <c r="E941" t="s">
        <v>1013</v>
      </c>
      <c r="F941" t="s">
        <v>154</v>
      </c>
      <c r="G941" t="s">
        <v>4715</v>
      </c>
      <c r="H941" t="s">
        <v>5539</v>
      </c>
      <c r="I941" t="s">
        <v>5638</v>
      </c>
      <c r="J941" t="s">
        <v>5639</v>
      </c>
      <c r="K941" t="s">
        <v>5640</v>
      </c>
      <c r="L941" t="s">
        <v>4717</v>
      </c>
    </row>
    <row r="942">
      <c r="A942" t="s">
        <v>2461</v>
      </c>
      <c r="B942" t="s">
        <v>1015</v>
      </c>
      <c r="C942" t="s">
        <v>958</v>
      </c>
      <c r="D942" t="s">
        <v>970</v>
      </c>
      <c r="E942" t="s">
        <v>1013</v>
      </c>
      <c r="F942" t="s">
        <v>154</v>
      </c>
      <c r="G942" t="s">
        <v>4715</v>
      </c>
      <c r="H942" t="s">
        <v>5539</v>
      </c>
      <c r="I942" t="s">
        <v>5641</v>
      </c>
      <c r="J942" t="s">
        <v>5642</v>
      </c>
      <c r="K942" t="s">
        <v>5643</v>
      </c>
      <c r="L942" t="s">
        <v>4717</v>
      </c>
    </row>
    <row r="943">
      <c r="A943" t="s">
        <v>2461</v>
      </c>
      <c r="B943" t="s">
        <v>1015</v>
      </c>
      <c r="C943" t="s">
        <v>958</v>
      </c>
      <c r="D943" t="s">
        <v>970</v>
      </c>
      <c r="E943" t="s">
        <v>1013</v>
      </c>
      <c r="F943" t="s">
        <v>154</v>
      </c>
      <c r="G943" t="s">
        <v>4715</v>
      </c>
      <c r="H943" t="s">
        <v>5644</v>
      </c>
      <c r="I943" t="s">
        <v>5645</v>
      </c>
      <c r="J943" t="s">
        <v>5646</v>
      </c>
      <c r="K943" t="s">
        <v>5647</v>
      </c>
      <c r="L943" t="s">
        <v>4717</v>
      </c>
    </row>
    <row r="944">
      <c r="A944" t="s">
        <v>2461</v>
      </c>
      <c r="B944" t="s">
        <v>1015</v>
      </c>
      <c r="C944" t="s">
        <v>958</v>
      </c>
      <c r="D944" t="s">
        <v>970</v>
      </c>
      <c r="E944" t="s">
        <v>1013</v>
      </c>
      <c r="F944" t="s">
        <v>154</v>
      </c>
      <c r="G944" t="s">
        <v>4715</v>
      </c>
      <c r="H944" t="s">
        <v>5644</v>
      </c>
      <c r="I944" t="s">
        <v>5648</v>
      </c>
      <c r="J944" t="s">
        <v>5649</v>
      </c>
      <c r="K944" t="s">
        <v>5650</v>
      </c>
      <c r="L944" t="s">
        <v>4717</v>
      </c>
    </row>
    <row r="945">
      <c r="A945" t="s">
        <v>2461</v>
      </c>
      <c r="B945" t="s">
        <v>1015</v>
      </c>
      <c r="C945" t="s">
        <v>958</v>
      </c>
      <c r="D945" t="s">
        <v>970</v>
      </c>
      <c r="E945" t="s">
        <v>1013</v>
      </c>
      <c r="F945" t="s">
        <v>154</v>
      </c>
      <c r="G945" t="s">
        <v>4715</v>
      </c>
      <c r="H945" t="s">
        <v>5651</v>
      </c>
      <c r="I945" t="s">
        <v>5196</v>
      </c>
      <c r="J945" t="s">
        <v>5652</v>
      </c>
      <c r="K945" t="s">
        <v>5653</v>
      </c>
      <c r="L945" t="s">
        <v>4717</v>
      </c>
    </row>
    <row r="946">
      <c r="A946" t="s">
        <v>2461</v>
      </c>
      <c r="B946" t="s">
        <v>1015</v>
      </c>
      <c r="C946" t="s">
        <v>958</v>
      </c>
      <c r="D946" t="s">
        <v>970</v>
      </c>
      <c r="E946" t="s">
        <v>1013</v>
      </c>
      <c r="F946" t="s">
        <v>154</v>
      </c>
      <c r="G946" t="s">
        <v>4715</v>
      </c>
      <c r="H946" t="s">
        <v>5651</v>
      </c>
      <c r="I946" t="s">
        <v>5195</v>
      </c>
      <c r="J946" t="s">
        <v>5654</v>
      </c>
      <c r="K946" t="s">
        <v>5655</v>
      </c>
      <c r="L946" t="s">
        <v>4717</v>
      </c>
    </row>
    <row r="947">
      <c r="A947" t="s">
        <v>2461</v>
      </c>
      <c r="B947" t="s">
        <v>1015</v>
      </c>
      <c r="C947" t="s">
        <v>958</v>
      </c>
      <c r="D947" t="s">
        <v>970</v>
      </c>
      <c r="E947" t="s">
        <v>1013</v>
      </c>
      <c r="F947" t="s">
        <v>154</v>
      </c>
      <c r="G947" t="s">
        <v>4715</v>
      </c>
      <c r="H947" t="s">
        <v>5522</v>
      </c>
      <c r="I947" t="s">
        <v>5656</v>
      </c>
      <c r="J947" t="s">
        <v>5657</v>
      </c>
      <c r="K947" t="s">
        <v>5658</v>
      </c>
      <c r="L947" t="s">
        <v>4717</v>
      </c>
    </row>
    <row r="948">
      <c r="A948" t="s">
        <v>2464</v>
      </c>
      <c r="B948" t="s">
        <v>1022</v>
      </c>
      <c r="C948" t="s">
        <v>958</v>
      </c>
      <c r="D948" t="s">
        <v>970</v>
      </c>
      <c r="E948" t="s">
        <v>1013</v>
      </c>
      <c r="F948" t="s">
        <v>120</v>
      </c>
      <c r="G948" t="s">
        <v>4715</v>
      </c>
      <c r="H948" t="s">
        <v>5041</v>
      </c>
      <c r="I948" t="s">
        <v>5614</v>
      </c>
      <c r="J948" t="s">
        <v>5615</v>
      </c>
      <c r="K948" t="s">
        <v>4169</v>
      </c>
      <c r="L948" t="s">
        <v>4717</v>
      </c>
    </row>
    <row r="949">
      <c r="A949" t="s">
        <v>2464</v>
      </c>
      <c r="B949" t="s">
        <v>1022</v>
      </c>
      <c r="C949" t="s">
        <v>958</v>
      </c>
      <c r="D949" t="s">
        <v>970</v>
      </c>
      <c r="E949" t="s">
        <v>1013</v>
      </c>
      <c r="F949" t="s">
        <v>120</v>
      </c>
      <c r="G949" t="s">
        <v>4715</v>
      </c>
      <c r="H949" t="s">
        <v>5616</v>
      </c>
      <c r="I949" t="s">
        <v>5617</v>
      </c>
      <c r="J949" t="s">
        <v>5618</v>
      </c>
      <c r="K949" t="s">
        <v>5619</v>
      </c>
      <c r="L949" t="s">
        <v>4717</v>
      </c>
    </row>
    <row r="950">
      <c r="A950" t="s">
        <v>2464</v>
      </c>
      <c r="B950" t="s">
        <v>1022</v>
      </c>
      <c r="C950" t="s">
        <v>958</v>
      </c>
      <c r="D950" t="s">
        <v>970</v>
      </c>
      <c r="E950" t="s">
        <v>1013</v>
      </c>
      <c r="F950" t="s">
        <v>120</v>
      </c>
      <c r="G950" t="s">
        <v>4715</v>
      </c>
      <c r="H950" t="s">
        <v>5499</v>
      </c>
      <c r="I950" t="s">
        <v>5620</v>
      </c>
      <c r="J950" t="s">
        <v>5621</v>
      </c>
      <c r="K950" t="s">
        <v>5622</v>
      </c>
      <c r="L950" t="s">
        <v>4717</v>
      </c>
    </row>
    <row r="951">
      <c r="A951" t="s">
        <v>2464</v>
      </c>
      <c r="B951" t="s">
        <v>1022</v>
      </c>
      <c r="C951" t="s">
        <v>958</v>
      </c>
      <c r="D951" t="s">
        <v>970</v>
      </c>
      <c r="E951" t="s">
        <v>1013</v>
      </c>
      <c r="F951" t="s">
        <v>120</v>
      </c>
      <c r="G951" t="s">
        <v>4715</v>
      </c>
      <c r="H951" t="s">
        <v>5623</v>
      </c>
      <c r="I951" t="s">
        <v>5624</v>
      </c>
      <c r="J951" t="s">
        <v>5625</v>
      </c>
      <c r="K951" t="s">
        <v>5626</v>
      </c>
      <c r="L951" t="s">
        <v>4717</v>
      </c>
    </row>
    <row r="952">
      <c r="A952" t="s">
        <v>2464</v>
      </c>
      <c r="B952" t="s">
        <v>1022</v>
      </c>
      <c r="C952" t="s">
        <v>958</v>
      </c>
      <c r="D952" t="s">
        <v>970</v>
      </c>
      <c r="E952" t="s">
        <v>1013</v>
      </c>
      <c r="F952" t="s">
        <v>120</v>
      </c>
      <c r="G952" t="s">
        <v>4715</v>
      </c>
      <c r="H952" t="s">
        <v>3904</v>
      </c>
      <c r="I952" t="s">
        <v>5627</v>
      </c>
      <c r="J952" t="s">
        <v>5628</v>
      </c>
      <c r="K952" t="s">
        <v>5629</v>
      </c>
      <c r="L952" t="s">
        <v>4717</v>
      </c>
    </row>
    <row r="953">
      <c r="A953" t="s">
        <v>2464</v>
      </c>
      <c r="B953" t="s">
        <v>1022</v>
      </c>
      <c r="C953" t="s">
        <v>958</v>
      </c>
      <c r="D953" t="s">
        <v>970</v>
      </c>
      <c r="E953" t="s">
        <v>1013</v>
      </c>
      <c r="F953" t="s">
        <v>120</v>
      </c>
      <c r="G953" t="s">
        <v>4715</v>
      </c>
      <c r="H953" t="s">
        <v>5630</v>
      </c>
      <c r="I953" t="s">
        <v>5474</v>
      </c>
      <c r="J953" t="s">
        <v>5631</v>
      </c>
      <c r="K953" t="s">
        <v>5632</v>
      </c>
      <c r="L953" t="s">
        <v>4717</v>
      </c>
    </row>
    <row r="954">
      <c r="A954" t="s">
        <v>2464</v>
      </c>
      <c r="B954" t="s">
        <v>1022</v>
      </c>
      <c r="C954" t="s">
        <v>958</v>
      </c>
      <c r="D954" t="s">
        <v>970</v>
      </c>
      <c r="E954" t="s">
        <v>1013</v>
      </c>
      <c r="F954" t="s">
        <v>120</v>
      </c>
      <c r="G954" t="s">
        <v>4715</v>
      </c>
      <c r="H954" t="s">
        <v>5170</v>
      </c>
      <c r="I954" t="s">
        <v>5171</v>
      </c>
      <c r="J954" t="s">
        <v>5633</v>
      </c>
      <c r="K954" t="s">
        <v>5634</v>
      </c>
      <c r="L954" t="s">
        <v>4717</v>
      </c>
    </row>
    <row r="955">
      <c r="A955" t="s">
        <v>2464</v>
      </c>
      <c r="B955" t="s">
        <v>1022</v>
      </c>
      <c r="C955" t="s">
        <v>958</v>
      </c>
      <c r="D955" t="s">
        <v>970</v>
      </c>
      <c r="E955" t="s">
        <v>1013</v>
      </c>
      <c r="F955" t="s">
        <v>120</v>
      </c>
      <c r="G955" t="s">
        <v>4715</v>
      </c>
      <c r="H955" t="s">
        <v>5157</v>
      </c>
      <c r="I955" t="s">
        <v>5635</v>
      </c>
      <c r="J955" t="s">
        <v>5636</v>
      </c>
      <c r="K955" t="s">
        <v>5637</v>
      </c>
      <c r="L955" t="s">
        <v>4717</v>
      </c>
    </row>
    <row r="956">
      <c r="A956" t="s">
        <v>2464</v>
      </c>
      <c r="B956" t="s">
        <v>1022</v>
      </c>
      <c r="C956" t="s">
        <v>958</v>
      </c>
      <c r="D956" t="s">
        <v>970</v>
      </c>
      <c r="E956" t="s">
        <v>1013</v>
      </c>
      <c r="F956" t="s">
        <v>120</v>
      </c>
      <c r="G956" t="s">
        <v>4715</v>
      </c>
      <c r="H956" t="s">
        <v>5539</v>
      </c>
      <c r="I956" t="s">
        <v>5638</v>
      </c>
      <c r="J956" t="s">
        <v>5639</v>
      </c>
      <c r="K956" t="s">
        <v>5640</v>
      </c>
      <c r="L956" t="s">
        <v>4717</v>
      </c>
    </row>
    <row r="957">
      <c r="A957" t="s">
        <v>2464</v>
      </c>
      <c r="B957" t="s">
        <v>1022</v>
      </c>
      <c r="C957" t="s">
        <v>958</v>
      </c>
      <c r="D957" t="s">
        <v>970</v>
      </c>
      <c r="E957" t="s">
        <v>1013</v>
      </c>
      <c r="F957" t="s">
        <v>120</v>
      </c>
      <c r="G957" t="s">
        <v>4715</v>
      </c>
      <c r="H957" t="s">
        <v>5539</v>
      </c>
      <c r="I957" t="s">
        <v>5641</v>
      </c>
      <c r="J957" t="s">
        <v>5642</v>
      </c>
      <c r="K957" t="s">
        <v>5643</v>
      </c>
      <c r="L957" t="s">
        <v>4717</v>
      </c>
    </row>
    <row r="958">
      <c r="A958" t="s">
        <v>2464</v>
      </c>
      <c r="B958" t="s">
        <v>1022</v>
      </c>
      <c r="C958" t="s">
        <v>958</v>
      </c>
      <c r="D958" t="s">
        <v>970</v>
      </c>
      <c r="E958" t="s">
        <v>1013</v>
      </c>
      <c r="F958" t="s">
        <v>120</v>
      </c>
      <c r="G958" t="s">
        <v>4715</v>
      </c>
      <c r="H958" t="s">
        <v>5644</v>
      </c>
      <c r="I958" t="s">
        <v>5645</v>
      </c>
      <c r="J958" t="s">
        <v>5646</v>
      </c>
      <c r="K958" t="s">
        <v>5647</v>
      </c>
      <c r="L958" t="s">
        <v>4717</v>
      </c>
    </row>
    <row r="959">
      <c r="A959" t="s">
        <v>2464</v>
      </c>
      <c r="B959" t="s">
        <v>1022</v>
      </c>
      <c r="C959" t="s">
        <v>958</v>
      </c>
      <c r="D959" t="s">
        <v>970</v>
      </c>
      <c r="E959" t="s">
        <v>1013</v>
      </c>
      <c r="F959" t="s">
        <v>120</v>
      </c>
      <c r="G959" t="s">
        <v>4715</v>
      </c>
      <c r="H959" t="s">
        <v>5644</v>
      </c>
      <c r="I959" t="s">
        <v>5648</v>
      </c>
      <c r="J959" t="s">
        <v>5649</v>
      </c>
      <c r="K959" t="s">
        <v>5650</v>
      </c>
      <c r="L959" t="s">
        <v>4717</v>
      </c>
    </row>
    <row r="960">
      <c r="A960" t="s">
        <v>2464</v>
      </c>
      <c r="B960" t="s">
        <v>1022</v>
      </c>
      <c r="C960" t="s">
        <v>958</v>
      </c>
      <c r="D960" t="s">
        <v>970</v>
      </c>
      <c r="E960" t="s">
        <v>1013</v>
      </c>
      <c r="F960" t="s">
        <v>120</v>
      </c>
      <c r="G960" t="s">
        <v>4715</v>
      </c>
      <c r="H960" t="s">
        <v>5651</v>
      </c>
      <c r="I960" t="s">
        <v>5196</v>
      </c>
      <c r="J960" t="s">
        <v>5652</v>
      </c>
      <c r="K960" t="s">
        <v>5653</v>
      </c>
      <c r="L960" t="s">
        <v>4717</v>
      </c>
    </row>
    <row r="961">
      <c r="A961" t="s">
        <v>2464</v>
      </c>
      <c r="B961" t="s">
        <v>1022</v>
      </c>
      <c r="C961" t="s">
        <v>958</v>
      </c>
      <c r="D961" t="s">
        <v>970</v>
      </c>
      <c r="E961" t="s">
        <v>1013</v>
      </c>
      <c r="F961" t="s">
        <v>120</v>
      </c>
      <c r="G961" t="s">
        <v>4715</v>
      </c>
      <c r="H961" t="s">
        <v>5651</v>
      </c>
      <c r="I961" t="s">
        <v>5195</v>
      </c>
      <c r="J961" t="s">
        <v>5654</v>
      </c>
      <c r="K961" t="s">
        <v>5655</v>
      </c>
      <c r="L961" t="s">
        <v>4717</v>
      </c>
    </row>
    <row r="962">
      <c r="A962" t="s">
        <v>2464</v>
      </c>
      <c r="B962" t="s">
        <v>1022</v>
      </c>
      <c r="C962" t="s">
        <v>958</v>
      </c>
      <c r="D962" t="s">
        <v>970</v>
      </c>
      <c r="E962" t="s">
        <v>1013</v>
      </c>
      <c r="F962" t="s">
        <v>120</v>
      </c>
      <c r="G962" t="s">
        <v>4715</v>
      </c>
      <c r="H962" t="s">
        <v>5522</v>
      </c>
      <c r="I962" t="s">
        <v>5656</v>
      </c>
      <c r="J962" t="s">
        <v>5657</v>
      </c>
      <c r="K962" t="s">
        <v>5658</v>
      </c>
      <c r="L962" t="s">
        <v>4717</v>
      </c>
    </row>
    <row r="963">
      <c r="A963" t="s">
        <v>2467</v>
      </c>
      <c r="B963" t="s">
        <v>1029</v>
      </c>
      <c r="C963" t="s">
        <v>958</v>
      </c>
      <c r="D963" t="s">
        <v>970</v>
      </c>
      <c r="E963" t="s">
        <v>1013</v>
      </c>
      <c r="F963" t="s">
        <v>154</v>
      </c>
      <c r="G963" t="s">
        <v>4715</v>
      </c>
      <c r="H963" t="s">
        <v>5041</v>
      </c>
      <c r="I963" t="s">
        <v>5614</v>
      </c>
      <c r="J963" t="s">
        <v>5615</v>
      </c>
      <c r="K963" t="s">
        <v>4169</v>
      </c>
      <c r="L963" t="s">
        <v>4717</v>
      </c>
    </row>
    <row r="964">
      <c r="A964" t="s">
        <v>2467</v>
      </c>
      <c r="B964" t="s">
        <v>1029</v>
      </c>
      <c r="C964" t="s">
        <v>958</v>
      </c>
      <c r="D964" t="s">
        <v>970</v>
      </c>
      <c r="E964" t="s">
        <v>1013</v>
      </c>
      <c r="F964" t="s">
        <v>154</v>
      </c>
      <c r="G964" t="s">
        <v>4715</v>
      </c>
      <c r="H964" t="s">
        <v>5616</v>
      </c>
      <c r="I964" t="s">
        <v>5617</v>
      </c>
      <c r="J964" t="s">
        <v>5618</v>
      </c>
      <c r="K964" t="s">
        <v>5619</v>
      </c>
      <c r="L964" t="s">
        <v>4717</v>
      </c>
    </row>
    <row r="965">
      <c r="A965" t="s">
        <v>2467</v>
      </c>
      <c r="B965" t="s">
        <v>1029</v>
      </c>
      <c r="C965" t="s">
        <v>958</v>
      </c>
      <c r="D965" t="s">
        <v>970</v>
      </c>
      <c r="E965" t="s">
        <v>1013</v>
      </c>
      <c r="F965" t="s">
        <v>154</v>
      </c>
      <c r="G965" t="s">
        <v>4715</v>
      </c>
      <c r="H965" t="s">
        <v>5499</v>
      </c>
      <c r="I965" t="s">
        <v>5620</v>
      </c>
      <c r="J965" t="s">
        <v>5621</v>
      </c>
      <c r="K965" t="s">
        <v>5622</v>
      </c>
      <c r="L965" t="s">
        <v>4717</v>
      </c>
    </row>
    <row r="966">
      <c r="A966" t="s">
        <v>2467</v>
      </c>
      <c r="B966" t="s">
        <v>1029</v>
      </c>
      <c r="C966" t="s">
        <v>958</v>
      </c>
      <c r="D966" t="s">
        <v>970</v>
      </c>
      <c r="E966" t="s">
        <v>1013</v>
      </c>
      <c r="F966" t="s">
        <v>154</v>
      </c>
      <c r="G966" t="s">
        <v>4715</v>
      </c>
      <c r="H966" t="s">
        <v>5623</v>
      </c>
      <c r="I966" t="s">
        <v>5624</v>
      </c>
      <c r="J966" t="s">
        <v>5625</v>
      </c>
      <c r="K966" t="s">
        <v>5626</v>
      </c>
      <c r="L966" t="s">
        <v>4717</v>
      </c>
    </row>
    <row r="967">
      <c r="A967" t="s">
        <v>2467</v>
      </c>
      <c r="B967" t="s">
        <v>1029</v>
      </c>
      <c r="C967" t="s">
        <v>958</v>
      </c>
      <c r="D967" t="s">
        <v>970</v>
      </c>
      <c r="E967" t="s">
        <v>1013</v>
      </c>
      <c r="F967" t="s">
        <v>154</v>
      </c>
      <c r="G967" t="s">
        <v>4715</v>
      </c>
      <c r="H967" t="s">
        <v>3904</v>
      </c>
      <c r="I967" t="s">
        <v>5627</v>
      </c>
      <c r="J967" t="s">
        <v>5628</v>
      </c>
      <c r="K967" t="s">
        <v>5629</v>
      </c>
      <c r="L967" t="s">
        <v>4717</v>
      </c>
    </row>
    <row r="968">
      <c r="A968" t="s">
        <v>2467</v>
      </c>
      <c r="B968" t="s">
        <v>1029</v>
      </c>
      <c r="C968" t="s">
        <v>958</v>
      </c>
      <c r="D968" t="s">
        <v>970</v>
      </c>
      <c r="E968" t="s">
        <v>1013</v>
      </c>
      <c r="F968" t="s">
        <v>154</v>
      </c>
      <c r="G968" t="s">
        <v>4715</v>
      </c>
      <c r="H968" t="s">
        <v>5630</v>
      </c>
      <c r="I968" t="s">
        <v>5474</v>
      </c>
      <c r="J968" t="s">
        <v>5631</v>
      </c>
      <c r="K968" t="s">
        <v>5632</v>
      </c>
      <c r="L968" t="s">
        <v>4717</v>
      </c>
    </row>
    <row r="969">
      <c r="A969" t="s">
        <v>2467</v>
      </c>
      <c r="B969" t="s">
        <v>1029</v>
      </c>
      <c r="C969" t="s">
        <v>958</v>
      </c>
      <c r="D969" t="s">
        <v>970</v>
      </c>
      <c r="E969" t="s">
        <v>1013</v>
      </c>
      <c r="F969" t="s">
        <v>154</v>
      </c>
      <c r="G969" t="s">
        <v>4715</v>
      </c>
      <c r="H969" t="s">
        <v>5170</v>
      </c>
      <c r="I969" t="s">
        <v>5171</v>
      </c>
      <c r="J969" t="s">
        <v>5633</v>
      </c>
      <c r="K969" t="s">
        <v>5634</v>
      </c>
      <c r="L969" t="s">
        <v>4717</v>
      </c>
    </row>
    <row r="970">
      <c r="A970" t="s">
        <v>2467</v>
      </c>
      <c r="B970" t="s">
        <v>1029</v>
      </c>
      <c r="C970" t="s">
        <v>958</v>
      </c>
      <c r="D970" t="s">
        <v>970</v>
      </c>
      <c r="E970" t="s">
        <v>1013</v>
      </c>
      <c r="F970" t="s">
        <v>154</v>
      </c>
      <c r="G970" t="s">
        <v>4715</v>
      </c>
      <c r="H970" t="s">
        <v>5157</v>
      </c>
      <c r="I970" t="s">
        <v>5635</v>
      </c>
      <c r="J970" t="s">
        <v>5636</v>
      </c>
      <c r="K970" t="s">
        <v>5637</v>
      </c>
      <c r="L970" t="s">
        <v>4717</v>
      </c>
    </row>
    <row r="971">
      <c r="A971" t="s">
        <v>2467</v>
      </c>
      <c r="B971" t="s">
        <v>1029</v>
      </c>
      <c r="C971" t="s">
        <v>958</v>
      </c>
      <c r="D971" t="s">
        <v>970</v>
      </c>
      <c r="E971" t="s">
        <v>1013</v>
      </c>
      <c r="F971" t="s">
        <v>154</v>
      </c>
      <c r="G971" t="s">
        <v>4715</v>
      </c>
      <c r="H971" t="s">
        <v>5539</v>
      </c>
      <c r="I971" t="s">
        <v>5638</v>
      </c>
      <c r="J971" t="s">
        <v>5639</v>
      </c>
      <c r="K971" t="s">
        <v>5640</v>
      </c>
      <c r="L971" t="s">
        <v>4717</v>
      </c>
    </row>
    <row r="972">
      <c r="A972" t="s">
        <v>2467</v>
      </c>
      <c r="B972" t="s">
        <v>1029</v>
      </c>
      <c r="C972" t="s">
        <v>958</v>
      </c>
      <c r="D972" t="s">
        <v>970</v>
      </c>
      <c r="E972" t="s">
        <v>1013</v>
      </c>
      <c r="F972" t="s">
        <v>154</v>
      </c>
      <c r="G972" t="s">
        <v>4715</v>
      </c>
      <c r="H972" t="s">
        <v>5539</v>
      </c>
      <c r="I972" t="s">
        <v>5641</v>
      </c>
      <c r="J972" t="s">
        <v>5642</v>
      </c>
      <c r="K972" t="s">
        <v>5643</v>
      </c>
      <c r="L972" t="s">
        <v>4717</v>
      </c>
    </row>
    <row r="973">
      <c r="A973" t="s">
        <v>2467</v>
      </c>
      <c r="B973" t="s">
        <v>1029</v>
      </c>
      <c r="C973" t="s">
        <v>958</v>
      </c>
      <c r="D973" t="s">
        <v>970</v>
      </c>
      <c r="E973" t="s">
        <v>1013</v>
      </c>
      <c r="F973" t="s">
        <v>154</v>
      </c>
      <c r="G973" t="s">
        <v>4715</v>
      </c>
      <c r="H973" t="s">
        <v>5644</v>
      </c>
      <c r="I973" t="s">
        <v>5645</v>
      </c>
      <c r="J973" t="s">
        <v>5646</v>
      </c>
      <c r="K973" t="s">
        <v>5647</v>
      </c>
      <c r="L973" t="s">
        <v>4717</v>
      </c>
    </row>
    <row r="974">
      <c r="A974" t="s">
        <v>2467</v>
      </c>
      <c r="B974" t="s">
        <v>1029</v>
      </c>
      <c r="C974" t="s">
        <v>958</v>
      </c>
      <c r="D974" t="s">
        <v>970</v>
      </c>
      <c r="E974" t="s">
        <v>1013</v>
      </c>
      <c r="F974" t="s">
        <v>154</v>
      </c>
      <c r="G974" t="s">
        <v>4715</v>
      </c>
      <c r="H974" t="s">
        <v>5644</v>
      </c>
      <c r="I974" t="s">
        <v>5648</v>
      </c>
      <c r="J974" t="s">
        <v>5649</v>
      </c>
      <c r="K974" t="s">
        <v>5650</v>
      </c>
      <c r="L974" t="s">
        <v>4717</v>
      </c>
    </row>
    <row r="975">
      <c r="A975" t="s">
        <v>2467</v>
      </c>
      <c r="B975" t="s">
        <v>1029</v>
      </c>
      <c r="C975" t="s">
        <v>958</v>
      </c>
      <c r="D975" t="s">
        <v>970</v>
      </c>
      <c r="E975" t="s">
        <v>1013</v>
      </c>
      <c r="F975" t="s">
        <v>154</v>
      </c>
      <c r="G975" t="s">
        <v>4715</v>
      </c>
      <c r="H975" t="s">
        <v>5651</v>
      </c>
      <c r="I975" t="s">
        <v>5196</v>
      </c>
      <c r="J975" t="s">
        <v>5652</v>
      </c>
      <c r="K975" t="s">
        <v>5653</v>
      </c>
      <c r="L975" t="s">
        <v>4717</v>
      </c>
    </row>
    <row r="976">
      <c r="A976" t="s">
        <v>2467</v>
      </c>
      <c r="B976" t="s">
        <v>1029</v>
      </c>
      <c r="C976" t="s">
        <v>958</v>
      </c>
      <c r="D976" t="s">
        <v>970</v>
      </c>
      <c r="E976" t="s">
        <v>1013</v>
      </c>
      <c r="F976" t="s">
        <v>154</v>
      </c>
      <c r="G976" t="s">
        <v>4715</v>
      </c>
      <c r="H976" t="s">
        <v>5651</v>
      </c>
      <c r="I976" t="s">
        <v>5195</v>
      </c>
      <c r="J976" t="s">
        <v>5654</v>
      </c>
      <c r="K976" t="s">
        <v>5655</v>
      </c>
      <c r="L976" t="s">
        <v>4717</v>
      </c>
    </row>
    <row r="977">
      <c r="A977" t="s">
        <v>2467</v>
      </c>
      <c r="B977" t="s">
        <v>1029</v>
      </c>
      <c r="C977" t="s">
        <v>958</v>
      </c>
      <c r="D977" t="s">
        <v>970</v>
      </c>
      <c r="E977" t="s">
        <v>1013</v>
      </c>
      <c r="F977" t="s">
        <v>154</v>
      </c>
      <c r="G977" t="s">
        <v>4715</v>
      </c>
      <c r="H977" t="s">
        <v>5522</v>
      </c>
      <c r="I977" t="s">
        <v>5656</v>
      </c>
      <c r="J977" t="s">
        <v>5657</v>
      </c>
      <c r="K977" t="s">
        <v>5658</v>
      </c>
      <c r="L977" t="s">
        <v>4717</v>
      </c>
    </row>
    <row r="978">
      <c r="A978" t="s">
        <v>2471</v>
      </c>
      <c r="B978" t="s">
        <v>1035</v>
      </c>
      <c r="C978" t="s">
        <v>958</v>
      </c>
      <c r="D978" t="s">
        <v>970</v>
      </c>
      <c r="E978" t="s">
        <v>1013</v>
      </c>
      <c r="F978" t="s">
        <v>120</v>
      </c>
      <c r="G978" t="s">
        <v>4715</v>
      </c>
      <c r="H978" t="s">
        <v>5041</v>
      </c>
      <c r="I978" t="s">
        <v>5614</v>
      </c>
      <c r="J978" t="s">
        <v>5615</v>
      </c>
      <c r="K978" t="s">
        <v>4169</v>
      </c>
      <c r="L978" t="s">
        <v>4717</v>
      </c>
    </row>
    <row r="979">
      <c r="A979" t="s">
        <v>2471</v>
      </c>
      <c r="B979" t="s">
        <v>1035</v>
      </c>
      <c r="C979" t="s">
        <v>958</v>
      </c>
      <c r="D979" t="s">
        <v>970</v>
      </c>
      <c r="E979" t="s">
        <v>1013</v>
      </c>
      <c r="F979" t="s">
        <v>120</v>
      </c>
      <c r="G979" t="s">
        <v>4715</v>
      </c>
      <c r="H979" t="s">
        <v>5616</v>
      </c>
      <c r="I979" t="s">
        <v>5617</v>
      </c>
      <c r="J979" t="s">
        <v>5618</v>
      </c>
      <c r="K979" t="s">
        <v>5619</v>
      </c>
      <c r="L979" t="s">
        <v>4717</v>
      </c>
    </row>
    <row r="980">
      <c r="A980" t="s">
        <v>2471</v>
      </c>
      <c r="B980" t="s">
        <v>1035</v>
      </c>
      <c r="C980" t="s">
        <v>958</v>
      </c>
      <c r="D980" t="s">
        <v>970</v>
      </c>
      <c r="E980" t="s">
        <v>1013</v>
      </c>
      <c r="F980" t="s">
        <v>120</v>
      </c>
      <c r="G980" t="s">
        <v>4715</v>
      </c>
      <c r="H980" t="s">
        <v>5499</v>
      </c>
      <c r="I980" t="s">
        <v>5620</v>
      </c>
      <c r="J980" t="s">
        <v>5621</v>
      </c>
      <c r="K980" t="s">
        <v>5622</v>
      </c>
      <c r="L980" t="s">
        <v>4717</v>
      </c>
    </row>
    <row r="981">
      <c r="A981" t="s">
        <v>2471</v>
      </c>
      <c r="B981" t="s">
        <v>1035</v>
      </c>
      <c r="C981" t="s">
        <v>958</v>
      </c>
      <c r="D981" t="s">
        <v>970</v>
      </c>
      <c r="E981" t="s">
        <v>1013</v>
      </c>
      <c r="F981" t="s">
        <v>120</v>
      </c>
      <c r="G981" t="s">
        <v>4715</v>
      </c>
      <c r="H981" t="s">
        <v>5623</v>
      </c>
      <c r="I981" t="s">
        <v>5624</v>
      </c>
      <c r="J981" t="s">
        <v>5625</v>
      </c>
      <c r="K981" t="s">
        <v>5626</v>
      </c>
      <c r="L981" t="s">
        <v>4717</v>
      </c>
    </row>
    <row r="982">
      <c r="A982" t="s">
        <v>2471</v>
      </c>
      <c r="B982" t="s">
        <v>1035</v>
      </c>
      <c r="C982" t="s">
        <v>958</v>
      </c>
      <c r="D982" t="s">
        <v>970</v>
      </c>
      <c r="E982" t="s">
        <v>1013</v>
      </c>
      <c r="F982" t="s">
        <v>120</v>
      </c>
      <c r="G982" t="s">
        <v>4715</v>
      </c>
      <c r="H982" t="s">
        <v>3904</v>
      </c>
      <c r="I982" t="s">
        <v>5627</v>
      </c>
      <c r="J982" t="s">
        <v>5628</v>
      </c>
      <c r="K982" t="s">
        <v>5629</v>
      </c>
      <c r="L982" t="s">
        <v>4717</v>
      </c>
    </row>
    <row r="983">
      <c r="A983" t="s">
        <v>2471</v>
      </c>
      <c r="B983" t="s">
        <v>1035</v>
      </c>
      <c r="C983" t="s">
        <v>958</v>
      </c>
      <c r="D983" t="s">
        <v>970</v>
      </c>
      <c r="E983" t="s">
        <v>1013</v>
      </c>
      <c r="F983" t="s">
        <v>120</v>
      </c>
      <c r="G983" t="s">
        <v>4715</v>
      </c>
      <c r="H983" t="s">
        <v>5630</v>
      </c>
      <c r="I983" t="s">
        <v>5474</v>
      </c>
      <c r="J983" t="s">
        <v>5631</v>
      </c>
      <c r="K983" t="s">
        <v>5632</v>
      </c>
      <c r="L983" t="s">
        <v>4717</v>
      </c>
    </row>
    <row r="984">
      <c r="A984" t="s">
        <v>2471</v>
      </c>
      <c r="B984" t="s">
        <v>1035</v>
      </c>
      <c r="C984" t="s">
        <v>958</v>
      </c>
      <c r="D984" t="s">
        <v>970</v>
      </c>
      <c r="E984" t="s">
        <v>1013</v>
      </c>
      <c r="F984" t="s">
        <v>120</v>
      </c>
      <c r="G984" t="s">
        <v>4715</v>
      </c>
      <c r="H984" t="s">
        <v>5170</v>
      </c>
      <c r="I984" t="s">
        <v>5171</v>
      </c>
      <c r="J984" t="s">
        <v>5633</v>
      </c>
      <c r="K984" t="s">
        <v>5634</v>
      </c>
      <c r="L984" t="s">
        <v>4717</v>
      </c>
    </row>
    <row r="985">
      <c r="A985" t="s">
        <v>2471</v>
      </c>
      <c r="B985" t="s">
        <v>1035</v>
      </c>
      <c r="C985" t="s">
        <v>958</v>
      </c>
      <c r="D985" t="s">
        <v>970</v>
      </c>
      <c r="E985" t="s">
        <v>1013</v>
      </c>
      <c r="F985" t="s">
        <v>120</v>
      </c>
      <c r="G985" t="s">
        <v>4715</v>
      </c>
      <c r="H985" t="s">
        <v>5157</v>
      </c>
      <c r="I985" t="s">
        <v>5635</v>
      </c>
      <c r="J985" t="s">
        <v>5636</v>
      </c>
      <c r="K985" t="s">
        <v>5637</v>
      </c>
      <c r="L985" t="s">
        <v>4717</v>
      </c>
    </row>
    <row r="986">
      <c r="A986" t="s">
        <v>2471</v>
      </c>
      <c r="B986" t="s">
        <v>1035</v>
      </c>
      <c r="C986" t="s">
        <v>958</v>
      </c>
      <c r="D986" t="s">
        <v>970</v>
      </c>
      <c r="E986" t="s">
        <v>1013</v>
      </c>
      <c r="F986" t="s">
        <v>120</v>
      </c>
      <c r="G986" t="s">
        <v>4715</v>
      </c>
      <c r="H986" t="s">
        <v>5539</v>
      </c>
      <c r="I986" t="s">
        <v>5638</v>
      </c>
      <c r="J986" t="s">
        <v>5639</v>
      </c>
      <c r="K986" t="s">
        <v>5640</v>
      </c>
      <c r="L986" t="s">
        <v>4717</v>
      </c>
    </row>
    <row r="987">
      <c r="A987" t="s">
        <v>2471</v>
      </c>
      <c r="B987" t="s">
        <v>1035</v>
      </c>
      <c r="C987" t="s">
        <v>958</v>
      </c>
      <c r="D987" t="s">
        <v>970</v>
      </c>
      <c r="E987" t="s">
        <v>1013</v>
      </c>
      <c r="F987" t="s">
        <v>120</v>
      </c>
      <c r="G987" t="s">
        <v>4715</v>
      </c>
      <c r="H987" t="s">
        <v>5539</v>
      </c>
      <c r="I987" t="s">
        <v>5641</v>
      </c>
      <c r="J987" t="s">
        <v>5642</v>
      </c>
      <c r="K987" t="s">
        <v>5643</v>
      </c>
      <c r="L987" t="s">
        <v>4717</v>
      </c>
    </row>
    <row r="988">
      <c r="A988" t="s">
        <v>2471</v>
      </c>
      <c r="B988" t="s">
        <v>1035</v>
      </c>
      <c r="C988" t="s">
        <v>958</v>
      </c>
      <c r="D988" t="s">
        <v>970</v>
      </c>
      <c r="E988" t="s">
        <v>1013</v>
      </c>
      <c r="F988" t="s">
        <v>120</v>
      </c>
      <c r="G988" t="s">
        <v>4715</v>
      </c>
      <c r="H988" t="s">
        <v>5644</v>
      </c>
      <c r="I988" t="s">
        <v>5645</v>
      </c>
      <c r="J988" t="s">
        <v>5646</v>
      </c>
      <c r="K988" t="s">
        <v>5647</v>
      </c>
      <c r="L988" t="s">
        <v>4717</v>
      </c>
    </row>
    <row r="989">
      <c r="A989" t="s">
        <v>2471</v>
      </c>
      <c r="B989" t="s">
        <v>1035</v>
      </c>
      <c r="C989" t="s">
        <v>958</v>
      </c>
      <c r="D989" t="s">
        <v>970</v>
      </c>
      <c r="E989" t="s">
        <v>1013</v>
      </c>
      <c r="F989" t="s">
        <v>120</v>
      </c>
      <c r="G989" t="s">
        <v>4715</v>
      </c>
      <c r="H989" t="s">
        <v>5644</v>
      </c>
      <c r="I989" t="s">
        <v>5648</v>
      </c>
      <c r="J989" t="s">
        <v>5649</v>
      </c>
      <c r="K989" t="s">
        <v>5650</v>
      </c>
      <c r="L989" t="s">
        <v>4717</v>
      </c>
    </row>
    <row r="990">
      <c r="A990" t="s">
        <v>2471</v>
      </c>
      <c r="B990" t="s">
        <v>1035</v>
      </c>
      <c r="C990" t="s">
        <v>958</v>
      </c>
      <c r="D990" t="s">
        <v>970</v>
      </c>
      <c r="E990" t="s">
        <v>1013</v>
      </c>
      <c r="F990" t="s">
        <v>120</v>
      </c>
      <c r="G990" t="s">
        <v>4715</v>
      </c>
      <c r="H990" t="s">
        <v>5651</v>
      </c>
      <c r="I990" t="s">
        <v>5196</v>
      </c>
      <c r="J990" t="s">
        <v>5652</v>
      </c>
      <c r="K990" t="s">
        <v>5653</v>
      </c>
      <c r="L990" t="s">
        <v>4717</v>
      </c>
    </row>
    <row r="991">
      <c r="A991" t="s">
        <v>2471</v>
      </c>
      <c r="B991" t="s">
        <v>1035</v>
      </c>
      <c r="C991" t="s">
        <v>958</v>
      </c>
      <c r="D991" t="s">
        <v>970</v>
      </c>
      <c r="E991" t="s">
        <v>1013</v>
      </c>
      <c r="F991" t="s">
        <v>120</v>
      </c>
      <c r="G991" t="s">
        <v>4715</v>
      </c>
      <c r="H991" t="s">
        <v>5651</v>
      </c>
      <c r="I991" t="s">
        <v>5195</v>
      </c>
      <c r="J991" t="s">
        <v>5654</v>
      </c>
      <c r="K991" t="s">
        <v>5655</v>
      </c>
      <c r="L991" t="s">
        <v>4717</v>
      </c>
    </row>
    <row r="992">
      <c r="A992" t="s">
        <v>2471</v>
      </c>
      <c r="B992" t="s">
        <v>1035</v>
      </c>
      <c r="C992" t="s">
        <v>958</v>
      </c>
      <c r="D992" t="s">
        <v>970</v>
      </c>
      <c r="E992" t="s">
        <v>1013</v>
      </c>
      <c r="F992" t="s">
        <v>120</v>
      </c>
      <c r="G992" t="s">
        <v>4715</v>
      </c>
      <c r="H992" t="s">
        <v>5522</v>
      </c>
      <c r="I992" t="s">
        <v>5656</v>
      </c>
      <c r="J992" t="s">
        <v>5657</v>
      </c>
      <c r="K992" t="s">
        <v>5658</v>
      </c>
      <c r="L992" t="s">
        <v>4717</v>
      </c>
    </row>
    <row r="993">
      <c r="A993" t="s">
        <v>2474</v>
      </c>
      <c r="B993" t="s">
        <v>1043</v>
      </c>
      <c r="C993" t="s">
        <v>958</v>
      </c>
      <c r="D993" t="s">
        <v>970</v>
      </c>
      <c r="E993" t="s">
        <v>1041</v>
      </c>
      <c r="F993" t="s">
        <v>120</v>
      </c>
      <c r="G993" t="s">
        <v>4715</v>
      </c>
      <c r="H993" t="s">
        <v>5041</v>
      </c>
      <c r="I993" t="s">
        <v>5614</v>
      </c>
      <c r="J993" t="s">
        <v>5615</v>
      </c>
      <c r="K993" t="s">
        <v>4169</v>
      </c>
      <c r="L993" t="s">
        <v>4717</v>
      </c>
    </row>
    <row r="994">
      <c r="A994" t="s">
        <v>2474</v>
      </c>
      <c r="B994" t="s">
        <v>1043</v>
      </c>
      <c r="C994" t="s">
        <v>958</v>
      </c>
      <c r="D994" t="s">
        <v>970</v>
      </c>
      <c r="E994" t="s">
        <v>1041</v>
      </c>
      <c r="F994" t="s">
        <v>120</v>
      </c>
      <c r="G994" t="s">
        <v>4715</v>
      </c>
      <c r="H994" t="s">
        <v>5616</v>
      </c>
      <c r="I994" t="s">
        <v>5617</v>
      </c>
      <c r="J994" t="s">
        <v>5618</v>
      </c>
      <c r="K994" t="s">
        <v>5619</v>
      </c>
      <c r="L994" t="s">
        <v>4717</v>
      </c>
    </row>
    <row r="995">
      <c r="A995" t="s">
        <v>2474</v>
      </c>
      <c r="B995" t="s">
        <v>1043</v>
      </c>
      <c r="C995" t="s">
        <v>958</v>
      </c>
      <c r="D995" t="s">
        <v>970</v>
      </c>
      <c r="E995" t="s">
        <v>1041</v>
      </c>
      <c r="F995" t="s">
        <v>120</v>
      </c>
      <c r="G995" t="s">
        <v>4715</v>
      </c>
      <c r="H995" t="s">
        <v>5499</v>
      </c>
      <c r="I995" t="s">
        <v>5620</v>
      </c>
      <c r="J995" t="s">
        <v>5621</v>
      </c>
      <c r="K995" t="s">
        <v>5622</v>
      </c>
      <c r="L995" t="s">
        <v>4717</v>
      </c>
    </row>
    <row r="996">
      <c r="A996" t="s">
        <v>2474</v>
      </c>
      <c r="B996" t="s">
        <v>1043</v>
      </c>
      <c r="C996" t="s">
        <v>958</v>
      </c>
      <c r="D996" t="s">
        <v>970</v>
      </c>
      <c r="E996" t="s">
        <v>1041</v>
      </c>
      <c r="F996" t="s">
        <v>120</v>
      </c>
      <c r="G996" t="s">
        <v>4715</v>
      </c>
      <c r="H996" t="s">
        <v>5623</v>
      </c>
      <c r="I996" t="s">
        <v>5624</v>
      </c>
      <c r="J996" t="s">
        <v>5625</v>
      </c>
      <c r="K996" t="s">
        <v>5626</v>
      </c>
      <c r="L996" t="s">
        <v>4717</v>
      </c>
    </row>
    <row r="997">
      <c r="A997" t="s">
        <v>2474</v>
      </c>
      <c r="B997" t="s">
        <v>1043</v>
      </c>
      <c r="C997" t="s">
        <v>958</v>
      </c>
      <c r="D997" t="s">
        <v>970</v>
      </c>
      <c r="E997" t="s">
        <v>1041</v>
      </c>
      <c r="F997" t="s">
        <v>120</v>
      </c>
      <c r="G997" t="s">
        <v>4715</v>
      </c>
      <c r="H997" t="s">
        <v>3904</v>
      </c>
      <c r="I997" t="s">
        <v>5627</v>
      </c>
      <c r="J997" t="s">
        <v>5628</v>
      </c>
      <c r="K997" t="s">
        <v>5629</v>
      </c>
      <c r="L997" t="s">
        <v>4717</v>
      </c>
    </row>
    <row r="998">
      <c r="A998" t="s">
        <v>2474</v>
      </c>
      <c r="B998" t="s">
        <v>1043</v>
      </c>
      <c r="C998" t="s">
        <v>958</v>
      </c>
      <c r="D998" t="s">
        <v>970</v>
      </c>
      <c r="E998" t="s">
        <v>1041</v>
      </c>
      <c r="F998" t="s">
        <v>120</v>
      </c>
      <c r="G998" t="s">
        <v>4715</v>
      </c>
      <c r="H998" t="s">
        <v>5630</v>
      </c>
      <c r="I998" t="s">
        <v>5474</v>
      </c>
      <c r="J998" t="s">
        <v>5631</v>
      </c>
      <c r="K998" t="s">
        <v>5632</v>
      </c>
      <c r="L998" t="s">
        <v>4717</v>
      </c>
    </row>
    <row r="999">
      <c r="A999" t="s">
        <v>2474</v>
      </c>
      <c r="B999" t="s">
        <v>1043</v>
      </c>
      <c r="C999" t="s">
        <v>958</v>
      </c>
      <c r="D999" t="s">
        <v>970</v>
      </c>
      <c r="E999" t="s">
        <v>1041</v>
      </c>
      <c r="F999" t="s">
        <v>120</v>
      </c>
      <c r="G999" t="s">
        <v>4715</v>
      </c>
      <c r="H999" t="s">
        <v>5170</v>
      </c>
      <c r="I999" t="s">
        <v>5171</v>
      </c>
      <c r="J999" t="s">
        <v>5633</v>
      </c>
      <c r="K999" t="s">
        <v>5634</v>
      </c>
      <c r="L999" t="s">
        <v>4717</v>
      </c>
    </row>
    <row r="1000">
      <c r="A1000" t="s">
        <v>2474</v>
      </c>
      <c r="B1000" t="s">
        <v>1043</v>
      </c>
      <c r="C1000" t="s">
        <v>958</v>
      </c>
      <c r="D1000" t="s">
        <v>970</v>
      </c>
      <c r="E1000" t="s">
        <v>1041</v>
      </c>
      <c r="F1000" t="s">
        <v>120</v>
      </c>
      <c r="G1000" t="s">
        <v>4715</v>
      </c>
      <c r="H1000" t="s">
        <v>5157</v>
      </c>
      <c r="I1000" t="s">
        <v>5635</v>
      </c>
      <c r="J1000" t="s">
        <v>5636</v>
      </c>
      <c r="K1000" t="s">
        <v>5637</v>
      </c>
      <c r="L1000" t="s">
        <v>4717</v>
      </c>
    </row>
    <row r="1001">
      <c r="A1001" t="s">
        <v>2474</v>
      </c>
      <c r="B1001" t="s">
        <v>1043</v>
      </c>
      <c r="C1001" t="s">
        <v>958</v>
      </c>
      <c r="D1001" t="s">
        <v>970</v>
      </c>
      <c r="E1001" t="s">
        <v>1041</v>
      </c>
      <c r="F1001" t="s">
        <v>120</v>
      </c>
      <c r="G1001" t="s">
        <v>4715</v>
      </c>
      <c r="H1001" t="s">
        <v>5539</v>
      </c>
      <c r="I1001" t="s">
        <v>5638</v>
      </c>
      <c r="J1001" t="s">
        <v>5639</v>
      </c>
      <c r="K1001" t="s">
        <v>5640</v>
      </c>
      <c r="L1001" t="s">
        <v>4717</v>
      </c>
    </row>
    <row r="1002">
      <c r="A1002" t="s">
        <v>2474</v>
      </c>
      <c r="B1002" t="s">
        <v>1043</v>
      </c>
      <c r="C1002" t="s">
        <v>958</v>
      </c>
      <c r="D1002" t="s">
        <v>970</v>
      </c>
      <c r="E1002" t="s">
        <v>1041</v>
      </c>
      <c r="F1002" t="s">
        <v>120</v>
      </c>
      <c r="G1002" t="s">
        <v>4715</v>
      </c>
      <c r="H1002" t="s">
        <v>5539</v>
      </c>
      <c r="I1002" t="s">
        <v>5641</v>
      </c>
      <c r="J1002" t="s">
        <v>5642</v>
      </c>
      <c r="K1002" t="s">
        <v>5643</v>
      </c>
      <c r="L1002" t="s">
        <v>4717</v>
      </c>
    </row>
    <row r="1003">
      <c r="A1003" t="s">
        <v>2474</v>
      </c>
      <c r="B1003" t="s">
        <v>1043</v>
      </c>
      <c r="C1003" t="s">
        <v>958</v>
      </c>
      <c r="D1003" t="s">
        <v>970</v>
      </c>
      <c r="E1003" t="s">
        <v>1041</v>
      </c>
      <c r="F1003" t="s">
        <v>120</v>
      </c>
      <c r="G1003" t="s">
        <v>4715</v>
      </c>
      <c r="H1003" t="s">
        <v>5644</v>
      </c>
      <c r="I1003" t="s">
        <v>5645</v>
      </c>
      <c r="J1003" t="s">
        <v>5646</v>
      </c>
      <c r="K1003" t="s">
        <v>5647</v>
      </c>
      <c r="L1003" t="s">
        <v>4717</v>
      </c>
    </row>
    <row r="1004">
      <c r="A1004" t="s">
        <v>2474</v>
      </c>
      <c r="B1004" t="s">
        <v>1043</v>
      </c>
      <c r="C1004" t="s">
        <v>958</v>
      </c>
      <c r="D1004" t="s">
        <v>970</v>
      </c>
      <c r="E1004" t="s">
        <v>1041</v>
      </c>
      <c r="F1004" t="s">
        <v>120</v>
      </c>
      <c r="G1004" t="s">
        <v>4715</v>
      </c>
      <c r="H1004" t="s">
        <v>5644</v>
      </c>
      <c r="I1004" t="s">
        <v>5648</v>
      </c>
      <c r="J1004" t="s">
        <v>5649</v>
      </c>
      <c r="K1004" t="s">
        <v>5650</v>
      </c>
      <c r="L1004" t="s">
        <v>4717</v>
      </c>
    </row>
    <row r="1005">
      <c r="A1005" t="s">
        <v>2474</v>
      </c>
      <c r="B1005" t="s">
        <v>1043</v>
      </c>
      <c r="C1005" t="s">
        <v>958</v>
      </c>
      <c r="D1005" t="s">
        <v>970</v>
      </c>
      <c r="E1005" t="s">
        <v>1041</v>
      </c>
      <c r="F1005" t="s">
        <v>120</v>
      </c>
      <c r="G1005" t="s">
        <v>4715</v>
      </c>
      <c r="H1005" t="s">
        <v>5651</v>
      </c>
      <c r="I1005" t="s">
        <v>5196</v>
      </c>
      <c r="J1005" t="s">
        <v>5652</v>
      </c>
      <c r="K1005" t="s">
        <v>5653</v>
      </c>
      <c r="L1005" t="s">
        <v>4717</v>
      </c>
    </row>
    <row r="1006">
      <c r="A1006" t="s">
        <v>2474</v>
      </c>
      <c r="B1006" t="s">
        <v>1043</v>
      </c>
      <c r="C1006" t="s">
        <v>958</v>
      </c>
      <c r="D1006" t="s">
        <v>970</v>
      </c>
      <c r="E1006" t="s">
        <v>1041</v>
      </c>
      <c r="F1006" t="s">
        <v>120</v>
      </c>
      <c r="G1006" t="s">
        <v>4715</v>
      </c>
      <c r="H1006" t="s">
        <v>5651</v>
      </c>
      <c r="I1006" t="s">
        <v>5195</v>
      </c>
      <c r="J1006" t="s">
        <v>5654</v>
      </c>
      <c r="K1006" t="s">
        <v>5655</v>
      </c>
      <c r="L1006" t="s">
        <v>4717</v>
      </c>
    </row>
    <row r="1007">
      <c r="A1007" t="s">
        <v>2474</v>
      </c>
      <c r="B1007" t="s">
        <v>1043</v>
      </c>
      <c r="C1007" t="s">
        <v>958</v>
      </c>
      <c r="D1007" t="s">
        <v>970</v>
      </c>
      <c r="E1007" t="s">
        <v>1041</v>
      </c>
      <c r="F1007" t="s">
        <v>120</v>
      </c>
      <c r="G1007" t="s">
        <v>4715</v>
      </c>
      <c r="H1007" t="s">
        <v>5522</v>
      </c>
      <c r="I1007" t="s">
        <v>5656</v>
      </c>
      <c r="J1007" t="s">
        <v>5657</v>
      </c>
      <c r="K1007" t="s">
        <v>5658</v>
      </c>
      <c r="L1007" t="s">
        <v>4717</v>
      </c>
    </row>
    <row r="1008">
      <c r="A1008" t="s">
        <v>2477</v>
      </c>
      <c r="B1008" t="s">
        <v>1050</v>
      </c>
      <c r="C1008" t="s">
        <v>958</v>
      </c>
      <c r="D1008" t="s">
        <v>970</v>
      </c>
      <c r="E1008" t="s">
        <v>1041</v>
      </c>
      <c r="F1008" t="s">
        <v>154</v>
      </c>
      <c r="G1008" t="s">
        <v>4715</v>
      </c>
      <c r="H1008" t="s">
        <v>5041</v>
      </c>
      <c r="I1008" t="s">
        <v>5614</v>
      </c>
      <c r="J1008" t="s">
        <v>5615</v>
      </c>
      <c r="K1008" t="s">
        <v>4169</v>
      </c>
      <c r="L1008" t="s">
        <v>4717</v>
      </c>
    </row>
    <row r="1009">
      <c r="A1009" t="s">
        <v>2477</v>
      </c>
      <c r="B1009" t="s">
        <v>1050</v>
      </c>
      <c r="C1009" t="s">
        <v>958</v>
      </c>
      <c r="D1009" t="s">
        <v>970</v>
      </c>
      <c r="E1009" t="s">
        <v>1041</v>
      </c>
      <c r="F1009" t="s">
        <v>154</v>
      </c>
      <c r="G1009" t="s">
        <v>4715</v>
      </c>
      <c r="H1009" t="s">
        <v>5616</v>
      </c>
      <c r="I1009" t="s">
        <v>5617</v>
      </c>
      <c r="J1009" t="s">
        <v>5618</v>
      </c>
      <c r="K1009" t="s">
        <v>5619</v>
      </c>
      <c r="L1009" t="s">
        <v>4717</v>
      </c>
    </row>
    <row r="1010">
      <c r="A1010" t="s">
        <v>2477</v>
      </c>
      <c r="B1010" t="s">
        <v>1050</v>
      </c>
      <c r="C1010" t="s">
        <v>958</v>
      </c>
      <c r="D1010" t="s">
        <v>970</v>
      </c>
      <c r="E1010" t="s">
        <v>1041</v>
      </c>
      <c r="F1010" t="s">
        <v>154</v>
      </c>
      <c r="G1010" t="s">
        <v>4715</v>
      </c>
      <c r="H1010" t="s">
        <v>5499</v>
      </c>
      <c r="I1010" t="s">
        <v>5620</v>
      </c>
      <c r="J1010" t="s">
        <v>5621</v>
      </c>
      <c r="K1010" t="s">
        <v>5622</v>
      </c>
      <c r="L1010" t="s">
        <v>4717</v>
      </c>
    </row>
    <row r="1011">
      <c r="A1011" t="s">
        <v>2477</v>
      </c>
      <c r="B1011" t="s">
        <v>1050</v>
      </c>
      <c r="C1011" t="s">
        <v>958</v>
      </c>
      <c r="D1011" t="s">
        <v>970</v>
      </c>
      <c r="E1011" t="s">
        <v>1041</v>
      </c>
      <c r="F1011" t="s">
        <v>154</v>
      </c>
      <c r="G1011" t="s">
        <v>4715</v>
      </c>
      <c r="H1011" t="s">
        <v>5623</v>
      </c>
      <c r="I1011" t="s">
        <v>5624</v>
      </c>
      <c r="J1011" t="s">
        <v>5625</v>
      </c>
      <c r="K1011" t="s">
        <v>5626</v>
      </c>
      <c r="L1011" t="s">
        <v>4717</v>
      </c>
    </row>
    <row r="1012">
      <c r="A1012" t="s">
        <v>2477</v>
      </c>
      <c r="B1012" t="s">
        <v>1050</v>
      </c>
      <c r="C1012" t="s">
        <v>958</v>
      </c>
      <c r="D1012" t="s">
        <v>970</v>
      </c>
      <c r="E1012" t="s">
        <v>1041</v>
      </c>
      <c r="F1012" t="s">
        <v>154</v>
      </c>
      <c r="G1012" t="s">
        <v>4715</v>
      </c>
      <c r="H1012" t="s">
        <v>3904</v>
      </c>
      <c r="I1012" t="s">
        <v>5627</v>
      </c>
      <c r="J1012" t="s">
        <v>5628</v>
      </c>
      <c r="K1012" t="s">
        <v>5629</v>
      </c>
      <c r="L1012" t="s">
        <v>4717</v>
      </c>
    </row>
    <row r="1013">
      <c r="A1013" t="s">
        <v>2477</v>
      </c>
      <c r="B1013" t="s">
        <v>1050</v>
      </c>
      <c r="C1013" t="s">
        <v>958</v>
      </c>
      <c r="D1013" t="s">
        <v>970</v>
      </c>
      <c r="E1013" t="s">
        <v>1041</v>
      </c>
      <c r="F1013" t="s">
        <v>154</v>
      </c>
      <c r="G1013" t="s">
        <v>4715</v>
      </c>
      <c r="H1013" t="s">
        <v>5630</v>
      </c>
      <c r="I1013" t="s">
        <v>5474</v>
      </c>
      <c r="J1013" t="s">
        <v>5631</v>
      </c>
      <c r="K1013" t="s">
        <v>5632</v>
      </c>
      <c r="L1013" t="s">
        <v>4717</v>
      </c>
    </row>
    <row r="1014">
      <c r="A1014" t="s">
        <v>2477</v>
      </c>
      <c r="B1014" t="s">
        <v>1050</v>
      </c>
      <c r="C1014" t="s">
        <v>958</v>
      </c>
      <c r="D1014" t="s">
        <v>970</v>
      </c>
      <c r="E1014" t="s">
        <v>1041</v>
      </c>
      <c r="F1014" t="s">
        <v>154</v>
      </c>
      <c r="G1014" t="s">
        <v>4715</v>
      </c>
      <c r="H1014" t="s">
        <v>5170</v>
      </c>
      <c r="I1014" t="s">
        <v>5171</v>
      </c>
      <c r="J1014" t="s">
        <v>5633</v>
      </c>
      <c r="K1014" t="s">
        <v>5634</v>
      </c>
      <c r="L1014" t="s">
        <v>4717</v>
      </c>
    </row>
    <row r="1015">
      <c r="A1015" t="s">
        <v>2477</v>
      </c>
      <c r="B1015" t="s">
        <v>1050</v>
      </c>
      <c r="C1015" t="s">
        <v>958</v>
      </c>
      <c r="D1015" t="s">
        <v>970</v>
      </c>
      <c r="E1015" t="s">
        <v>1041</v>
      </c>
      <c r="F1015" t="s">
        <v>154</v>
      </c>
      <c r="G1015" t="s">
        <v>4715</v>
      </c>
      <c r="H1015" t="s">
        <v>5157</v>
      </c>
      <c r="I1015" t="s">
        <v>5635</v>
      </c>
      <c r="J1015" t="s">
        <v>5636</v>
      </c>
      <c r="K1015" t="s">
        <v>5637</v>
      </c>
      <c r="L1015" t="s">
        <v>4717</v>
      </c>
    </row>
    <row r="1016">
      <c r="A1016" t="s">
        <v>2477</v>
      </c>
      <c r="B1016" t="s">
        <v>1050</v>
      </c>
      <c r="C1016" t="s">
        <v>958</v>
      </c>
      <c r="D1016" t="s">
        <v>970</v>
      </c>
      <c r="E1016" t="s">
        <v>1041</v>
      </c>
      <c r="F1016" t="s">
        <v>154</v>
      </c>
      <c r="G1016" t="s">
        <v>4715</v>
      </c>
      <c r="H1016" t="s">
        <v>5539</v>
      </c>
      <c r="I1016" t="s">
        <v>5638</v>
      </c>
      <c r="J1016" t="s">
        <v>5639</v>
      </c>
      <c r="K1016" t="s">
        <v>5640</v>
      </c>
      <c r="L1016" t="s">
        <v>4717</v>
      </c>
    </row>
    <row r="1017">
      <c r="A1017" t="s">
        <v>2477</v>
      </c>
      <c r="B1017" t="s">
        <v>1050</v>
      </c>
      <c r="C1017" t="s">
        <v>958</v>
      </c>
      <c r="D1017" t="s">
        <v>970</v>
      </c>
      <c r="E1017" t="s">
        <v>1041</v>
      </c>
      <c r="F1017" t="s">
        <v>154</v>
      </c>
      <c r="G1017" t="s">
        <v>4715</v>
      </c>
      <c r="H1017" t="s">
        <v>5539</v>
      </c>
      <c r="I1017" t="s">
        <v>5641</v>
      </c>
      <c r="J1017" t="s">
        <v>5642</v>
      </c>
      <c r="K1017" t="s">
        <v>5643</v>
      </c>
      <c r="L1017" t="s">
        <v>4717</v>
      </c>
    </row>
    <row r="1018">
      <c r="A1018" t="s">
        <v>2477</v>
      </c>
      <c r="B1018" t="s">
        <v>1050</v>
      </c>
      <c r="C1018" t="s">
        <v>958</v>
      </c>
      <c r="D1018" t="s">
        <v>970</v>
      </c>
      <c r="E1018" t="s">
        <v>1041</v>
      </c>
      <c r="F1018" t="s">
        <v>154</v>
      </c>
      <c r="G1018" t="s">
        <v>4715</v>
      </c>
      <c r="H1018" t="s">
        <v>5644</v>
      </c>
      <c r="I1018" t="s">
        <v>5645</v>
      </c>
      <c r="J1018" t="s">
        <v>5646</v>
      </c>
      <c r="K1018" t="s">
        <v>5647</v>
      </c>
      <c r="L1018" t="s">
        <v>4717</v>
      </c>
    </row>
    <row r="1019">
      <c r="A1019" t="s">
        <v>2477</v>
      </c>
      <c r="B1019" t="s">
        <v>1050</v>
      </c>
      <c r="C1019" t="s">
        <v>958</v>
      </c>
      <c r="D1019" t="s">
        <v>970</v>
      </c>
      <c r="E1019" t="s">
        <v>1041</v>
      </c>
      <c r="F1019" t="s">
        <v>154</v>
      </c>
      <c r="G1019" t="s">
        <v>4715</v>
      </c>
      <c r="H1019" t="s">
        <v>5644</v>
      </c>
      <c r="I1019" t="s">
        <v>5648</v>
      </c>
      <c r="J1019" t="s">
        <v>5649</v>
      </c>
      <c r="K1019" t="s">
        <v>5650</v>
      </c>
      <c r="L1019" t="s">
        <v>4717</v>
      </c>
    </row>
    <row r="1020">
      <c r="A1020" t="s">
        <v>2477</v>
      </c>
      <c r="B1020" t="s">
        <v>1050</v>
      </c>
      <c r="C1020" t="s">
        <v>958</v>
      </c>
      <c r="D1020" t="s">
        <v>970</v>
      </c>
      <c r="E1020" t="s">
        <v>1041</v>
      </c>
      <c r="F1020" t="s">
        <v>154</v>
      </c>
      <c r="G1020" t="s">
        <v>4715</v>
      </c>
      <c r="H1020" t="s">
        <v>5651</v>
      </c>
      <c r="I1020" t="s">
        <v>5196</v>
      </c>
      <c r="J1020" t="s">
        <v>5652</v>
      </c>
      <c r="K1020" t="s">
        <v>5653</v>
      </c>
      <c r="L1020" t="s">
        <v>4717</v>
      </c>
    </row>
    <row r="1021">
      <c r="A1021" t="s">
        <v>2477</v>
      </c>
      <c r="B1021" t="s">
        <v>1050</v>
      </c>
      <c r="C1021" t="s">
        <v>958</v>
      </c>
      <c r="D1021" t="s">
        <v>970</v>
      </c>
      <c r="E1021" t="s">
        <v>1041</v>
      </c>
      <c r="F1021" t="s">
        <v>154</v>
      </c>
      <c r="G1021" t="s">
        <v>4715</v>
      </c>
      <c r="H1021" t="s">
        <v>5651</v>
      </c>
      <c r="I1021" t="s">
        <v>5195</v>
      </c>
      <c r="J1021" t="s">
        <v>5654</v>
      </c>
      <c r="K1021" t="s">
        <v>5655</v>
      </c>
      <c r="L1021" t="s">
        <v>4717</v>
      </c>
    </row>
    <row r="1022">
      <c r="A1022" t="s">
        <v>2477</v>
      </c>
      <c r="B1022" t="s">
        <v>1050</v>
      </c>
      <c r="C1022" t="s">
        <v>958</v>
      </c>
      <c r="D1022" t="s">
        <v>970</v>
      </c>
      <c r="E1022" t="s">
        <v>1041</v>
      </c>
      <c r="F1022" t="s">
        <v>154</v>
      </c>
      <c r="G1022" t="s">
        <v>4715</v>
      </c>
      <c r="H1022" t="s">
        <v>5522</v>
      </c>
      <c r="I1022" t="s">
        <v>5656</v>
      </c>
      <c r="J1022" t="s">
        <v>5657</v>
      </c>
      <c r="K1022" t="s">
        <v>5658</v>
      </c>
      <c r="L1022" t="s">
        <v>4717</v>
      </c>
    </row>
    <row r="1023">
      <c r="A1023" t="s">
        <v>2480</v>
      </c>
      <c r="B1023" t="s">
        <v>1058</v>
      </c>
      <c r="C1023" t="s">
        <v>958</v>
      </c>
      <c r="D1023" t="s">
        <v>970</v>
      </c>
      <c r="E1023" t="s">
        <v>1041</v>
      </c>
      <c r="F1023" t="s">
        <v>120</v>
      </c>
      <c r="G1023" t="s">
        <v>4715</v>
      </c>
      <c r="H1023" t="s">
        <v>5041</v>
      </c>
      <c r="I1023" t="s">
        <v>5614</v>
      </c>
      <c r="J1023" t="s">
        <v>5615</v>
      </c>
      <c r="K1023" t="s">
        <v>4169</v>
      </c>
      <c r="L1023" t="s">
        <v>4717</v>
      </c>
    </row>
    <row r="1024">
      <c r="A1024" t="s">
        <v>2480</v>
      </c>
      <c r="B1024" t="s">
        <v>1058</v>
      </c>
      <c r="C1024" t="s">
        <v>958</v>
      </c>
      <c r="D1024" t="s">
        <v>970</v>
      </c>
      <c r="E1024" t="s">
        <v>1041</v>
      </c>
      <c r="F1024" t="s">
        <v>120</v>
      </c>
      <c r="G1024" t="s">
        <v>4715</v>
      </c>
      <c r="H1024" t="s">
        <v>5616</v>
      </c>
      <c r="I1024" t="s">
        <v>5617</v>
      </c>
      <c r="J1024" t="s">
        <v>5618</v>
      </c>
      <c r="K1024" t="s">
        <v>5619</v>
      </c>
      <c r="L1024" t="s">
        <v>4717</v>
      </c>
    </row>
    <row r="1025">
      <c r="A1025" t="s">
        <v>2480</v>
      </c>
      <c r="B1025" t="s">
        <v>1058</v>
      </c>
      <c r="C1025" t="s">
        <v>958</v>
      </c>
      <c r="D1025" t="s">
        <v>970</v>
      </c>
      <c r="E1025" t="s">
        <v>1041</v>
      </c>
      <c r="F1025" t="s">
        <v>120</v>
      </c>
      <c r="G1025" t="s">
        <v>4715</v>
      </c>
      <c r="H1025" t="s">
        <v>5499</v>
      </c>
      <c r="I1025" t="s">
        <v>5620</v>
      </c>
      <c r="J1025" t="s">
        <v>5621</v>
      </c>
      <c r="K1025" t="s">
        <v>5622</v>
      </c>
      <c r="L1025" t="s">
        <v>4717</v>
      </c>
    </row>
    <row r="1026">
      <c r="A1026" t="s">
        <v>2480</v>
      </c>
      <c r="B1026" t="s">
        <v>1058</v>
      </c>
      <c r="C1026" t="s">
        <v>958</v>
      </c>
      <c r="D1026" t="s">
        <v>970</v>
      </c>
      <c r="E1026" t="s">
        <v>1041</v>
      </c>
      <c r="F1026" t="s">
        <v>120</v>
      </c>
      <c r="G1026" t="s">
        <v>4715</v>
      </c>
      <c r="H1026" t="s">
        <v>5623</v>
      </c>
      <c r="I1026" t="s">
        <v>5624</v>
      </c>
      <c r="J1026" t="s">
        <v>5625</v>
      </c>
      <c r="K1026" t="s">
        <v>5626</v>
      </c>
      <c r="L1026" t="s">
        <v>4717</v>
      </c>
    </row>
    <row r="1027">
      <c r="A1027" t="s">
        <v>2480</v>
      </c>
      <c r="B1027" t="s">
        <v>1058</v>
      </c>
      <c r="C1027" t="s">
        <v>958</v>
      </c>
      <c r="D1027" t="s">
        <v>970</v>
      </c>
      <c r="E1027" t="s">
        <v>1041</v>
      </c>
      <c r="F1027" t="s">
        <v>120</v>
      </c>
      <c r="G1027" t="s">
        <v>4715</v>
      </c>
      <c r="H1027" t="s">
        <v>3904</v>
      </c>
      <c r="I1027" t="s">
        <v>5627</v>
      </c>
      <c r="J1027" t="s">
        <v>5628</v>
      </c>
      <c r="K1027" t="s">
        <v>5629</v>
      </c>
      <c r="L1027" t="s">
        <v>4717</v>
      </c>
    </row>
    <row r="1028">
      <c r="A1028" t="s">
        <v>2480</v>
      </c>
      <c r="B1028" t="s">
        <v>1058</v>
      </c>
      <c r="C1028" t="s">
        <v>958</v>
      </c>
      <c r="D1028" t="s">
        <v>970</v>
      </c>
      <c r="E1028" t="s">
        <v>1041</v>
      </c>
      <c r="F1028" t="s">
        <v>120</v>
      </c>
      <c r="G1028" t="s">
        <v>4715</v>
      </c>
      <c r="H1028" t="s">
        <v>5630</v>
      </c>
      <c r="I1028" t="s">
        <v>5474</v>
      </c>
      <c r="J1028" t="s">
        <v>5631</v>
      </c>
      <c r="K1028" t="s">
        <v>5632</v>
      </c>
      <c r="L1028" t="s">
        <v>4717</v>
      </c>
    </row>
    <row r="1029">
      <c r="A1029" t="s">
        <v>2480</v>
      </c>
      <c r="B1029" t="s">
        <v>1058</v>
      </c>
      <c r="C1029" t="s">
        <v>958</v>
      </c>
      <c r="D1029" t="s">
        <v>970</v>
      </c>
      <c r="E1029" t="s">
        <v>1041</v>
      </c>
      <c r="F1029" t="s">
        <v>120</v>
      </c>
      <c r="G1029" t="s">
        <v>4715</v>
      </c>
      <c r="H1029" t="s">
        <v>5170</v>
      </c>
      <c r="I1029" t="s">
        <v>5171</v>
      </c>
      <c r="J1029" t="s">
        <v>5633</v>
      </c>
      <c r="K1029" t="s">
        <v>5634</v>
      </c>
      <c r="L1029" t="s">
        <v>4717</v>
      </c>
    </row>
    <row r="1030">
      <c r="A1030" t="s">
        <v>2480</v>
      </c>
      <c r="B1030" t="s">
        <v>1058</v>
      </c>
      <c r="C1030" t="s">
        <v>958</v>
      </c>
      <c r="D1030" t="s">
        <v>970</v>
      </c>
      <c r="E1030" t="s">
        <v>1041</v>
      </c>
      <c r="F1030" t="s">
        <v>120</v>
      </c>
      <c r="G1030" t="s">
        <v>4715</v>
      </c>
      <c r="H1030" t="s">
        <v>5157</v>
      </c>
      <c r="I1030" t="s">
        <v>5635</v>
      </c>
      <c r="J1030" t="s">
        <v>5636</v>
      </c>
      <c r="K1030" t="s">
        <v>5637</v>
      </c>
      <c r="L1030" t="s">
        <v>4717</v>
      </c>
    </row>
    <row r="1031">
      <c r="A1031" t="s">
        <v>2480</v>
      </c>
      <c r="B1031" t="s">
        <v>1058</v>
      </c>
      <c r="C1031" t="s">
        <v>958</v>
      </c>
      <c r="D1031" t="s">
        <v>970</v>
      </c>
      <c r="E1031" t="s">
        <v>1041</v>
      </c>
      <c r="F1031" t="s">
        <v>120</v>
      </c>
      <c r="G1031" t="s">
        <v>4715</v>
      </c>
      <c r="H1031" t="s">
        <v>5539</v>
      </c>
      <c r="I1031" t="s">
        <v>5638</v>
      </c>
      <c r="J1031" t="s">
        <v>5639</v>
      </c>
      <c r="K1031" t="s">
        <v>5640</v>
      </c>
      <c r="L1031" t="s">
        <v>4717</v>
      </c>
    </row>
    <row r="1032">
      <c r="A1032" t="s">
        <v>2480</v>
      </c>
      <c r="B1032" t="s">
        <v>1058</v>
      </c>
      <c r="C1032" t="s">
        <v>958</v>
      </c>
      <c r="D1032" t="s">
        <v>970</v>
      </c>
      <c r="E1032" t="s">
        <v>1041</v>
      </c>
      <c r="F1032" t="s">
        <v>120</v>
      </c>
      <c r="G1032" t="s">
        <v>4715</v>
      </c>
      <c r="H1032" t="s">
        <v>5539</v>
      </c>
      <c r="I1032" t="s">
        <v>5641</v>
      </c>
      <c r="J1032" t="s">
        <v>5642</v>
      </c>
      <c r="K1032" t="s">
        <v>5643</v>
      </c>
      <c r="L1032" t="s">
        <v>4717</v>
      </c>
    </row>
    <row r="1033">
      <c r="A1033" t="s">
        <v>2480</v>
      </c>
      <c r="B1033" t="s">
        <v>1058</v>
      </c>
      <c r="C1033" t="s">
        <v>958</v>
      </c>
      <c r="D1033" t="s">
        <v>970</v>
      </c>
      <c r="E1033" t="s">
        <v>1041</v>
      </c>
      <c r="F1033" t="s">
        <v>120</v>
      </c>
      <c r="G1033" t="s">
        <v>4715</v>
      </c>
      <c r="H1033" t="s">
        <v>5644</v>
      </c>
      <c r="I1033" t="s">
        <v>5645</v>
      </c>
      <c r="J1033" t="s">
        <v>5646</v>
      </c>
      <c r="K1033" t="s">
        <v>5647</v>
      </c>
      <c r="L1033" t="s">
        <v>4717</v>
      </c>
    </row>
    <row r="1034">
      <c r="A1034" t="s">
        <v>2480</v>
      </c>
      <c r="B1034" t="s">
        <v>1058</v>
      </c>
      <c r="C1034" t="s">
        <v>958</v>
      </c>
      <c r="D1034" t="s">
        <v>970</v>
      </c>
      <c r="E1034" t="s">
        <v>1041</v>
      </c>
      <c r="F1034" t="s">
        <v>120</v>
      </c>
      <c r="G1034" t="s">
        <v>4715</v>
      </c>
      <c r="H1034" t="s">
        <v>5644</v>
      </c>
      <c r="I1034" t="s">
        <v>5648</v>
      </c>
      <c r="J1034" t="s">
        <v>5649</v>
      </c>
      <c r="K1034" t="s">
        <v>5650</v>
      </c>
      <c r="L1034" t="s">
        <v>4717</v>
      </c>
    </row>
    <row r="1035">
      <c r="A1035" t="s">
        <v>2480</v>
      </c>
      <c r="B1035" t="s">
        <v>1058</v>
      </c>
      <c r="C1035" t="s">
        <v>958</v>
      </c>
      <c r="D1035" t="s">
        <v>970</v>
      </c>
      <c r="E1035" t="s">
        <v>1041</v>
      </c>
      <c r="F1035" t="s">
        <v>120</v>
      </c>
      <c r="G1035" t="s">
        <v>4715</v>
      </c>
      <c r="H1035" t="s">
        <v>5651</v>
      </c>
      <c r="I1035" t="s">
        <v>5196</v>
      </c>
      <c r="J1035" t="s">
        <v>5652</v>
      </c>
      <c r="K1035" t="s">
        <v>5653</v>
      </c>
      <c r="L1035" t="s">
        <v>4717</v>
      </c>
    </row>
    <row r="1036">
      <c r="A1036" t="s">
        <v>2480</v>
      </c>
      <c r="B1036" t="s">
        <v>1058</v>
      </c>
      <c r="C1036" t="s">
        <v>958</v>
      </c>
      <c r="D1036" t="s">
        <v>970</v>
      </c>
      <c r="E1036" t="s">
        <v>1041</v>
      </c>
      <c r="F1036" t="s">
        <v>120</v>
      </c>
      <c r="G1036" t="s">
        <v>4715</v>
      </c>
      <c r="H1036" t="s">
        <v>5651</v>
      </c>
      <c r="I1036" t="s">
        <v>5195</v>
      </c>
      <c r="J1036" t="s">
        <v>5654</v>
      </c>
      <c r="K1036" t="s">
        <v>5655</v>
      </c>
      <c r="L1036" t="s">
        <v>4717</v>
      </c>
    </row>
    <row r="1037">
      <c r="A1037" t="s">
        <v>2480</v>
      </c>
      <c r="B1037" t="s">
        <v>1058</v>
      </c>
      <c r="C1037" t="s">
        <v>958</v>
      </c>
      <c r="D1037" t="s">
        <v>970</v>
      </c>
      <c r="E1037" t="s">
        <v>1041</v>
      </c>
      <c r="F1037" t="s">
        <v>120</v>
      </c>
      <c r="G1037" t="s">
        <v>4715</v>
      </c>
      <c r="H1037" t="s">
        <v>5522</v>
      </c>
      <c r="I1037" t="s">
        <v>5656</v>
      </c>
      <c r="J1037" t="s">
        <v>5657</v>
      </c>
      <c r="K1037" t="s">
        <v>5658</v>
      </c>
      <c r="L1037" t="s">
        <v>4717</v>
      </c>
    </row>
    <row r="1038">
      <c r="A1038" t="s">
        <v>2483</v>
      </c>
      <c r="B1038" t="s">
        <v>1064</v>
      </c>
      <c r="C1038" t="s">
        <v>958</v>
      </c>
      <c r="D1038" t="s">
        <v>970</v>
      </c>
      <c r="E1038" t="s">
        <v>1041</v>
      </c>
      <c r="F1038" t="s">
        <v>120</v>
      </c>
      <c r="G1038" t="s">
        <v>4715</v>
      </c>
      <c r="H1038" t="s">
        <v>5041</v>
      </c>
      <c r="I1038" t="s">
        <v>5614</v>
      </c>
      <c r="J1038" t="s">
        <v>5615</v>
      </c>
      <c r="K1038" t="s">
        <v>4169</v>
      </c>
      <c r="L1038" t="s">
        <v>4717</v>
      </c>
    </row>
    <row r="1039">
      <c r="A1039" t="s">
        <v>2483</v>
      </c>
      <c r="B1039" t="s">
        <v>1064</v>
      </c>
      <c r="C1039" t="s">
        <v>958</v>
      </c>
      <c r="D1039" t="s">
        <v>970</v>
      </c>
      <c r="E1039" t="s">
        <v>1041</v>
      </c>
      <c r="F1039" t="s">
        <v>120</v>
      </c>
      <c r="G1039" t="s">
        <v>4715</v>
      </c>
      <c r="H1039" t="s">
        <v>5616</v>
      </c>
      <c r="I1039" t="s">
        <v>5617</v>
      </c>
      <c r="J1039" t="s">
        <v>5618</v>
      </c>
      <c r="K1039" t="s">
        <v>5619</v>
      </c>
      <c r="L1039" t="s">
        <v>4717</v>
      </c>
    </row>
    <row r="1040">
      <c r="A1040" t="s">
        <v>2483</v>
      </c>
      <c r="B1040" t="s">
        <v>1064</v>
      </c>
      <c r="C1040" t="s">
        <v>958</v>
      </c>
      <c r="D1040" t="s">
        <v>970</v>
      </c>
      <c r="E1040" t="s">
        <v>1041</v>
      </c>
      <c r="F1040" t="s">
        <v>120</v>
      </c>
      <c r="G1040" t="s">
        <v>4715</v>
      </c>
      <c r="H1040" t="s">
        <v>5499</v>
      </c>
      <c r="I1040" t="s">
        <v>5620</v>
      </c>
      <c r="J1040" t="s">
        <v>5621</v>
      </c>
      <c r="K1040" t="s">
        <v>5622</v>
      </c>
      <c r="L1040" t="s">
        <v>4717</v>
      </c>
    </row>
    <row r="1041">
      <c r="A1041" t="s">
        <v>2483</v>
      </c>
      <c r="B1041" t="s">
        <v>1064</v>
      </c>
      <c r="C1041" t="s">
        <v>958</v>
      </c>
      <c r="D1041" t="s">
        <v>970</v>
      </c>
      <c r="E1041" t="s">
        <v>1041</v>
      </c>
      <c r="F1041" t="s">
        <v>120</v>
      </c>
      <c r="G1041" t="s">
        <v>4715</v>
      </c>
      <c r="H1041" t="s">
        <v>5623</v>
      </c>
      <c r="I1041" t="s">
        <v>5624</v>
      </c>
      <c r="J1041" t="s">
        <v>5625</v>
      </c>
      <c r="K1041" t="s">
        <v>5626</v>
      </c>
      <c r="L1041" t="s">
        <v>4717</v>
      </c>
    </row>
    <row r="1042">
      <c r="A1042" t="s">
        <v>2483</v>
      </c>
      <c r="B1042" t="s">
        <v>1064</v>
      </c>
      <c r="C1042" t="s">
        <v>958</v>
      </c>
      <c r="D1042" t="s">
        <v>970</v>
      </c>
      <c r="E1042" t="s">
        <v>1041</v>
      </c>
      <c r="F1042" t="s">
        <v>120</v>
      </c>
      <c r="G1042" t="s">
        <v>4715</v>
      </c>
      <c r="H1042" t="s">
        <v>3904</v>
      </c>
      <c r="I1042" t="s">
        <v>5627</v>
      </c>
      <c r="J1042" t="s">
        <v>5628</v>
      </c>
      <c r="K1042" t="s">
        <v>5629</v>
      </c>
      <c r="L1042" t="s">
        <v>4717</v>
      </c>
    </row>
    <row r="1043">
      <c r="A1043" t="s">
        <v>2483</v>
      </c>
      <c r="B1043" t="s">
        <v>1064</v>
      </c>
      <c r="C1043" t="s">
        <v>958</v>
      </c>
      <c r="D1043" t="s">
        <v>970</v>
      </c>
      <c r="E1043" t="s">
        <v>1041</v>
      </c>
      <c r="F1043" t="s">
        <v>120</v>
      </c>
      <c r="G1043" t="s">
        <v>4715</v>
      </c>
      <c r="H1043" t="s">
        <v>5630</v>
      </c>
      <c r="I1043" t="s">
        <v>5474</v>
      </c>
      <c r="J1043" t="s">
        <v>5631</v>
      </c>
      <c r="K1043" t="s">
        <v>5632</v>
      </c>
      <c r="L1043" t="s">
        <v>4717</v>
      </c>
    </row>
    <row r="1044">
      <c r="A1044" t="s">
        <v>2483</v>
      </c>
      <c r="B1044" t="s">
        <v>1064</v>
      </c>
      <c r="C1044" t="s">
        <v>958</v>
      </c>
      <c r="D1044" t="s">
        <v>970</v>
      </c>
      <c r="E1044" t="s">
        <v>1041</v>
      </c>
      <c r="F1044" t="s">
        <v>120</v>
      </c>
      <c r="G1044" t="s">
        <v>4715</v>
      </c>
      <c r="H1044" t="s">
        <v>5170</v>
      </c>
      <c r="I1044" t="s">
        <v>5171</v>
      </c>
      <c r="J1044" t="s">
        <v>5633</v>
      </c>
      <c r="K1044" t="s">
        <v>5634</v>
      </c>
      <c r="L1044" t="s">
        <v>4717</v>
      </c>
    </row>
    <row r="1045">
      <c r="A1045" t="s">
        <v>2483</v>
      </c>
      <c r="B1045" t="s">
        <v>1064</v>
      </c>
      <c r="C1045" t="s">
        <v>958</v>
      </c>
      <c r="D1045" t="s">
        <v>970</v>
      </c>
      <c r="E1045" t="s">
        <v>1041</v>
      </c>
      <c r="F1045" t="s">
        <v>120</v>
      </c>
      <c r="G1045" t="s">
        <v>4715</v>
      </c>
      <c r="H1045" t="s">
        <v>5157</v>
      </c>
      <c r="I1045" t="s">
        <v>5635</v>
      </c>
      <c r="J1045" t="s">
        <v>5636</v>
      </c>
      <c r="K1045" t="s">
        <v>5637</v>
      </c>
      <c r="L1045" t="s">
        <v>4717</v>
      </c>
    </row>
    <row r="1046">
      <c r="A1046" t="s">
        <v>2483</v>
      </c>
      <c r="B1046" t="s">
        <v>1064</v>
      </c>
      <c r="C1046" t="s">
        <v>958</v>
      </c>
      <c r="D1046" t="s">
        <v>970</v>
      </c>
      <c r="E1046" t="s">
        <v>1041</v>
      </c>
      <c r="F1046" t="s">
        <v>120</v>
      </c>
      <c r="G1046" t="s">
        <v>4715</v>
      </c>
      <c r="H1046" t="s">
        <v>5539</v>
      </c>
      <c r="I1046" t="s">
        <v>5638</v>
      </c>
      <c r="J1046" t="s">
        <v>5639</v>
      </c>
      <c r="K1046" t="s">
        <v>5640</v>
      </c>
      <c r="L1046" t="s">
        <v>4717</v>
      </c>
    </row>
    <row r="1047">
      <c r="A1047" t="s">
        <v>2483</v>
      </c>
      <c r="B1047" t="s">
        <v>1064</v>
      </c>
      <c r="C1047" t="s">
        <v>958</v>
      </c>
      <c r="D1047" t="s">
        <v>970</v>
      </c>
      <c r="E1047" t="s">
        <v>1041</v>
      </c>
      <c r="F1047" t="s">
        <v>120</v>
      </c>
      <c r="G1047" t="s">
        <v>4715</v>
      </c>
      <c r="H1047" t="s">
        <v>5539</v>
      </c>
      <c r="I1047" t="s">
        <v>5641</v>
      </c>
      <c r="J1047" t="s">
        <v>5642</v>
      </c>
      <c r="K1047" t="s">
        <v>5643</v>
      </c>
      <c r="L1047" t="s">
        <v>4717</v>
      </c>
    </row>
    <row r="1048">
      <c r="A1048" t="s">
        <v>2483</v>
      </c>
      <c r="B1048" t="s">
        <v>1064</v>
      </c>
      <c r="C1048" t="s">
        <v>958</v>
      </c>
      <c r="D1048" t="s">
        <v>970</v>
      </c>
      <c r="E1048" t="s">
        <v>1041</v>
      </c>
      <c r="F1048" t="s">
        <v>120</v>
      </c>
      <c r="G1048" t="s">
        <v>4715</v>
      </c>
      <c r="H1048" t="s">
        <v>5644</v>
      </c>
      <c r="I1048" t="s">
        <v>5645</v>
      </c>
      <c r="J1048" t="s">
        <v>5646</v>
      </c>
      <c r="K1048" t="s">
        <v>5647</v>
      </c>
      <c r="L1048" t="s">
        <v>4717</v>
      </c>
    </row>
    <row r="1049">
      <c r="A1049" t="s">
        <v>2483</v>
      </c>
      <c r="B1049" t="s">
        <v>1064</v>
      </c>
      <c r="C1049" t="s">
        <v>958</v>
      </c>
      <c r="D1049" t="s">
        <v>970</v>
      </c>
      <c r="E1049" t="s">
        <v>1041</v>
      </c>
      <c r="F1049" t="s">
        <v>120</v>
      </c>
      <c r="G1049" t="s">
        <v>4715</v>
      </c>
      <c r="H1049" t="s">
        <v>5644</v>
      </c>
      <c r="I1049" t="s">
        <v>5648</v>
      </c>
      <c r="J1049" t="s">
        <v>5649</v>
      </c>
      <c r="K1049" t="s">
        <v>5650</v>
      </c>
      <c r="L1049" t="s">
        <v>4717</v>
      </c>
    </row>
    <row r="1050">
      <c r="A1050" t="s">
        <v>2483</v>
      </c>
      <c r="B1050" t="s">
        <v>1064</v>
      </c>
      <c r="C1050" t="s">
        <v>958</v>
      </c>
      <c r="D1050" t="s">
        <v>970</v>
      </c>
      <c r="E1050" t="s">
        <v>1041</v>
      </c>
      <c r="F1050" t="s">
        <v>120</v>
      </c>
      <c r="G1050" t="s">
        <v>4715</v>
      </c>
      <c r="H1050" t="s">
        <v>5651</v>
      </c>
      <c r="I1050" t="s">
        <v>5196</v>
      </c>
      <c r="J1050" t="s">
        <v>5652</v>
      </c>
      <c r="K1050" t="s">
        <v>5653</v>
      </c>
      <c r="L1050" t="s">
        <v>4717</v>
      </c>
    </row>
    <row r="1051">
      <c r="A1051" t="s">
        <v>2483</v>
      </c>
      <c r="B1051" t="s">
        <v>1064</v>
      </c>
      <c r="C1051" t="s">
        <v>958</v>
      </c>
      <c r="D1051" t="s">
        <v>970</v>
      </c>
      <c r="E1051" t="s">
        <v>1041</v>
      </c>
      <c r="F1051" t="s">
        <v>120</v>
      </c>
      <c r="G1051" t="s">
        <v>4715</v>
      </c>
      <c r="H1051" t="s">
        <v>5651</v>
      </c>
      <c r="I1051" t="s">
        <v>5195</v>
      </c>
      <c r="J1051" t="s">
        <v>5654</v>
      </c>
      <c r="K1051" t="s">
        <v>5655</v>
      </c>
      <c r="L1051" t="s">
        <v>4717</v>
      </c>
    </row>
    <row r="1052">
      <c r="A1052" t="s">
        <v>2483</v>
      </c>
      <c r="B1052" t="s">
        <v>1064</v>
      </c>
      <c r="C1052" t="s">
        <v>958</v>
      </c>
      <c r="D1052" t="s">
        <v>970</v>
      </c>
      <c r="E1052" t="s">
        <v>1041</v>
      </c>
      <c r="F1052" t="s">
        <v>120</v>
      </c>
      <c r="G1052" t="s">
        <v>4715</v>
      </c>
      <c r="H1052" t="s">
        <v>5522</v>
      </c>
      <c r="I1052" t="s">
        <v>5656</v>
      </c>
      <c r="J1052" t="s">
        <v>5657</v>
      </c>
      <c r="K1052" t="s">
        <v>5658</v>
      </c>
      <c r="L1052" t="s">
        <v>4717</v>
      </c>
    </row>
    <row r="1053">
      <c r="A1053" t="s">
        <v>2489</v>
      </c>
      <c r="B1053" t="s">
        <v>1081</v>
      </c>
      <c r="C1053" t="s">
        <v>958</v>
      </c>
      <c r="D1053" t="s">
        <v>970</v>
      </c>
      <c r="E1053" t="s">
        <v>1072</v>
      </c>
      <c r="F1053" t="s">
        <v>120</v>
      </c>
      <c r="G1053" t="s">
        <v>4715</v>
      </c>
      <c r="H1053" t="s">
        <v>5041</v>
      </c>
      <c r="I1053" t="s">
        <v>5614</v>
      </c>
      <c r="J1053" t="s">
        <v>5615</v>
      </c>
      <c r="K1053" t="s">
        <v>4169</v>
      </c>
      <c r="L1053" t="s">
        <v>4717</v>
      </c>
    </row>
    <row r="1054">
      <c r="A1054" t="s">
        <v>2489</v>
      </c>
      <c r="B1054" t="s">
        <v>1081</v>
      </c>
      <c r="C1054" t="s">
        <v>958</v>
      </c>
      <c r="D1054" t="s">
        <v>970</v>
      </c>
      <c r="E1054" t="s">
        <v>1072</v>
      </c>
      <c r="F1054" t="s">
        <v>120</v>
      </c>
      <c r="G1054" t="s">
        <v>4715</v>
      </c>
      <c r="H1054" t="s">
        <v>5616</v>
      </c>
      <c r="I1054" t="s">
        <v>5617</v>
      </c>
      <c r="J1054" t="s">
        <v>5618</v>
      </c>
      <c r="K1054" t="s">
        <v>5619</v>
      </c>
      <c r="L1054" t="s">
        <v>4717</v>
      </c>
    </row>
    <row r="1055">
      <c r="A1055" t="s">
        <v>2489</v>
      </c>
      <c r="B1055" t="s">
        <v>1081</v>
      </c>
      <c r="C1055" t="s">
        <v>958</v>
      </c>
      <c r="D1055" t="s">
        <v>970</v>
      </c>
      <c r="E1055" t="s">
        <v>1072</v>
      </c>
      <c r="F1055" t="s">
        <v>120</v>
      </c>
      <c r="G1055" t="s">
        <v>4715</v>
      </c>
      <c r="H1055" t="s">
        <v>5499</v>
      </c>
      <c r="I1055" t="s">
        <v>5620</v>
      </c>
      <c r="J1055" t="s">
        <v>5621</v>
      </c>
      <c r="K1055" t="s">
        <v>5622</v>
      </c>
      <c r="L1055" t="s">
        <v>4717</v>
      </c>
    </row>
    <row r="1056">
      <c r="A1056" t="s">
        <v>2489</v>
      </c>
      <c r="B1056" t="s">
        <v>1081</v>
      </c>
      <c r="C1056" t="s">
        <v>958</v>
      </c>
      <c r="D1056" t="s">
        <v>970</v>
      </c>
      <c r="E1056" t="s">
        <v>1072</v>
      </c>
      <c r="F1056" t="s">
        <v>120</v>
      </c>
      <c r="G1056" t="s">
        <v>4715</v>
      </c>
      <c r="H1056" t="s">
        <v>5623</v>
      </c>
      <c r="I1056" t="s">
        <v>5624</v>
      </c>
      <c r="J1056" t="s">
        <v>5625</v>
      </c>
      <c r="K1056" t="s">
        <v>5626</v>
      </c>
      <c r="L1056" t="s">
        <v>4717</v>
      </c>
    </row>
    <row r="1057">
      <c r="A1057" t="s">
        <v>2489</v>
      </c>
      <c r="B1057" t="s">
        <v>1081</v>
      </c>
      <c r="C1057" t="s">
        <v>958</v>
      </c>
      <c r="D1057" t="s">
        <v>970</v>
      </c>
      <c r="E1057" t="s">
        <v>1072</v>
      </c>
      <c r="F1057" t="s">
        <v>120</v>
      </c>
      <c r="G1057" t="s">
        <v>4715</v>
      </c>
      <c r="H1057" t="s">
        <v>3904</v>
      </c>
      <c r="I1057" t="s">
        <v>5627</v>
      </c>
      <c r="J1057" t="s">
        <v>5628</v>
      </c>
      <c r="K1057" t="s">
        <v>5629</v>
      </c>
      <c r="L1057" t="s">
        <v>4717</v>
      </c>
    </row>
    <row r="1058">
      <c r="A1058" t="s">
        <v>2489</v>
      </c>
      <c r="B1058" t="s">
        <v>1081</v>
      </c>
      <c r="C1058" t="s">
        <v>958</v>
      </c>
      <c r="D1058" t="s">
        <v>970</v>
      </c>
      <c r="E1058" t="s">
        <v>1072</v>
      </c>
      <c r="F1058" t="s">
        <v>120</v>
      </c>
      <c r="G1058" t="s">
        <v>4715</v>
      </c>
      <c r="H1058" t="s">
        <v>5630</v>
      </c>
      <c r="I1058" t="s">
        <v>5474</v>
      </c>
      <c r="J1058" t="s">
        <v>5631</v>
      </c>
      <c r="K1058" t="s">
        <v>5632</v>
      </c>
      <c r="L1058" t="s">
        <v>4717</v>
      </c>
    </row>
    <row r="1059">
      <c r="A1059" t="s">
        <v>2489</v>
      </c>
      <c r="B1059" t="s">
        <v>1081</v>
      </c>
      <c r="C1059" t="s">
        <v>958</v>
      </c>
      <c r="D1059" t="s">
        <v>970</v>
      </c>
      <c r="E1059" t="s">
        <v>1072</v>
      </c>
      <c r="F1059" t="s">
        <v>120</v>
      </c>
      <c r="G1059" t="s">
        <v>4715</v>
      </c>
      <c r="H1059" t="s">
        <v>5170</v>
      </c>
      <c r="I1059" t="s">
        <v>5171</v>
      </c>
      <c r="J1059" t="s">
        <v>5633</v>
      </c>
      <c r="K1059" t="s">
        <v>5634</v>
      </c>
      <c r="L1059" t="s">
        <v>4717</v>
      </c>
    </row>
    <row r="1060">
      <c r="A1060" t="s">
        <v>2489</v>
      </c>
      <c r="B1060" t="s">
        <v>1081</v>
      </c>
      <c r="C1060" t="s">
        <v>958</v>
      </c>
      <c r="D1060" t="s">
        <v>970</v>
      </c>
      <c r="E1060" t="s">
        <v>1072</v>
      </c>
      <c r="F1060" t="s">
        <v>120</v>
      </c>
      <c r="G1060" t="s">
        <v>4715</v>
      </c>
      <c r="H1060" t="s">
        <v>5157</v>
      </c>
      <c r="I1060" t="s">
        <v>5635</v>
      </c>
      <c r="J1060" t="s">
        <v>5636</v>
      </c>
      <c r="K1060" t="s">
        <v>5637</v>
      </c>
      <c r="L1060" t="s">
        <v>4717</v>
      </c>
    </row>
    <row r="1061">
      <c r="A1061" t="s">
        <v>2489</v>
      </c>
      <c r="B1061" t="s">
        <v>1081</v>
      </c>
      <c r="C1061" t="s">
        <v>958</v>
      </c>
      <c r="D1061" t="s">
        <v>970</v>
      </c>
      <c r="E1061" t="s">
        <v>1072</v>
      </c>
      <c r="F1061" t="s">
        <v>120</v>
      </c>
      <c r="G1061" t="s">
        <v>4715</v>
      </c>
      <c r="H1061" t="s">
        <v>5539</v>
      </c>
      <c r="I1061" t="s">
        <v>5638</v>
      </c>
      <c r="J1061" t="s">
        <v>5639</v>
      </c>
      <c r="K1061" t="s">
        <v>5640</v>
      </c>
      <c r="L1061" t="s">
        <v>4717</v>
      </c>
    </row>
    <row r="1062">
      <c r="A1062" t="s">
        <v>2489</v>
      </c>
      <c r="B1062" t="s">
        <v>1081</v>
      </c>
      <c r="C1062" t="s">
        <v>958</v>
      </c>
      <c r="D1062" t="s">
        <v>970</v>
      </c>
      <c r="E1062" t="s">
        <v>1072</v>
      </c>
      <c r="F1062" t="s">
        <v>120</v>
      </c>
      <c r="G1062" t="s">
        <v>4715</v>
      </c>
      <c r="H1062" t="s">
        <v>5539</v>
      </c>
      <c r="I1062" t="s">
        <v>5641</v>
      </c>
      <c r="J1062" t="s">
        <v>5642</v>
      </c>
      <c r="K1062" t="s">
        <v>5643</v>
      </c>
      <c r="L1062" t="s">
        <v>4717</v>
      </c>
    </row>
    <row r="1063">
      <c r="A1063" t="s">
        <v>2489</v>
      </c>
      <c r="B1063" t="s">
        <v>1081</v>
      </c>
      <c r="C1063" t="s">
        <v>958</v>
      </c>
      <c r="D1063" t="s">
        <v>970</v>
      </c>
      <c r="E1063" t="s">
        <v>1072</v>
      </c>
      <c r="F1063" t="s">
        <v>120</v>
      </c>
      <c r="G1063" t="s">
        <v>4715</v>
      </c>
      <c r="H1063" t="s">
        <v>5644</v>
      </c>
      <c r="I1063" t="s">
        <v>5645</v>
      </c>
      <c r="J1063" t="s">
        <v>5646</v>
      </c>
      <c r="K1063" t="s">
        <v>5647</v>
      </c>
      <c r="L1063" t="s">
        <v>4717</v>
      </c>
    </row>
    <row r="1064">
      <c r="A1064" t="s">
        <v>2489</v>
      </c>
      <c r="B1064" t="s">
        <v>1081</v>
      </c>
      <c r="C1064" t="s">
        <v>958</v>
      </c>
      <c r="D1064" t="s">
        <v>970</v>
      </c>
      <c r="E1064" t="s">
        <v>1072</v>
      </c>
      <c r="F1064" t="s">
        <v>120</v>
      </c>
      <c r="G1064" t="s">
        <v>4715</v>
      </c>
      <c r="H1064" t="s">
        <v>5644</v>
      </c>
      <c r="I1064" t="s">
        <v>5648</v>
      </c>
      <c r="J1064" t="s">
        <v>5649</v>
      </c>
      <c r="K1064" t="s">
        <v>5650</v>
      </c>
      <c r="L1064" t="s">
        <v>4717</v>
      </c>
    </row>
    <row r="1065">
      <c r="A1065" t="s">
        <v>2489</v>
      </c>
      <c r="B1065" t="s">
        <v>1081</v>
      </c>
      <c r="C1065" t="s">
        <v>958</v>
      </c>
      <c r="D1065" t="s">
        <v>970</v>
      </c>
      <c r="E1065" t="s">
        <v>1072</v>
      </c>
      <c r="F1065" t="s">
        <v>120</v>
      </c>
      <c r="G1065" t="s">
        <v>4715</v>
      </c>
      <c r="H1065" t="s">
        <v>5651</v>
      </c>
      <c r="I1065" t="s">
        <v>5196</v>
      </c>
      <c r="J1065" t="s">
        <v>5652</v>
      </c>
      <c r="K1065" t="s">
        <v>5653</v>
      </c>
      <c r="L1065" t="s">
        <v>4717</v>
      </c>
    </row>
    <row r="1066">
      <c r="A1066" t="s">
        <v>2489</v>
      </c>
      <c r="B1066" t="s">
        <v>1081</v>
      </c>
      <c r="C1066" t="s">
        <v>958</v>
      </c>
      <c r="D1066" t="s">
        <v>970</v>
      </c>
      <c r="E1066" t="s">
        <v>1072</v>
      </c>
      <c r="F1066" t="s">
        <v>120</v>
      </c>
      <c r="G1066" t="s">
        <v>4715</v>
      </c>
      <c r="H1066" t="s">
        <v>5651</v>
      </c>
      <c r="I1066" t="s">
        <v>5195</v>
      </c>
      <c r="J1066" t="s">
        <v>5654</v>
      </c>
      <c r="K1066" t="s">
        <v>5655</v>
      </c>
      <c r="L1066" t="s">
        <v>4717</v>
      </c>
    </row>
    <row r="1067">
      <c r="A1067" t="s">
        <v>2489</v>
      </c>
      <c r="B1067" t="s">
        <v>1081</v>
      </c>
      <c r="C1067" t="s">
        <v>958</v>
      </c>
      <c r="D1067" t="s">
        <v>970</v>
      </c>
      <c r="E1067" t="s">
        <v>1072</v>
      </c>
      <c r="F1067" t="s">
        <v>120</v>
      </c>
      <c r="G1067" t="s">
        <v>4715</v>
      </c>
      <c r="H1067" t="s">
        <v>5522</v>
      </c>
      <c r="I1067" t="s">
        <v>5656</v>
      </c>
      <c r="J1067" t="s">
        <v>5657</v>
      </c>
      <c r="K1067" t="s">
        <v>5658</v>
      </c>
      <c r="L1067" t="s">
        <v>4717</v>
      </c>
    </row>
    <row r="1068">
      <c r="A1068" t="s">
        <v>2492</v>
      </c>
      <c r="B1068" t="s">
        <v>1087</v>
      </c>
      <c r="C1068" t="s">
        <v>958</v>
      </c>
      <c r="D1068" t="s">
        <v>970</v>
      </c>
      <c r="E1068" t="s">
        <v>1072</v>
      </c>
      <c r="F1068" t="s">
        <v>120</v>
      </c>
      <c r="G1068" t="s">
        <v>4715</v>
      </c>
      <c r="H1068" t="s">
        <v>5041</v>
      </c>
      <c r="I1068" t="s">
        <v>5614</v>
      </c>
      <c r="J1068" t="s">
        <v>5615</v>
      </c>
      <c r="K1068" t="s">
        <v>4169</v>
      </c>
      <c r="L1068" t="s">
        <v>4717</v>
      </c>
    </row>
    <row r="1069">
      <c r="A1069" t="s">
        <v>2492</v>
      </c>
      <c r="B1069" t="s">
        <v>1087</v>
      </c>
      <c r="C1069" t="s">
        <v>958</v>
      </c>
      <c r="D1069" t="s">
        <v>970</v>
      </c>
      <c r="E1069" t="s">
        <v>1072</v>
      </c>
      <c r="F1069" t="s">
        <v>120</v>
      </c>
      <c r="G1069" t="s">
        <v>4715</v>
      </c>
      <c r="H1069" t="s">
        <v>5616</v>
      </c>
      <c r="I1069" t="s">
        <v>5617</v>
      </c>
      <c r="J1069" t="s">
        <v>5618</v>
      </c>
      <c r="K1069" t="s">
        <v>5619</v>
      </c>
      <c r="L1069" t="s">
        <v>4717</v>
      </c>
    </row>
    <row r="1070">
      <c r="A1070" t="s">
        <v>2492</v>
      </c>
      <c r="B1070" t="s">
        <v>1087</v>
      </c>
      <c r="C1070" t="s">
        <v>958</v>
      </c>
      <c r="D1070" t="s">
        <v>970</v>
      </c>
      <c r="E1070" t="s">
        <v>1072</v>
      </c>
      <c r="F1070" t="s">
        <v>120</v>
      </c>
      <c r="G1070" t="s">
        <v>4715</v>
      </c>
      <c r="H1070" t="s">
        <v>5499</v>
      </c>
      <c r="I1070" t="s">
        <v>5620</v>
      </c>
      <c r="J1070" t="s">
        <v>5621</v>
      </c>
      <c r="K1070" t="s">
        <v>5622</v>
      </c>
      <c r="L1070" t="s">
        <v>4717</v>
      </c>
    </row>
    <row r="1071">
      <c r="A1071" t="s">
        <v>2492</v>
      </c>
      <c r="B1071" t="s">
        <v>1087</v>
      </c>
      <c r="C1071" t="s">
        <v>958</v>
      </c>
      <c r="D1071" t="s">
        <v>970</v>
      </c>
      <c r="E1071" t="s">
        <v>1072</v>
      </c>
      <c r="F1071" t="s">
        <v>120</v>
      </c>
      <c r="G1071" t="s">
        <v>4715</v>
      </c>
      <c r="H1071" t="s">
        <v>5623</v>
      </c>
      <c r="I1071" t="s">
        <v>5624</v>
      </c>
      <c r="J1071" t="s">
        <v>5625</v>
      </c>
      <c r="K1071" t="s">
        <v>5626</v>
      </c>
      <c r="L1071" t="s">
        <v>4717</v>
      </c>
    </row>
    <row r="1072">
      <c r="A1072" t="s">
        <v>2492</v>
      </c>
      <c r="B1072" t="s">
        <v>1087</v>
      </c>
      <c r="C1072" t="s">
        <v>958</v>
      </c>
      <c r="D1072" t="s">
        <v>970</v>
      </c>
      <c r="E1072" t="s">
        <v>1072</v>
      </c>
      <c r="F1072" t="s">
        <v>120</v>
      </c>
      <c r="G1072" t="s">
        <v>4715</v>
      </c>
      <c r="H1072" t="s">
        <v>3904</v>
      </c>
      <c r="I1072" t="s">
        <v>5627</v>
      </c>
      <c r="J1072" t="s">
        <v>5628</v>
      </c>
      <c r="K1072" t="s">
        <v>5629</v>
      </c>
      <c r="L1072" t="s">
        <v>4717</v>
      </c>
    </row>
    <row r="1073">
      <c r="A1073" t="s">
        <v>2492</v>
      </c>
      <c r="B1073" t="s">
        <v>1087</v>
      </c>
      <c r="C1073" t="s">
        <v>958</v>
      </c>
      <c r="D1073" t="s">
        <v>970</v>
      </c>
      <c r="E1073" t="s">
        <v>1072</v>
      </c>
      <c r="F1073" t="s">
        <v>120</v>
      </c>
      <c r="G1073" t="s">
        <v>4715</v>
      </c>
      <c r="H1073" t="s">
        <v>5630</v>
      </c>
      <c r="I1073" t="s">
        <v>5474</v>
      </c>
      <c r="J1073" t="s">
        <v>5631</v>
      </c>
      <c r="K1073" t="s">
        <v>5632</v>
      </c>
      <c r="L1073" t="s">
        <v>4717</v>
      </c>
    </row>
    <row r="1074">
      <c r="A1074" t="s">
        <v>2492</v>
      </c>
      <c r="B1074" t="s">
        <v>1087</v>
      </c>
      <c r="C1074" t="s">
        <v>958</v>
      </c>
      <c r="D1074" t="s">
        <v>970</v>
      </c>
      <c r="E1074" t="s">
        <v>1072</v>
      </c>
      <c r="F1074" t="s">
        <v>120</v>
      </c>
      <c r="G1074" t="s">
        <v>4715</v>
      </c>
      <c r="H1074" t="s">
        <v>5170</v>
      </c>
      <c r="I1074" t="s">
        <v>5171</v>
      </c>
      <c r="J1074" t="s">
        <v>5633</v>
      </c>
      <c r="K1074" t="s">
        <v>5634</v>
      </c>
      <c r="L1074" t="s">
        <v>4717</v>
      </c>
    </row>
    <row r="1075">
      <c r="A1075" t="s">
        <v>2492</v>
      </c>
      <c r="B1075" t="s">
        <v>1087</v>
      </c>
      <c r="C1075" t="s">
        <v>958</v>
      </c>
      <c r="D1075" t="s">
        <v>970</v>
      </c>
      <c r="E1075" t="s">
        <v>1072</v>
      </c>
      <c r="F1075" t="s">
        <v>120</v>
      </c>
      <c r="G1075" t="s">
        <v>4715</v>
      </c>
      <c r="H1075" t="s">
        <v>5157</v>
      </c>
      <c r="I1075" t="s">
        <v>5635</v>
      </c>
      <c r="J1075" t="s">
        <v>5636</v>
      </c>
      <c r="K1075" t="s">
        <v>5637</v>
      </c>
      <c r="L1075" t="s">
        <v>4717</v>
      </c>
    </row>
    <row r="1076">
      <c r="A1076" t="s">
        <v>2492</v>
      </c>
      <c r="B1076" t="s">
        <v>1087</v>
      </c>
      <c r="C1076" t="s">
        <v>958</v>
      </c>
      <c r="D1076" t="s">
        <v>970</v>
      </c>
      <c r="E1076" t="s">
        <v>1072</v>
      </c>
      <c r="F1076" t="s">
        <v>120</v>
      </c>
      <c r="G1076" t="s">
        <v>4715</v>
      </c>
      <c r="H1076" t="s">
        <v>5539</v>
      </c>
      <c r="I1076" t="s">
        <v>5638</v>
      </c>
      <c r="J1076" t="s">
        <v>5639</v>
      </c>
      <c r="K1076" t="s">
        <v>5640</v>
      </c>
      <c r="L1076" t="s">
        <v>4717</v>
      </c>
    </row>
    <row r="1077">
      <c r="A1077" t="s">
        <v>2492</v>
      </c>
      <c r="B1077" t="s">
        <v>1087</v>
      </c>
      <c r="C1077" t="s">
        <v>958</v>
      </c>
      <c r="D1077" t="s">
        <v>970</v>
      </c>
      <c r="E1077" t="s">
        <v>1072</v>
      </c>
      <c r="F1077" t="s">
        <v>120</v>
      </c>
      <c r="G1077" t="s">
        <v>4715</v>
      </c>
      <c r="H1077" t="s">
        <v>5539</v>
      </c>
      <c r="I1077" t="s">
        <v>5641</v>
      </c>
      <c r="J1077" t="s">
        <v>5642</v>
      </c>
      <c r="K1077" t="s">
        <v>5643</v>
      </c>
      <c r="L1077" t="s">
        <v>4717</v>
      </c>
    </row>
    <row r="1078">
      <c r="A1078" t="s">
        <v>2492</v>
      </c>
      <c r="B1078" t="s">
        <v>1087</v>
      </c>
      <c r="C1078" t="s">
        <v>958</v>
      </c>
      <c r="D1078" t="s">
        <v>970</v>
      </c>
      <c r="E1078" t="s">
        <v>1072</v>
      </c>
      <c r="F1078" t="s">
        <v>120</v>
      </c>
      <c r="G1078" t="s">
        <v>4715</v>
      </c>
      <c r="H1078" t="s">
        <v>5644</v>
      </c>
      <c r="I1078" t="s">
        <v>5645</v>
      </c>
      <c r="J1078" t="s">
        <v>5646</v>
      </c>
      <c r="K1078" t="s">
        <v>5647</v>
      </c>
      <c r="L1078" t="s">
        <v>4717</v>
      </c>
    </row>
    <row r="1079">
      <c r="A1079" t="s">
        <v>2492</v>
      </c>
      <c r="B1079" t="s">
        <v>1087</v>
      </c>
      <c r="C1079" t="s">
        <v>958</v>
      </c>
      <c r="D1079" t="s">
        <v>970</v>
      </c>
      <c r="E1079" t="s">
        <v>1072</v>
      </c>
      <c r="F1079" t="s">
        <v>120</v>
      </c>
      <c r="G1079" t="s">
        <v>4715</v>
      </c>
      <c r="H1079" t="s">
        <v>5644</v>
      </c>
      <c r="I1079" t="s">
        <v>5648</v>
      </c>
      <c r="J1079" t="s">
        <v>5649</v>
      </c>
      <c r="K1079" t="s">
        <v>5650</v>
      </c>
      <c r="L1079" t="s">
        <v>4717</v>
      </c>
    </row>
    <row r="1080">
      <c r="A1080" t="s">
        <v>2492</v>
      </c>
      <c r="B1080" t="s">
        <v>1087</v>
      </c>
      <c r="C1080" t="s">
        <v>958</v>
      </c>
      <c r="D1080" t="s">
        <v>970</v>
      </c>
      <c r="E1080" t="s">
        <v>1072</v>
      </c>
      <c r="F1080" t="s">
        <v>120</v>
      </c>
      <c r="G1080" t="s">
        <v>4715</v>
      </c>
      <c r="H1080" t="s">
        <v>5651</v>
      </c>
      <c r="I1080" t="s">
        <v>5196</v>
      </c>
      <c r="J1080" t="s">
        <v>5652</v>
      </c>
      <c r="K1080" t="s">
        <v>5653</v>
      </c>
      <c r="L1080" t="s">
        <v>4717</v>
      </c>
    </row>
    <row r="1081">
      <c r="A1081" t="s">
        <v>2492</v>
      </c>
      <c r="B1081" t="s">
        <v>1087</v>
      </c>
      <c r="C1081" t="s">
        <v>958</v>
      </c>
      <c r="D1081" t="s">
        <v>970</v>
      </c>
      <c r="E1081" t="s">
        <v>1072</v>
      </c>
      <c r="F1081" t="s">
        <v>120</v>
      </c>
      <c r="G1081" t="s">
        <v>4715</v>
      </c>
      <c r="H1081" t="s">
        <v>5651</v>
      </c>
      <c r="I1081" t="s">
        <v>5195</v>
      </c>
      <c r="J1081" t="s">
        <v>5654</v>
      </c>
      <c r="K1081" t="s">
        <v>5655</v>
      </c>
      <c r="L1081" t="s">
        <v>4717</v>
      </c>
    </row>
    <row r="1082">
      <c r="A1082" t="s">
        <v>2492</v>
      </c>
      <c r="B1082" t="s">
        <v>1087</v>
      </c>
      <c r="C1082" t="s">
        <v>958</v>
      </c>
      <c r="D1082" t="s">
        <v>970</v>
      </c>
      <c r="E1082" t="s">
        <v>1072</v>
      </c>
      <c r="F1082" t="s">
        <v>120</v>
      </c>
      <c r="G1082" t="s">
        <v>4715</v>
      </c>
      <c r="H1082" t="s">
        <v>5522</v>
      </c>
      <c r="I1082" t="s">
        <v>5656</v>
      </c>
      <c r="J1082" t="s">
        <v>5657</v>
      </c>
      <c r="K1082" t="s">
        <v>5658</v>
      </c>
      <c r="L1082" t="s">
        <v>4717</v>
      </c>
    </row>
    <row r="1083">
      <c r="A1083" t="s">
        <v>2495</v>
      </c>
      <c r="B1083" t="s">
        <v>1094</v>
      </c>
      <c r="C1083" t="s">
        <v>958</v>
      </c>
      <c r="D1083" t="s">
        <v>970</v>
      </c>
      <c r="E1083" t="s">
        <v>1072</v>
      </c>
      <c r="F1083" t="s">
        <v>120</v>
      </c>
      <c r="G1083" t="s">
        <v>4715</v>
      </c>
      <c r="H1083" t="s">
        <v>5041</v>
      </c>
      <c r="I1083" t="s">
        <v>5614</v>
      </c>
      <c r="J1083" t="s">
        <v>5615</v>
      </c>
      <c r="K1083" t="s">
        <v>4169</v>
      </c>
      <c r="L1083" t="s">
        <v>4717</v>
      </c>
    </row>
    <row r="1084">
      <c r="A1084" t="s">
        <v>2495</v>
      </c>
      <c r="B1084" t="s">
        <v>1094</v>
      </c>
      <c r="C1084" t="s">
        <v>958</v>
      </c>
      <c r="D1084" t="s">
        <v>970</v>
      </c>
      <c r="E1084" t="s">
        <v>1072</v>
      </c>
      <c r="F1084" t="s">
        <v>120</v>
      </c>
      <c r="G1084" t="s">
        <v>4715</v>
      </c>
      <c r="H1084" t="s">
        <v>5616</v>
      </c>
      <c r="I1084" t="s">
        <v>5617</v>
      </c>
      <c r="J1084" t="s">
        <v>5618</v>
      </c>
      <c r="K1084" t="s">
        <v>5619</v>
      </c>
      <c r="L1084" t="s">
        <v>4717</v>
      </c>
    </row>
    <row r="1085">
      <c r="A1085" t="s">
        <v>2495</v>
      </c>
      <c r="B1085" t="s">
        <v>1094</v>
      </c>
      <c r="C1085" t="s">
        <v>958</v>
      </c>
      <c r="D1085" t="s">
        <v>970</v>
      </c>
      <c r="E1085" t="s">
        <v>1072</v>
      </c>
      <c r="F1085" t="s">
        <v>120</v>
      </c>
      <c r="G1085" t="s">
        <v>4715</v>
      </c>
      <c r="H1085" t="s">
        <v>5499</v>
      </c>
      <c r="I1085" t="s">
        <v>5620</v>
      </c>
      <c r="J1085" t="s">
        <v>5621</v>
      </c>
      <c r="K1085" t="s">
        <v>5622</v>
      </c>
      <c r="L1085" t="s">
        <v>4717</v>
      </c>
    </row>
    <row r="1086">
      <c r="A1086" t="s">
        <v>2495</v>
      </c>
      <c r="B1086" t="s">
        <v>1094</v>
      </c>
      <c r="C1086" t="s">
        <v>958</v>
      </c>
      <c r="D1086" t="s">
        <v>970</v>
      </c>
      <c r="E1086" t="s">
        <v>1072</v>
      </c>
      <c r="F1086" t="s">
        <v>120</v>
      </c>
      <c r="G1086" t="s">
        <v>4715</v>
      </c>
      <c r="H1086" t="s">
        <v>5623</v>
      </c>
      <c r="I1086" t="s">
        <v>5624</v>
      </c>
      <c r="J1086" t="s">
        <v>5625</v>
      </c>
      <c r="K1086" t="s">
        <v>5626</v>
      </c>
      <c r="L1086" t="s">
        <v>4717</v>
      </c>
    </row>
    <row r="1087">
      <c r="A1087" t="s">
        <v>2495</v>
      </c>
      <c r="B1087" t="s">
        <v>1094</v>
      </c>
      <c r="C1087" t="s">
        <v>958</v>
      </c>
      <c r="D1087" t="s">
        <v>970</v>
      </c>
      <c r="E1087" t="s">
        <v>1072</v>
      </c>
      <c r="F1087" t="s">
        <v>120</v>
      </c>
      <c r="G1087" t="s">
        <v>4715</v>
      </c>
      <c r="H1087" t="s">
        <v>3904</v>
      </c>
      <c r="I1087" t="s">
        <v>5627</v>
      </c>
      <c r="J1087" t="s">
        <v>5628</v>
      </c>
      <c r="K1087" t="s">
        <v>5629</v>
      </c>
      <c r="L1087" t="s">
        <v>4717</v>
      </c>
    </row>
    <row r="1088">
      <c r="A1088" t="s">
        <v>2495</v>
      </c>
      <c r="B1088" t="s">
        <v>1094</v>
      </c>
      <c r="C1088" t="s">
        <v>958</v>
      </c>
      <c r="D1088" t="s">
        <v>970</v>
      </c>
      <c r="E1088" t="s">
        <v>1072</v>
      </c>
      <c r="F1088" t="s">
        <v>120</v>
      </c>
      <c r="G1088" t="s">
        <v>4715</v>
      </c>
      <c r="H1088" t="s">
        <v>5630</v>
      </c>
      <c r="I1088" t="s">
        <v>5474</v>
      </c>
      <c r="J1088" t="s">
        <v>5631</v>
      </c>
      <c r="K1088" t="s">
        <v>5632</v>
      </c>
      <c r="L1088" t="s">
        <v>4717</v>
      </c>
    </row>
    <row r="1089">
      <c r="A1089" t="s">
        <v>2495</v>
      </c>
      <c r="B1089" t="s">
        <v>1094</v>
      </c>
      <c r="C1089" t="s">
        <v>958</v>
      </c>
      <c r="D1089" t="s">
        <v>970</v>
      </c>
      <c r="E1089" t="s">
        <v>1072</v>
      </c>
      <c r="F1089" t="s">
        <v>120</v>
      </c>
      <c r="G1089" t="s">
        <v>4715</v>
      </c>
      <c r="H1089" t="s">
        <v>5170</v>
      </c>
      <c r="I1089" t="s">
        <v>5171</v>
      </c>
      <c r="J1089" t="s">
        <v>5633</v>
      </c>
      <c r="K1089" t="s">
        <v>5634</v>
      </c>
      <c r="L1089" t="s">
        <v>4717</v>
      </c>
    </row>
    <row r="1090">
      <c r="A1090" t="s">
        <v>2495</v>
      </c>
      <c r="B1090" t="s">
        <v>1094</v>
      </c>
      <c r="C1090" t="s">
        <v>958</v>
      </c>
      <c r="D1090" t="s">
        <v>970</v>
      </c>
      <c r="E1090" t="s">
        <v>1072</v>
      </c>
      <c r="F1090" t="s">
        <v>120</v>
      </c>
      <c r="G1090" t="s">
        <v>4715</v>
      </c>
      <c r="H1090" t="s">
        <v>5157</v>
      </c>
      <c r="I1090" t="s">
        <v>5635</v>
      </c>
      <c r="J1090" t="s">
        <v>5636</v>
      </c>
      <c r="K1090" t="s">
        <v>5637</v>
      </c>
      <c r="L1090" t="s">
        <v>4717</v>
      </c>
    </row>
    <row r="1091">
      <c r="A1091" t="s">
        <v>2495</v>
      </c>
      <c r="B1091" t="s">
        <v>1094</v>
      </c>
      <c r="C1091" t="s">
        <v>958</v>
      </c>
      <c r="D1091" t="s">
        <v>970</v>
      </c>
      <c r="E1091" t="s">
        <v>1072</v>
      </c>
      <c r="F1091" t="s">
        <v>120</v>
      </c>
      <c r="G1091" t="s">
        <v>4715</v>
      </c>
      <c r="H1091" t="s">
        <v>5539</v>
      </c>
      <c r="I1091" t="s">
        <v>5638</v>
      </c>
      <c r="J1091" t="s">
        <v>5639</v>
      </c>
      <c r="K1091" t="s">
        <v>5640</v>
      </c>
      <c r="L1091" t="s">
        <v>4717</v>
      </c>
    </row>
    <row r="1092">
      <c r="A1092" t="s">
        <v>2495</v>
      </c>
      <c r="B1092" t="s">
        <v>1094</v>
      </c>
      <c r="C1092" t="s">
        <v>958</v>
      </c>
      <c r="D1092" t="s">
        <v>970</v>
      </c>
      <c r="E1092" t="s">
        <v>1072</v>
      </c>
      <c r="F1092" t="s">
        <v>120</v>
      </c>
      <c r="G1092" t="s">
        <v>4715</v>
      </c>
      <c r="H1092" t="s">
        <v>5539</v>
      </c>
      <c r="I1092" t="s">
        <v>5641</v>
      </c>
      <c r="J1092" t="s">
        <v>5642</v>
      </c>
      <c r="K1092" t="s">
        <v>5643</v>
      </c>
      <c r="L1092" t="s">
        <v>4717</v>
      </c>
    </row>
    <row r="1093">
      <c r="A1093" t="s">
        <v>2495</v>
      </c>
      <c r="B1093" t="s">
        <v>1094</v>
      </c>
      <c r="C1093" t="s">
        <v>958</v>
      </c>
      <c r="D1093" t="s">
        <v>970</v>
      </c>
      <c r="E1093" t="s">
        <v>1072</v>
      </c>
      <c r="F1093" t="s">
        <v>120</v>
      </c>
      <c r="G1093" t="s">
        <v>4715</v>
      </c>
      <c r="H1093" t="s">
        <v>5644</v>
      </c>
      <c r="I1093" t="s">
        <v>5645</v>
      </c>
      <c r="J1093" t="s">
        <v>5646</v>
      </c>
      <c r="K1093" t="s">
        <v>5647</v>
      </c>
      <c r="L1093" t="s">
        <v>4717</v>
      </c>
    </row>
    <row r="1094">
      <c r="A1094" t="s">
        <v>2495</v>
      </c>
      <c r="B1094" t="s">
        <v>1094</v>
      </c>
      <c r="C1094" t="s">
        <v>958</v>
      </c>
      <c r="D1094" t="s">
        <v>970</v>
      </c>
      <c r="E1094" t="s">
        <v>1072</v>
      </c>
      <c r="F1094" t="s">
        <v>120</v>
      </c>
      <c r="G1094" t="s">
        <v>4715</v>
      </c>
      <c r="H1094" t="s">
        <v>5644</v>
      </c>
      <c r="I1094" t="s">
        <v>5648</v>
      </c>
      <c r="J1094" t="s">
        <v>5649</v>
      </c>
      <c r="K1094" t="s">
        <v>5650</v>
      </c>
      <c r="L1094" t="s">
        <v>4717</v>
      </c>
    </row>
    <row r="1095">
      <c r="A1095" t="s">
        <v>2495</v>
      </c>
      <c r="B1095" t="s">
        <v>1094</v>
      </c>
      <c r="C1095" t="s">
        <v>958</v>
      </c>
      <c r="D1095" t="s">
        <v>970</v>
      </c>
      <c r="E1095" t="s">
        <v>1072</v>
      </c>
      <c r="F1095" t="s">
        <v>120</v>
      </c>
      <c r="G1095" t="s">
        <v>4715</v>
      </c>
      <c r="H1095" t="s">
        <v>5651</v>
      </c>
      <c r="I1095" t="s">
        <v>5196</v>
      </c>
      <c r="J1095" t="s">
        <v>5652</v>
      </c>
      <c r="K1095" t="s">
        <v>5653</v>
      </c>
      <c r="L1095" t="s">
        <v>4717</v>
      </c>
    </row>
    <row r="1096">
      <c r="A1096" t="s">
        <v>2495</v>
      </c>
      <c r="B1096" t="s">
        <v>1094</v>
      </c>
      <c r="C1096" t="s">
        <v>958</v>
      </c>
      <c r="D1096" t="s">
        <v>970</v>
      </c>
      <c r="E1096" t="s">
        <v>1072</v>
      </c>
      <c r="F1096" t="s">
        <v>120</v>
      </c>
      <c r="G1096" t="s">
        <v>4715</v>
      </c>
      <c r="H1096" t="s">
        <v>5651</v>
      </c>
      <c r="I1096" t="s">
        <v>5195</v>
      </c>
      <c r="J1096" t="s">
        <v>5654</v>
      </c>
      <c r="K1096" t="s">
        <v>5655</v>
      </c>
      <c r="L1096" t="s">
        <v>4717</v>
      </c>
    </row>
    <row r="1097">
      <c r="A1097" t="s">
        <v>2495</v>
      </c>
      <c r="B1097" t="s">
        <v>1094</v>
      </c>
      <c r="C1097" t="s">
        <v>958</v>
      </c>
      <c r="D1097" t="s">
        <v>970</v>
      </c>
      <c r="E1097" t="s">
        <v>1072</v>
      </c>
      <c r="F1097" t="s">
        <v>120</v>
      </c>
      <c r="G1097" t="s">
        <v>4715</v>
      </c>
      <c r="H1097" t="s">
        <v>5522</v>
      </c>
      <c r="I1097" t="s">
        <v>5656</v>
      </c>
      <c r="J1097" t="s">
        <v>5657</v>
      </c>
      <c r="K1097" t="s">
        <v>5658</v>
      </c>
      <c r="L1097" t="s">
        <v>4717</v>
      </c>
    </row>
    <row r="1098">
      <c r="A1098" t="s">
        <v>2498</v>
      </c>
      <c r="B1098" t="s">
        <v>1101</v>
      </c>
      <c r="C1098" t="s">
        <v>958</v>
      </c>
      <c r="D1098" t="s">
        <v>970</v>
      </c>
      <c r="E1098" t="s">
        <v>1099</v>
      </c>
      <c r="F1098" t="s">
        <v>120</v>
      </c>
      <c r="G1098" t="s">
        <v>4715</v>
      </c>
      <c r="H1098" t="s">
        <v>5041</v>
      </c>
      <c r="I1098" t="s">
        <v>5614</v>
      </c>
      <c r="J1098" t="s">
        <v>5615</v>
      </c>
      <c r="K1098" t="s">
        <v>4169</v>
      </c>
      <c r="L1098" t="s">
        <v>4717</v>
      </c>
    </row>
    <row r="1099">
      <c r="A1099" t="s">
        <v>2498</v>
      </c>
      <c r="B1099" t="s">
        <v>1101</v>
      </c>
      <c r="C1099" t="s">
        <v>958</v>
      </c>
      <c r="D1099" t="s">
        <v>970</v>
      </c>
      <c r="E1099" t="s">
        <v>1099</v>
      </c>
      <c r="F1099" t="s">
        <v>120</v>
      </c>
      <c r="G1099" t="s">
        <v>4715</v>
      </c>
      <c r="H1099" t="s">
        <v>5616</v>
      </c>
      <c r="I1099" t="s">
        <v>5617</v>
      </c>
      <c r="J1099" t="s">
        <v>5618</v>
      </c>
      <c r="K1099" t="s">
        <v>5619</v>
      </c>
      <c r="L1099" t="s">
        <v>4717</v>
      </c>
    </row>
    <row r="1100">
      <c r="A1100" t="s">
        <v>2498</v>
      </c>
      <c r="B1100" t="s">
        <v>1101</v>
      </c>
      <c r="C1100" t="s">
        <v>958</v>
      </c>
      <c r="D1100" t="s">
        <v>970</v>
      </c>
      <c r="E1100" t="s">
        <v>1099</v>
      </c>
      <c r="F1100" t="s">
        <v>120</v>
      </c>
      <c r="G1100" t="s">
        <v>4715</v>
      </c>
      <c r="H1100" t="s">
        <v>5499</v>
      </c>
      <c r="I1100" t="s">
        <v>5620</v>
      </c>
      <c r="J1100" t="s">
        <v>5621</v>
      </c>
      <c r="K1100" t="s">
        <v>5622</v>
      </c>
      <c r="L1100" t="s">
        <v>4717</v>
      </c>
    </row>
    <row r="1101">
      <c r="A1101" t="s">
        <v>2498</v>
      </c>
      <c r="B1101" t="s">
        <v>1101</v>
      </c>
      <c r="C1101" t="s">
        <v>958</v>
      </c>
      <c r="D1101" t="s">
        <v>970</v>
      </c>
      <c r="E1101" t="s">
        <v>1099</v>
      </c>
      <c r="F1101" t="s">
        <v>120</v>
      </c>
      <c r="G1101" t="s">
        <v>4715</v>
      </c>
      <c r="H1101" t="s">
        <v>5623</v>
      </c>
      <c r="I1101" t="s">
        <v>5624</v>
      </c>
      <c r="J1101" t="s">
        <v>5625</v>
      </c>
      <c r="K1101" t="s">
        <v>5626</v>
      </c>
      <c r="L1101" t="s">
        <v>4717</v>
      </c>
    </row>
    <row r="1102">
      <c r="A1102" t="s">
        <v>2498</v>
      </c>
      <c r="B1102" t="s">
        <v>1101</v>
      </c>
      <c r="C1102" t="s">
        <v>958</v>
      </c>
      <c r="D1102" t="s">
        <v>970</v>
      </c>
      <c r="E1102" t="s">
        <v>1099</v>
      </c>
      <c r="F1102" t="s">
        <v>120</v>
      </c>
      <c r="G1102" t="s">
        <v>4715</v>
      </c>
      <c r="H1102" t="s">
        <v>3904</v>
      </c>
      <c r="I1102" t="s">
        <v>5627</v>
      </c>
      <c r="J1102" t="s">
        <v>5628</v>
      </c>
      <c r="K1102" t="s">
        <v>5629</v>
      </c>
      <c r="L1102" t="s">
        <v>4717</v>
      </c>
    </row>
    <row r="1103">
      <c r="A1103" t="s">
        <v>2498</v>
      </c>
      <c r="B1103" t="s">
        <v>1101</v>
      </c>
      <c r="C1103" t="s">
        <v>958</v>
      </c>
      <c r="D1103" t="s">
        <v>970</v>
      </c>
      <c r="E1103" t="s">
        <v>1099</v>
      </c>
      <c r="F1103" t="s">
        <v>120</v>
      </c>
      <c r="G1103" t="s">
        <v>4715</v>
      </c>
      <c r="H1103" t="s">
        <v>5630</v>
      </c>
      <c r="I1103" t="s">
        <v>5474</v>
      </c>
      <c r="J1103" t="s">
        <v>5631</v>
      </c>
      <c r="K1103" t="s">
        <v>5632</v>
      </c>
      <c r="L1103" t="s">
        <v>4717</v>
      </c>
    </row>
    <row r="1104">
      <c r="A1104" t="s">
        <v>2498</v>
      </c>
      <c r="B1104" t="s">
        <v>1101</v>
      </c>
      <c r="C1104" t="s">
        <v>958</v>
      </c>
      <c r="D1104" t="s">
        <v>970</v>
      </c>
      <c r="E1104" t="s">
        <v>1099</v>
      </c>
      <c r="F1104" t="s">
        <v>120</v>
      </c>
      <c r="G1104" t="s">
        <v>4715</v>
      </c>
      <c r="H1104" t="s">
        <v>5170</v>
      </c>
      <c r="I1104" t="s">
        <v>5171</v>
      </c>
      <c r="J1104" t="s">
        <v>5633</v>
      </c>
      <c r="K1104" t="s">
        <v>5634</v>
      </c>
      <c r="L1104" t="s">
        <v>4717</v>
      </c>
    </row>
    <row r="1105">
      <c r="A1105" t="s">
        <v>2498</v>
      </c>
      <c r="B1105" t="s">
        <v>1101</v>
      </c>
      <c r="C1105" t="s">
        <v>958</v>
      </c>
      <c r="D1105" t="s">
        <v>970</v>
      </c>
      <c r="E1105" t="s">
        <v>1099</v>
      </c>
      <c r="F1105" t="s">
        <v>120</v>
      </c>
      <c r="G1105" t="s">
        <v>4715</v>
      </c>
      <c r="H1105" t="s">
        <v>5157</v>
      </c>
      <c r="I1105" t="s">
        <v>5635</v>
      </c>
      <c r="J1105" t="s">
        <v>5636</v>
      </c>
      <c r="K1105" t="s">
        <v>5637</v>
      </c>
      <c r="L1105" t="s">
        <v>4717</v>
      </c>
    </row>
    <row r="1106">
      <c r="A1106" t="s">
        <v>2498</v>
      </c>
      <c r="B1106" t="s">
        <v>1101</v>
      </c>
      <c r="C1106" t="s">
        <v>958</v>
      </c>
      <c r="D1106" t="s">
        <v>970</v>
      </c>
      <c r="E1106" t="s">
        <v>1099</v>
      </c>
      <c r="F1106" t="s">
        <v>120</v>
      </c>
      <c r="G1106" t="s">
        <v>4715</v>
      </c>
      <c r="H1106" t="s">
        <v>5539</v>
      </c>
      <c r="I1106" t="s">
        <v>5638</v>
      </c>
      <c r="J1106" t="s">
        <v>5639</v>
      </c>
      <c r="K1106" t="s">
        <v>5640</v>
      </c>
      <c r="L1106" t="s">
        <v>4717</v>
      </c>
    </row>
    <row r="1107">
      <c r="A1107" t="s">
        <v>2498</v>
      </c>
      <c r="B1107" t="s">
        <v>1101</v>
      </c>
      <c r="C1107" t="s">
        <v>958</v>
      </c>
      <c r="D1107" t="s">
        <v>970</v>
      </c>
      <c r="E1107" t="s">
        <v>1099</v>
      </c>
      <c r="F1107" t="s">
        <v>120</v>
      </c>
      <c r="G1107" t="s">
        <v>4715</v>
      </c>
      <c r="H1107" t="s">
        <v>5539</v>
      </c>
      <c r="I1107" t="s">
        <v>5641</v>
      </c>
      <c r="J1107" t="s">
        <v>5642</v>
      </c>
      <c r="K1107" t="s">
        <v>5643</v>
      </c>
      <c r="L1107" t="s">
        <v>4717</v>
      </c>
    </row>
    <row r="1108">
      <c r="A1108" t="s">
        <v>2498</v>
      </c>
      <c r="B1108" t="s">
        <v>1101</v>
      </c>
      <c r="C1108" t="s">
        <v>958</v>
      </c>
      <c r="D1108" t="s">
        <v>970</v>
      </c>
      <c r="E1108" t="s">
        <v>1099</v>
      </c>
      <c r="F1108" t="s">
        <v>120</v>
      </c>
      <c r="G1108" t="s">
        <v>4715</v>
      </c>
      <c r="H1108" t="s">
        <v>5644</v>
      </c>
      <c r="I1108" t="s">
        <v>5645</v>
      </c>
      <c r="J1108" t="s">
        <v>5646</v>
      </c>
      <c r="K1108" t="s">
        <v>5647</v>
      </c>
      <c r="L1108" t="s">
        <v>4717</v>
      </c>
    </row>
    <row r="1109">
      <c r="A1109" t="s">
        <v>2498</v>
      </c>
      <c r="B1109" t="s">
        <v>1101</v>
      </c>
      <c r="C1109" t="s">
        <v>958</v>
      </c>
      <c r="D1109" t="s">
        <v>970</v>
      </c>
      <c r="E1109" t="s">
        <v>1099</v>
      </c>
      <c r="F1109" t="s">
        <v>120</v>
      </c>
      <c r="G1109" t="s">
        <v>4715</v>
      </c>
      <c r="H1109" t="s">
        <v>5644</v>
      </c>
      <c r="I1109" t="s">
        <v>5648</v>
      </c>
      <c r="J1109" t="s">
        <v>5649</v>
      </c>
      <c r="K1109" t="s">
        <v>5650</v>
      </c>
      <c r="L1109" t="s">
        <v>4717</v>
      </c>
    </row>
    <row r="1110">
      <c r="A1110" t="s">
        <v>2498</v>
      </c>
      <c r="B1110" t="s">
        <v>1101</v>
      </c>
      <c r="C1110" t="s">
        <v>958</v>
      </c>
      <c r="D1110" t="s">
        <v>970</v>
      </c>
      <c r="E1110" t="s">
        <v>1099</v>
      </c>
      <c r="F1110" t="s">
        <v>120</v>
      </c>
      <c r="G1110" t="s">
        <v>4715</v>
      </c>
      <c r="H1110" t="s">
        <v>5651</v>
      </c>
      <c r="I1110" t="s">
        <v>5196</v>
      </c>
      <c r="J1110" t="s">
        <v>5652</v>
      </c>
      <c r="K1110" t="s">
        <v>5653</v>
      </c>
      <c r="L1110" t="s">
        <v>4717</v>
      </c>
    </row>
    <row r="1111">
      <c r="A1111" t="s">
        <v>2498</v>
      </c>
      <c r="B1111" t="s">
        <v>1101</v>
      </c>
      <c r="C1111" t="s">
        <v>958</v>
      </c>
      <c r="D1111" t="s">
        <v>970</v>
      </c>
      <c r="E1111" t="s">
        <v>1099</v>
      </c>
      <c r="F1111" t="s">
        <v>120</v>
      </c>
      <c r="G1111" t="s">
        <v>4715</v>
      </c>
      <c r="H1111" t="s">
        <v>5651</v>
      </c>
      <c r="I1111" t="s">
        <v>5195</v>
      </c>
      <c r="J1111" t="s">
        <v>5654</v>
      </c>
      <c r="K1111" t="s">
        <v>5655</v>
      </c>
      <c r="L1111" t="s">
        <v>4717</v>
      </c>
    </row>
    <row r="1112">
      <c r="A1112" t="s">
        <v>2498</v>
      </c>
      <c r="B1112" t="s">
        <v>1101</v>
      </c>
      <c r="C1112" t="s">
        <v>958</v>
      </c>
      <c r="D1112" t="s">
        <v>970</v>
      </c>
      <c r="E1112" t="s">
        <v>1099</v>
      </c>
      <c r="F1112" t="s">
        <v>120</v>
      </c>
      <c r="G1112" t="s">
        <v>4715</v>
      </c>
      <c r="H1112" t="s">
        <v>5522</v>
      </c>
      <c r="I1112" t="s">
        <v>5656</v>
      </c>
      <c r="J1112" t="s">
        <v>5657</v>
      </c>
      <c r="K1112" t="s">
        <v>5658</v>
      </c>
      <c r="L1112" t="s">
        <v>4717</v>
      </c>
    </row>
    <row r="1113">
      <c r="A1113" t="s">
        <v>2501</v>
      </c>
      <c r="B1113" t="s">
        <v>1109</v>
      </c>
      <c r="C1113" t="s">
        <v>958</v>
      </c>
      <c r="D1113" t="s">
        <v>970</v>
      </c>
      <c r="E1113" t="s">
        <v>1099</v>
      </c>
      <c r="F1113" t="s">
        <v>120</v>
      </c>
      <c r="G1113" t="s">
        <v>4715</v>
      </c>
      <c r="H1113" t="s">
        <v>5041</v>
      </c>
      <c r="I1113" t="s">
        <v>5614</v>
      </c>
      <c r="J1113" t="s">
        <v>5615</v>
      </c>
      <c r="K1113" t="s">
        <v>4169</v>
      </c>
      <c r="L1113" t="s">
        <v>4717</v>
      </c>
    </row>
    <row r="1114">
      <c r="A1114" t="s">
        <v>2501</v>
      </c>
      <c r="B1114" t="s">
        <v>1109</v>
      </c>
      <c r="C1114" t="s">
        <v>958</v>
      </c>
      <c r="D1114" t="s">
        <v>970</v>
      </c>
      <c r="E1114" t="s">
        <v>1099</v>
      </c>
      <c r="F1114" t="s">
        <v>120</v>
      </c>
      <c r="G1114" t="s">
        <v>4715</v>
      </c>
      <c r="H1114" t="s">
        <v>5616</v>
      </c>
      <c r="I1114" t="s">
        <v>5617</v>
      </c>
      <c r="J1114" t="s">
        <v>5618</v>
      </c>
      <c r="K1114" t="s">
        <v>5619</v>
      </c>
      <c r="L1114" t="s">
        <v>4717</v>
      </c>
    </row>
    <row r="1115">
      <c r="A1115" t="s">
        <v>2501</v>
      </c>
      <c r="B1115" t="s">
        <v>1109</v>
      </c>
      <c r="C1115" t="s">
        <v>958</v>
      </c>
      <c r="D1115" t="s">
        <v>970</v>
      </c>
      <c r="E1115" t="s">
        <v>1099</v>
      </c>
      <c r="F1115" t="s">
        <v>120</v>
      </c>
      <c r="G1115" t="s">
        <v>4715</v>
      </c>
      <c r="H1115" t="s">
        <v>5499</v>
      </c>
      <c r="I1115" t="s">
        <v>5620</v>
      </c>
      <c r="J1115" t="s">
        <v>5621</v>
      </c>
      <c r="K1115" t="s">
        <v>5622</v>
      </c>
      <c r="L1115" t="s">
        <v>4717</v>
      </c>
    </row>
    <row r="1116">
      <c r="A1116" t="s">
        <v>2501</v>
      </c>
      <c r="B1116" t="s">
        <v>1109</v>
      </c>
      <c r="C1116" t="s">
        <v>958</v>
      </c>
      <c r="D1116" t="s">
        <v>970</v>
      </c>
      <c r="E1116" t="s">
        <v>1099</v>
      </c>
      <c r="F1116" t="s">
        <v>120</v>
      </c>
      <c r="G1116" t="s">
        <v>4715</v>
      </c>
      <c r="H1116" t="s">
        <v>5623</v>
      </c>
      <c r="I1116" t="s">
        <v>5624</v>
      </c>
      <c r="J1116" t="s">
        <v>5625</v>
      </c>
      <c r="K1116" t="s">
        <v>5626</v>
      </c>
      <c r="L1116" t="s">
        <v>4717</v>
      </c>
    </row>
    <row r="1117">
      <c r="A1117" t="s">
        <v>2501</v>
      </c>
      <c r="B1117" t="s">
        <v>1109</v>
      </c>
      <c r="C1117" t="s">
        <v>958</v>
      </c>
      <c r="D1117" t="s">
        <v>970</v>
      </c>
      <c r="E1117" t="s">
        <v>1099</v>
      </c>
      <c r="F1117" t="s">
        <v>120</v>
      </c>
      <c r="G1117" t="s">
        <v>4715</v>
      </c>
      <c r="H1117" t="s">
        <v>3904</v>
      </c>
      <c r="I1117" t="s">
        <v>5627</v>
      </c>
      <c r="J1117" t="s">
        <v>5628</v>
      </c>
      <c r="K1117" t="s">
        <v>5629</v>
      </c>
      <c r="L1117" t="s">
        <v>4717</v>
      </c>
    </row>
    <row r="1118">
      <c r="A1118" t="s">
        <v>2501</v>
      </c>
      <c r="B1118" t="s">
        <v>1109</v>
      </c>
      <c r="C1118" t="s">
        <v>958</v>
      </c>
      <c r="D1118" t="s">
        <v>970</v>
      </c>
      <c r="E1118" t="s">
        <v>1099</v>
      </c>
      <c r="F1118" t="s">
        <v>120</v>
      </c>
      <c r="G1118" t="s">
        <v>4715</v>
      </c>
      <c r="H1118" t="s">
        <v>5630</v>
      </c>
      <c r="I1118" t="s">
        <v>5474</v>
      </c>
      <c r="J1118" t="s">
        <v>5631</v>
      </c>
      <c r="K1118" t="s">
        <v>5632</v>
      </c>
      <c r="L1118" t="s">
        <v>4717</v>
      </c>
    </row>
    <row r="1119">
      <c r="A1119" t="s">
        <v>2501</v>
      </c>
      <c r="B1119" t="s">
        <v>1109</v>
      </c>
      <c r="C1119" t="s">
        <v>958</v>
      </c>
      <c r="D1119" t="s">
        <v>970</v>
      </c>
      <c r="E1119" t="s">
        <v>1099</v>
      </c>
      <c r="F1119" t="s">
        <v>120</v>
      </c>
      <c r="G1119" t="s">
        <v>4715</v>
      </c>
      <c r="H1119" t="s">
        <v>5170</v>
      </c>
      <c r="I1119" t="s">
        <v>5171</v>
      </c>
      <c r="J1119" t="s">
        <v>5633</v>
      </c>
      <c r="K1119" t="s">
        <v>5634</v>
      </c>
      <c r="L1119" t="s">
        <v>4717</v>
      </c>
    </row>
    <row r="1120">
      <c r="A1120" t="s">
        <v>2501</v>
      </c>
      <c r="B1120" t="s">
        <v>1109</v>
      </c>
      <c r="C1120" t="s">
        <v>958</v>
      </c>
      <c r="D1120" t="s">
        <v>970</v>
      </c>
      <c r="E1120" t="s">
        <v>1099</v>
      </c>
      <c r="F1120" t="s">
        <v>120</v>
      </c>
      <c r="G1120" t="s">
        <v>4715</v>
      </c>
      <c r="H1120" t="s">
        <v>5157</v>
      </c>
      <c r="I1120" t="s">
        <v>5635</v>
      </c>
      <c r="J1120" t="s">
        <v>5636</v>
      </c>
      <c r="K1120" t="s">
        <v>5637</v>
      </c>
      <c r="L1120" t="s">
        <v>4717</v>
      </c>
    </row>
    <row r="1121">
      <c r="A1121" t="s">
        <v>2501</v>
      </c>
      <c r="B1121" t="s">
        <v>1109</v>
      </c>
      <c r="C1121" t="s">
        <v>958</v>
      </c>
      <c r="D1121" t="s">
        <v>970</v>
      </c>
      <c r="E1121" t="s">
        <v>1099</v>
      </c>
      <c r="F1121" t="s">
        <v>120</v>
      </c>
      <c r="G1121" t="s">
        <v>4715</v>
      </c>
      <c r="H1121" t="s">
        <v>5539</v>
      </c>
      <c r="I1121" t="s">
        <v>5638</v>
      </c>
      <c r="J1121" t="s">
        <v>5639</v>
      </c>
      <c r="K1121" t="s">
        <v>5640</v>
      </c>
      <c r="L1121" t="s">
        <v>4717</v>
      </c>
    </row>
    <row r="1122">
      <c r="A1122" t="s">
        <v>2501</v>
      </c>
      <c r="B1122" t="s">
        <v>1109</v>
      </c>
      <c r="C1122" t="s">
        <v>958</v>
      </c>
      <c r="D1122" t="s">
        <v>970</v>
      </c>
      <c r="E1122" t="s">
        <v>1099</v>
      </c>
      <c r="F1122" t="s">
        <v>120</v>
      </c>
      <c r="G1122" t="s">
        <v>4715</v>
      </c>
      <c r="H1122" t="s">
        <v>5539</v>
      </c>
      <c r="I1122" t="s">
        <v>5641</v>
      </c>
      <c r="J1122" t="s">
        <v>5642</v>
      </c>
      <c r="K1122" t="s">
        <v>5643</v>
      </c>
      <c r="L1122" t="s">
        <v>4717</v>
      </c>
    </row>
    <row r="1123">
      <c r="A1123" t="s">
        <v>2501</v>
      </c>
      <c r="B1123" t="s">
        <v>1109</v>
      </c>
      <c r="C1123" t="s">
        <v>958</v>
      </c>
      <c r="D1123" t="s">
        <v>970</v>
      </c>
      <c r="E1123" t="s">
        <v>1099</v>
      </c>
      <c r="F1123" t="s">
        <v>120</v>
      </c>
      <c r="G1123" t="s">
        <v>4715</v>
      </c>
      <c r="H1123" t="s">
        <v>5644</v>
      </c>
      <c r="I1123" t="s">
        <v>5645</v>
      </c>
      <c r="J1123" t="s">
        <v>5646</v>
      </c>
      <c r="K1123" t="s">
        <v>5647</v>
      </c>
      <c r="L1123" t="s">
        <v>4717</v>
      </c>
    </row>
    <row r="1124">
      <c r="A1124" t="s">
        <v>2501</v>
      </c>
      <c r="B1124" t="s">
        <v>1109</v>
      </c>
      <c r="C1124" t="s">
        <v>958</v>
      </c>
      <c r="D1124" t="s">
        <v>970</v>
      </c>
      <c r="E1124" t="s">
        <v>1099</v>
      </c>
      <c r="F1124" t="s">
        <v>120</v>
      </c>
      <c r="G1124" t="s">
        <v>4715</v>
      </c>
      <c r="H1124" t="s">
        <v>5644</v>
      </c>
      <c r="I1124" t="s">
        <v>5648</v>
      </c>
      <c r="J1124" t="s">
        <v>5649</v>
      </c>
      <c r="K1124" t="s">
        <v>5650</v>
      </c>
      <c r="L1124" t="s">
        <v>4717</v>
      </c>
    </row>
    <row r="1125">
      <c r="A1125" t="s">
        <v>2501</v>
      </c>
      <c r="B1125" t="s">
        <v>1109</v>
      </c>
      <c r="C1125" t="s">
        <v>958</v>
      </c>
      <c r="D1125" t="s">
        <v>970</v>
      </c>
      <c r="E1125" t="s">
        <v>1099</v>
      </c>
      <c r="F1125" t="s">
        <v>120</v>
      </c>
      <c r="G1125" t="s">
        <v>4715</v>
      </c>
      <c r="H1125" t="s">
        <v>5651</v>
      </c>
      <c r="I1125" t="s">
        <v>5196</v>
      </c>
      <c r="J1125" t="s">
        <v>5652</v>
      </c>
      <c r="K1125" t="s">
        <v>5653</v>
      </c>
      <c r="L1125" t="s">
        <v>4717</v>
      </c>
    </row>
    <row r="1126">
      <c r="A1126" t="s">
        <v>2501</v>
      </c>
      <c r="B1126" t="s">
        <v>1109</v>
      </c>
      <c r="C1126" t="s">
        <v>958</v>
      </c>
      <c r="D1126" t="s">
        <v>970</v>
      </c>
      <c r="E1126" t="s">
        <v>1099</v>
      </c>
      <c r="F1126" t="s">
        <v>120</v>
      </c>
      <c r="G1126" t="s">
        <v>4715</v>
      </c>
      <c r="H1126" t="s">
        <v>5651</v>
      </c>
      <c r="I1126" t="s">
        <v>5195</v>
      </c>
      <c r="J1126" t="s">
        <v>5654</v>
      </c>
      <c r="K1126" t="s">
        <v>5655</v>
      </c>
      <c r="L1126" t="s">
        <v>4717</v>
      </c>
    </row>
    <row r="1127">
      <c r="A1127" t="s">
        <v>2501</v>
      </c>
      <c r="B1127" t="s">
        <v>1109</v>
      </c>
      <c r="C1127" t="s">
        <v>958</v>
      </c>
      <c r="D1127" t="s">
        <v>970</v>
      </c>
      <c r="E1127" t="s">
        <v>1099</v>
      </c>
      <c r="F1127" t="s">
        <v>120</v>
      </c>
      <c r="G1127" t="s">
        <v>4715</v>
      </c>
      <c r="H1127" t="s">
        <v>5522</v>
      </c>
      <c r="I1127" t="s">
        <v>5656</v>
      </c>
      <c r="J1127" t="s">
        <v>5657</v>
      </c>
      <c r="K1127" t="s">
        <v>5658</v>
      </c>
      <c r="L1127" t="s">
        <v>4717</v>
      </c>
    </row>
    <row r="1128">
      <c r="A1128" t="s">
        <v>2504</v>
      </c>
      <c r="B1128" t="s">
        <v>1114</v>
      </c>
      <c r="C1128" t="s">
        <v>958</v>
      </c>
      <c r="D1128" t="s">
        <v>970</v>
      </c>
      <c r="E1128" t="s">
        <v>1099</v>
      </c>
      <c r="F1128" t="s">
        <v>120</v>
      </c>
      <c r="G1128" t="s">
        <v>4715</v>
      </c>
      <c r="H1128" t="s">
        <v>5041</v>
      </c>
      <c r="I1128" t="s">
        <v>5614</v>
      </c>
      <c r="J1128" t="s">
        <v>5615</v>
      </c>
      <c r="K1128" t="s">
        <v>4169</v>
      </c>
      <c r="L1128" t="s">
        <v>4717</v>
      </c>
    </row>
    <row r="1129">
      <c r="A1129" t="s">
        <v>2504</v>
      </c>
      <c r="B1129" t="s">
        <v>1114</v>
      </c>
      <c r="C1129" t="s">
        <v>958</v>
      </c>
      <c r="D1129" t="s">
        <v>970</v>
      </c>
      <c r="E1129" t="s">
        <v>1099</v>
      </c>
      <c r="F1129" t="s">
        <v>120</v>
      </c>
      <c r="G1129" t="s">
        <v>4715</v>
      </c>
      <c r="H1129" t="s">
        <v>5616</v>
      </c>
      <c r="I1129" t="s">
        <v>5617</v>
      </c>
      <c r="J1129" t="s">
        <v>5618</v>
      </c>
      <c r="K1129" t="s">
        <v>5619</v>
      </c>
      <c r="L1129" t="s">
        <v>4717</v>
      </c>
    </row>
    <row r="1130">
      <c r="A1130" t="s">
        <v>2504</v>
      </c>
      <c r="B1130" t="s">
        <v>1114</v>
      </c>
      <c r="C1130" t="s">
        <v>958</v>
      </c>
      <c r="D1130" t="s">
        <v>970</v>
      </c>
      <c r="E1130" t="s">
        <v>1099</v>
      </c>
      <c r="F1130" t="s">
        <v>120</v>
      </c>
      <c r="G1130" t="s">
        <v>4715</v>
      </c>
      <c r="H1130" t="s">
        <v>5499</v>
      </c>
      <c r="I1130" t="s">
        <v>5620</v>
      </c>
      <c r="J1130" t="s">
        <v>5621</v>
      </c>
      <c r="K1130" t="s">
        <v>5622</v>
      </c>
      <c r="L1130" t="s">
        <v>4717</v>
      </c>
    </row>
    <row r="1131">
      <c r="A1131" t="s">
        <v>2504</v>
      </c>
      <c r="B1131" t="s">
        <v>1114</v>
      </c>
      <c r="C1131" t="s">
        <v>958</v>
      </c>
      <c r="D1131" t="s">
        <v>970</v>
      </c>
      <c r="E1131" t="s">
        <v>1099</v>
      </c>
      <c r="F1131" t="s">
        <v>120</v>
      </c>
      <c r="G1131" t="s">
        <v>4715</v>
      </c>
      <c r="H1131" t="s">
        <v>5623</v>
      </c>
      <c r="I1131" t="s">
        <v>5624</v>
      </c>
      <c r="J1131" t="s">
        <v>5625</v>
      </c>
      <c r="K1131" t="s">
        <v>5626</v>
      </c>
      <c r="L1131" t="s">
        <v>4717</v>
      </c>
    </row>
    <row r="1132">
      <c r="A1132" t="s">
        <v>2504</v>
      </c>
      <c r="B1132" t="s">
        <v>1114</v>
      </c>
      <c r="C1132" t="s">
        <v>958</v>
      </c>
      <c r="D1132" t="s">
        <v>970</v>
      </c>
      <c r="E1132" t="s">
        <v>1099</v>
      </c>
      <c r="F1132" t="s">
        <v>120</v>
      </c>
      <c r="G1132" t="s">
        <v>4715</v>
      </c>
      <c r="H1132" t="s">
        <v>3904</v>
      </c>
      <c r="I1132" t="s">
        <v>5627</v>
      </c>
      <c r="J1132" t="s">
        <v>5628</v>
      </c>
      <c r="K1132" t="s">
        <v>5629</v>
      </c>
      <c r="L1132" t="s">
        <v>4717</v>
      </c>
    </row>
    <row r="1133">
      <c r="A1133" t="s">
        <v>2504</v>
      </c>
      <c r="B1133" t="s">
        <v>1114</v>
      </c>
      <c r="C1133" t="s">
        <v>958</v>
      </c>
      <c r="D1133" t="s">
        <v>970</v>
      </c>
      <c r="E1133" t="s">
        <v>1099</v>
      </c>
      <c r="F1133" t="s">
        <v>120</v>
      </c>
      <c r="G1133" t="s">
        <v>4715</v>
      </c>
      <c r="H1133" t="s">
        <v>5630</v>
      </c>
      <c r="I1133" t="s">
        <v>5474</v>
      </c>
      <c r="J1133" t="s">
        <v>5631</v>
      </c>
      <c r="K1133" t="s">
        <v>5632</v>
      </c>
      <c r="L1133" t="s">
        <v>4717</v>
      </c>
    </row>
    <row r="1134">
      <c r="A1134" t="s">
        <v>2504</v>
      </c>
      <c r="B1134" t="s">
        <v>1114</v>
      </c>
      <c r="C1134" t="s">
        <v>958</v>
      </c>
      <c r="D1134" t="s">
        <v>970</v>
      </c>
      <c r="E1134" t="s">
        <v>1099</v>
      </c>
      <c r="F1134" t="s">
        <v>120</v>
      </c>
      <c r="G1134" t="s">
        <v>4715</v>
      </c>
      <c r="H1134" t="s">
        <v>5170</v>
      </c>
      <c r="I1134" t="s">
        <v>5171</v>
      </c>
      <c r="J1134" t="s">
        <v>5633</v>
      </c>
      <c r="K1134" t="s">
        <v>5634</v>
      </c>
      <c r="L1134" t="s">
        <v>4717</v>
      </c>
    </row>
    <row r="1135">
      <c r="A1135" t="s">
        <v>2504</v>
      </c>
      <c r="B1135" t="s">
        <v>1114</v>
      </c>
      <c r="C1135" t="s">
        <v>958</v>
      </c>
      <c r="D1135" t="s">
        <v>970</v>
      </c>
      <c r="E1135" t="s">
        <v>1099</v>
      </c>
      <c r="F1135" t="s">
        <v>120</v>
      </c>
      <c r="G1135" t="s">
        <v>4715</v>
      </c>
      <c r="H1135" t="s">
        <v>5157</v>
      </c>
      <c r="I1135" t="s">
        <v>5635</v>
      </c>
      <c r="J1135" t="s">
        <v>5636</v>
      </c>
      <c r="K1135" t="s">
        <v>5637</v>
      </c>
      <c r="L1135" t="s">
        <v>4717</v>
      </c>
    </row>
    <row r="1136">
      <c r="A1136" t="s">
        <v>2504</v>
      </c>
      <c r="B1136" t="s">
        <v>1114</v>
      </c>
      <c r="C1136" t="s">
        <v>958</v>
      </c>
      <c r="D1136" t="s">
        <v>970</v>
      </c>
      <c r="E1136" t="s">
        <v>1099</v>
      </c>
      <c r="F1136" t="s">
        <v>120</v>
      </c>
      <c r="G1136" t="s">
        <v>4715</v>
      </c>
      <c r="H1136" t="s">
        <v>5539</v>
      </c>
      <c r="I1136" t="s">
        <v>5638</v>
      </c>
      <c r="J1136" t="s">
        <v>5639</v>
      </c>
      <c r="K1136" t="s">
        <v>5640</v>
      </c>
      <c r="L1136" t="s">
        <v>4717</v>
      </c>
    </row>
    <row r="1137">
      <c r="A1137" t="s">
        <v>2504</v>
      </c>
      <c r="B1137" t="s">
        <v>1114</v>
      </c>
      <c r="C1137" t="s">
        <v>958</v>
      </c>
      <c r="D1137" t="s">
        <v>970</v>
      </c>
      <c r="E1137" t="s">
        <v>1099</v>
      </c>
      <c r="F1137" t="s">
        <v>120</v>
      </c>
      <c r="G1137" t="s">
        <v>4715</v>
      </c>
      <c r="H1137" t="s">
        <v>5539</v>
      </c>
      <c r="I1137" t="s">
        <v>5641</v>
      </c>
      <c r="J1137" t="s">
        <v>5642</v>
      </c>
      <c r="K1137" t="s">
        <v>5643</v>
      </c>
      <c r="L1137" t="s">
        <v>4717</v>
      </c>
    </row>
    <row r="1138">
      <c r="A1138" t="s">
        <v>2504</v>
      </c>
      <c r="B1138" t="s">
        <v>1114</v>
      </c>
      <c r="C1138" t="s">
        <v>958</v>
      </c>
      <c r="D1138" t="s">
        <v>970</v>
      </c>
      <c r="E1138" t="s">
        <v>1099</v>
      </c>
      <c r="F1138" t="s">
        <v>120</v>
      </c>
      <c r="G1138" t="s">
        <v>4715</v>
      </c>
      <c r="H1138" t="s">
        <v>5644</v>
      </c>
      <c r="I1138" t="s">
        <v>5645</v>
      </c>
      <c r="J1138" t="s">
        <v>5646</v>
      </c>
      <c r="K1138" t="s">
        <v>5647</v>
      </c>
      <c r="L1138" t="s">
        <v>4717</v>
      </c>
    </row>
    <row r="1139">
      <c r="A1139" t="s">
        <v>2504</v>
      </c>
      <c r="B1139" t="s">
        <v>1114</v>
      </c>
      <c r="C1139" t="s">
        <v>958</v>
      </c>
      <c r="D1139" t="s">
        <v>970</v>
      </c>
      <c r="E1139" t="s">
        <v>1099</v>
      </c>
      <c r="F1139" t="s">
        <v>120</v>
      </c>
      <c r="G1139" t="s">
        <v>4715</v>
      </c>
      <c r="H1139" t="s">
        <v>5644</v>
      </c>
      <c r="I1139" t="s">
        <v>5648</v>
      </c>
      <c r="J1139" t="s">
        <v>5649</v>
      </c>
      <c r="K1139" t="s">
        <v>5650</v>
      </c>
      <c r="L1139" t="s">
        <v>4717</v>
      </c>
    </row>
    <row r="1140">
      <c r="A1140" t="s">
        <v>2504</v>
      </c>
      <c r="B1140" t="s">
        <v>1114</v>
      </c>
      <c r="C1140" t="s">
        <v>958</v>
      </c>
      <c r="D1140" t="s">
        <v>970</v>
      </c>
      <c r="E1140" t="s">
        <v>1099</v>
      </c>
      <c r="F1140" t="s">
        <v>120</v>
      </c>
      <c r="G1140" t="s">
        <v>4715</v>
      </c>
      <c r="H1140" t="s">
        <v>5651</v>
      </c>
      <c r="I1140" t="s">
        <v>5196</v>
      </c>
      <c r="J1140" t="s">
        <v>5652</v>
      </c>
      <c r="K1140" t="s">
        <v>5653</v>
      </c>
      <c r="L1140" t="s">
        <v>4717</v>
      </c>
    </row>
    <row r="1141">
      <c r="A1141" t="s">
        <v>2504</v>
      </c>
      <c r="B1141" t="s">
        <v>1114</v>
      </c>
      <c r="C1141" t="s">
        <v>958</v>
      </c>
      <c r="D1141" t="s">
        <v>970</v>
      </c>
      <c r="E1141" t="s">
        <v>1099</v>
      </c>
      <c r="F1141" t="s">
        <v>120</v>
      </c>
      <c r="G1141" t="s">
        <v>4715</v>
      </c>
      <c r="H1141" t="s">
        <v>5651</v>
      </c>
      <c r="I1141" t="s">
        <v>5195</v>
      </c>
      <c r="J1141" t="s">
        <v>5654</v>
      </c>
      <c r="K1141" t="s">
        <v>5655</v>
      </c>
      <c r="L1141" t="s">
        <v>4717</v>
      </c>
    </row>
    <row r="1142">
      <c r="A1142" t="s">
        <v>2504</v>
      </c>
      <c r="B1142" t="s">
        <v>1114</v>
      </c>
      <c r="C1142" t="s">
        <v>958</v>
      </c>
      <c r="D1142" t="s">
        <v>970</v>
      </c>
      <c r="E1142" t="s">
        <v>1099</v>
      </c>
      <c r="F1142" t="s">
        <v>120</v>
      </c>
      <c r="G1142" t="s">
        <v>4715</v>
      </c>
      <c r="H1142" t="s">
        <v>5522</v>
      </c>
      <c r="I1142" t="s">
        <v>5656</v>
      </c>
      <c r="J1142" t="s">
        <v>5657</v>
      </c>
      <c r="K1142" t="s">
        <v>5658</v>
      </c>
      <c r="L1142" t="s">
        <v>4717</v>
      </c>
    </row>
    <row r="1143">
      <c r="A1143" t="s">
        <v>2505</v>
      </c>
      <c r="B1143" t="s">
        <v>1121</v>
      </c>
      <c r="C1143" t="s">
        <v>958</v>
      </c>
      <c r="D1143" t="s">
        <v>970</v>
      </c>
      <c r="E1143" t="s">
        <v>1099</v>
      </c>
      <c r="F1143" t="s">
        <v>120</v>
      </c>
      <c r="G1143" t="s">
        <v>4715</v>
      </c>
      <c r="H1143" t="s">
        <v>5041</v>
      </c>
      <c r="I1143" t="s">
        <v>5614</v>
      </c>
      <c r="J1143" t="s">
        <v>5615</v>
      </c>
      <c r="K1143" t="s">
        <v>4169</v>
      </c>
      <c r="L1143" t="s">
        <v>4717</v>
      </c>
    </row>
    <row r="1144">
      <c r="A1144" t="s">
        <v>2505</v>
      </c>
      <c r="B1144" t="s">
        <v>1121</v>
      </c>
      <c r="C1144" t="s">
        <v>958</v>
      </c>
      <c r="D1144" t="s">
        <v>970</v>
      </c>
      <c r="E1144" t="s">
        <v>1099</v>
      </c>
      <c r="F1144" t="s">
        <v>120</v>
      </c>
      <c r="G1144" t="s">
        <v>4715</v>
      </c>
      <c r="H1144" t="s">
        <v>5616</v>
      </c>
      <c r="I1144" t="s">
        <v>5617</v>
      </c>
      <c r="J1144" t="s">
        <v>5618</v>
      </c>
      <c r="K1144" t="s">
        <v>5619</v>
      </c>
      <c r="L1144" t="s">
        <v>4717</v>
      </c>
    </row>
    <row r="1145">
      <c r="A1145" t="s">
        <v>2505</v>
      </c>
      <c r="B1145" t="s">
        <v>1121</v>
      </c>
      <c r="C1145" t="s">
        <v>958</v>
      </c>
      <c r="D1145" t="s">
        <v>970</v>
      </c>
      <c r="E1145" t="s">
        <v>1099</v>
      </c>
      <c r="F1145" t="s">
        <v>120</v>
      </c>
      <c r="G1145" t="s">
        <v>4715</v>
      </c>
      <c r="H1145" t="s">
        <v>5499</v>
      </c>
      <c r="I1145" t="s">
        <v>5620</v>
      </c>
      <c r="J1145" t="s">
        <v>5621</v>
      </c>
      <c r="K1145" t="s">
        <v>5622</v>
      </c>
      <c r="L1145" t="s">
        <v>4717</v>
      </c>
    </row>
    <row r="1146">
      <c r="A1146" t="s">
        <v>2505</v>
      </c>
      <c r="B1146" t="s">
        <v>1121</v>
      </c>
      <c r="C1146" t="s">
        <v>958</v>
      </c>
      <c r="D1146" t="s">
        <v>970</v>
      </c>
      <c r="E1146" t="s">
        <v>1099</v>
      </c>
      <c r="F1146" t="s">
        <v>120</v>
      </c>
      <c r="G1146" t="s">
        <v>4715</v>
      </c>
      <c r="H1146" t="s">
        <v>5623</v>
      </c>
      <c r="I1146" t="s">
        <v>5624</v>
      </c>
      <c r="J1146" t="s">
        <v>5625</v>
      </c>
      <c r="K1146" t="s">
        <v>5626</v>
      </c>
      <c r="L1146" t="s">
        <v>4717</v>
      </c>
    </row>
    <row r="1147">
      <c r="A1147" t="s">
        <v>2505</v>
      </c>
      <c r="B1147" t="s">
        <v>1121</v>
      </c>
      <c r="C1147" t="s">
        <v>958</v>
      </c>
      <c r="D1147" t="s">
        <v>970</v>
      </c>
      <c r="E1147" t="s">
        <v>1099</v>
      </c>
      <c r="F1147" t="s">
        <v>120</v>
      </c>
      <c r="G1147" t="s">
        <v>4715</v>
      </c>
      <c r="H1147" t="s">
        <v>3904</v>
      </c>
      <c r="I1147" t="s">
        <v>5627</v>
      </c>
      <c r="J1147" t="s">
        <v>5628</v>
      </c>
      <c r="K1147" t="s">
        <v>5629</v>
      </c>
      <c r="L1147" t="s">
        <v>4717</v>
      </c>
    </row>
    <row r="1148">
      <c r="A1148" t="s">
        <v>2505</v>
      </c>
      <c r="B1148" t="s">
        <v>1121</v>
      </c>
      <c r="C1148" t="s">
        <v>958</v>
      </c>
      <c r="D1148" t="s">
        <v>970</v>
      </c>
      <c r="E1148" t="s">
        <v>1099</v>
      </c>
      <c r="F1148" t="s">
        <v>120</v>
      </c>
      <c r="G1148" t="s">
        <v>4715</v>
      </c>
      <c r="H1148" t="s">
        <v>5630</v>
      </c>
      <c r="I1148" t="s">
        <v>5474</v>
      </c>
      <c r="J1148" t="s">
        <v>5631</v>
      </c>
      <c r="K1148" t="s">
        <v>5632</v>
      </c>
      <c r="L1148" t="s">
        <v>4717</v>
      </c>
    </row>
    <row r="1149">
      <c r="A1149" t="s">
        <v>2505</v>
      </c>
      <c r="B1149" t="s">
        <v>1121</v>
      </c>
      <c r="C1149" t="s">
        <v>958</v>
      </c>
      <c r="D1149" t="s">
        <v>970</v>
      </c>
      <c r="E1149" t="s">
        <v>1099</v>
      </c>
      <c r="F1149" t="s">
        <v>120</v>
      </c>
      <c r="G1149" t="s">
        <v>4715</v>
      </c>
      <c r="H1149" t="s">
        <v>5170</v>
      </c>
      <c r="I1149" t="s">
        <v>5171</v>
      </c>
      <c r="J1149" t="s">
        <v>5633</v>
      </c>
      <c r="K1149" t="s">
        <v>5634</v>
      </c>
      <c r="L1149" t="s">
        <v>4717</v>
      </c>
    </row>
    <row r="1150">
      <c r="A1150" t="s">
        <v>2505</v>
      </c>
      <c r="B1150" t="s">
        <v>1121</v>
      </c>
      <c r="C1150" t="s">
        <v>958</v>
      </c>
      <c r="D1150" t="s">
        <v>970</v>
      </c>
      <c r="E1150" t="s">
        <v>1099</v>
      </c>
      <c r="F1150" t="s">
        <v>120</v>
      </c>
      <c r="G1150" t="s">
        <v>4715</v>
      </c>
      <c r="H1150" t="s">
        <v>5157</v>
      </c>
      <c r="I1150" t="s">
        <v>5635</v>
      </c>
      <c r="J1150" t="s">
        <v>5636</v>
      </c>
      <c r="K1150" t="s">
        <v>5637</v>
      </c>
      <c r="L1150" t="s">
        <v>4717</v>
      </c>
    </row>
    <row r="1151">
      <c r="A1151" t="s">
        <v>2505</v>
      </c>
      <c r="B1151" t="s">
        <v>1121</v>
      </c>
      <c r="C1151" t="s">
        <v>958</v>
      </c>
      <c r="D1151" t="s">
        <v>970</v>
      </c>
      <c r="E1151" t="s">
        <v>1099</v>
      </c>
      <c r="F1151" t="s">
        <v>120</v>
      </c>
      <c r="G1151" t="s">
        <v>4715</v>
      </c>
      <c r="H1151" t="s">
        <v>5539</v>
      </c>
      <c r="I1151" t="s">
        <v>5638</v>
      </c>
      <c r="J1151" t="s">
        <v>5639</v>
      </c>
      <c r="K1151" t="s">
        <v>5640</v>
      </c>
      <c r="L1151" t="s">
        <v>4717</v>
      </c>
    </row>
    <row r="1152">
      <c r="A1152" t="s">
        <v>2505</v>
      </c>
      <c r="B1152" t="s">
        <v>1121</v>
      </c>
      <c r="C1152" t="s">
        <v>958</v>
      </c>
      <c r="D1152" t="s">
        <v>970</v>
      </c>
      <c r="E1152" t="s">
        <v>1099</v>
      </c>
      <c r="F1152" t="s">
        <v>120</v>
      </c>
      <c r="G1152" t="s">
        <v>4715</v>
      </c>
      <c r="H1152" t="s">
        <v>5539</v>
      </c>
      <c r="I1152" t="s">
        <v>5641</v>
      </c>
      <c r="J1152" t="s">
        <v>5642</v>
      </c>
      <c r="K1152" t="s">
        <v>5643</v>
      </c>
      <c r="L1152" t="s">
        <v>4717</v>
      </c>
    </row>
    <row r="1153">
      <c r="A1153" t="s">
        <v>2505</v>
      </c>
      <c r="B1153" t="s">
        <v>1121</v>
      </c>
      <c r="C1153" t="s">
        <v>958</v>
      </c>
      <c r="D1153" t="s">
        <v>970</v>
      </c>
      <c r="E1153" t="s">
        <v>1099</v>
      </c>
      <c r="F1153" t="s">
        <v>120</v>
      </c>
      <c r="G1153" t="s">
        <v>4715</v>
      </c>
      <c r="H1153" t="s">
        <v>5644</v>
      </c>
      <c r="I1153" t="s">
        <v>5645</v>
      </c>
      <c r="J1153" t="s">
        <v>5646</v>
      </c>
      <c r="K1153" t="s">
        <v>5647</v>
      </c>
      <c r="L1153" t="s">
        <v>4717</v>
      </c>
    </row>
    <row r="1154">
      <c r="A1154" t="s">
        <v>2505</v>
      </c>
      <c r="B1154" t="s">
        <v>1121</v>
      </c>
      <c r="C1154" t="s">
        <v>958</v>
      </c>
      <c r="D1154" t="s">
        <v>970</v>
      </c>
      <c r="E1154" t="s">
        <v>1099</v>
      </c>
      <c r="F1154" t="s">
        <v>120</v>
      </c>
      <c r="G1154" t="s">
        <v>4715</v>
      </c>
      <c r="H1154" t="s">
        <v>5644</v>
      </c>
      <c r="I1154" t="s">
        <v>5648</v>
      </c>
      <c r="J1154" t="s">
        <v>5649</v>
      </c>
      <c r="K1154" t="s">
        <v>5650</v>
      </c>
      <c r="L1154" t="s">
        <v>4717</v>
      </c>
    </row>
    <row r="1155">
      <c r="A1155" t="s">
        <v>2505</v>
      </c>
      <c r="B1155" t="s">
        <v>1121</v>
      </c>
      <c r="C1155" t="s">
        <v>958</v>
      </c>
      <c r="D1155" t="s">
        <v>970</v>
      </c>
      <c r="E1155" t="s">
        <v>1099</v>
      </c>
      <c r="F1155" t="s">
        <v>120</v>
      </c>
      <c r="G1155" t="s">
        <v>4715</v>
      </c>
      <c r="H1155" t="s">
        <v>5651</v>
      </c>
      <c r="I1155" t="s">
        <v>5196</v>
      </c>
      <c r="J1155" t="s">
        <v>5652</v>
      </c>
      <c r="K1155" t="s">
        <v>5653</v>
      </c>
      <c r="L1155" t="s">
        <v>4717</v>
      </c>
    </row>
    <row r="1156">
      <c r="A1156" t="s">
        <v>2505</v>
      </c>
      <c r="B1156" t="s">
        <v>1121</v>
      </c>
      <c r="C1156" t="s">
        <v>958</v>
      </c>
      <c r="D1156" t="s">
        <v>970</v>
      </c>
      <c r="E1156" t="s">
        <v>1099</v>
      </c>
      <c r="F1156" t="s">
        <v>120</v>
      </c>
      <c r="G1156" t="s">
        <v>4715</v>
      </c>
      <c r="H1156" t="s">
        <v>5651</v>
      </c>
      <c r="I1156" t="s">
        <v>5195</v>
      </c>
      <c r="J1156" t="s">
        <v>5654</v>
      </c>
      <c r="K1156" t="s">
        <v>5655</v>
      </c>
      <c r="L1156" t="s">
        <v>4717</v>
      </c>
    </row>
    <row r="1157">
      <c r="A1157" t="s">
        <v>2505</v>
      </c>
      <c r="B1157" t="s">
        <v>1121</v>
      </c>
      <c r="C1157" t="s">
        <v>958</v>
      </c>
      <c r="D1157" t="s">
        <v>970</v>
      </c>
      <c r="E1157" t="s">
        <v>1099</v>
      </c>
      <c r="F1157" t="s">
        <v>120</v>
      </c>
      <c r="G1157" t="s">
        <v>4715</v>
      </c>
      <c r="H1157" t="s">
        <v>5522</v>
      </c>
      <c r="I1157" t="s">
        <v>5656</v>
      </c>
      <c r="J1157" t="s">
        <v>5657</v>
      </c>
      <c r="K1157" t="s">
        <v>5658</v>
      </c>
      <c r="L1157" t="s">
        <v>4717</v>
      </c>
    </row>
    <row r="1158">
      <c r="A1158" t="s">
        <v>2508</v>
      </c>
      <c r="B1158" t="s">
        <v>1131</v>
      </c>
      <c r="C1158" t="s">
        <v>958</v>
      </c>
      <c r="D1158" t="s">
        <v>1128</v>
      </c>
      <c r="E1158" t="s">
        <v>1129</v>
      </c>
      <c r="F1158" t="s">
        <v>129</v>
      </c>
      <c r="G1158" t="s">
        <v>4715</v>
      </c>
      <c r="H1158" t="s">
        <v>5041</v>
      </c>
      <c r="I1158" t="s">
        <v>5614</v>
      </c>
      <c r="J1158" t="s">
        <v>5615</v>
      </c>
      <c r="K1158" t="s">
        <v>4169</v>
      </c>
      <c r="L1158" t="s">
        <v>4717</v>
      </c>
    </row>
    <row r="1159">
      <c r="A1159" t="s">
        <v>2508</v>
      </c>
      <c r="B1159" t="s">
        <v>1131</v>
      </c>
      <c r="C1159" t="s">
        <v>958</v>
      </c>
      <c r="D1159" t="s">
        <v>1128</v>
      </c>
      <c r="E1159" t="s">
        <v>1129</v>
      </c>
      <c r="F1159" t="s">
        <v>129</v>
      </c>
      <c r="G1159" t="s">
        <v>4715</v>
      </c>
      <c r="H1159" t="s">
        <v>5616</v>
      </c>
      <c r="I1159" t="s">
        <v>5617</v>
      </c>
      <c r="J1159" t="s">
        <v>5618</v>
      </c>
      <c r="K1159" t="s">
        <v>5619</v>
      </c>
      <c r="L1159" t="s">
        <v>4717</v>
      </c>
    </row>
    <row r="1160">
      <c r="A1160" t="s">
        <v>2508</v>
      </c>
      <c r="B1160" t="s">
        <v>1131</v>
      </c>
      <c r="C1160" t="s">
        <v>958</v>
      </c>
      <c r="D1160" t="s">
        <v>1128</v>
      </c>
      <c r="E1160" t="s">
        <v>1129</v>
      </c>
      <c r="F1160" t="s">
        <v>129</v>
      </c>
      <c r="G1160" t="s">
        <v>4715</v>
      </c>
      <c r="H1160" t="s">
        <v>5499</v>
      </c>
      <c r="I1160" t="s">
        <v>5620</v>
      </c>
      <c r="J1160" t="s">
        <v>5621</v>
      </c>
      <c r="K1160" t="s">
        <v>5622</v>
      </c>
      <c r="L1160" t="s">
        <v>4717</v>
      </c>
    </row>
    <row r="1161">
      <c r="A1161" t="s">
        <v>2508</v>
      </c>
      <c r="B1161" t="s">
        <v>1131</v>
      </c>
      <c r="C1161" t="s">
        <v>958</v>
      </c>
      <c r="D1161" t="s">
        <v>1128</v>
      </c>
      <c r="E1161" t="s">
        <v>1129</v>
      </c>
      <c r="F1161" t="s">
        <v>129</v>
      </c>
      <c r="G1161" t="s">
        <v>4715</v>
      </c>
      <c r="H1161" t="s">
        <v>5623</v>
      </c>
      <c r="I1161" t="s">
        <v>5624</v>
      </c>
      <c r="J1161" t="s">
        <v>5625</v>
      </c>
      <c r="K1161" t="s">
        <v>5626</v>
      </c>
      <c r="L1161" t="s">
        <v>4717</v>
      </c>
    </row>
    <row r="1162">
      <c r="A1162" t="s">
        <v>2508</v>
      </c>
      <c r="B1162" t="s">
        <v>1131</v>
      </c>
      <c r="C1162" t="s">
        <v>958</v>
      </c>
      <c r="D1162" t="s">
        <v>1128</v>
      </c>
      <c r="E1162" t="s">
        <v>1129</v>
      </c>
      <c r="F1162" t="s">
        <v>129</v>
      </c>
      <c r="G1162" t="s">
        <v>4715</v>
      </c>
      <c r="H1162" t="s">
        <v>3904</v>
      </c>
      <c r="I1162" t="s">
        <v>5627</v>
      </c>
      <c r="J1162" t="s">
        <v>5628</v>
      </c>
      <c r="K1162" t="s">
        <v>5629</v>
      </c>
      <c r="L1162" t="s">
        <v>4717</v>
      </c>
    </row>
    <row r="1163">
      <c r="A1163" t="s">
        <v>2508</v>
      </c>
      <c r="B1163" t="s">
        <v>1131</v>
      </c>
      <c r="C1163" t="s">
        <v>958</v>
      </c>
      <c r="D1163" t="s">
        <v>1128</v>
      </c>
      <c r="E1163" t="s">
        <v>1129</v>
      </c>
      <c r="F1163" t="s">
        <v>129</v>
      </c>
      <c r="G1163" t="s">
        <v>4715</v>
      </c>
      <c r="H1163" t="s">
        <v>5630</v>
      </c>
      <c r="I1163" t="s">
        <v>5474</v>
      </c>
      <c r="J1163" t="s">
        <v>5631</v>
      </c>
      <c r="K1163" t="s">
        <v>5632</v>
      </c>
      <c r="L1163" t="s">
        <v>4717</v>
      </c>
    </row>
    <row r="1164">
      <c r="A1164" t="s">
        <v>2508</v>
      </c>
      <c r="B1164" t="s">
        <v>1131</v>
      </c>
      <c r="C1164" t="s">
        <v>958</v>
      </c>
      <c r="D1164" t="s">
        <v>1128</v>
      </c>
      <c r="E1164" t="s">
        <v>1129</v>
      </c>
      <c r="F1164" t="s">
        <v>129</v>
      </c>
      <c r="G1164" t="s">
        <v>4715</v>
      </c>
      <c r="H1164" t="s">
        <v>5170</v>
      </c>
      <c r="I1164" t="s">
        <v>5171</v>
      </c>
      <c r="J1164" t="s">
        <v>5633</v>
      </c>
      <c r="K1164" t="s">
        <v>5634</v>
      </c>
      <c r="L1164" t="s">
        <v>4717</v>
      </c>
    </row>
    <row r="1165">
      <c r="A1165" t="s">
        <v>2508</v>
      </c>
      <c r="B1165" t="s">
        <v>1131</v>
      </c>
      <c r="C1165" t="s">
        <v>958</v>
      </c>
      <c r="D1165" t="s">
        <v>1128</v>
      </c>
      <c r="E1165" t="s">
        <v>1129</v>
      </c>
      <c r="F1165" t="s">
        <v>129</v>
      </c>
      <c r="G1165" t="s">
        <v>4715</v>
      </c>
      <c r="H1165" t="s">
        <v>5157</v>
      </c>
      <c r="I1165" t="s">
        <v>5635</v>
      </c>
      <c r="J1165" t="s">
        <v>5636</v>
      </c>
      <c r="K1165" t="s">
        <v>5637</v>
      </c>
      <c r="L1165" t="s">
        <v>4717</v>
      </c>
    </row>
    <row r="1166">
      <c r="A1166" t="s">
        <v>2508</v>
      </c>
      <c r="B1166" t="s">
        <v>1131</v>
      </c>
      <c r="C1166" t="s">
        <v>958</v>
      </c>
      <c r="D1166" t="s">
        <v>1128</v>
      </c>
      <c r="E1166" t="s">
        <v>1129</v>
      </c>
      <c r="F1166" t="s">
        <v>129</v>
      </c>
      <c r="G1166" t="s">
        <v>4715</v>
      </c>
      <c r="H1166" t="s">
        <v>5659</v>
      </c>
      <c r="I1166" t="s">
        <v>5660</v>
      </c>
      <c r="J1166" t="s">
        <v>5661</v>
      </c>
      <c r="K1166" t="s">
        <v>5662</v>
      </c>
      <c r="L1166" t="s">
        <v>4717</v>
      </c>
    </row>
    <row r="1167">
      <c r="A1167" t="s">
        <v>2508</v>
      </c>
      <c r="B1167" t="s">
        <v>1131</v>
      </c>
      <c r="C1167" t="s">
        <v>958</v>
      </c>
      <c r="D1167" t="s">
        <v>1128</v>
      </c>
      <c r="E1167" t="s">
        <v>1129</v>
      </c>
      <c r="F1167" t="s">
        <v>129</v>
      </c>
      <c r="G1167" t="s">
        <v>4715</v>
      </c>
      <c r="H1167" t="s">
        <v>5663</v>
      </c>
      <c r="I1167" t="s">
        <v>5664</v>
      </c>
      <c r="J1167" t="s">
        <v>5665</v>
      </c>
      <c r="K1167" t="s">
        <v>5666</v>
      </c>
      <c r="L1167" t="s">
        <v>4717</v>
      </c>
    </row>
    <row r="1168">
      <c r="A1168" t="s">
        <v>2508</v>
      </c>
      <c r="B1168" t="s">
        <v>1131</v>
      </c>
      <c r="C1168" t="s">
        <v>958</v>
      </c>
      <c r="D1168" t="s">
        <v>1128</v>
      </c>
      <c r="E1168" t="s">
        <v>1129</v>
      </c>
      <c r="F1168" t="s">
        <v>129</v>
      </c>
      <c r="G1168" t="s">
        <v>4715</v>
      </c>
      <c r="H1168" t="s">
        <v>5663</v>
      </c>
      <c r="I1168" t="s">
        <v>5667</v>
      </c>
      <c r="J1168" t="s">
        <v>5668</v>
      </c>
      <c r="K1168" t="s">
        <v>5669</v>
      </c>
      <c r="L1168" t="s">
        <v>4717</v>
      </c>
    </row>
    <row r="1169">
      <c r="A1169" t="s">
        <v>2508</v>
      </c>
      <c r="B1169" t="s">
        <v>1131</v>
      </c>
      <c r="C1169" t="s">
        <v>958</v>
      </c>
      <c r="D1169" t="s">
        <v>1128</v>
      </c>
      <c r="E1169" t="s">
        <v>1129</v>
      </c>
      <c r="F1169" t="s">
        <v>129</v>
      </c>
      <c r="G1169" t="s">
        <v>4715</v>
      </c>
      <c r="H1169" t="s">
        <v>5644</v>
      </c>
      <c r="I1169" t="s">
        <v>5670</v>
      </c>
      <c r="J1169" t="s">
        <v>5671</v>
      </c>
      <c r="K1169" t="s">
        <v>5672</v>
      </c>
      <c r="L1169" t="s">
        <v>4717</v>
      </c>
    </row>
    <row r="1170">
      <c r="A1170" t="s">
        <v>2508</v>
      </c>
      <c r="B1170" t="s">
        <v>1131</v>
      </c>
      <c r="C1170" t="s">
        <v>958</v>
      </c>
      <c r="D1170" t="s">
        <v>1128</v>
      </c>
      <c r="E1170" t="s">
        <v>1129</v>
      </c>
      <c r="F1170" t="s">
        <v>129</v>
      </c>
      <c r="G1170" t="s">
        <v>4715</v>
      </c>
      <c r="H1170" t="s">
        <v>5522</v>
      </c>
      <c r="I1170" t="s">
        <v>5656</v>
      </c>
      <c r="J1170" t="s">
        <v>5657</v>
      </c>
      <c r="K1170" t="s">
        <v>5658</v>
      </c>
      <c r="L1170" t="s">
        <v>4717</v>
      </c>
    </row>
    <row r="1171">
      <c r="A1171" t="s">
        <v>2510</v>
      </c>
      <c r="B1171" t="s">
        <v>1139</v>
      </c>
      <c r="C1171" t="s">
        <v>958</v>
      </c>
      <c r="D1171" t="s">
        <v>1128</v>
      </c>
      <c r="E1171" t="s">
        <v>1129</v>
      </c>
      <c r="F1171" t="s">
        <v>129</v>
      </c>
      <c r="G1171" t="s">
        <v>4715</v>
      </c>
      <c r="H1171" t="s">
        <v>5041</v>
      </c>
      <c r="I1171" t="s">
        <v>5614</v>
      </c>
      <c r="J1171" t="s">
        <v>5615</v>
      </c>
      <c r="K1171" t="s">
        <v>4169</v>
      </c>
      <c r="L1171" t="s">
        <v>4717</v>
      </c>
    </row>
    <row r="1172">
      <c r="A1172" t="s">
        <v>2510</v>
      </c>
      <c r="B1172" t="s">
        <v>1139</v>
      </c>
      <c r="C1172" t="s">
        <v>958</v>
      </c>
      <c r="D1172" t="s">
        <v>1128</v>
      </c>
      <c r="E1172" t="s">
        <v>1129</v>
      </c>
      <c r="F1172" t="s">
        <v>129</v>
      </c>
      <c r="G1172" t="s">
        <v>4715</v>
      </c>
      <c r="H1172" t="s">
        <v>5616</v>
      </c>
      <c r="I1172" t="s">
        <v>5617</v>
      </c>
      <c r="J1172" t="s">
        <v>5618</v>
      </c>
      <c r="K1172" t="s">
        <v>5619</v>
      </c>
      <c r="L1172" t="s">
        <v>4717</v>
      </c>
    </row>
    <row r="1173">
      <c r="A1173" t="s">
        <v>2510</v>
      </c>
      <c r="B1173" t="s">
        <v>1139</v>
      </c>
      <c r="C1173" t="s">
        <v>958</v>
      </c>
      <c r="D1173" t="s">
        <v>1128</v>
      </c>
      <c r="E1173" t="s">
        <v>1129</v>
      </c>
      <c r="F1173" t="s">
        <v>129</v>
      </c>
      <c r="G1173" t="s">
        <v>4715</v>
      </c>
      <c r="H1173" t="s">
        <v>5499</v>
      </c>
      <c r="I1173" t="s">
        <v>5620</v>
      </c>
      <c r="J1173" t="s">
        <v>5621</v>
      </c>
      <c r="K1173" t="s">
        <v>5622</v>
      </c>
      <c r="L1173" t="s">
        <v>4717</v>
      </c>
    </row>
    <row r="1174">
      <c r="A1174" t="s">
        <v>2510</v>
      </c>
      <c r="B1174" t="s">
        <v>1139</v>
      </c>
      <c r="C1174" t="s">
        <v>958</v>
      </c>
      <c r="D1174" t="s">
        <v>1128</v>
      </c>
      <c r="E1174" t="s">
        <v>1129</v>
      </c>
      <c r="F1174" t="s">
        <v>129</v>
      </c>
      <c r="G1174" t="s">
        <v>4715</v>
      </c>
      <c r="H1174" t="s">
        <v>5623</v>
      </c>
      <c r="I1174" t="s">
        <v>5624</v>
      </c>
      <c r="J1174" t="s">
        <v>5625</v>
      </c>
      <c r="K1174" t="s">
        <v>5626</v>
      </c>
      <c r="L1174" t="s">
        <v>4717</v>
      </c>
    </row>
    <row r="1175">
      <c r="A1175" t="s">
        <v>2510</v>
      </c>
      <c r="B1175" t="s">
        <v>1139</v>
      </c>
      <c r="C1175" t="s">
        <v>958</v>
      </c>
      <c r="D1175" t="s">
        <v>1128</v>
      </c>
      <c r="E1175" t="s">
        <v>1129</v>
      </c>
      <c r="F1175" t="s">
        <v>129</v>
      </c>
      <c r="G1175" t="s">
        <v>4715</v>
      </c>
      <c r="H1175" t="s">
        <v>3904</v>
      </c>
      <c r="I1175" t="s">
        <v>5627</v>
      </c>
      <c r="J1175" t="s">
        <v>5628</v>
      </c>
      <c r="K1175" t="s">
        <v>5629</v>
      </c>
      <c r="L1175" t="s">
        <v>4717</v>
      </c>
    </row>
    <row r="1176">
      <c r="A1176" t="s">
        <v>2510</v>
      </c>
      <c r="B1176" t="s">
        <v>1139</v>
      </c>
      <c r="C1176" t="s">
        <v>958</v>
      </c>
      <c r="D1176" t="s">
        <v>1128</v>
      </c>
      <c r="E1176" t="s">
        <v>1129</v>
      </c>
      <c r="F1176" t="s">
        <v>129</v>
      </c>
      <c r="G1176" t="s">
        <v>4715</v>
      </c>
      <c r="H1176" t="s">
        <v>5630</v>
      </c>
      <c r="I1176" t="s">
        <v>5474</v>
      </c>
      <c r="J1176" t="s">
        <v>5631</v>
      </c>
      <c r="K1176" t="s">
        <v>5632</v>
      </c>
      <c r="L1176" t="s">
        <v>4717</v>
      </c>
    </row>
    <row r="1177">
      <c r="A1177" t="s">
        <v>2510</v>
      </c>
      <c r="B1177" t="s">
        <v>1139</v>
      </c>
      <c r="C1177" t="s">
        <v>958</v>
      </c>
      <c r="D1177" t="s">
        <v>1128</v>
      </c>
      <c r="E1177" t="s">
        <v>1129</v>
      </c>
      <c r="F1177" t="s">
        <v>129</v>
      </c>
      <c r="G1177" t="s">
        <v>4715</v>
      </c>
      <c r="H1177" t="s">
        <v>5170</v>
      </c>
      <c r="I1177" t="s">
        <v>5171</v>
      </c>
      <c r="J1177" t="s">
        <v>5633</v>
      </c>
      <c r="K1177" t="s">
        <v>5634</v>
      </c>
      <c r="L1177" t="s">
        <v>4717</v>
      </c>
    </row>
    <row r="1178">
      <c r="A1178" t="s">
        <v>2510</v>
      </c>
      <c r="B1178" t="s">
        <v>1139</v>
      </c>
      <c r="C1178" t="s">
        <v>958</v>
      </c>
      <c r="D1178" t="s">
        <v>1128</v>
      </c>
      <c r="E1178" t="s">
        <v>1129</v>
      </c>
      <c r="F1178" t="s">
        <v>129</v>
      </c>
      <c r="G1178" t="s">
        <v>4715</v>
      </c>
      <c r="H1178" t="s">
        <v>5157</v>
      </c>
      <c r="I1178" t="s">
        <v>5635</v>
      </c>
      <c r="J1178" t="s">
        <v>5636</v>
      </c>
      <c r="K1178" t="s">
        <v>5637</v>
      </c>
      <c r="L1178" t="s">
        <v>4717</v>
      </c>
    </row>
    <row r="1179">
      <c r="A1179" t="s">
        <v>2510</v>
      </c>
      <c r="B1179" t="s">
        <v>1139</v>
      </c>
      <c r="C1179" t="s">
        <v>958</v>
      </c>
      <c r="D1179" t="s">
        <v>1128</v>
      </c>
      <c r="E1179" t="s">
        <v>1129</v>
      </c>
      <c r="F1179" t="s">
        <v>129</v>
      </c>
      <c r="G1179" t="s">
        <v>4715</v>
      </c>
      <c r="H1179" t="s">
        <v>5659</v>
      </c>
      <c r="I1179" t="s">
        <v>5660</v>
      </c>
      <c r="J1179" t="s">
        <v>5661</v>
      </c>
      <c r="K1179" t="s">
        <v>5662</v>
      </c>
      <c r="L1179" t="s">
        <v>4717</v>
      </c>
    </row>
    <row r="1180">
      <c r="A1180" t="s">
        <v>2510</v>
      </c>
      <c r="B1180" t="s">
        <v>1139</v>
      </c>
      <c r="C1180" t="s">
        <v>958</v>
      </c>
      <c r="D1180" t="s">
        <v>1128</v>
      </c>
      <c r="E1180" t="s">
        <v>1129</v>
      </c>
      <c r="F1180" t="s">
        <v>129</v>
      </c>
      <c r="G1180" t="s">
        <v>4715</v>
      </c>
      <c r="H1180" t="s">
        <v>5663</v>
      </c>
      <c r="I1180" t="s">
        <v>5664</v>
      </c>
      <c r="J1180" t="s">
        <v>5665</v>
      </c>
      <c r="K1180" t="s">
        <v>5666</v>
      </c>
      <c r="L1180" t="s">
        <v>4717</v>
      </c>
    </row>
    <row r="1181">
      <c r="A1181" t="s">
        <v>2510</v>
      </c>
      <c r="B1181" t="s">
        <v>1139</v>
      </c>
      <c r="C1181" t="s">
        <v>958</v>
      </c>
      <c r="D1181" t="s">
        <v>1128</v>
      </c>
      <c r="E1181" t="s">
        <v>1129</v>
      </c>
      <c r="F1181" t="s">
        <v>129</v>
      </c>
      <c r="G1181" t="s">
        <v>4715</v>
      </c>
      <c r="H1181" t="s">
        <v>5663</v>
      </c>
      <c r="I1181" t="s">
        <v>5667</v>
      </c>
      <c r="J1181" t="s">
        <v>5668</v>
      </c>
      <c r="K1181" t="s">
        <v>5669</v>
      </c>
      <c r="L1181" t="s">
        <v>4717</v>
      </c>
    </row>
    <row r="1182">
      <c r="A1182" t="s">
        <v>2510</v>
      </c>
      <c r="B1182" t="s">
        <v>1139</v>
      </c>
      <c r="C1182" t="s">
        <v>958</v>
      </c>
      <c r="D1182" t="s">
        <v>1128</v>
      </c>
      <c r="E1182" t="s">
        <v>1129</v>
      </c>
      <c r="F1182" t="s">
        <v>129</v>
      </c>
      <c r="G1182" t="s">
        <v>4715</v>
      </c>
      <c r="H1182" t="s">
        <v>5644</v>
      </c>
      <c r="I1182" t="s">
        <v>5670</v>
      </c>
      <c r="J1182" t="s">
        <v>5671</v>
      </c>
      <c r="K1182" t="s">
        <v>5672</v>
      </c>
      <c r="L1182" t="s">
        <v>4717</v>
      </c>
    </row>
    <row r="1183">
      <c r="A1183" t="s">
        <v>2510</v>
      </c>
      <c r="B1183" t="s">
        <v>1139</v>
      </c>
      <c r="C1183" t="s">
        <v>958</v>
      </c>
      <c r="D1183" t="s">
        <v>1128</v>
      </c>
      <c r="E1183" t="s">
        <v>1129</v>
      </c>
      <c r="F1183" t="s">
        <v>129</v>
      </c>
      <c r="G1183" t="s">
        <v>4715</v>
      </c>
      <c r="H1183" t="s">
        <v>5522</v>
      </c>
      <c r="I1183" t="s">
        <v>5656</v>
      </c>
      <c r="J1183" t="s">
        <v>5657</v>
      </c>
      <c r="K1183" t="s">
        <v>5658</v>
      </c>
      <c r="L1183" t="s">
        <v>4717</v>
      </c>
    </row>
    <row r="1184">
      <c r="A1184" t="s">
        <v>2514</v>
      </c>
      <c r="B1184" t="s">
        <v>1145</v>
      </c>
      <c r="C1184" t="s">
        <v>958</v>
      </c>
      <c r="D1184" t="s">
        <v>1128</v>
      </c>
      <c r="E1184" t="s">
        <v>1129</v>
      </c>
      <c r="F1184" t="s">
        <v>97</v>
      </c>
      <c r="G1184" t="s">
        <v>4715</v>
      </c>
      <c r="H1184" t="s">
        <v>5041</v>
      </c>
      <c r="I1184" t="s">
        <v>5614</v>
      </c>
      <c r="J1184" t="s">
        <v>5615</v>
      </c>
      <c r="K1184" t="s">
        <v>4169</v>
      </c>
      <c r="L1184" t="s">
        <v>4717</v>
      </c>
    </row>
    <row r="1185">
      <c r="A1185" t="s">
        <v>2514</v>
      </c>
      <c r="B1185" t="s">
        <v>1145</v>
      </c>
      <c r="C1185" t="s">
        <v>958</v>
      </c>
      <c r="D1185" t="s">
        <v>1128</v>
      </c>
      <c r="E1185" t="s">
        <v>1129</v>
      </c>
      <c r="F1185" t="s">
        <v>97</v>
      </c>
      <c r="G1185" t="s">
        <v>4715</v>
      </c>
      <c r="H1185" t="s">
        <v>5616</v>
      </c>
      <c r="I1185" t="s">
        <v>5617</v>
      </c>
      <c r="J1185" t="s">
        <v>5618</v>
      </c>
      <c r="K1185" t="s">
        <v>5619</v>
      </c>
      <c r="L1185" t="s">
        <v>4717</v>
      </c>
    </row>
    <row r="1186">
      <c r="A1186" t="s">
        <v>2514</v>
      </c>
      <c r="B1186" t="s">
        <v>1145</v>
      </c>
      <c r="C1186" t="s">
        <v>958</v>
      </c>
      <c r="D1186" t="s">
        <v>1128</v>
      </c>
      <c r="E1186" t="s">
        <v>1129</v>
      </c>
      <c r="F1186" t="s">
        <v>97</v>
      </c>
      <c r="G1186" t="s">
        <v>4715</v>
      </c>
      <c r="H1186" t="s">
        <v>5499</v>
      </c>
      <c r="I1186" t="s">
        <v>5620</v>
      </c>
      <c r="J1186" t="s">
        <v>5621</v>
      </c>
      <c r="K1186" t="s">
        <v>5622</v>
      </c>
      <c r="L1186" t="s">
        <v>4717</v>
      </c>
    </row>
    <row r="1187">
      <c r="A1187" t="s">
        <v>2514</v>
      </c>
      <c r="B1187" t="s">
        <v>1145</v>
      </c>
      <c r="C1187" t="s">
        <v>958</v>
      </c>
      <c r="D1187" t="s">
        <v>1128</v>
      </c>
      <c r="E1187" t="s">
        <v>1129</v>
      </c>
      <c r="F1187" t="s">
        <v>97</v>
      </c>
      <c r="G1187" t="s">
        <v>4715</v>
      </c>
      <c r="H1187" t="s">
        <v>5623</v>
      </c>
      <c r="I1187" t="s">
        <v>5624</v>
      </c>
      <c r="J1187" t="s">
        <v>5625</v>
      </c>
      <c r="K1187" t="s">
        <v>5626</v>
      </c>
      <c r="L1187" t="s">
        <v>4717</v>
      </c>
    </row>
    <row r="1188">
      <c r="A1188" t="s">
        <v>2514</v>
      </c>
      <c r="B1188" t="s">
        <v>1145</v>
      </c>
      <c r="C1188" t="s">
        <v>958</v>
      </c>
      <c r="D1188" t="s">
        <v>1128</v>
      </c>
      <c r="E1188" t="s">
        <v>1129</v>
      </c>
      <c r="F1188" t="s">
        <v>97</v>
      </c>
      <c r="G1188" t="s">
        <v>4715</v>
      </c>
      <c r="H1188" t="s">
        <v>3904</v>
      </c>
      <c r="I1188" t="s">
        <v>5627</v>
      </c>
      <c r="J1188" t="s">
        <v>5628</v>
      </c>
      <c r="K1188" t="s">
        <v>5629</v>
      </c>
      <c r="L1188" t="s">
        <v>4717</v>
      </c>
    </row>
    <row r="1189">
      <c r="A1189" t="s">
        <v>2514</v>
      </c>
      <c r="B1189" t="s">
        <v>1145</v>
      </c>
      <c r="C1189" t="s">
        <v>958</v>
      </c>
      <c r="D1189" t="s">
        <v>1128</v>
      </c>
      <c r="E1189" t="s">
        <v>1129</v>
      </c>
      <c r="F1189" t="s">
        <v>97</v>
      </c>
      <c r="G1189" t="s">
        <v>4715</v>
      </c>
      <c r="H1189" t="s">
        <v>5630</v>
      </c>
      <c r="I1189" t="s">
        <v>5474</v>
      </c>
      <c r="J1189" t="s">
        <v>5631</v>
      </c>
      <c r="K1189" t="s">
        <v>5632</v>
      </c>
      <c r="L1189" t="s">
        <v>4717</v>
      </c>
    </row>
    <row r="1190">
      <c r="A1190" t="s">
        <v>2514</v>
      </c>
      <c r="B1190" t="s">
        <v>1145</v>
      </c>
      <c r="C1190" t="s">
        <v>958</v>
      </c>
      <c r="D1190" t="s">
        <v>1128</v>
      </c>
      <c r="E1190" t="s">
        <v>1129</v>
      </c>
      <c r="F1190" t="s">
        <v>97</v>
      </c>
      <c r="G1190" t="s">
        <v>4715</v>
      </c>
      <c r="H1190" t="s">
        <v>5170</v>
      </c>
      <c r="I1190" t="s">
        <v>5171</v>
      </c>
      <c r="J1190" t="s">
        <v>5633</v>
      </c>
      <c r="K1190" t="s">
        <v>5634</v>
      </c>
      <c r="L1190" t="s">
        <v>4717</v>
      </c>
    </row>
    <row r="1191">
      <c r="A1191" t="s">
        <v>2514</v>
      </c>
      <c r="B1191" t="s">
        <v>1145</v>
      </c>
      <c r="C1191" t="s">
        <v>958</v>
      </c>
      <c r="D1191" t="s">
        <v>1128</v>
      </c>
      <c r="E1191" t="s">
        <v>1129</v>
      </c>
      <c r="F1191" t="s">
        <v>97</v>
      </c>
      <c r="G1191" t="s">
        <v>4715</v>
      </c>
      <c r="H1191" t="s">
        <v>5157</v>
      </c>
      <c r="I1191" t="s">
        <v>5635</v>
      </c>
      <c r="J1191" t="s">
        <v>5636</v>
      </c>
      <c r="K1191" t="s">
        <v>5637</v>
      </c>
      <c r="L1191" t="s">
        <v>4717</v>
      </c>
    </row>
    <row r="1192">
      <c r="A1192" t="s">
        <v>2514</v>
      </c>
      <c r="B1192" t="s">
        <v>1145</v>
      </c>
      <c r="C1192" t="s">
        <v>958</v>
      </c>
      <c r="D1192" t="s">
        <v>1128</v>
      </c>
      <c r="E1192" t="s">
        <v>1129</v>
      </c>
      <c r="F1192" t="s">
        <v>97</v>
      </c>
      <c r="G1192" t="s">
        <v>4715</v>
      </c>
      <c r="H1192" t="s">
        <v>5659</v>
      </c>
      <c r="I1192" t="s">
        <v>5660</v>
      </c>
      <c r="J1192" t="s">
        <v>5661</v>
      </c>
      <c r="K1192" t="s">
        <v>5662</v>
      </c>
      <c r="L1192" t="s">
        <v>4717</v>
      </c>
    </row>
    <row r="1193">
      <c r="A1193" t="s">
        <v>2514</v>
      </c>
      <c r="B1193" t="s">
        <v>1145</v>
      </c>
      <c r="C1193" t="s">
        <v>958</v>
      </c>
      <c r="D1193" t="s">
        <v>1128</v>
      </c>
      <c r="E1193" t="s">
        <v>1129</v>
      </c>
      <c r="F1193" t="s">
        <v>97</v>
      </c>
      <c r="G1193" t="s">
        <v>4715</v>
      </c>
      <c r="H1193" t="s">
        <v>5663</v>
      </c>
      <c r="I1193" t="s">
        <v>5664</v>
      </c>
      <c r="J1193" t="s">
        <v>5665</v>
      </c>
      <c r="K1193" t="s">
        <v>5666</v>
      </c>
      <c r="L1193" t="s">
        <v>4717</v>
      </c>
    </row>
    <row r="1194">
      <c r="A1194" t="s">
        <v>2514</v>
      </c>
      <c r="B1194" t="s">
        <v>1145</v>
      </c>
      <c r="C1194" t="s">
        <v>958</v>
      </c>
      <c r="D1194" t="s">
        <v>1128</v>
      </c>
      <c r="E1194" t="s">
        <v>1129</v>
      </c>
      <c r="F1194" t="s">
        <v>97</v>
      </c>
      <c r="G1194" t="s">
        <v>4715</v>
      </c>
      <c r="H1194" t="s">
        <v>5663</v>
      </c>
      <c r="I1194" t="s">
        <v>5667</v>
      </c>
      <c r="J1194" t="s">
        <v>5668</v>
      </c>
      <c r="K1194" t="s">
        <v>5669</v>
      </c>
      <c r="L1194" t="s">
        <v>4717</v>
      </c>
    </row>
    <row r="1195">
      <c r="A1195" t="s">
        <v>2514</v>
      </c>
      <c r="B1195" t="s">
        <v>1145</v>
      </c>
      <c r="C1195" t="s">
        <v>958</v>
      </c>
      <c r="D1195" t="s">
        <v>1128</v>
      </c>
      <c r="E1195" t="s">
        <v>1129</v>
      </c>
      <c r="F1195" t="s">
        <v>97</v>
      </c>
      <c r="G1195" t="s">
        <v>4715</v>
      </c>
      <c r="H1195" t="s">
        <v>5644</v>
      </c>
      <c r="I1195" t="s">
        <v>5670</v>
      </c>
      <c r="J1195" t="s">
        <v>5671</v>
      </c>
      <c r="K1195" t="s">
        <v>5672</v>
      </c>
      <c r="L1195" t="s">
        <v>4717</v>
      </c>
    </row>
    <row r="1196">
      <c r="A1196" t="s">
        <v>2514</v>
      </c>
      <c r="B1196" t="s">
        <v>1145</v>
      </c>
      <c r="C1196" t="s">
        <v>958</v>
      </c>
      <c r="D1196" t="s">
        <v>1128</v>
      </c>
      <c r="E1196" t="s">
        <v>1129</v>
      </c>
      <c r="F1196" t="s">
        <v>97</v>
      </c>
      <c r="G1196" t="s">
        <v>4715</v>
      </c>
      <c r="H1196" t="s">
        <v>5522</v>
      </c>
      <c r="I1196" t="s">
        <v>5656</v>
      </c>
      <c r="J1196" t="s">
        <v>5657</v>
      </c>
      <c r="K1196" t="s">
        <v>5658</v>
      </c>
      <c r="L1196" t="s">
        <v>4717</v>
      </c>
    </row>
    <row r="1197">
      <c r="A1197" t="s">
        <v>2519</v>
      </c>
      <c r="B1197" t="s">
        <v>1152</v>
      </c>
      <c r="C1197" t="s">
        <v>958</v>
      </c>
      <c r="D1197" t="s">
        <v>1128</v>
      </c>
      <c r="E1197" t="s">
        <v>1129</v>
      </c>
      <c r="F1197" t="s">
        <v>97</v>
      </c>
      <c r="G1197" t="s">
        <v>4715</v>
      </c>
      <c r="H1197" t="s">
        <v>5041</v>
      </c>
      <c r="I1197" t="s">
        <v>5614</v>
      </c>
      <c r="J1197" t="s">
        <v>5615</v>
      </c>
      <c r="K1197" t="s">
        <v>4169</v>
      </c>
      <c r="L1197" t="s">
        <v>4717</v>
      </c>
    </row>
    <row r="1198">
      <c r="A1198" t="s">
        <v>2519</v>
      </c>
      <c r="B1198" t="s">
        <v>1152</v>
      </c>
      <c r="C1198" t="s">
        <v>958</v>
      </c>
      <c r="D1198" t="s">
        <v>1128</v>
      </c>
      <c r="E1198" t="s">
        <v>1129</v>
      </c>
      <c r="F1198" t="s">
        <v>97</v>
      </c>
      <c r="G1198" t="s">
        <v>4715</v>
      </c>
      <c r="H1198" t="s">
        <v>5616</v>
      </c>
      <c r="I1198" t="s">
        <v>5617</v>
      </c>
      <c r="J1198" t="s">
        <v>5618</v>
      </c>
      <c r="K1198" t="s">
        <v>5619</v>
      </c>
      <c r="L1198" t="s">
        <v>4717</v>
      </c>
    </row>
    <row r="1199">
      <c r="A1199" t="s">
        <v>2519</v>
      </c>
      <c r="B1199" t="s">
        <v>1152</v>
      </c>
      <c r="C1199" t="s">
        <v>958</v>
      </c>
      <c r="D1199" t="s">
        <v>1128</v>
      </c>
      <c r="E1199" t="s">
        <v>1129</v>
      </c>
      <c r="F1199" t="s">
        <v>97</v>
      </c>
      <c r="G1199" t="s">
        <v>4715</v>
      </c>
      <c r="H1199" t="s">
        <v>5499</v>
      </c>
      <c r="I1199" t="s">
        <v>5620</v>
      </c>
      <c r="J1199" t="s">
        <v>5621</v>
      </c>
      <c r="K1199" t="s">
        <v>5622</v>
      </c>
      <c r="L1199" t="s">
        <v>4717</v>
      </c>
    </row>
    <row r="1200">
      <c r="A1200" t="s">
        <v>2519</v>
      </c>
      <c r="B1200" t="s">
        <v>1152</v>
      </c>
      <c r="C1200" t="s">
        <v>958</v>
      </c>
      <c r="D1200" t="s">
        <v>1128</v>
      </c>
      <c r="E1200" t="s">
        <v>1129</v>
      </c>
      <c r="F1200" t="s">
        <v>97</v>
      </c>
      <c r="G1200" t="s">
        <v>4715</v>
      </c>
      <c r="H1200" t="s">
        <v>5623</v>
      </c>
      <c r="I1200" t="s">
        <v>5624</v>
      </c>
      <c r="J1200" t="s">
        <v>5625</v>
      </c>
      <c r="K1200" t="s">
        <v>5626</v>
      </c>
      <c r="L1200" t="s">
        <v>4717</v>
      </c>
    </row>
    <row r="1201">
      <c r="A1201" t="s">
        <v>2519</v>
      </c>
      <c r="B1201" t="s">
        <v>1152</v>
      </c>
      <c r="C1201" t="s">
        <v>958</v>
      </c>
      <c r="D1201" t="s">
        <v>1128</v>
      </c>
      <c r="E1201" t="s">
        <v>1129</v>
      </c>
      <c r="F1201" t="s">
        <v>97</v>
      </c>
      <c r="G1201" t="s">
        <v>4715</v>
      </c>
      <c r="H1201" t="s">
        <v>3904</v>
      </c>
      <c r="I1201" t="s">
        <v>5627</v>
      </c>
      <c r="J1201" t="s">
        <v>5628</v>
      </c>
      <c r="K1201" t="s">
        <v>5629</v>
      </c>
      <c r="L1201" t="s">
        <v>4717</v>
      </c>
    </row>
    <row r="1202">
      <c r="A1202" t="s">
        <v>2519</v>
      </c>
      <c r="B1202" t="s">
        <v>1152</v>
      </c>
      <c r="C1202" t="s">
        <v>958</v>
      </c>
      <c r="D1202" t="s">
        <v>1128</v>
      </c>
      <c r="E1202" t="s">
        <v>1129</v>
      </c>
      <c r="F1202" t="s">
        <v>97</v>
      </c>
      <c r="G1202" t="s">
        <v>4715</v>
      </c>
      <c r="H1202" t="s">
        <v>5630</v>
      </c>
      <c r="I1202" t="s">
        <v>5474</v>
      </c>
      <c r="J1202" t="s">
        <v>5631</v>
      </c>
      <c r="K1202" t="s">
        <v>5632</v>
      </c>
      <c r="L1202" t="s">
        <v>4717</v>
      </c>
    </row>
    <row r="1203">
      <c r="A1203" t="s">
        <v>2519</v>
      </c>
      <c r="B1203" t="s">
        <v>1152</v>
      </c>
      <c r="C1203" t="s">
        <v>958</v>
      </c>
      <c r="D1203" t="s">
        <v>1128</v>
      </c>
      <c r="E1203" t="s">
        <v>1129</v>
      </c>
      <c r="F1203" t="s">
        <v>97</v>
      </c>
      <c r="G1203" t="s">
        <v>4715</v>
      </c>
      <c r="H1203" t="s">
        <v>5170</v>
      </c>
      <c r="I1203" t="s">
        <v>5171</v>
      </c>
      <c r="J1203" t="s">
        <v>5633</v>
      </c>
      <c r="K1203" t="s">
        <v>5634</v>
      </c>
      <c r="L1203" t="s">
        <v>4717</v>
      </c>
    </row>
    <row r="1204">
      <c r="A1204" t="s">
        <v>2519</v>
      </c>
      <c r="B1204" t="s">
        <v>1152</v>
      </c>
      <c r="C1204" t="s">
        <v>958</v>
      </c>
      <c r="D1204" t="s">
        <v>1128</v>
      </c>
      <c r="E1204" t="s">
        <v>1129</v>
      </c>
      <c r="F1204" t="s">
        <v>97</v>
      </c>
      <c r="G1204" t="s">
        <v>4715</v>
      </c>
      <c r="H1204" t="s">
        <v>5157</v>
      </c>
      <c r="I1204" t="s">
        <v>5635</v>
      </c>
      <c r="J1204" t="s">
        <v>5636</v>
      </c>
      <c r="K1204" t="s">
        <v>5637</v>
      </c>
      <c r="L1204" t="s">
        <v>4717</v>
      </c>
    </row>
    <row r="1205">
      <c r="A1205" t="s">
        <v>2519</v>
      </c>
      <c r="B1205" t="s">
        <v>1152</v>
      </c>
      <c r="C1205" t="s">
        <v>958</v>
      </c>
      <c r="D1205" t="s">
        <v>1128</v>
      </c>
      <c r="E1205" t="s">
        <v>1129</v>
      </c>
      <c r="F1205" t="s">
        <v>97</v>
      </c>
      <c r="G1205" t="s">
        <v>4715</v>
      </c>
      <c r="H1205" t="s">
        <v>5659</v>
      </c>
      <c r="I1205" t="s">
        <v>5660</v>
      </c>
      <c r="J1205" t="s">
        <v>5661</v>
      </c>
      <c r="K1205" t="s">
        <v>5662</v>
      </c>
      <c r="L1205" t="s">
        <v>4717</v>
      </c>
    </row>
    <row r="1206">
      <c r="A1206" t="s">
        <v>2519</v>
      </c>
      <c r="B1206" t="s">
        <v>1152</v>
      </c>
      <c r="C1206" t="s">
        <v>958</v>
      </c>
      <c r="D1206" t="s">
        <v>1128</v>
      </c>
      <c r="E1206" t="s">
        <v>1129</v>
      </c>
      <c r="F1206" t="s">
        <v>97</v>
      </c>
      <c r="G1206" t="s">
        <v>4715</v>
      </c>
      <c r="H1206" t="s">
        <v>5663</v>
      </c>
      <c r="I1206" t="s">
        <v>5664</v>
      </c>
      <c r="J1206" t="s">
        <v>5665</v>
      </c>
      <c r="K1206" t="s">
        <v>5666</v>
      </c>
      <c r="L1206" t="s">
        <v>4717</v>
      </c>
    </row>
    <row r="1207">
      <c r="A1207" t="s">
        <v>2519</v>
      </c>
      <c r="B1207" t="s">
        <v>1152</v>
      </c>
      <c r="C1207" t="s">
        <v>958</v>
      </c>
      <c r="D1207" t="s">
        <v>1128</v>
      </c>
      <c r="E1207" t="s">
        <v>1129</v>
      </c>
      <c r="F1207" t="s">
        <v>97</v>
      </c>
      <c r="G1207" t="s">
        <v>4715</v>
      </c>
      <c r="H1207" t="s">
        <v>5663</v>
      </c>
      <c r="I1207" t="s">
        <v>5667</v>
      </c>
      <c r="J1207" t="s">
        <v>5668</v>
      </c>
      <c r="K1207" t="s">
        <v>5669</v>
      </c>
      <c r="L1207" t="s">
        <v>4717</v>
      </c>
    </row>
    <row r="1208">
      <c r="A1208" t="s">
        <v>2519</v>
      </c>
      <c r="B1208" t="s">
        <v>1152</v>
      </c>
      <c r="C1208" t="s">
        <v>958</v>
      </c>
      <c r="D1208" t="s">
        <v>1128</v>
      </c>
      <c r="E1208" t="s">
        <v>1129</v>
      </c>
      <c r="F1208" t="s">
        <v>97</v>
      </c>
      <c r="G1208" t="s">
        <v>4715</v>
      </c>
      <c r="H1208" t="s">
        <v>5644</v>
      </c>
      <c r="I1208" t="s">
        <v>5670</v>
      </c>
      <c r="J1208" t="s">
        <v>5671</v>
      </c>
      <c r="K1208" t="s">
        <v>5672</v>
      </c>
      <c r="L1208" t="s">
        <v>4717</v>
      </c>
    </row>
    <row r="1209">
      <c r="A1209" t="s">
        <v>2519</v>
      </c>
      <c r="B1209" t="s">
        <v>1152</v>
      </c>
      <c r="C1209" t="s">
        <v>958</v>
      </c>
      <c r="D1209" t="s">
        <v>1128</v>
      </c>
      <c r="E1209" t="s">
        <v>1129</v>
      </c>
      <c r="F1209" t="s">
        <v>97</v>
      </c>
      <c r="G1209" t="s">
        <v>4715</v>
      </c>
      <c r="H1209" t="s">
        <v>5522</v>
      </c>
      <c r="I1209" t="s">
        <v>5656</v>
      </c>
      <c r="J1209" t="s">
        <v>5657</v>
      </c>
      <c r="K1209" t="s">
        <v>5658</v>
      </c>
      <c r="L1209" t="s">
        <v>4717</v>
      </c>
    </row>
    <row r="1210">
      <c r="A1210" t="s">
        <v>2522</v>
      </c>
      <c r="B1210" t="s">
        <v>1160</v>
      </c>
      <c r="C1210" t="s">
        <v>958</v>
      </c>
      <c r="D1210" t="s">
        <v>1128</v>
      </c>
      <c r="E1210" t="s">
        <v>1129</v>
      </c>
      <c r="F1210" t="s">
        <v>97</v>
      </c>
      <c r="G1210" t="s">
        <v>4715</v>
      </c>
      <c r="H1210" t="s">
        <v>5041</v>
      </c>
      <c r="I1210" t="s">
        <v>5614</v>
      </c>
      <c r="J1210" t="s">
        <v>5615</v>
      </c>
      <c r="K1210" t="s">
        <v>4169</v>
      </c>
      <c r="L1210" t="s">
        <v>4717</v>
      </c>
    </row>
    <row r="1211">
      <c r="A1211" t="s">
        <v>2522</v>
      </c>
      <c r="B1211" t="s">
        <v>1160</v>
      </c>
      <c r="C1211" t="s">
        <v>958</v>
      </c>
      <c r="D1211" t="s">
        <v>1128</v>
      </c>
      <c r="E1211" t="s">
        <v>1129</v>
      </c>
      <c r="F1211" t="s">
        <v>97</v>
      </c>
      <c r="G1211" t="s">
        <v>4715</v>
      </c>
      <c r="H1211" t="s">
        <v>5616</v>
      </c>
      <c r="I1211" t="s">
        <v>5617</v>
      </c>
      <c r="J1211" t="s">
        <v>5618</v>
      </c>
      <c r="K1211" t="s">
        <v>5619</v>
      </c>
      <c r="L1211" t="s">
        <v>4717</v>
      </c>
    </row>
    <row r="1212">
      <c r="A1212" t="s">
        <v>2522</v>
      </c>
      <c r="B1212" t="s">
        <v>1160</v>
      </c>
      <c r="C1212" t="s">
        <v>958</v>
      </c>
      <c r="D1212" t="s">
        <v>1128</v>
      </c>
      <c r="E1212" t="s">
        <v>1129</v>
      </c>
      <c r="F1212" t="s">
        <v>97</v>
      </c>
      <c r="G1212" t="s">
        <v>4715</v>
      </c>
      <c r="H1212" t="s">
        <v>5499</v>
      </c>
      <c r="I1212" t="s">
        <v>5620</v>
      </c>
      <c r="J1212" t="s">
        <v>5621</v>
      </c>
      <c r="K1212" t="s">
        <v>5622</v>
      </c>
      <c r="L1212" t="s">
        <v>4717</v>
      </c>
    </row>
    <row r="1213">
      <c r="A1213" t="s">
        <v>2522</v>
      </c>
      <c r="B1213" t="s">
        <v>1160</v>
      </c>
      <c r="C1213" t="s">
        <v>958</v>
      </c>
      <c r="D1213" t="s">
        <v>1128</v>
      </c>
      <c r="E1213" t="s">
        <v>1129</v>
      </c>
      <c r="F1213" t="s">
        <v>97</v>
      </c>
      <c r="G1213" t="s">
        <v>4715</v>
      </c>
      <c r="H1213" t="s">
        <v>5623</v>
      </c>
      <c r="I1213" t="s">
        <v>5624</v>
      </c>
      <c r="J1213" t="s">
        <v>5625</v>
      </c>
      <c r="K1213" t="s">
        <v>5626</v>
      </c>
      <c r="L1213" t="s">
        <v>4717</v>
      </c>
    </row>
    <row r="1214">
      <c r="A1214" t="s">
        <v>2522</v>
      </c>
      <c r="B1214" t="s">
        <v>1160</v>
      </c>
      <c r="C1214" t="s">
        <v>958</v>
      </c>
      <c r="D1214" t="s">
        <v>1128</v>
      </c>
      <c r="E1214" t="s">
        <v>1129</v>
      </c>
      <c r="F1214" t="s">
        <v>97</v>
      </c>
      <c r="G1214" t="s">
        <v>4715</v>
      </c>
      <c r="H1214" t="s">
        <v>3904</v>
      </c>
      <c r="I1214" t="s">
        <v>5627</v>
      </c>
      <c r="J1214" t="s">
        <v>5628</v>
      </c>
      <c r="K1214" t="s">
        <v>5629</v>
      </c>
      <c r="L1214" t="s">
        <v>4717</v>
      </c>
    </row>
    <row r="1215">
      <c r="A1215" t="s">
        <v>2522</v>
      </c>
      <c r="B1215" t="s">
        <v>1160</v>
      </c>
      <c r="C1215" t="s">
        <v>958</v>
      </c>
      <c r="D1215" t="s">
        <v>1128</v>
      </c>
      <c r="E1215" t="s">
        <v>1129</v>
      </c>
      <c r="F1215" t="s">
        <v>97</v>
      </c>
      <c r="G1215" t="s">
        <v>4715</v>
      </c>
      <c r="H1215" t="s">
        <v>5630</v>
      </c>
      <c r="I1215" t="s">
        <v>5474</v>
      </c>
      <c r="J1215" t="s">
        <v>5631</v>
      </c>
      <c r="K1215" t="s">
        <v>5632</v>
      </c>
      <c r="L1215" t="s">
        <v>4717</v>
      </c>
    </row>
    <row r="1216">
      <c r="A1216" t="s">
        <v>2522</v>
      </c>
      <c r="B1216" t="s">
        <v>1160</v>
      </c>
      <c r="C1216" t="s">
        <v>958</v>
      </c>
      <c r="D1216" t="s">
        <v>1128</v>
      </c>
      <c r="E1216" t="s">
        <v>1129</v>
      </c>
      <c r="F1216" t="s">
        <v>97</v>
      </c>
      <c r="G1216" t="s">
        <v>4715</v>
      </c>
      <c r="H1216" t="s">
        <v>5170</v>
      </c>
      <c r="I1216" t="s">
        <v>5171</v>
      </c>
      <c r="J1216" t="s">
        <v>5633</v>
      </c>
      <c r="K1216" t="s">
        <v>5634</v>
      </c>
      <c r="L1216" t="s">
        <v>4717</v>
      </c>
    </row>
    <row r="1217">
      <c r="A1217" t="s">
        <v>2522</v>
      </c>
      <c r="B1217" t="s">
        <v>1160</v>
      </c>
      <c r="C1217" t="s">
        <v>958</v>
      </c>
      <c r="D1217" t="s">
        <v>1128</v>
      </c>
      <c r="E1217" t="s">
        <v>1129</v>
      </c>
      <c r="F1217" t="s">
        <v>97</v>
      </c>
      <c r="G1217" t="s">
        <v>4715</v>
      </c>
      <c r="H1217" t="s">
        <v>5157</v>
      </c>
      <c r="I1217" t="s">
        <v>5635</v>
      </c>
      <c r="J1217" t="s">
        <v>5636</v>
      </c>
      <c r="K1217" t="s">
        <v>5637</v>
      </c>
      <c r="L1217" t="s">
        <v>4717</v>
      </c>
    </row>
    <row r="1218">
      <c r="A1218" t="s">
        <v>2522</v>
      </c>
      <c r="B1218" t="s">
        <v>1160</v>
      </c>
      <c r="C1218" t="s">
        <v>958</v>
      </c>
      <c r="D1218" t="s">
        <v>1128</v>
      </c>
      <c r="E1218" t="s">
        <v>1129</v>
      </c>
      <c r="F1218" t="s">
        <v>97</v>
      </c>
      <c r="G1218" t="s">
        <v>4715</v>
      </c>
      <c r="H1218" t="s">
        <v>5659</v>
      </c>
      <c r="I1218" t="s">
        <v>5660</v>
      </c>
      <c r="J1218" t="s">
        <v>5661</v>
      </c>
      <c r="K1218" t="s">
        <v>5662</v>
      </c>
      <c r="L1218" t="s">
        <v>4717</v>
      </c>
    </row>
    <row r="1219">
      <c r="A1219" t="s">
        <v>2522</v>
      </c>
      <c r="B1219" t="s">
        <v>1160</v>
      </c>
      <c r="C1219" t="s">
        <v>958</v>
      </c>
      <c r="D1219" t="s">
        <v>1128</v>
      </c>
      <c r="E1219" t="s">
        <v>1129</v>
      </c>
      <c r="F1219" t="s">
        <v>97</v>
      </c>
      <c r="G1219" t="s">
        <v>4715</v>
      </c>
      <c r="H1219" t="s">
        <v>5663</v>
      </c>
      <c r="I1219" t="s">
        <v>5664</v>
      </c>
      <c r="J1219" t="s">
        <v>5665</v>
      </c>
      <c r="K1219" t="s">
        <v>5666</v>
      </c>
      <c r="L1219" t="s">
        <v>4717</v>
      </c>
    </row>
    <row r="1220">
      <c r="A1220" t="s">
        <v>2522</v>
      </c>
      <c r="B1220" t="s">
        <v>1160</v>
      </c>
      <c r="C1220" t="s">
        <v>958</v>
      </c>
      <c r="D1220" t="s">
        <v>1128</v>
      </c>
      <c r="E1220" t="s">
        <v>1129</v>
      </c>
      <c r="F1220" t="s">
        <v>97</v>
      </c>
      <c r="G1220" t="s">
        <v>4715</v>
      </c>
      <c r="H1220" t="s">
        <v>5663</v>
      </c>
      <c r="I1220" t="s">
        <v>5667</v>
      </c>
      <c r="J1220" t="s">
        <v>5668</v>
      </c>
      <c r="K1220" t="s">
        <v>5669</v>
      </c>
      <c r="L1220" t="s">
        <v>4717</v>
      </c>
    </row>
    <row r="1221">
      <c r="A1221" t="s">
        <v>2522</v>
      </c>
      <c r="B1221" t="s">
        <v>1160</v>
      </c>
      <c r="C1221" t="s">
        <v>958</v>
      </c>
      <c r="D1221" t="s">
        <v>1128</v>
      </c>
      <c r="E1221" t="s">
        <v>1129</v>
      </c>
      <c r="F1221" t="s">
        <v>97</v>
      </c>
      <c r="G1221" t="s">
        <v>4715</v>
      </c>
      <c r="H1221" t="s">
        <v>5644</v>
      </c>
      <c r="I1221" t="s">
        <v>5670</v>
      </c>
      <c r="J1221" t="s">
        <v>5671</v>
      </c>
      <c r="K1221" t="s">
        <v>5672</v>
      </c>
      <c r="L1221" t="s">
        <v>4717</v>
      </c>
    </row>
    <row r="1222">
      <c r="A1222" t="s">
        <v>2522</v>
      </c>
      <c r="B1222" t="s">
        <v>1160</v>
      </c>
      <c r="C1222" t="s">
        <v>958</v>
      </c>
      <c r="D1222" t="s">
        <v>1128</v>
      </c>
      <c r="E1222" t="s">
        <v>1129</v>
      </c>
      <c r="F1222" t="s">
        <v>97</v>
      </c>
      <c r="G1222" t="s">
        <v>4715</v>
      </c>
      <c r="H1222" t="s">
        <v>5522</v>
      </c>
      <c r="I1222" t="s">
        <v>5656</v>
      </c>
      <c r="J1222" t="s">
        <v>5657</v>
      </c>
      <c r="K1222" t="s">
        <v>5658</v>
      </c>
      <c r="L1222" t="s">
        <v>4717</v>
      </c>
    </row>
    <row r="1223">
      <c r="A1223" t="s">
        <v>2525</v>
      </c>
      <c r="B1223" t="s">
        <v>1168</v>
      </c>
      <c r="C1223" t="s">
        <v>958</v>
      </c>
      <c r="D1223" t="s">
        <v>1128</v>
      </c>
      <c r="E1223" t="s">
        <v>1129</v>
      </c>
      <c r="F1223" t="s">
        <v>154</v>
      </c>
      <c r="G1223" t="s">
        <v>4715</v>
      </c>
      <c r="H1223" t="s">
        <v>5041</v>
      </c>
      <c r="I1223" t="s">
        <v>5614</v>
      </c>
      <c r="J1223" t="s">
        <v>5615</v>
      </c>
      <c r="K1223" t="s">
        <v>4169</v>
      </c>
      <c r="L1223" t="s">
        <v>4717</v>
      </c>
    </row>
    <row r="1224">
      <c r="A1224" t="s">
        <v>2525</v>
      </c>
      <c r="B1224" t="s">
        <v>1168</v>
      </c>
      <c r="C1224" t="s">
        <v>958</v>
      </c>
      <c r="D1224" t="s">
        <v>1128</v>
      </c>
      <c r="E1224" t="s">
        <v>1129</v>
      </c>
      <c r="F1224" t="s">
        <v>154</v>
      </c>
      <c r="G1224" t="s">
        <v>4715</v>
      </c>
      <c r="H1224" t="s">
        <v>5616</v>
      </c>
      <c r="I1224" t="s">
        <v>5617</v>
      </c>
      <c r="J1224" t="s">
        <v>5618</v>
      </c>
      <c r="K1224" t="s">
        <v>5619</v>
      </c>
      <c r="L1224" t="s">
        <v>4717</v>
      </c>
    </row>
    <row r="1225">
      <c r="A1225" t="s">
        <v>2525</v>
      </c>
      <c r="B1225" t="s">
        <v>1168</v>
      </c>
      <c r="C1225" t="s">
        <v>958</v>
      </c>
      <c r="D1225" t="s">
        <v>1128</v>
      </c>
      <c r="E1225" t="s">
        <v>1129</v>
      </c>
      <c r="F1225" t="s">
        <v>154</v>
      </c>
      <c r="G1225" t="s">
        <v>4715</v>
      </c>
      <c r="H1225" t="s">
        <v>5499</v>
      </c>
      <c r="I1225" t="s">
        <v>5620</v>
      </c>
      <c r="J1225" t="s">
        <v>5621</v>
      </c>
      <c r="K1225" t="s">
        <v>5622</v>
      </c>
      <c r="L1225" t="s">
        <v>4717</v>
      </c>
    </row>
    <row r="1226">
      <c r="A1226" t="s">
        <v>2525</v>
      </c>
      <c r="B1226" t="s">
        <v>1168</v>
      </c>
      <c r="C1226" t="s">
        <v>958</v>
      </c>
      <c r="D1226" t="s">
        <v>1128</v>
      </c>
      <c r="E1226" t="s">
        <v>1129</v>
      </c>
      <c r="F1226" t="s">
        <v>154</v>
      </c>
      <c r="G1226" t="s">
        <v>4715</v>
      </c>
      <c r="H1226" t="s">
        <v>5623</v>
      </c>
      <c r="I1226" t="s">
        <v>5624</v>
      </c>
      <c r="J1226" t="s">
        <v>5625</v>
      </c>
      <c r="K1226" t="s">
        <v>5626</v>
      </c>
      <c r="L1226" t="s">
        <v>4717</v>
      </c>
    </row>
    <row r="1227">
      <c r="A1227" t="s">
        <v>2525</v>
      </c>
      <c r="B1227" t="s">
        <v>1168</v>
      </c>
      <c r="C1227" t="s">
        <v>958</v>
      </c>
      <c r="D1227" t="s">
        <v>1128</v>
      </c>
      <c r="E1227" t="s">
        <v>1129</v>
      </c>
      <c r="F1227" t="s">
        <v>154</v>
      </c>
      <c r="G1227" t="s">
        <v>4715</v>
      </c>
      <c r="H1227" t="s">
        <v>3904</v>
      </c>
      <c r="I1227" t="s">
        <v>5627</v>
      </c>
      <c r="J1227" t="s">
        <v>5628</v>
      </c>
      <c r="K1227" t="s">
        <v>5629</v>
      </c>
      <c r="L1227" t="s">
        <v>4717</v>
      </c>
    </row>
    <row r="1228">
      <c r="A1228" t="s">
        <v>2525</v>
      </c>
      <c r="B1228" t="s">
        <v>1168</v>
      </c>
      <c r="C1228" t="s">
        <v>958</v>
      </c>
      <c r="D1228" t="s">
        <v>1128</v>
      </c>
      <c r="E1228" t="s">
        <v>1129</v>
      </c>
      <c r="F1228" t="s">
        <v>154</v>
      </c>
      <c r="G1228" t="s">
        <v>4715</v>
      </c>
      <c r="H1228" t="s">
        <v>5630</v>
      </c>
      <c r="I1228" t="s">
        <v>5474</v>
      </c>
      <c r="J1228" t="s">
        <v>5631</v>
      </c>
      <c r="K1228" t="s">
        <v>5632</v>
      </c>
      <c r="L1228" t="s">
        <v>4717</v>
      </c>
    </row>
    <row r="1229">
      <c r="A1229" t="s">
        <v>2525</v>
      </c>
      <c r="B1229" t="s">
        <v>1168</v>
      </c>
      <c r="C1229" t="s">
        <v>958</v>
      </c>
      <c r="D1229" t="s">
        <v>1128</v>
      </c>
      <c r="E1229" t="s">
        <v>1129</v>
      </c>
      <c r="F1229" t="s">
        <v>154</v>
      </c>
      <c r="G1229" t="s">
        <v>4715</v>
      </c>
      <c r="H1229" t="s">
        <v>5170</v>
      </c>
      <c r="I1229" t="s">
        <v>5171</v>
      </c>
      <c r="J1229" t="s">
        <v>5633</v>
      </c>
      <c r="K1229" t="s">
        <v>5634</v>
      </c>
      <c r="L1229" t="s">
        <v>4717</v>
      </c>
    </row>
    <row r="1230">
      <c r="A1230" t="s">
        <v>2525</v>
      </c>
      <c r="B1230" t="s">
        <v>1168</v>
      </c>
      <c r="C1230" t="s">
        <v>958</v>
      </c>
      <c r="D1230" t="s">
        <v>1128</v>
      </c>
      <c r="E1230" t="s">
        <v>1129</v>
      </c>
      <c r="F1230" t="s">
        <v>154</v>
      </c>
      <c r="G1230" t="s">
        <v>4715</v>
      </c>
      <c r="H1230" t="s">
        <v>5157</v>
      </c>
      <c r="I1230" t="s">
        <v>5635</v>
      </c>
      <c r="J1230" t="s">
        <v>5636</v>
      </c>
      <c r="K1230" t="s">
        <v>5637</v>
      </c>
      <c r="L1230" t="s">
        <v>4717</v>
      </c>
    </row>
    <row r="1231">
      <c r="A1231" t="s">
        <v>2525</v>
      </c>
      <c r="B1231" t="s">
        <v>1168</v>
      </c>
      <c r="C1231" t="s">
        <v>958</v>
      </c>
      <c r="D1231" t="s">
        <v>1128</v>
      </c>
      <c r="E1231" t="s">
        <v>1129</v>
      </c>
      <c r="F1231" t="s">
        <v>154</v>
      </c>
      <c r="G1231" t="s">
        <v>4715</v>
      </c>
      <c r="H1231" t="s">
        <v>5659</v>
      </c>
      <c r="I1231" t="s">
        <v>5660</v>
      </c>
      <c r="J1231" t="s">
        <v>5661</v>
      </c>
      <c r="K1231" t="s">
        <v>5662</v>
      </c>
      <c r="L1231" t="s">
        <v>4717</v>
      </c>
    </row>
    <row r="1232">
      <c r="A1232" t="s">
        <v>2525</v>
      </c>
      <c r="B1232" t="s">
        <v>1168</v>
      </c>
      <c r="C1232" t="s">
        <v>958</v>
      </c>
      <c r="D1232" t="s">
        <v>1128</v>
      </c>
      <c r="E1232" t="s">
        <v>1129</v>
      </c>
      <c r="F1232" t="s">
        <v>154</v>
      </c>
      <c r="G1232" t="s">
        <v>4715</v>
      </c>
      <c r="H1232" t="s">
        <v>5663</v>
      </c>
      <c r="I1232" t="s">
        <v>5664</v>
      </c>
      <c r="J1232" t="s">
        <v>5665</v>
      </c>
      <c r="K1232" t="s">
        <v>5666</v>
      </c>
      <c r="L1232" t="s">
        <v>4717</v>
      </c>
    </row>
    <row r="1233">
      <c r="A1233" t="s">
        <v>2525</v>
      </c>
      <c r="B1233" t="s">
        <v>1168</v>
      </c>
      <c r="C1233" t="s">
        <v>958</v>
      </c>
      <c r="D1233" t="s">
        <v>1128</v>
      </c>
      <c r="E1233" t="s">
        <v>1129</v>
      </c>
      <c r="F1233" t="s">
        <v>154</v>
      </c>
      <c r="G1233" t="s">
        <v>4715</v>
      </c>
      <c r="H1233" t="s">
        <v>5663</v>
      </c>
      <c r="I1233" t="s">
        <v>5667</v>
      </c>
      <c r="J1233" t="s">
        <v>5668</v>
      </c>
      <c r="K1233" t="s">
        <v>5669</v>
      </c>
      <c r="L1233" t="s">
        <v>4717</v>
      </c>
    </row>
    <row r="1234">
      <c r="A1234" t="s">
        <v>2525</v>
      </c>
      <c r="B1234" t="s">
        <v>1168</v>
      </c>
      <c r="C1234" t="s">
        <v>958</v>
      </c>
      <c r="D1234" t="s">
        <v>1128</v>
      </c>
      <c r="E1234" t="s">
        <v>1129</v>
      </c>
      <c r="F1234" t="s">
        <v>154</v>
      </c>
      <c r="G1234" t="s">
        <v>4715</v>
      </c>
      <c r="H1234" t="s">
        <v>5644</v>
      </c>
      <c r="I1234" t="s">
        <v>5670</v>
      </c>
      <c r="J1234" t="s">
        <v>5671</v>
      </c>
      <c r="K1234" t="s">
        <v>5672</v>
      </c>
      <c r="L1234" t="s">
        <v>4717</v>
      </c>
    </row>
    <row r="1235">
      <c r="A1235" t="s">
        <v>2525</v>
      </c>
      <c r="B1235" t="s">
        <v>1168</v>
      </c>
      <c r="C1235" t="s">
        <v>958</v>
      </c>
      <c r="D1235" t="s">
        <v>1128</v>
      </c>
      <c r="E1235" t="s">
        <v>1129</v>
      </c>
      <c r="F1235" t="s">
        <v>154</v>
      </c>
      <c r="G1235" t="s">
        <v>4715</v>
      </c>
      <c r="H1235" t="s">
        <v>5522</v>
      </c>
      <c r="I1235" t="s">
        <v>5656</v>
      </c>
      <c r="J1235" t="s">
        <v>5657</v>
      </c>
      <c r="K1235" t="s">
        <v>5658</v>
      </c>
      <c r="L1235" t="s">
        <v>4717</v>
      </c>
    </row>
    <row r="1236">
      <c r="A1236" t="s">
        <v>2528</v>
      </c>
      <c r="B1236" t="s">
        <v>1174</v>
      </c>
      <c r="C1236" t="s">
        <v>958</v>
      </c>
      <c r="D1236" t="s">
        <v>1128</v>
      </c>
      <c r="E1236" t="s">
        <v>1129</v>
      </c>
      <c r="F1236" t="s">
        <v>154</v>
      </c>
      <c r="G1236" t="s">
        <v>4715</v>
      </c>
      <c r="H1236" t="s">
        <v>5041</v>
      </c>
      <c r="I1236" t="s">
        <v>5614</v>
      </c>
      <c r="J1236" t="s">
        <v>5615</v>
      </c>
      <c r="K1236" t="s">
        <v>4169</v>
      </c>
      <c r="L1236" t="s">
        <v>4717</v>
      </c>
    </row>
    <row r="1237">
      <c r="A1237" t="s">
        <v>2528</v>
      </c>
      <c r="B1237" t="s">
        <v>1174</v>
      </c>
      <c r="C1237" t="s">
        <v>958</v>
      </c>
      <c r="D1237" t="s">
        <v>1128</v>
      </c>
      <c r="E1237" t="s">
        <v>1129</v>
      </c>
      <c r="F1237" t="s">
        <v>154</v>
      </c>
      <c r="G1237" t="s">
        <v>4715</v>
      </c>
      <c r="H1237" t="s">
        <v>5616</v>
      </c>
      <c r="I1237" t="s">
        <v>5617</v>
      </c>
      <c r="J1237" t="s">
        <v>5618</v>
      </c>
      <c r="K1237" t="s">
        <v>5619</v>
      </c>
      <c r="L1237" t="s">
        <v>4717</v>
      </c>
    </row>
    <row r="1238">
      <c r="A1238" t="s">
        <v>2528</v>
      </c>
      <c r="B1238" t="s">
        <v>1174</v>
      </c>
      <c r="C1238" t="s">
        <v>958</v>
      </c>
      <c r="D1238" t="s">
        <v>1128</v>
      </c>
      <c r="E1238" t="s">
        <v>1129</v>
      </c>
      <c r="F1238" t="s">
        <v>154</v>
      </c>
      <c r="G1238" t="s">
        <v>4715</v>
      </c>
      <c r="H1238" t="s">
        <v>5499</v>
      </c>
      <c r="I1238" t="s">
        <v>5620</v>
      </c>
      <c r="J1238" t="s">
        <v>5621</v>
      </c>
      <c r="K1238" t="s">
        <v>5622</v>
      </c>
      <c r="L1238" t="s">
        <v>4717</v>
      </c>
    </row>
    <row r="1239">
      <c r="A1239" t="s">
        <v>2528</v>
      </c>
      <c r="B1239" t="s">
        <v>1174</v>
      </c>
      <c r="C1239" t="s">
        <v>958</v>
      </c>
      <c r="D1239" t="s">
        <v>1128</v>
      </c>
      <c r="E1239" t="s">
        <v>1129</v>
      </c>
      <c r="F1239" t="s">
        <v>154</v>
      </c>
      <c r="G1239" t="s">
        <v>4715</v>
      </c>
      <c r="H1239" t="s">
        <v>5623</v>
      </c>
      <c r="I1239" t="s">
        <v>5624</v>
      </c>
      <c r="J1239" t="s">
        <v>5625</v>
      </c>
      <c r="K1239" t="s">
        <v>5626</v>
      </c>
      <c r="L1239" t="s">
        <v>4717</v>
      </c>
    </row>
    <row r="1240">
      <c r="A1240" t="s">
        <v>2528</v>
      </c>
      <c r="B1240" t="s">
        <v>1174</v>
      </c>
      <c r="C1240" t="s">
        <v>958</v>
      </c>
      <c r="D1240" t="s">
        <v>1128</v>
      </c>
      <c r="E1240" t="s">
        <v>1129</v>
      </c>
      <c r="F1240" t="s">
        <v>154</v>
      </c>
      <c r="G1240" t="s">
        <v>4715</v>
      </c>
      <c r="H1240" t="s">
        <v>3904</v>
      </c>
      <c r="I1240" t="s">
        <v>5627</v>
      </c>
      <c r="J1240" t="s">
        <v>5628</v>
      </c>
      <c r="K1240" t="s">
        <v>5629</v>
      </c>
      <c r="L1240" t="s">
        <v>4717</v>
      </c>
    </row>
    <row r="1241">
      <c r="A1241" t="s">
        <v>2528</v>
      </c>
      <c r="B1241" t="s">
        <v>1174</v>
      </c>
      <c r="C1241" t="s">
        <v>958</v>
      </c>
      <c r="D1241" t="s">
        <v>1128</v>
      </c>
      <c r="E1241" t="s">
        <v>1129</v>
      </c>
      <c r="F1241" t="s">
        <v>154</v>
      </c>
      <c r="G1241" t="s">
        <v>4715</v>
      </c>
      <c r="H1241" t="s">
        <v>5630</v>
      </c>
      <c r="I1241" t="s">
        <v>5474</v>
      </c>
      <c r="J1241" t="s">
        <v>5631</v>
      </c>
      <c r="K1241" t="s">
        <v>5632</v>
      </c>
      <c r="L1241" t="s">
        <v>4717</v>
      </c>
    </row>
    <row r="1242">
      <c r="A1242" t="s">
        <v>2528</v>
      </c>
      <c r="B1242" t="s">
        <v>1174</v>
      </c>
      <c r="C1242" t="s">
        <v>958</v>
      </c>
      <c r="D1242" t="s">
        <v>1128</v>
      </c>
      <c r="E1242" t="s">
        <v>1129</v>
      </c>
      <c r="F1242" t="s">
        <v>154</v>
      </c>
      <c r="G1242" t="s">
        <v>4715</v>
      </c>
      <c r="H1242" t="s">
        <v>5170</v>
      </c>
      <c r="I1242" t="s">
        <v>5171</v>
      </c>
      <c r="J1242" t="s">
        <v>5633</v>
      </c>
      <c r="K1242" t="s">
        <v>5634</v>
      </c>
      <c r="L1242" t="s">
        <v>4717</v>
      </c>
    </row>
    <row r="1243">
      <c r="A1243" t="s">
        <v>2528</v>
      </c>
      <c r="B1243" t="s">
        <v>1174</v>
      </c>
      <c r="C1243" t="s">
        <v>958</v>
      </c>
      <c r="D1243" t="s">
        <v>1128</v>
      </c>
      <c r="E1243" t="s">
        <v>1129</v>
      </c>
      <c r="F1243" t="s">
        <v>154</v>
      </c>
      <c r="G1243" t="s">
        <v>4715</v>
      </c>
      <c r="H1243" t="s">
        <v>5157</v>
      </c>
      <c r="I1243" t="s">
        <v>5635</v>
      </c>
      <c r="J1243" t="s">
        <v>5636</v>
      </c>
      <c r="K1243" t="s">
        <v>5637</v>
      </c>
      <c r="L1243" t="s">
        <v>4717</v>
      </c>
    </row>
    <row r="1244">
      <c r="A1244" t="s">
        <v>2528</v>
      </c>
      <c r="B1244" t="s">
        <v>1174</v>
      </c>
      <c r="C1244" t="s">
        <v>958</v>
      </c>
      <c r="D1244" t="s">
        <v>1128</v>
      </c>
      <c r="E1244" t="s">
        <v>1129</v>
      </c>
      <c r="F1244" t="s">
        <v>154</v>
      </c>
      <c r="G1244" t="s">
        <v>4715</v>
      </c>
      <c r="H1244" t="s">
        <v>5659</v>
      </c>
      <c r="I1244" t="s">
        <v>5660</v>
      </c>
      <c r="J1244" t="s">
        <v>5661</v>
      </c>
      <c r="K1244" t="s">
        <v>5662</v>
      </c>
      <c r="L1244" t="s">
        <v>4717</v>
      </c>
    </row>
    <row r="1245">
      <c r="A1245" t="s">
        <v>2528</v>
      </c>
      <c r="B1245" t="s">
        <v>1174</v>
      </c>
      <c r="C1245" t="s">
        <v>958</v>
      </c>
      <c r="D1245" t="s">
        <v>1128</v>
      </c>
      <c r="E1245" t="s">
        <v>1129</v>
      </c>
      <c r="F1245" t="s">
        <v>154</v>
      </c>
      <c r="G1245" t="s">
        <v>4715</v>
      </c>
      <c r="H1245" t="s">
        <v>5663</v>
      </c>
      <c r="I1245" t="s">
        <v>5664</v>
      </c>
      <c r="J1245" t="s">
        <v>5665</v>
      </c>
      <c r="K1245" t="s">
        <v>5666</v>
      </c>
      <c r="L1245" t="s">
        <v>4717</v>
      </c>
    </row>
    <row r="1246">
      <c r="A1246" t="s">
        <v>2528</v>
      </c>
      <c r="B1246" t="s">
        <v>1174</v>
      </c>
      <c r="C1246" t="s">
        <v>958</v>
      </c>
      <c r="D1246" t="s">
        <v>1128</v>
      </c>
      <c r="E1246" t="s">
        <v>1129</v>
      </c>
      <c r="F1246" t="s">
        <v>154</v>
      </c>
      <c r="G1246" t="s">
        <v>4715</v>
      </c>
      <c r="H1246" t="s">
        <v>5663</v>
      </c>
      <c r="I1246" t="s">
        <v>5667</v>
      </c>
      <c r="J1246" t="s">
        <v>5668</v>
      </c>
      <c r="K1246" t="s">
        <v>5669</v>
      </c>
      <c r="L1246" t="s">
        <v>4717</v>
      </c>
    </row>
    <row r="1247">
      <c r="A1247" t="s">
        <v>2528</v>
      </c>
      <c r="B1247" t="s">
        <v>1174</v>
      </c>
      <c r="C1247" t="s">
        <v>958</v>
      </c>
      <c r="D1247" t="s">
        <v>1128</v>
      </c>
      <c r="E1247" t="s">
        <v>1129</v>
      </c>
      <c r="F1247" t="s">
        <v>154</v>
      </c>
      <c r="G1247" t="s">
        <v>4715</v>
      </c>
      <c r="H1247" t="s">
        <v>5644</v>
      </c>
      <c r="I1247" t="s">
        <v>5670</v>
      </c>
      <c r="J1247" t="s">
        <v>5671</v>
      </c>
      <c r="K1247" t="s">
        <v>5672</v>
      </c>
      <c r="L1247" t="s">
        <v>4717</v>
      </c>
    </row>
    <row r="1248">
      <c r="A1248" t="s">
        <v>2528</v>
      </c>
      <c r="B1248" t="s">
        <v>1174</v>
      </c>
      <c r="C1248" t="s">
        <v>958</v>
      </c>
      <c r="D1248" t="s">
        <v>1128</v>
      </c>
      <c r="E1248" t="s">
        <v>1129</v>
      </c>
      <c r="F1248" t="s">
        <v>154</v>
      </c>
      <c r="G1248" t="s">
        <v>4715</v>
      </c>
      <c r="H1248" t="s">
        <v>5522</v>
      </c>
      <c r="I1248" t="s">
        <v>5656</v>
      </c>
      <c r="J1248" t="s">
        <v>5657</v>
      </c>
      <c r="K1248" t="s">
        <v>5658</v>
      </c>
      <c r="L1248" t="s">
        <v>4717</v>
      </c>
    </row>
    <row r="1249">
      <c r="A1249" t="s">
        <v>2531</v>
      </c>
      <c r="B1249" t="s">
        <v>1182</v>
      </c>
      <c r="C1249" t="s">
        <v>958</v>
      </c>
      <c r="D1249" t="s">
        <v>1128</v>
      </c>
      <c r="E1249" t="s">
        <v>1129</v>
      </c>
      <c r="F1249" t="s">
        <v>154</v>
      </c>
      <c r="G1249" t="s">
        <v>4715</v>
      </c>
      <c r="H1249" t="s">
        <v>5041</v>
      </c>
      <c r="I1249" t="s">
        <v>5614</v>
      </c>
      <c r="J1249" t="s">
        <v>5615</v>
      </c>
      <c r="K1249" t="s">
        <v>4169</v>
      </c>
      <c r="L1249" t="s">
        <v>4717</v>
      </c>
    </row>
    <row r="1250">
      <c r="A1250" t="s">
        <v>2531</v>
      </c>
      <c r="B1250" t="s">
        <v>1182</v>
      </c>
      <c r="C1250" t="s">
        <v>958</v>
      </c>
      <c r="D1250" t="s">
        <v>1128</v>
      </c>
      <c r="E1250" t="s">
        <v>1129</v>
      </c>
      <c r="F1250" t="s">
        <v>154</v>
      </c>
      <c r="G1250" t="s">
        <v>4715</v>
      </c>
      <c r="H1250" t="s">
        <v>5616</v>
      </c>
      <c r="I1250" t="s">
        <v>5617</v>
      </c>
      <c r="J1250" t="s">
        <v>5618</v>
      </c>
      <c r="K1250" t="s">
        <v>5619</v>
      </c>
      <c r="L1250" t="s">
        <v>4717</v>
      </c>
    </row>
    <row r="1251">
      <c r="A1251" t="s">
        <v>2531</v>
      </c>
      <c r="B1251" t="s">
        <v>1182</v>
      </c>
      <c r="C1251" t="s">
        <v>958</v>
      </c>
      <c r="D1251" t="s">
        <v>1128</v>
      </c>
      <c r="E1251" t="s">
        <v>1129</v>
      </c>
      <c r="F1251" t="s">
        <v>154</v>
      </c>
      <c r="G1251" t="s">
        <v>4715</v>
      </c>
      <c r="H1251" t="s">
        <v>5499</v>
      </c>
      <c r="I1251" t="s">
        <v>5620</v>
      </c>
      <c r="J1251" t="s">
        <v>5621</v>
      </c>
      <c r="K1251" t="s">
        <v>5622</v>
      </c>
      <c r="L1251" t="s">
        <v>4717</v>
      </c>
    </row>
    <row r="1252">
      <c r="A1252" t="s">
        <v>2531</v>
      </c>
      <c r="B1252" t="s">
        <v>1182</v>
      </c>
      <c r="C1252" t="s">
        <v>958</v>
      </c>
      <c r="D1252" t="s">
        <v>1128</v>
      </c>
      <c r="E1252" t="s">
        <v>1129</v>
      </c>
      <c r="F1252" t="s">
        <v>154</v>
      </c>
      <c r="G1252" t="s">
        <v>4715</v>
      </c>
      <c r="H1252" t="s">
        <v>5623</v>
      </c>
      <c r="I1252" t="s">
        <v>5624</v>
      </c>
      <c r="J1252" t="s">
        <v>5625</v>
      </c>
      <c r="K1252" t="s">
        <v>5626</v>
      </c>
      <c r="L1252" t="s">
        <v>4717</v>
      </c>
    </row>
    <row r="1253">
      <c r="A1253" t="s">
        <v>2531</v>
      </c>
      <c r="B1253" t="s">
        <v>1182</v>
      </c>
      <c r="C1253" t="s">
        <v>958</v>
      </c>
      <c r="D1253" t="s">
        <v>1128</v>
      </c>
      <c r="E1253" t="s">
        <v>1129</v>
      </c>
      <c r="F1253" t="s">
        <v>154</v>
      </c>
      <c r="G1253" t="s">
        <v>4715</v>
      </c>
      <c r="H1253" t="s">
        <v>3904</v>
      </c>
      <c r="I1253" t="s">
        <v>5627</v>
      </c>
      <c r="J1253" t="s">
        <v>5628</v>
      </c>
      <c r="K1253" t="s">
        <v>5629</v>
      </c>
      <c r="L1253" t="s">
        <v>4717</v>
      </c>
    </row>
    <row r="1254">
      <c r="A1254" t="s">
        <v>2531</v>
      </c>
      <c r="B1254" t="s">
        <v>1182</v>
      </c>
      <c r="C1254" t="s">
        <v>958</v>
      </c>
      <c r="D1254" t="s">
        <v>1128</v>
      </c>
      <c r="E1254" t="s">
        <v>1129</v>
      </c>
      <c r="F1254" t="s">
        <v>154</v>
      </c>
      <c r="G1254" t="s">
        <v>4715</v>
      </c>
      <c r="H1254" t="s">
        <v>5630</v>
      </c>
      <c r="I1254" t="s">
        <v>5474</v>
      </c>
      <c r="J1254" t="s">
        <v>5631</v>
      </c>
      <c r="K1254" t="s">
        <v>5632</v>
      </c>
      <c r="L1254" t="s">
        <v>4717</v>
      </c>
    </row>
    <row r="1255">
      <c r="A1255" t="s">
        <v>2531</v>
      </c>
      <c r="B1255" t="s">
        <v>1182</v>
      </c>
      <c r="C1255" t="s">
        <v>958</v>
      </c>
      <c r="D1255" t="s">
        <v>1128</v>
      </c>
      <c r="E1255" t="s">
        <v>1129</v>
      </c>
      <c r="F1255" t="s">
        <v>154</v>
      </c>
      <c r="G1255" t="s">
        <v>4715</v>
      </c>
      <c r="H1255" t="s">
        <v>5170</v>
      </c>
      <c r="I1255" t="s">
        <v>5171</v>
      </c>
      <c r="J1255" t="s">
        <v>5633</v>
      </c>
      <c r="K1255" t="s">
        <v>5634</v>
      </c>
      <c r="L1255" t="s">
        <v>4717</v>
      </c>
    </row>
    <row r="1256">
      <c r="A1256" t="s">
        <v>2531</v>
      </c>
      <c r="B1256" t="s">
        <v>1182</v>
      </c>
      <c r="C1256" t="s">
        <v>958</v>
      </c>
      <c r="D1256" t="s">
        <v>1128</v>
      </c>
      <c r="E1256" t="s">
        <v>1129</v>
      </c>
      <c r="F1256" t="s">
        <v>154</v>
      </c>
      <c r="G1256" t="s">
        <v>4715</v>
      </c>
      <c r="H1256" t="s">
        <v>5157</v>
      </c>
      <c r="I1256" t="s">
        <v>5635</v>
      </c>
      <c r="J1256" t="s">
        <v>5636</v>
      </c>
      <c r="K1256" t="s">
        <v>5637</v>
      </c>
      <c r="L1256" t="s">
        <v>4717</v>
      </c>
    </row>
    <row r="1257">
      <c r="A1257" t="s">
        <v>2531</v>
      </c>
      <c r="B1257" t="s">
        <v>1182</v>
      </c>
      <c r="C1257" t="s">
        <v>958</v>
      </c>
      <c r="D1257" t="s">
        <v>1128</v>
      </c>
      <c r="E1257" t="s">
        <v>1129</v>
      </c>
      <c r="F1257" t="s">
        <v>154</v>
      </c>
      <c r="G1257" t="s">
        <v>4715</v>
      </c>
      <c r="H1257" t="s">
        <v>5659</v>
      </c>
      <c r="I1257" t="s">
        <v>5660</v>
      </c>
      <c r="J1257" t="s">
        <v>5661</v>
      </c>
      <c r="K1257" t="s">
        <v>5662</v>
      </c>
      <c r="L1257" t="s">
        <v>4717</v>
      </c>
    </row>
    <row r="1258">
      <c r="A1258" t="s">
        <v>2531</v>
      </c>
      <c r="B1258" t="s">
        <v>1182</v>
      </c>
      <c r="C1258" t="s">
        <v>958</v>
      </c>
      <c r="D1258" t="s">
        <v>1128</v>
      </c>
      <c r="E1258" t="s">
        <v>1129</v>
      </c>
      <c r="F1258" t="s">
        <v>154</v>
      </c>
      <c r="G1258" t="s">
        <v>4715</v>
      </c>
      <c r="H1258" t="s">
        <v>5663</v>
      </c>
      <c r="I1258" t="s">
        <v>5664</v>
      </c>
      <c r="J1258" t="s">
        <v>5665</v>
      </c>
      <c r="K1258" t="s">
        <v>5666</v>
      </c>
      <c r="L1258" t="s">
        <v>4717</v>
      </c>
    </row>
    <row r="1259">
      <c r="A1259" t="s">
        <v>2531</v>
      </c>
      <c r="B1259" t="s">
        <v>1182</v>
      </c>
      <c r="C1259" t="s">
        <v>958</v>
      </c>
      <c r="D1259" t="s">
        <v>1128</v>
      </c>
      <c r="E1259" t="s">
        <v>1129</v>
      </c>
      <c r="F1259" t="s">
        <v>154</v>
      </c>
      <c r="G1259" t="s">
        <v>4715</v>
      </c>
      <c r="H1259" t="s">
        <v>5663</v>
      </c>
      <c r="I1259" t="s">
        <v>5667</v>
      </c>
      <c r="J1259" t="s">
        <v>5668</v>
      </c>
      <c r="K1259" t="s">
        <v>5669</v>
      </c>
      <c r="L1259" t="s">
        <v>4717</v>
      </c>
    </row>
    <row r="1260">
      <c r="A1260" t="s">
        <v>2531</v>
      </c>
      <c r="B1260" t="s">
        <v>1182</v>
      </c>
      <c r="C1260" t="s">
        <v>958</v>
      </c>
      <c r="D1260" t="s">
        <v>1128</v>
      </c>
      <c r="E1260" t="s">
        <v>1129</v>
      </c>
      <c r="F1260" t="s">
        <v>154</v>
      </c>
      <c r="G1260" t="s">
        <v>4715</v>
      </c>
      <c r="H1260" t="s">
        <v>5644</v>
      </c>
      <c r="I1260" t="s">
        <v>5670</v>
      </c>
      <c r="J1260" t="s">
        <v>5671</v>
      </c>
      <c r="K1260" t="s">
        <v>5672</v>
      </c>
      <c r="L1260" t="s">
        <v>4717</v>
      </c>
    </row>
    <row r="1261">
      <c r="A1261" t="s">
        <v>2531</v>
      </c>
      <c r="B1261" t="s">
        <v>1182</v>
      </c>
      <c r="C1261" t="s">
        <v>958</v>
      </c>
      <c r="D1261" t="s">
        <v>1128</v>
      </c>
      <c r="E1261" t="s">
        <v>1129</v>
      </c>
      <c r="F1261" t="s">
        <v>154</v>
      </c>
      <c r="G1261" t="s">
        <v>4715</v>
      </c>
      <c r="H1261" t="s">
        <v>5522</v>
      </c>
      <c r="I1261" t="s">
        <v>5656</v>
      </c>
      <c r="J1261" t="s">
        <v>5657</v>
      </c>
      <c r="K1261" t="s">
        <v>5658</v>
      </c>
      <c r="L1261" t="s">
        <v>4717</v>
      </c>
    </row>
    <row r="1262">
      <c r="A1262" t="s">
        <v>2534</v>
      </c>
      <c r="B1262" t="s">
        <v>1190</v>
      </c>
      <c r="C1262" t="s">
        <v>958</v>
      </c>
      <c r="D1262" t="s">
        <v>1128</v>
      </c>
      <c r="E1262" t="s">
        <v>1129</v>
      </c>
      <c r="F1262" t="s">
        <v>120</v>
      </c>
      <c r="G1262" t="s">
        <v>4715</v>
      </c>
      <c r="H1262" t="s">
        <v>5041</v>
      </c>
      <c r="I1262" t="s">
        <v>5614</v>
      </c>
      <c r="J1262" t="s">
        <v>5615</v>
      </c>
      <c r="K1262" t="s">
        <v>4169</v>
      </c>
      <c r="L1262" t="s">
        <v>4717</v>
      </c>
    </row>
    <row r="1263">
      <c r="A1263" t="s">
        <v>2534</v>
      </c>
      <c r="B1263" t="s">
        <v>1190</v>
      </c>
      <c r="C1263" t="s">
        <v>958</v>
      </c>
      <c r="D1263" t="s">
        <v>1128</v>
      </c>
      <c r="E1263" t="s">
        <v>1129</v>
      </c>
      <c r="F1263" t="s">
        <v>120</v>
      </c>
      <c r="G1263" t="s">
        <v>4715</v>
      </c>
      <c r="H1263" t="s">
        <v>5616</v>
      </c>
      <c r="I1263" t="s">
        <v>5617</v>
      </c>
      <c r="J1263" t="s">
        <v>5618</v>
      </c>
      <c r="K1263" t="s">
        <v>5619</v>
      </c>
      <c r="L1263" t="s">
        <v>4717</v>
      </c>
    </row>
    <row r="1264">
      <c r="A1264" t="s">
        <v>2534</v>
      </c>
      <c r="B1264" t="s">
        <v>1190</v>
      </c>
      <c r="C1264" t="s">
        <v>958</v>
      </c>
      <c r="D1264" t="s">
        <v>1128</v>
      </c>
      <c r="E1264" t="s">
        <v>1129</v>
      </c>
      <c r="F1264" t="s">
        <v>120</v>
      </c>
      <c r="G1264" t="s">
        <v>4715</v>
      </c>
      <c r="H1264" t="s">
        <v>5499</v>
      </c>
      <c r="I1264" t="s">
        <v>5620</v>
      </c>
      <c r="J1264" t="s">
        <v>5621</v>
      </c>
      <c r="K1264" t="s">
        <v>5622</v>
      </c>
      <c r="L1264" t="s">
        <v>4717</v>
      </c>
    </row>
    <row r="1265">
      <c r="A1265" t="s">
        <v>2534</v>
      </c>
      <c r="B1265" t="s">
        <v>1190</v>
      </c>
      <c r="C1265" t="s">
        <v>958</v>
      </c>
      <c r="D1265" t="s">
        <v>1128</v>
      </c>
      <c r="E1265" t="s">
        <v>1129</v>
      </c>
      <c r="F1265" t="s">
        <v>120</v>
      </c>
      <c r="G1265" t="s">
        <v>4715</v>
      </c>
      <c r="H1265" t="s">
        <v>5623</v>
      </c>
      <c r="I1265" t="s">
        <v>5624</v>
      </c>
      <c r="J1265" t="s">
        <v>5625</v>
      </c>
      <c r="K1265" t="s">
        <v>5626</v>
      </c>
      <c r="L1265" t="s">
        <v>4717</v>
      </c>
    </row>
    <row r="1266">
      <c r="A1266" t="s">
        <v>2534</v>
      </c>
      <c r="B1266" t="s">
        <v>1190</v>
      </c>
      <c r="C1266" t="s">
        <v>958</v>
      </c>
      <c r="D1266" t="s">
        <v>1128</v>
      </c>
      <c r="E1266" t="s">
        <v>1129</v>
      </c>
      <c r="F1266" t="s">
        <v>120</v>
      </c>
      <c r="G1266" t="s">
        <v>4715</v>
      </c>
      <c r="H1266" t="s">
        <v>3904</v>
      </c>
      <c r="I1266" t="s">
        <v>5627</v>
      </c>
      <c r="J1266" t="s">
        <v>5628</v>
      </c>
      <c r="K1266" t="s">
        <v>5629</v>
      </c>
      <c r="L1266" t="s">
        <v>4717</v>
      </c>
    </row>
    <row r="1267">
      <c r="A1267" t="s">
        <v>2534</v>
      </c>
      <c r="B1267" t="s">
        <v>1190</v>
      </c>
      <c r="C1267" t="s">
        <v>958</v>
      </c>
      <c r="D1267" t="s">
        <v>1128</v>
      </c>
      <c r="E1267" t="s">
        <v>1129</v>
      </c>
      <c r="F1267" t="s">
        <v>120</v>
      </c>
      <c r="G1267" t="s">
        <v>4715</v>
      </c>
      <c r="H1267" t="s">
        <v>5630</v>
      </c>
      <c r="I1267" t="s">
        <v>5474</v>
      </c>
      <c r="J1267" t="s">
        <v>5631</v>
      </c>
      <c r="K1267" t="s">
        <v>5632</v>
      </c>
      <c r="L1267" t="s">
        <v>4717</v>
      </c>
    </row>
    <row r="1268">
      <c r="A1268" t="s">
        <v>2534</v>
      </c>
      <c r="B1268" t="s">
        <v>1190</v>
      </c>
      <c r="C1268" t="s">
        <v>958</v>
      </c>
      <c r="D1268" t="s">
        <v>1128</v>
      </c>
      <c r="E1268" t="s">
        <v>1129</v>
      </c>
      <c r="F1268" t="s">
        <v>120</v>
      </c>
      <c r="G1268" t="s">
        <v>4715</v>
      </c>
      <c r="H1268" t="s">
        <v>5170</v>
      </c>
      <c r="I1268" t="s">
        <v>5171</v>
      </c>
      <c r="J1268" t="s">
        <v>5633</v>
      </c>
      <c r="K1268" t="s">
        <v>5634</v>
      </c>
      <c r="L1268" t="s">
        <v>4717</v>
      </c>
    </row>
    <row r="1269">
      <c r="A1269" t="s">
        <v>2534</v>
      </c>
      <c r="B1269" t="s">
        <v>1190</v>
      </c>
      <c r="C1269" t="s">
        <v>958</v>
      </c>
      <c r="D1269" t="s">
        <v>1128</v>
      </c>
      <c r="E1269" t="s">
        <v>1129</v>
      </c>
      <c r="F1269" t="s">
        <v>120</v>
      </c>
      <c r="G1269" t="s">
        <v>4715</v>
      </c>
      <c r="H1269" t="s">
        <v>5157</v>
      </c>
      <c r="I1269" t="s">
        <v>5635</v>
      </c>
      <c r="J1269" t="s">
        <v>5636</v>
      </c>
      <c r="K1269" t="s">
        <v>5637</v>
      </c>
      <c r="L1269" t="s">
        <v>4717</v>
      </c>
    </row>
    <row r="1270">
      <c r="A1270" t="s">
        <v>2534</v>
      </c>
      <c r="B1270" t="s">
        <v>1190</v>
      </c>
      <c r="C1270" t="s">
        <v>958</v>
      </c>
      <c r="D1270" t="s">
        <v>1128</v>
      </c>
      <c r="E1270" t="s">
        <v>1129</v>
      </c>
      <c r="F1270" t="s">
        <v>120</v>
      </c>
      <c r="G1270" t="s">
        <v>4715</v>
      </c>
      <c r="H1270" t="s">
        <v>5659</v>
      </c>
      <c r="I1270" t="s">
        <v>5660</v>
      </c>
      <c r="J1270" t="s">
        <v>5661</v>
      </c>
      <c r="K1270" t="s">
        <v>5662</v>
      </c>
      <c r="L1270" t="s">
        <v>4717</v>
      </c>
    </row>
    <row r="1271">
      <c r="A1271" t="s">
        <v>2534</v>
      </c>
      <c r="B1271" t="s">
        <v>1190</v>
      </c>
      <c r="C1271" t="s">
        <v>958</v>
      </c>
      <c r="D1271" t="s">
        <v>1128</v>
      </c>
      <c r="E1271" t="s">
        <v>1129</v>
      </c>
      <c r="F1271" t="s">
        <v>120</v>
      </c>
      <c r="G1271" t="s">
        <v>4715</v>
      </c>
      <c r="H1271" t="s">
        <v>5663</v>
      </c>
      <c r="I1271" t="s">
        <v>5664</v>
      </c>
      <c r="J1271" t="s">
        <v>5665</v>
      </c>
      <c r="K1271" t="s">
        <v>5666</v>
      </c>
      <c r="L1271" t="s">
        <v>4717</v>
      </c>
    </row>
    <row r="1272">
      <c r="A1272" t="s">
        <v>2534</v>
      </c>
      <c r="B1272" t="s">
        <v>1190</v>
      </c>
      <c r="C1272" t="s">
        <v>958</v>
      </c>
      <c r="D1272" t="s">
        <v>1128</v>
      </c>
      <c r="E1272" t="s">
        <v>1129</v>
      </c>
      <c r="F1272" t="s">
        <v>120</v>
      </c>
      <c r="G1272" t="s">
        <v>4715</v>
      </c>
      <c r="H1272" t="s">
        <v>5663</v>
      </c>
      <c r="I1272" t="s">
        <v>5667</v>
      </c>
      <c r="J1272" t="s">
        <v>5668</v>
      </c>
      <c r="K1272" t="s">
        <v>5669</v>
      </c>
      <c r="L1272" t="s">
        <v>4717</v>
      </c>
    </row>
    <row r="1273">
      <c r="A1273" t="s">
        <v>2534</v>
      </c>
      <c r="B1273" t="s">
        <v>1190</v>
      </c>
      <c r="C1273" t="s">
        <v>958</v>
      </c>
      <c r="D1273" t="s">
        <v>1128</v>
      </c>
      <c r="E1273" t="s">
        <v>1129</v>
      </c>
      <c r="F1273" t="s">
        <v>120</v>
      </c>
      <c r="G1273" t="s">
        <v>4715</v>
      </c>
      <c r="H1273" t="s">
        <v>5644</v>
      </c>
      <c r="I1273" t="s">
        <v>5670</v>
      </c>
      <c r="J1273" t="s">
        <v>5671</v>
      </c>
      <c r="K1273" t="s">
        <v>5672</v>
      </c>
      <c r="L1273" t="s">
        <v>4717</v>
      </c>
    </row>
    <row r="1274">
      <c r="A1274" t="s">
        <v>2534</v>
      </c>
      <c r="B1274" t="s">
        <v>1190</v>
      </c>
      <c r="C1274" t="s">
        <v>958</v>
      </c>
      <c r="D1274" t="s">
        <v>1128</v>
      </c>
      <c r="E1274" t="s">
        <v>1129</v>
      </c>
      <c r="F1274" t="s">
        <v>120</v>
      </c>
      <c r="G1274" t="s">
        <v>4715</v>
      </c>
      <c r="H1274" t="s">
        <v>5522</v>
      </c>
      <c r="I1274" t="s">
        <v>5656</v>
      </c>
      <c r="J1274" t="s">
        <v>5657</v>
      </c>
      <c r="K1274" t="s">
        <v>5658</v>
      </c>
      <c r="L1274" t="s">
        <v>4717</v>
      </c>
    </row>
    <row r="1275">
      <c r="A1275" t="s">
        <v>2537</v>
      </c>
      <c r="B1275" t="s">
        <v>1201</v>
      </c>
      <c r="C1275" t="s">
        <v>958</v>
      </c>
      <c r="D1275" t="s">
        <v>1198</v>
      </c>
      <c r="E1275" t="s">
        <v>1199</v>
      </c>
      <c r="F1275" t="s">
        <v>129</v>
      </c>
      <c r="G1275" t="s">
        <v>4715</v>
      </c>
      <c r="H1275" t="s">
        <v>5041</v>
      </c>
      <c r="I1275" t="s">
        <v>5614</v>
      </c>
      <c r="J1275" t="s">
        <v>5615</v>
      </c>
      <c r="K1275" t="s">
        <v>4169</v>
      </c>
      <c r="L1275" t="s">
        <v>4717</v>
      </c>
    </row>
    <row r="1276">
      <c r="A1276" t="s">
        <v>2537</v>
      </c>
      <c r="B1276" t="s">
        <v>1201</v>
      </c>
      <c r="C1276" t="s">
        <v>958</v>
      </c>
      <c r="D1276" t="s">
        <v>1198</v>
      </c>
      <c r="E1276" t="s">
        <v>1199</v>
      </c>
      <c r="F1276" t="s">
        <v>129</v>
      </c>
      <c r="G1276" t="s">
        <v>4715</v>
      </c>
      <c r="H1276" t="s">
        <v>5616</v>
      </c>
      <c r="I1276" t="s">
        <v>5617</v>
      </c>
      <c r="J1276" t="s">
        <v>5618</v>
      </c>
      <c r="K1276" t="s">
        <v>5619</v>
      </c>
      <c r="L1276" t="s">
        <v>4717</v>
      </c>
    </row>
    <row r="1277">
      <c r="A1277" t="s">
        <v>2537</v>
      </c>
      <c r="B1277" t="s">
        <v>1201</v>
      </c>
      <c r="C1277" t="s">
        <v>958</v>
      </c>
      <c r="D1277" t="s">
        <v>1198</v>
      </c>
      <c r="E1277" t="s">
        <v>1199</v>
      </c>
      <c r="F1277" t="s">
        <v>129</v>
      </c>
      <c r="G1277" t="s">
        <v>4715</v>
      </c>
      <c r="H1277" t="s">
        <v>5499</v>
      </c>
      <c r="I1277" t="s">
        <v>5620</v>
      </c>
      <c r="J1277" t="s">
        <v>5621</v>
      </c>
      <c r="K1277" t="s">
        <v>5622</v>
      </c>
      <c r="L1277" t="s">
        <v>4717</v>
      </c>
    </row>
    <row r="1278">
      <c r="A1278" t="s">
        <v>2537</v>
      </c>
      <c r="B1278" t="s">
        <v>1201</v>
      </c>
      <c r="C1278" t="s">
        <v>958</v>
      </c>
      <c r="D1278" t="s">
        <v>1198</v>
      </c>
      <c r="E1278" t="s">
        <v>1199</v>
      </c>
      <c r="F1278" t="s">
        <v>129</v>
      </c>
      <c r="G1278" t="s">
        <v>4715</v>
      </c>
      <c r="H1278" t="s">
        <v>5623</v>
      </c>
      <c r="I1278" t="s">
        <v>5624</v>
      </c>
      <c r="J1278" t="s">
        <v>5625</v>
      </c>
      <c r="K1278" t="s">
        <v>5626</v>
      </c>
      <c r="L1278" t="s">
        <v>4717</v>
      </c>
    </row>
    <row r="1279">
      <c r="A1279" t="s">
        <v>2537</v>
      </c>
      <c r="B1279" t="s">
        <v>1201</v>
      </c>
      <c r="C1279" t="s">
        <v>958</v>
      </c>
      <c r="D1279" t="s">
        <v>1198</v>
      </c>
      <c r="E1279" t="s">
        <v>1199</v>
      </c>
      <c r="F1279" t="s">
        <v>129</v>
      </c>
      <c r="G1279" t="s">
        <v>4715</v>
      </c>
      <c r="H1279" t="s">
        <v>3904</v>
      </c>
      <c r="I1279" t="s">
        <v>5627</v>
      </c>
      <c r="J1279" t="s">
        <v>5628</v>
      </c>
      <c r="K1279" t="s">
        <v>5629</v>
      </c>
      <c r="L1279" t="s">
        <v>4717</v>
      </c>
    </row>
    <row r="1280">
      <c r="A1280" t="s">
        <v>2537</v>
      </c>
      <c r="B1280" t="s">
        <v>1201</v>
      </c>
      <c r="C1280" t="s">
        <v>958</v>
      </c>
      <c r="D1280" t="s">
        <v>1198</v>
      </c>
      <c r="E1280" t="s">
        <v>1199</v>
      </c>
      <c r="F1280" t="s">
        <v>129</v>
      </c>
      <c r="G1280" t="s">
        <v>4715</v>
      </c>
      <c r="H1280" t="s">
        <v>5630</v>
      </c>
      <c r="I1280" t="s">
        <v>5474</v>
      </c>
      <c r="J1280" t="s">
        <v>5631</v>
      </c>
      <c r="K1280" t="s">
        <v>5632</v>
      </c>
      <c r="L1280" t="s">
        <v>4717</v>
      </c>
    </row>
    <row r="1281">
      <c r="A1281" t="s">
        <v>2537</v>
      </c>
      <c r="B1281" t="s">
        <v>1201</v>
      </c>
      <c r="C1281" t="s">
        <v>958</v>
      </c>
      <c r="D1281" t="s">
        <v>1198</v>
      </c>
      <c r="E1281" t="s">
        <v>1199</v>
      </c>
      <c r="F1281" t="s">
        <v>129</v>
      </c>
      <c r="G1281" t="s">
        <v>4715</v>
      </c>
      <c r="H1281" t="s">
        <v>5170</v>
      </c>
      <c r="I1281" t="s">
        <v>5171</v>
      </c>
      <c r="J1281" t="s">
        <v>5633</v>
      </c>
      <c r="K1281" t="s">
        <v>5634</v>
      </c>
      <c r="L1281" t="s">
        <v>4717</v>
      </c>
    </row>
    <row r="1282">
      <c r="A1282" t="s">
        <v>2537</v>
      </c>
      <c r="B1282" t="s">
        <v>1201</v>
      </c>
      <c r="C1282" t="s">
        <v>958</v>
      </c>
      <c r="D1282" t="s">
        <v>1198</v>
      </c>
      <c r="E1282" t="s">
        <v>1199</v>
      </c>
      <c r="F1282" t="s">
        <v>129</v>
      </c>
      <c r="G1282" t="s">
        <v>4715</v>
      </c>
      <c r="H1282" t="s">
        <v>5157</v>
      </c>
      <c r="I1282" t="s">
        <v>5635</v>
      </c>
      <c r="J1282" t="s">
        <v>5636</v>
      </c>
      <c r="K1282" t="s">
        <v>5637</v>
      </c>
      <c r="L1282" t="s">
        <v>4717</v>
      </c>
    </row>
    <row r="1283">
      <c r="A1283" t="s">
        <v>2537</v>
      </c>
      <c r="B1283" t="s">
        <v>1201</v>
      </c>
      <c r="C1283" t="s">
        <v>958</v>
      </c>
      <c r="D1283" t="s">
        <v>1198</v>
      </c>
      <c r="E1283" t="s">
        <v>1199</v>
      </c>
      <c r="F1283" t="s">
        <v>129</v>
      </c>
      <c r="G1283" t="s">
        <v>4715</v>
      </c>
      <c r="H1283" t="s">
        <v>1221</v>
      </c>
      <c r="I1283" t="s">
        <v>5263</v>
      </c>
      <c r="J1283" t="s">
        <v>5673</v>
      </c>
      <c r="K1283" t="s">
        <v>5674</v>
      </c>
      <c r="L1283" t="s">
        <v>4717</v>
      </c>
    </row>
    <row r="1284">
      <c r="A1284" t="s">
        <v>2537</v>
      </c>
      <c r="B1284" t="s">
        <v>1201</v>
      </c>
      <c r="C1284" t="s">
        <v>958</v>
      </c>
      <c r="D1284" t="s">
        <v>1198</v>
      </c>
      <c r="E1284" t="s">
        <v>1199</v>
      </c>
      <c r="F1284" t="s">
        <v>129</v>
      </c>
      <c r="G1284" t="s">
        <v>4715</v>
      </c>
      <c r="H1284" t="s">
        <v>1221</v>
      </c>
      <c r="I1284" t="s">
        <v>5675</v>
      </c>
      <c r="J1284" t="s">
        <v>5676</v>
      </c>
      <c r="K1284" t="s">
        <v>5677</v>
      </c>
      <c r="L1284" t="s">
        <v>4717</v>
      </c>
    </row>
    <row r="1285">
      <c r="A1285" t="s">
        <v>2537</v>
      </c>
      <c r="B1285" t="s">
        <v>1201</v>
      </c>
      <c r="C1285" t="s">
        <v>958</v>
      </c>
      <c r="D1285" t="s">
        <v>1198</v>
      </c>
      <c r="E1285" t="s">
        <v>1199</v>
      </c>
      <c r="F1285" t="s">
        <v>129</v>
      </c>
      <c r="G1285" t="s">
        <v>4715</v>
      </c>
      <c r="H1285" t="s">
        <v>1221</v>
      </c>
      <c r="I1285" t="s">
        <v>5678</v>
      </c>
      <c r="J1285" t="s">
        <v>5679</v>
      </c>
      <c r="K1285" t="s">
        <v>5680</v>
      </c>
      <c r="L1285" t="s">
        <v>4717</v>
      </c>
    </row>
    <row r="1286">
      <c r="A1286" t="s">
        <v>2537</v>
      </c>
      <c r="B1286" t="s">
        <v>1201</v>
      </c>
      <c r="C1286" t="s">
        <v>958</v>
      </c>
      <c r="D1286" t="s">
        <v>1198</v>
      </c>
      <c r="E1286" t="s">
        <v>1199</v>
      </c>
      <c r="F1286" t="s">
        <v>129</v>
      </c>
      <c r="G1286" t="s">
        <v>4715</v>
      </c>
      <c r="H1286" t="s">
        <v>1277</v>
      </c>
      <c r="I1286" t="s">
        <v>5681</v>
      </c>
      <c r="J1286" t="s">
        <v>5682</v>
      </c>
      <c r="K1286" t="s">
        <v>5683</v>
      </c>
      <c r="L1286" t="s">
        <v>4717</v>
      </c>
    </row>
    <row r="1287">
      <c r="A1287" t="s">
        <v>2537</v>
      </c>
      <c r="B1287" t="s">
        <v>1201</v>
      </c>
      <c r="C1287" t="s">
        <v>958</v>
      </c>
      <c r="D1287" t="s">
        <v>1198</v>
      </c>
      <c r="E1287" t="s">
        <v>1199</v>
      </c>
      <c r="F1287" t="s">
        <v>129</v>
      </c>
      <c r="G1287" t="s">
        <v>4715</v>
      </c>
      <c r="H1287" t="s">
        <v>1277</v>
      </c>
      <c r="I1287" t="s">
        <v>5684</v>
      </c>
      <c r="J1287" t="s">
        <v>5685</v>
      </c>
      <c r="K1287" t="s">
        <v>5686</v>
      </c>
      <c r="L1287" t="s">
        <v>4717</v>
      </c>
    </row>
    <row r="1288">
      <c r="A1288" t="s">
        <v>2537</v>
      </c>
      <c r="B1288" t="s">
        <v>1201</v>
      </c>
      <c r="C1288" t="s">
        <v>958</v>
      </c>
      <c r="D1288" t="s">
        <v>1198</v>
      </c>
      <c r="E1288" t="s">
        <v>1199</v>
      </c>
      <c r="F1288" t="s">
        <v>129</v>
      </c>
      <c r="G1288" t="s">
        <v>4715</v>
      </c>
      <c r="H1288" t="s">
        <v>1310</v>
      </c>
      <c r="I1288" t="s">
        <v>5288</v>
      </c>
      <c r="J1288" t="s">
        <v>5687</v>
      </c>
      <c r="K1288" t="s">
        <v>5688</v>
      </c>
      <c r="L1288" t="s">
        <v>4717</v>
      </c>
    </row>
    <row r="1289">
      <c r="A1289" t="s">
        <v>2537</v>
      </c>
      <c r="B1289" t="s">
        <v>1201</v>
      </c>
      <c r="C1289" t="s">
        <v>958</v>
      </c>
      <c r="D1289" t="s">
        <v>1198</v>
      </c>
      <c r="E1289" t="s">
        <v>1199</v>
      </c>
      <c r="F1289" t="s">
        <v>129</v>
      </c>
      <c r="G1289" t="s">
        <v>4715</v>
      </c>
      <c r="H1289" t="s">
        <v>5522</v>
      </c>
      <c r="I1289" t="s">
        <v>5656</v>
      </c>
      <c r="J1289" t="s">
        <v>5657</v>
      </c>
      <c r="K1289" t="s">
        <v>5658</v>
      </c>
      <c r="L1289" t="s">
        <v>4717</v>
      </c>
    </row>
    <row r="1290">
      <c r="A1290" t="s">
        <v>2541</v>
      </c>
      <c r="B1290" t="s">
        <v>1209</v>
      </c>
      <c r="C1290" t="s">
        <v>958</v>
      </c>
      <c r="D1290" t="s">
        <v>1198</v>
      </c>
      <c r="E1290" t="s">
        <v>1199</v>
      </c>
      <c r="F1290" t="s">
        <v>154</v>
      </c>
      <c r="G1290" t="s">
        <v>4715</v>
      </c>
      <c r="H1290" t="s">
        <v>5041</v>
      </c>
      <c r="I1290" t="s">
        <v>5614</v>
      </c>
      <c r="J1290" t="s">
        <v>5615</v>
      </c>
      <c r="K1290" t="s">
        <v>4169</v>
      </c>
      <c r="L1290" t="s">
        <v>4717</v>
      </c>
    </row>
    <row r="1291">
      <c r="A1291" t="s">
        <v>2541</v>
      </c>
      <c r="B1291" t="s">
        <v>1209</v>
      </c>
      <c r="C1291" t="s">
        <v>958</v>
      </c>
      <c r="D1291" t="s">
        <v>1198</v>
      </c>
      <c r="E1291" t="s">
        <v>1199</v>
      </c>
      <c r="F1291" t="s">
        <v>154</v>
      </c>
      <c r="G1291" t="s">
        <v>4715</v>
      </c>
      <c r="H1291" t="s">
        <v>5616</v>
      </c>
      <c r="I1291" t="s">
        <v>5617</v>
      </c>
      <c r="J1291" t="s">
        <v>5618</v>
      </c>
      <c r="K1291" t="s">
        <v>5619</v>
      </c>
      <c r="L1291" t="s">
        <v>4717</v>
      </c>
    </row>
    <row r="1292">
      <c r="A1292" t="s">
        <v>2541</v>
      </c>
      <c r="B1292" t="s">
        <v>1209</v>
      </c>
      <c r="C1292" t="s">
        <v>958</v>
      </c>
      <c r="D1292" t="s">
        <v>1198</v>
      </c>
      <c r="E1292" t="s">
        <v>1199</v>
      </c>
      <c r="F1292" t="s">
        <v>154</v>
      </c>
      <c r="G1292" t="s">
        <v>4715</v>
      </c>
      <c r="H1292" t="s">
        <v>5499</v>
      </c>
      <c r="I1292" t="s">
        <v>5620</v>
      </c>
      <c r="J1292" t="s">
        <v>5621</v>
      </c>
      <c r="K1292" t="s">
        <v>5622</v>
      </c>
      <c r="L1292" t="s">
        <v>4717</v>
      </c>
    </row>
    <row r="1293">
      <c r="A1293" t="s">
        <v>2541</v>
      </c>
      <c r="B1293" t="s">
        <v>1209</v>
      </c>
      <c r="C1293" t="s">
        <v>958</v>
      </c>
      <c r="D1293" t="s">
        <v>1198</v>
      </c>
      <c r="E1293" t="s">
        <v>1199</v>
      </c>
      <c r="F1293" t="s">
        <v>154</v>
      </c>
      <c r="G1293" t="s">
        <v>4715</v>
      </c>
      <c r="H1293" t="s">
        <v>5623</v>
      </c>
      <c r="I1293" t="s">
        <v>5624</v>
      </c>
      <c r="J1293" t="s">
        <v>5625</v>
      </c>
      <c r="K1293" t="s">
        <v>5626</v>
      </c>
      <c r="L1293" t="s">
        <v>4717</v>
      </c>
    </row>
    <row r="1294">
      <c r="A1294" t="s">
        <v>2541</v>
      </c>
      <c r="B1294" t="s">
        <v>1209</v>
      </c>
      <c r="C1294" t="s">
        <v>958</v>
      </c>
      <c r="D1294" t="s">
        <v>1198</v>
      </c>
      <c r="E1294" t="s">
        <v>1199</v>
      </c>
      <c r="F1294" t="s">
        <v>154</v>
      </c>
      <c r="G1294" t="s">
        <v>4715</v>
      </c>
      <c r="H1294" t="s">
        <v>3904</v>
      </c>
      <c r="I1294" t="s">
        <v>5627</v>
      </c>
      <c r="J1294" t="s">
        <v>5628</v>
      </c>
      <c r="K1294" t="s">
        <v>5629</v>
      </c>
      <c r="L1294" t="s">
        <v>4717</v>
      </c>
    </row>
    <row r="1295">
      <c r="A1295" t="s">
        <v>2541</v>
      </c>
      <c r="B1295" t="s">
        <v>1209</v>
      </c>
      <c r="C1295" t="s">
        <v>958</v>
      </c>
      <c r="D1295" t="s">
        <v>1198</v>
      </c>
      <c r="E1295" t="s">
        <v>1199</v>
      </c>
      <c r="F1295" t="s">
        <v>154</v>
      </c>
      <c r="G1295" t="s">
        <v>4715</v>
      </c>
      <c r="H1295" t="s">
        <v>5630</v>
      </c>
      <c r="I1295" t="s">
        <v>5474</v>
      </c>
      <c r="J1295" t="s">
        <v>5631</v>
      </c>
      <c r="K1295" t="s">
        <v>5632</v>
      </c>
      <c r="L1295" t="s">
        <v>4717</v>
      </c>
    </row>
    <row r="1296">
      <c r="A1296" t="s">
        <v>2541</v>
      </c>
      <c r="B1296" t="s">
        <v>1209</v>
      </c>
      <c r="C1296" t="s">
        <v>958</v>
      </c>
      <c r="D1296" t="s">
        <v>1198</v>
      </c>
      <c r="E1296" t="s">
        <v>1199</v>
      </c>
      <c r="F1296" t="s">
        <v>154</v>
      </c>
      <c r="G1296" t="s">
        <v>4715</v>
      </c>
      <c r="H1296" t="s">
        <v>5170</v>
      </c>
      <c r="I1296" t="s">
        <v>5171</v>
      </c>
      <c r="J1296" t="s">
        <v>5633</v>
      </c>
      <c r="K1296" t="s">
        <v>5634</v>
      </c>
      <c r="L1296" t="s">
        <v>4717</v>
      </c>
    </row>
    <row r="1297">
      <c r="A1297" t="s">
        <v>2541</v>
      </c>
      <c r="B1297" t="s">
        <v>1209</v>
      </c>
      <c r="C1297" t="s">
        <v>958</v>
      </c>
      <c r="D1297" t="s">
        <v>1198</v>
      </c>
      <c r="E1297" t="s">
        <v>1199</v>
      </c>
      <c r="F1297" t="s">
        <v>154</v>
      </c>
      <c r="G1297" t="s">
        <v>4715</v>
      </c>
      <c r="H1297" t="s">
        <v>5157</v>
      </c>
      <c r="I1297" t="s">
        <v>5635</v>
      </c>
      <c r="J1297" t="s">
        <v>5636</v>
      </c>
      <c r="K1297" t="s">
        <v>5637</v>
      </c>
      <c r="L1297" t="s">
        <v>4717</v>
      </c>
    </row>
    <row r="1298">
      <c r="A1298" t="s">
        <v>2541</v>
      </c>
      <c r="B1298" t="s">
        <v>1209</v>
      </c>
      <c r="C1298" t="s">
        <v>958</v>
      </c>
      <c r="D1298" t="s">
        <v>1198</v>
      </c>
      <c r="E1298" t="s">
        <v>1199</v>
      </c>
      <c r="F1298" t="s">
        <v>154</v>
      </c>
      <c r="G1298" t="s">
        <v>4715</v>
      </c>
      <c r="H1298" t="s">
        <v>1221</v>
      </c>
      <c r="I1298" t="s">
        <v>5263</v>
      </c>
      <c r="J1298" t="s">
        <v>5673</v>
      </c>
      <c r="K1298" t="s">
        <v>5674</v>
      </c>
      <c r="L1298" t="s">
        <v>4717</v>
      </c>
    </row>
    <row r="1299">
      <c r="A1299" t="s">
        <v>2541</v>
      </c>
      <c r="B1299" t="s">
        <v>1209</v>
      </c>
      <c r="C1299" t="s">
        <v>958</v>
      </c>
      <c r="D1299" t="s">
        <v>1198</v>
      </c>
      <c r="E1299" t="s">
        <v>1199</v>
      </c>
      <c r="F1299" t="s">
        <v>154</v>
      </c>
      <c r="G1299" t="s">
        <v>4715</v>
      </c>
      <c r="H1299" t="s">
        <v>1221</v>
      </c>
      <c r="I1299" t="s">
        <v>5675</v>
      </c>
      <c r="J1299" t="s">
        <v>5676</v>
      </c>
      <c r="K1299" t="s">
        <v>5677</v>
      </c>
      <c r="L1299" t="s">
        <v>4717</v>
      </c>
    </row>
    <row r="1300">
      <c r="A1300" t="s">
        <v>2541</v>
      </c>
      <c r="B1300" t="s">
        <v>1209</v>
      </c>
      <c r="C1300" t="s">
        <v>958</v>
      </c>
      <c r="D1300" t="s">
        <v>1198</v>
      </c>
      <c r="E1300" t="s">
        <v>1199</v>
      </c>
      <c r="F1300" t="s">
        <v>154</v>
      </c>
      <c r="G1300" t="s">
        <v>4715</v>
      </c>
      <c r="H1300" t="s">
        <v>1221</v>
      </c>
      <c r="I1300" t="s">
        <v>5678</v>
      </c>
      <c r="J1300" t="s">
        <v>5679</v>
      </c>
      <c r="K1300" t="s">
        <v>5680</v>
      </c>
      <c r="L1300" t="s">
        <v>4717</v>
      </c>
    </row>
    <row r="1301">
      <c r="A1301" t="s">
        <v>2541</v>
      </c>
      <c r="B1301" t="s">
        <v>1209</v>
      </c>
      <c r="C1301" t="s">
        <v>958</v>
      </c>
      <c r="D1301" t="s">
        <v>1198</v>
      </c>
      <c r="E1301" t="s">
        <v>1199</v>
      </c>
      <c r="F1301" t="s">
        <v>154</v>
      </c>
      <c r="G1301" t="s">
        <v>4715</v>
      </c>
      <c r="H1301" t="s">
        <v>1277</v>
      </c>
      <c r="I1301" t="s">
        <v>5681</v>
      </c>
      <c r="J1301" t="s">
        <v>5682</v>
      </c>
      <c r="K1301" t="s">
        <v>5683</v>
      </c>
      <c r="L1301" t="s">
        <v>4717</v>
      </c>
    </row>
    <row r="1302">
      <c r="A1302" t="s">
        <v>2541</v>
      </c>
      <c r="B1302" t="s">
        <v>1209</v>
      </c>
      <c r="C1302" t="s">
        <v>958</v>
      </c>
      <c r="D1302" t="s">
        <v>1198</v>
      </c>
      <c r="E1302" t="s">
        <v>1199</v>
      </c>
      <c r="F1302" t="s">
        <v>154</v>
      </c>
      <c r="G1302" t="s">
        <v>4715</v>
      </c>
      <c r="H1302" t="s">
        <v>1277</v>
      </c>
      <c r="I1302" t="s">
        <v>5684</v>
      </c>
      <c r="J1302" t="s">
        <v>5685</v>
      </c>
      <c r="K1302" t="s">
        <v>5686</v>
      </c>
      <c r="L1302" t="s">
        <v>4717</v>
      </c>
    </row>
    <row r="1303">
      <c r="A1303" t="s">
        <v>2541</v>
      </c>
      <c r="B1303" t="s">
        <v>1209</v>
      </c>
      <c r="C1303" t="s">
        <v>958</v>
      </c>
      <c r="D1303" t="s">
        <v>1198</v>
      </c>
      <c r="E1303" t="s">
        <v>1199</v>
      </c>
      <c r="F1303" t="s">
        <v>154</v>
      </c>
      <c r="G1303" t="s">
        <v>4715</v>
      </c>
      <c r="H1303" t="s">
        <v>1310</v>
      </c>
      <c r="I1303" t="s">
        <v>5288</v>
      </c>
      <c r="J1303" t="s">
        <v>5687</v>
      </c>
      <c r="K1303" t="s">
        <v>5688</v>
      </c>
      <c r="L1303" t="s">
        <v>4717</v>
      </c>
    </row>
    <row r="1304">
      <c r="A1304" t="s">
        <v>2541</v>
      </c>
      <c r="B1304" t="s">
        <v>1209</v>
      </c>
      <c r="C1304" t="s">
        <v>958</v>
      </c>
      <c r="D1304" t="s">
        <v>1198</v>
      </c>
      <c r="E1304" t="s">
        <v>1199</v>
      </c>
      <c r="F1304" t="s">
        <v>154</v>
      </c>
      <c r="G1304" t="s">
        <v>4715</v>
      </c>
      <c r="H1304" t="s">
        <v>5522</v>
      </c>
      <c r="I1304" t="s">
        <v>5656</v>
      </c>
      <c r="J1304" t="s">
        <v>5657</v>
      </c>
      <c r="K1304" t="s">
        <v>5658</v>
      </c>
      <c r="L1304" t="s">
        <v>4717</v>
      </c>
    </row>
    <row r="1305">
      <c r="A1305" t="s">
        <v>2544</v>
      </c>
      <c r="B1305" t="s">
        <v>1215</v>
      </c>
      <c r="C1305" t="s">
        <v>958</v>
      </c>
      <c r="D1305" t="s">
        <v>1198</v>
      </c>
      <c r="E1305" t="s">
        <v>1199</v>
      </c>
      <c r="F1305" t="s">
        <v>120</v>
      </c>
      <c r="G1305" t="s">
        <v>4715</v>
      </c>
      <c r="H1305" t="s">
        <v>5041</v>
      </c>
      <c r="I1305" t="s">
        <v>5614</v>
      </c>
      <c r="J1305" t="s">
        <v>5615</v>
      </c>
      <c r="K1305" t="s">
        <v>4169</v>
      </c>
      <c r="L1305" t="s">
        <v>4717</v>
      </c>
    </row>
    <row r="1306">
      <c r="A1306" t="s">
        <v>2544</v>
      </c>
      <c r="B1306" t="s">
        <v>1215</v>
      </c>
      <c r="C1306" t="s">
        <v>958</v>
      </c>
      <c r="D1306" t="s">
        <v>1198</v>
      </c>
      <c r="E1306" t="s">
        <v>1199</v>
      </c>
      <c r="F1306" t="s">
        <v>120</v>
      </c>
      <c r="G1306" t="s">
        <v>4715</v>
      </c>
      <c r="H1306" t="s">
        <v>5616</v>
      </c>
      <c r="I1306" t="s">
        <v>5617</v>
      </c>
      <c r="J1306" t="s">
        <v>5618</v>
      </c>
      <c r="K1306" t="s">
        <v>5619</v>
      </c>
      <c r="L1306" t="s">
        <v>4717</v>
      </c>
    </row>
    <row r="1307">
      <c r="A1307" t="s">
        <v>2544</v>
      </c>
      <c r="B1307" t="s">
        <v>1215</v>
      </c>
      <c r="C1307" t="s">
        <v>958</v>
      </c>
      <c r="D1307" t="s">
        <v>1198</v>
      </c>
      <c r="E1307" t="s">
        <v>1199</v>
      </c>
      <c r="F1307" t="s">
        <v>120</v>
      </c>
      <c r="G1307" t="s">
        <v>4715</v>
      </c>
      <c r="H1307" t="s">
        <v>5499</v>
      </c>
      <c r="I1307" t="s">
        <v>5620</v>
      </c>
      <c r="J1307" t="s">
        <v>5621</v>
      </c>
      <c r="K1307" t="s">
        <v>5622</v>
      </c>
      <c r="L1307" t="s">
        <v>4717</v>
      </c>
    </row>
    <row r="1308">
      <c r="A1308" t="s">
        <v>2544</v>
      </c>
      <c r="B1308" t="s">
        <v>1215</v>
      </c>
      <c r="C1308" t="s">
        <v>958</v>
      </c>
      <c r="D1308" t="s">
        <v>1198</v>
      </c>
      <c r="E1308" t="s">
        <v>1199</v>
      </c>
      <c r="F1308" t="s">
        <v>120</v>
      </c>
      <c r="G1308" t="s">
        <v>4715</v>
      </c>
      <c r="H1308" t="s">
        <v>5623</v>
      </c>
      <c r="I1308" t="s">
        <v>5624</v>
      </c>
      <c r="J1308" t="s">
        <v>5625</v>
      </c>
      <c r="K1308" t="s">
        <v>5626</v>
      </c>
      <c r="L1308" t="s">
        <v>4717</v>
      </c>
    </row>
    <row r="1309">
      <c r="A1309" t="s">
        <v>2544</v>
      </c>
      <c r="B1309" t="s">
        <v>1215</v>
      </c>
      <c r="C1309" t="s">
        <v>958</v>
      </c>
      <c r="D1309" t="s">
        <v>1198</v>
      </c>
      <c r="E1309" t="s">
        <v>1199</v>
      </c>
      <c r="F1309" t="s">
        <v>120</v>
      </c>
      <c r="G1309" t="s">
        <v>4715</v>
      </c>
      <c r="H1309" t="s">
        <v>3904</v>
      </c>
      <c r="I1309" t="s">
        <v>5627</v>
      </c>
      <c r="J1309" t="s">
        <v>5628</v>
      </c>
      <c r="K1309" t="s">
        <v>5629</v>
      </c>
      <c r="L1309" t="s">
        <v>4717</v>
      </c>
    </row>
    <row r="1310">
      <c r="A1310" t="s">
        <v>2544</v>
      </c>
      <c r="B1310" t="s">
        <v>1215</v>
      </c>
      <c r="C1310" t="s">
        <v>958</v>
      </c>
      <c r="D1310" t="s">
        <v>1198</v>
      </c>
      <c r="E1310" t="s">
        <v>1199</v>
      </c>
      <c r="F1310" t="s">
        <v>120</v>
      </c>
      <c r="G1310" t="s">
        <v>4715</v>
      </c>
      <c r="H1310" t="s">
        <v>5630</v>
      </c>
      <c r="I1310" t="s">
        <v>5474</v>
      </c>
      <c r="J1310" t="s">
        <v>5631</v>
      </c>
      <c r="K1310" t="s">
        <v>5632</v>
      </c>
      <c r="L1310" t="s">
        <v>4717</v>
      </c>
    </row>
    <row r="1311">
      <c r="A1311" t="s">
        <v>2544</v>
      </c>
      <c r="B1311" t="s">
        <v>1215</v>
      </c>
      <c r="C1311" t="s">
        <v>958</v>
      </c>
      <c r="D1311" t="s">
        <v>1198</v>
      </c>
      <c r="E1311" t="s">
        <v>1199</v>
      </c>
      <c r="F1311" t="s">
        <v>120</v>
      </c>
      <c r="G1311" t="s">
        <v>4715</v>
      </c>
      <c r="H1311" t="s">
        <v>5170</v>
      </c>
      <c r="I1311" t="s">
        <v>5171</v>
      </c>
      <c r="J1311" t="s">
        <v>5633</v>
      </c>
      <c r="K1311" t="s">
        <v>5634</v>
      </c>
      <c r="L1311" t="s">
        <v>4717</v>
      </c>
    </row>
    <row r="1312">
      <c r="A1312" t="s">
        <v>2544</v>
      </c>
      <c r="B1312" t="s">
        <v>1215</v>
      </c>
      <c r="C1312" t="s">
        <v>958</v>
      </c>
      <c r="D1312" t="s">
        <v>1198</v>
      </c>
      <c r="E1312" t="s">
        <v>1199</v>
      </c>
      <c r="F1312" t="s">
        <v>120</v>
      </c>
      <c r="G1312" t="s">
        <v>4715</v>
      </c>
      <c r="H1312" t="s">
        <v>5157</v>
      </c>
      <c r="I1312" t="s">
        <v>5635</v>
      </c>
      <c r="J1312" t="s">
        <v>5636</v>
      </c>
      <c r="K1312" t="s">
        <v>5637</v>
      </c>
      <c r="L1312" t="s">
        <v>4717</v>
      </c>
    </row>
    <row r="1313">
      <c r="A1313" t="s">
        <v>2544</v>
      </c>
      <c r="B1313" t="s">
        <v>1215</v>
      </c>
      <c r="C1313" t="s">
        <v>958</v>
      </c>
      <c r="D1313" t="s">
        <v>1198</v>
      </c>
      <c r="E1313" t="s">
        <v>1199</v>
      </c>
      <c r="F1313" t="s">
        <v>120</v>
      </c>
      <c r="G1313" t="s">
        <v>4715</v>
      </c>
      <c r="H1313" t="s">
        <v>1221</v>
      </c>
      <c r="I1313" t="s">
        <v>5263</v>
      </c>
      <c r="J1313" t="s">
        <v>5673</v>
      </c>
      <c r="K1313" t="s">
        <v>5674</v>
      </c>
      <c r="L1313" t="s">
        <v>4717</v>
      </c>
    </row>
    <row r="1314">
      <c r="A1314" t="s">
        <v>2544</v>
      </c>
      <c r="B1314" t="s">
        <v>1215</v>
      </c>
      <c r="C1314" t="s">
        <v>958</v>
      </c>
      <c r="D1314" t="s">
        <v>1198</v>
      </c>
      <c r="E1314" t="s">
        <v>1199</v>
      </c>
      <c r="F1314" t="s">
        <v>120</v>
      </c>
      <c r="G1314" t="s">
        <v>4715</v>
      </c>
      <c r="H1314" t="s">
        <v>1221</v>
      </c>
      <c r="I1314" t="s">
        <v>5675</v>
      </c>
      <c r="J1314" t="s">
        <v>5676</v>
      </c>
      <c r="K1314" t="s">
        <v>5677</v>
      </c>
      <c r="L1314" t="s">
        <v>4717</v>
      </c>
    </row>
    <row r="1315">
      <c r="A1315" t="s">
        <v>2544</v>
      </c>
      <c r="B1315" t="s">
        <v>1215</v>
      </c>
      <c r="C1315" t="s">
        <v>958</v>
      </c>
      <c r="D1315" t="s">
        <v>1198</v>
      </c>
      <c r="E1315" t="s">
        <v>1199</v>
      </c>
      <c r="F1315" t="s">
        <v>120</v>
      </c>
      <c r="G1315" t="s">
        <v>4715</v>
      </c>
      <c r="H1315" t="s">
        <v>1221</v>
      </c>
      <c r="I1315" t="s">
        <v>5678</v>
      </c>
      <c r="J1315" t="s">
        <v>5679</v>
      </c>
      <c r="K1315" t="s">
        <v>5680</v>
      </c>
      <c r="L1315" t="s">
        <v>4717</v>
      </c>
    </row>
    <row r="1316">
      <c r="A1316" t="s">
        <v>2544</v>
      </c>
      <c r="B1316" t="s">
        <v>1215</v>
      </c>
      <c r="C1316" t="s">
        <v>958</v>
      </c>
      <c r="D1316" t="s">
        <v>1198</v>
      </c>
      <c r="E1316" t="s">
        <v>1199</v>
      </c>
      <c r="F1316" t="s">
        <v>120</v>
      </c>
      <c r="G1316" t="s">
        <v>4715</v>
      </c>
      <c r="H1316" t="s">
        <v>1277</v>
      </c>
      <c r="I1316" t="s">
        <v>5681</v>
      </c>
      <c r="J1316" t="s">
        <v>5682</v>
      </c>
      <c r="K1316" t="s">
        <v>5683</v>
      </c>
      <c r="L1316" t="s">
        <v>4717</v>
      </c>
    </row>
    <row r="1317">
      <c r="A1317" t="s">
        <v>2544</v>
      </c>
      <c r="B1317" t="s">
        <v>1215</v>
      </c>
      <c r="C1317" t="s">
        <v>958</v>
      </c>
      <c r="D1317" t="s">
        <v>1198</v>
      </c>
      <c r="E1317" t="s">
        <v>1199</v>
      </c>
      <c r="F1317" t="s">
        <v>120</v>
      </c>
      <c r="G1317" t="s">
        <v>4715</v>
      </c>
      <c r="H1317" t="s">
        <v>1277</v>
      </c>
      <c r="I1317" t="s">
        <v>5684</v>
      </c>
      <c r="J1317" t="s">
        <v>5685</v>
      </c>
      <c r="K1317" t="s">
        <v>5686</v>
      </c>
      <c r="L1317" t="s">
        <v>4717</v>
      </c>
    </row>
    <row r="1318">
      <c r="A1318" t="s">
        <v>2544</v>
      </c>
      <c r="B1318" t="s">
        <v>1215</v>
      </c>
      <c r="C1318" t="s">
        <v>958</v>
      </c>
      <c r="D1318" t="s">
        <v>1198</v>
      </c>
      <c r="E1318" t="s">
        <v>1199</v>
      </c>
      <c r="F1318" t="s">
        <v>120</v>
      </c>
      <c r="G1318" t="s">
        <v>4715</v>
      </c>
      <c r="H1318" t="s">
        <v>1310</v>
      </c>
      <c r="I1318" t="s">
        <v>5288</v>
      </c>
      <c r="J1318" t="s">
        <v>5687</v>
      </c>
      <c r="K1318" t="s">
        <v>5688</v>
      </c>
      <c r="L1318" t="s">
        <v>4717</v>
      </c>
    </row>
    <row r="1319">
      <c r="A1319" t="s">
        <v>2544</v>
      </c>
      <c r="B1319" t="s">
        <v>1215</v>
      </c>
      <c r="C1319" t="s">
        <v>958</v>
      </c>
      <c r="D1319" t="s">
        <v>1198</v>
      </c>
      <c r="E1319" t="s">
        <v>1199</v>
      </c>
      <c r="F1319" t="s">
        <v>120</v>
      </c>
      <c r="G1319" t="s">
        <v>4715</v>
      </c>
      <c r="H1319" t="s">
        <v>5522</v>
      </c>
      <c r="I1319" t="s">
        <v>5656</v>
      </c>
      <c r="J1319" t="s">
        <v>5657</v>
      </c>
      <c r="K1319" t="s">
        <v>5658</v>
      </c>
      <c r="L1319" t="s">
        <v>4717</v>
      </c>
    </row>
    <row r="1320">
      <c r="A1320" t="s">
        <v>2547</v>
      </c>
      <c r="B1320" t="s">
        <v>1223</v>
      </c>
      <c r="C1320" t="s">
        <v>958</v>
      </c>
      <c r="D1320" t="s">
        <v>1198</v>
      </c>
      <c r="E1320" t="s">
        <v>1221</v>
      </c>
      <c r="F1320" t="s">
        <v>154</v>
      </c>
      <c r="G1320" t="s">
        <v>4715</v>
      </c>
      <c r="H1320" t="s">
        <v>5041</v>
      </c>
      <c r="I1320" t="s">
        <v>5614</v>
      </c>
      <c r="J1320" t="s">
        <v>5615</v>
      </c>
      <c r="K1320" t="s">
        <v>4169</v>
      </c>
      <c r="L1320" t="s">
        <v>4717</v>
      </c>
    </row>
    <row r="1321">
      <c r="A1321" t="s">
        <v>2547</v>
      </c>
      <c r="B1321" t="s">
        <v>1223</v>
      </c>
      <c r="C1321" t="s">
        <v>958</v>
      </c>
      <c r="D1321" t="s">
        <v>1198</v>
      </c>
      <c r="E1321" t="s">
        <v>1221</v>
      </c>
      <c r="F1321" t="s">
        <v>154</v>
      </c>
      <c r="G1321" t="s">
        <v>4715</v>
      </c>
      <c r="H1321" t="s">
        <v>5616</v>
      </c>
      <c r="I1321" t="s">
        <v>5617</v>
      </c>
      <c r="J1321" t="s">
        <v>5618</v>
      </c>
      <c r="K1321" t="s">
        <v>5619</v>
      </c>
      <c r="L1321" t="s">
        <v>4717</v>
      </c>
    </row>
    <row r="1322">
      <c r="A1322" t="s">
        <v>2547</v>
      </c>
      <c r="B1322" t="s">
        <v>1223</v>
      </c>
      <c r="C1322" t="s">
        <v>958</v>
      </c>
      <c r="D1322" t="s">
        <v>1198</v>
      </c>
      <c r="E1322" t="s">
        <v>1221</v>
      </c>
      <c r="F1322" t="s">
        <v>154</v>
      </c>
      <c r="G1322" t="s">
        <v>4715</v>
      </c>
      <c r="H1322" t="s">
        <v>5499</v>
      </c>
      <c r="I1322" t="s">
        <v>5620</v>
      </c>
      <c r="J1322" t="s">
        <v>5621</v>
      </c>
      <c r="K1322" t="s">
        <v>5622</v>
      </c>
      <c r="L1322" t="s">
        <v>4717</v>
      </c>
    </row>
    <row r="1323">
      <c r="A1323" t="s">
        <v>2547</v>
      </c>
      <c r="B1323" t="s">
        <v>1223</v>
      </c>
      <c r="C1323" t="s">
        <v>958</v>
      </c>
      <c r="D1323" t="s">
        <v>1198</v>
      </c>
      <c r="E1323" t="s">
        <v>1221</v>
      </c>
      <c r="F1323" t="s">
        <v>154</v>
      </c>
      <c r="G1323" t="s">
        <v>4715</v>
      </c>
      <c r="H1323" t="s">
        <v>5623</v>
      </c>
      <c r="I1323" t="s">
        <v>5624</v>
      </c>
      <c r="J1323" t="s">
        <v>5625</v>
      </c>
      <c r="K1323" t="s">
        <v>5626</v>
      </c>
      <c r="L1323" t="s">
        <v>4717</v>
      </c>
    </row>
    <row r="1324">
      <c r="A1324" t="s">
        <v>2547</v>
      </c>
      <c r="B1324" t="s">
        <v>1223</v>
      </c>
      <c r="C1324" t="s">
        <v>958</v>
      </c>
      <c r="D1324" t="s">
        <v>1198</v>
      </c>
      <c r="E1324" t="s">
        <v>1221</v>
      </c>
      <c r="F1324" t="s">
        <v>154</v>
      </c>
      <c r="G1324" t="s">
        <v>4715</v>
      </c>
      <c r="H1324" t="s">
        <v>3904</v>
      </c>
      <c r="I1324" t="s">
        <v>5627</v>
      </c>
      <c r="J1324" t="s">
        <v>5628</v>
      </c>
      <c r="K1324" t="s">
        <v>5629</v>
      </c>
      <c r="L1324" t="s">
        <v>4717</v>
      </c>
    </row>
    <row r="1325">
      <c r="A1325" t="s">
        <v>2547</v>
      </c>
      <c r="B1325" t="s">
        <v>1223</v>
      </c>
      <c r="C1325" t="s">
        <v>958</v>
      </c>
      <c r="D1325" t="s">
        <v>1198</v>
      </c>
      <c r="E1325" t="s">
        <v>1221</v>
      </c>
      <c r="F1325" t="s">
        <v>154</v>
      </c>
      <c r="G1325" t="s">
        <v>4715</v>
      </c>
      <c r="H1325" t="s">
        <v>5630</v>
      </c>
      <c r="I1325" t="s">
        <v>5474</v>
      </c>
      <c r="J1325" t="s">
        <v>5631</v>
      </c>
      <c r="K1325" t="s">
        <v>5632</v>
      </c>
      <c r="L1325" t="s">
        <v>4717</v>
      </c>
    </row>
    <row r="1326">
      <c r="A1326" t="s">
        <v>2547</v>
      </c>
      <c r="B1326" t="s">
        <v>1223</v>
      </c>
      <c r="C1326" t="s">
        <v>958</v>
      </c>
      <c r="D1326" t="s">
        <v>1198</v>
      </c>
      <c r="E1326" t="s">
        <v>1221</v>
      </c>
      <c r="F1326" t="s">
        <v>154</v>
      </c>
      <c r="G1326" t="s">
        <v>4715</v>
      </c>
      <c r="H1326" t="s">
        <v>5170</v>
      </c>
      <c r="I1326" t="s">
        <v>5171</v>
      </c>
      <c r="J1326" t="s">
        <v>5633</v>
      </c>
      <c r="K1326" t="s">
        <v>5634</v>
      </c>
      <c r="L1326" t="s">
        <v>4717</v>
      </c>
    </row>
    <row r="1327">
      <c r="A1327" t="s">
        <v>2547</v>
      </c>
      <c r="B1327" t="s">
        <v>1223</v>
      </c>
      <c r="C1327" t="s">
        <v>958</v>
      </c>
      <c r="D1327" t="s">
        <v>1198</v>
      </c>
      <c r="E1327" t="s">
        <v>1221</v>
      </c>
      <c r="F1327" t="s">
        <v>154</v>
      </c>
      <c r="G1327" t="s">
        <v>4715</v>
      </c>
      <c r="H1327" t="s">
        <v>5157</v>
      </c>
      <c r="I1327" t="s">
        <v>5635</v>
      </c>
      <c r="J1327" t="s">
        <v>5636</v>
      </c>
      <c r="K1327" t="s">
        <v>5637</v>
      </c>
      <c r="L1327" t="s">
        <v>4717</v>
      </c>
    </row>
    <row r="1328">
      <c r="A1328" t="s">
        <v>2547</v>
      </c>
      <c r="B1328" t="s">
        <v>1223</v>
      </c>
      <c r="C1328" t="s">
        <v>958</v>
      </c>
      <c r="D1328" t="s">
        <v>1198</v>
      </c>
      <c r="E1328" t="s">
        <v>1221</v>
      </c>
      <c r="F1328" t="s">
        <v>154</v>
      </c>
      <c r="G1328" t="s">
        <v>4715</v>
      </c>
      <c r="H1328" t="s">
        <v>1221</v>
      </c>
      <c r="I1328" t="s">
        <v>5263</v>
      </c>
      <c r="J1328" t="s">
        <v>5673</v>
      </c>
      <c r="K1328" t="s">
        <v>5674</v>
      </c>
      <c r="L1328" t="s">
        <v>4717</v>
      </c>
    </row>
    <row r="1329">
      <c r="A1329" t="s">
        <v>2547</v>
      </c>
      <c r="B1329" t="s">
        <v>1223</v>
      </c>
      <c r="C1329" t="s">
        <v>958</v>
      </c>
      <c r="D1329" t="s">
        <v>1198</v>
      </c>
      <c r="E1329" t="s">
        <v>1221</v>
      </c>
      <c r="F1329" t="s">
        <v>154</v>
      </c>
      <c r="G1329" t="s">
        <v>4715</v>
      </c>
      <c r="H1329" t="s">
        <v>1221</v>
      </c>
      <c r="I1329" t="s">
        <v>5675</v>
      </c>
      <c r="J1329" t="s">
        <v>5676</v>
      </c>
      <c r="K1329" t="s">
        <v>5677</v>
      </c>
      <c r="L1329" t="s">
        <v>4717</v>
      </c>
    </row>
    <row r="1330">
      <c r="A1330" t="s">
        <v>2547</v>
      </c>
      <c r="B1330" t="s">
        <v>1223</v>
      </c>
      <c r="C1330" t="s">
        <v>958</v>
      </c>
      <c r="D1330" t="s">
        <v>1198</v>
      </c>
      <c r="E1330" t="s">
        <v>1221</v>
      </c>
      <c r="F1330" t="s">
        <v>154</v>
      </c>
      <c r="G1330" t="s">
        <v>4715</v>
      </c>
      <c r="H1330" t="s">
        <v>1221</v>
      </c>
      <c r="I1330" t="s">
        <v>5678</v>
      </c>
      <c r="J1330" t="s">
        <v>5679</v>
      </c>
      <c r="K1330" t="s">
        <v>5680</v>
      </c>
      <c r="L1330" t="s">
        <v>4717</v>
      </c>
    </row>
    <row r="1331">
      <c r="A1331" t="s">
        <v>2547</v>
      </c>
      <c r="B1331" t="s">
        <v>1223</v>
      </c>
      <c r="C1331" t="s">
        <v>958</v>
      </c>
      <c r="D1331" t="s">
        <v>1198</v>
      </c>
      <c r="E1331" t="s">
        <v>1221</v>
      </c>
      <c r="F1331" t="s">
        <v>154</v>
      </c>
      <c r="G1331" t="s">
        <v>4715</v>
      </c>
      <c r="H1331" t="s">
        <v>1277</v>
      </c>
      <c r="I1331" t="s">
        <v>5681</v>
      </c>
      <c r="J1331" t="s">
        <v>5682</v>
      </c>
      <c r="K1331" t="s">
        <v>5683</v>
      </c>
      <c r="L1331" t="s">
        <v>4717</v>
      </c>
    </row>
    <row r="1332">
      <c r="A1332" t="s">
        <v>2547</v>
      </c>
      <c r="B1332" t="s">
        <v>1223</v>
      </c>
      <c r="C1332" t="s">
        <v>958</v>
      </c>
      <c r="D1332" t="s">
        <v>1198</v>
      </c>
      <c r="E1332" t="s">
        <v>1221</v>
      </c>
      <c r="F1332" t="s">
        <v>154</v>
      </c>
      <c r="G1332" t="s">
        <v>4715</v>
      </c>
      <c r="H1332" t="s">
        <v>1277</v>
      </c>
      <c r="I1332" t="s">
        <v>5684</v>
      </c>
      <c r="J1332" t="s">
        <v>5685</v>
      </c>
      <c r="K1332" t="s">
        <v>5686</v>
      </c>
      <c r="L1332" t="s">
        <v>4717</v>
      </c>
    </row>
    <row r="1333">
      <c r="A1333" t="s">
        <v>2547</v>
      </c>
      <c r="B1333" t="s">
        <v>1223</v>
      </c>
      <c r="C1333" t="s">
        <v>958</v>
      </c>
      <c r="D1333" t="s">
        <v>1198</v>
      </c>
      <c r="E1333" t="s">
        <v>1221</v>
      </c>
      <c r="F1333" t="s">
        <v>154</v>
      </c>
      <c r="G1333" t="s">
        <v>4715</v>
      </c>
      <c r="H1333" t="s">
        <v>1310</v>
      </c>
      <c r="I1333" t="s">
        <v>5288</v>
      </c>
      <c r="J1333" t="s">
        <v>5687</v>
      </c>
      <c r="K1333" t="s">
        <v>5688</v>
      </c>
      <c r="L1333" t="s">
        <v>4717</v>
      </c>
    </row>
    <row r="1334">
      <c r="A1334" t="s">
        <v>2547</v>
      </c>
      <c r="B1334" t="s">
        <v>1223</v>
      </c>
      <c r="C1334" t="s">
        <v>958</v>
      </c>
      <c r="D1334" t="s">
        <v>1198</v>
      </c>
      <c r="E1334" t="s">
        <v>1221</v>
      </c>
      <c r="F1334" t="s">
        <v>154</v>
      </c>
      <c r="G1334" t="s">
        <v>4715</v>
      </c>
      <c r="H1334" t="s">
        <v>5522</v>
      </c>
      <c r="I1334" t="s">
        <v>5656</v>
      </c>
      <c r="J1334" t="s">
        <v>5657</v>
      </c>
      <c r="K1334" t="s">
        <v>5658</v>
      </c>
      <c r="L1334" t="s">
        <v>4717</v>
      </c>
    </row>
    <row r="1335">
      <c r="A1335" t="s">
        <v>2550</v>
      </c>
      <c r="B1335" t="s">
        <v>1229</v>
      </c>
      <c r="C1335" t="s">
        <v>958</v>
      </c>
      <c r="D1335" t="s">
        <v>1198</v>
      </c>
      <c r="E1335" t="s">
        <v>1221</v>
      </c>
      <c r="F1335" t="s">
        <v>154</v>
      </c>
      <c r="G1335" t="s">
        <v>4715</v>
      </c>
      <c r="H1335" t="s">
        <v>5041</v>
      </c>
      <c r="I1335" t="s">
        <v>5614</v>
      </c>
      <c r="J1335" t="s">
        <v>5615</v>
      </c>
      <c r="K1335" t="s">
        <v>4169</v>
      </c>
      <c r="L1335" t="s">
        <v>4717</v>
      </c>
    </row>
    <row r="1336">
      <c r="A1336" t="s">
        <v>2550</v>
      </c>
      <c r="B1336" t="s">
        <v>1229</v>
      </c>
      <c r="C1336" t="s">
        <v>958</v>
      </c>
      <c r="D1336" t="s">
        <v>1198</v>
      </c>
      <c r="E1336" t="s">
        <v>1221</v>
      </c>
      <c r="F1336" t="s">
        <v>154</v>
      </c>
      <c r="G1336" t="s">
        <v>4715</v>
      </c>
      <c r="H1336" t="s">
        <v>5616</v>
      </c>
      <c r="I1336" t="s">
        <v>5617</v>
      </c>
      <c r="J1336" t="s">
        <v>5618</v>
      </c>
      <c r="K1336" t="s">
        <v>5619</v>
      </c>
      <c r="L1336" t="s">
        <v>4717</v>
      </c>
    </row>
    <row r="1337">
      <c r="A1337" t="s">
        <v>2550</v>
      </c>
      <c r="B1337" t="s">
        <v>1229</v>
      </c>
      <c r="C1337" t="s">
        <v>958</v>
      </c>
      <c r="D1337" t="s">
        <v>1198</v>
      </c>
      <c r="E1337" t="s">
        <v>1221</v>
      </c>
      <c r="F1337" t="s">
        <v>154</v>
      </c>
      <c r="G1337" t="s">
        <v>4715</v>
      </c>
      <c r="H1337" t="s">
        <v>5499</v>
      </c>
      <c r="I1337" t="s">
        <v>5620</v>
      </c>
      <c r="J1337" t="s">
        <v>5621</v>
      </c>
      <c r="K1337" t="s">
        <v>5622</v>
      </c>
      <c r="L1337" t="s">
        <v>4717</v>
      </c>
    </row>
    <row r="1338">
      <c r="A1338" t="s">
        <v>2550</v>
      </c>
      <c r="B1338" t="s">
        <v>1229</v>
      </c>
      <c r="C1338" t="s">
        <v>958</v>
      </c>
      <c r="D1338" t="s">
        <v>1198</v>
      </c>
      <c r="E1338" t="s">
        <v>1221</v>
      </c>
      <c r="F1338" t="s">
        <v>154</v>
      </c>
      <c r="G1338" t="s">
        <v>4715</v>
      </c>
      <c r="H1338" t="s">
        <v>5623</v>
      </c>
      <c r="I1338" t="s">
        <v>5624</v>
      </c>
      <c r="J1338" t="s">
        <v>5625</v>
      </c>
      <c r="K1338" t="s">
        <v>5626</v>
      </c>
      <c r="L1338" t="s">
        <v>4717</v>
      </c>
    </row>
    <row r="1339">
      <c r="A1339" t="s">
        <v>2550</v>
      </c>
      <c r="B1339" t="s">
        <v>1229</v>
      </c>
      <c r="C1339" t="s">
        <v>958</v>
      </c>
      <c r="D1339" t="s">
        <v>1198</v>
      </c>
      <c r="E1339" t="s">
        <v>1221</v>
      </c>
      <c r="F1339" t="s">
        <v>154</v>
      </c>
      <c r="G1339" t="s">
        <v>4715</v>
      </c>
      <c r="H1339" t="s">
        <v>3904</v>
      </c>
      <c r="I1339" t="s">
        <v>5627</v>
      </c>
      <c r="J1339" t="s">
        <v>5628</v>
      </c>
      <c r="K1339" t="s">
        <v>5629</v>
      </c>
      <c r="L1339" t="s">
        <v>4717</v>
      </c>
    </row>
    <row r="1340">
      <c r="A1340" t="s">
        <v>2550</v>
      </c>
      <c r="B1340" t="s">
        <v>1229</v>
      </c>
      <c r="C1340" t="s">
        <v>958</v>
      </c>
      <c r="D1340" t="s">
        <v>1198</v>
      </c>
      <c r="E1340" t="s">
        <v>1221</v>
      </c>
      <c r="F1340" t="s">
        <v>154</v>
      </c>
      <c r="G1340" t="s">
        <v>4715</v>
      </c>
      <c r="H1340" t="s">
        <v>5630</v>
      </c>
      <c r="I1340" t="s">
        <v>5474</v>
      </c>
      <c r="J1340" t="s">
        <v>5631</v>
      </c>
      <c r="K1340" t="s">
        <v>5632</v>
      </c>
      <c r="L1340" t="s">
        <v>4717</v>
      </c>
    </row>
    <row r="1341">
      <c r="A1341" t="s">
        <v>2550</v>
      </c>
      <c r="B1341" t="s">
        <v>1229</v>
      </c>
      <c r="C1341" t="s">
        <v>958</v>
      </c>
      <c r="D1341" t="s">
        <v>1198</v>
      </c>
      <c r="E1341" t="s">
        <v>1221</v>
      </c>
      <c r="F1341" t="s">
        <v>154</v>
      </c>
      <c r="G1341" t="s">
        <v>4715</v>
      </c>
      <c r="H1341" t="s">
        <v>5170</v>
      </c>
      <c r="I1341" t="s">
        <v>5171</v>
      </c>
      <c r="J1341" t="s">
        <v>5633</v>
      </c>
      <c r="K1341" t="s">
        <v>5634</v>
      </c>
      <c r="L1341" t="s">
        <v>4717</v>
      </c>
    </row>
    <row r="1342">
      <c r="A1342" t="s">
        <v>2550</v>
      </c>
      <c r="B1342" t="s">
        <v>1229</v>
      </c>
      <c r="C1342" t="s">
        <v>958</v>
      </c>
      <c r="D1342" t="s">
        <v>1198</v>
      </c>
      <c r="E1342" t="s">
        <v>1221</v>
      </c>
      <c r="F1342" t="s">
        <v>154</v>
      </c>
      <c r="G1342" t="s">
        <v>4715</v>
      </c>
      <c r="H1342" t="s">
        <v>5157</v>
      </c>
      <c r="I1342" t="s">
        <v>5635</v>
      </c>
      <c r="J1342" t="s">
        <v>5636</v>
      </c>
      <c r="K1342" t="s">
        <v>5637</v>
      </c>
      <c r="L1342" t="s">
        <v>4717</v>
      </c>
    </row>
    <row r="1343">
      <c r="A1343" t="s">
        <v>2550</v>
      </c>
      <c r="B1343" t="s">
        <v>1229</v>
      </c>
      <c r="C1343" t="s">
        <v>958</v>
      </c>
      <c r="D1343" t="s">
        <v>1198</v>
      </c>
      <c r="E1343" t="s">
        <v>1221</v>
      </c>
      <c r="F1343" t="s">
        <v>154</v>
      </c>
      <c r="G1343" t="s">
        <v>4715</v>
      </c>
      <c r="H1343" t="s">
        <v>1221</v>
      </c>
      <c r="I1343" t="s">
        <v>5263</v>
      </c>
      <c r="J1343" t="s">
        <v>5673</v>
      </c>
      <c r="K1343" t="s">
        <v>5674</v>
      </c>
      <c r="L1343" t="s">
        <v>4717</v>
      </c>
    </row>
    <row r="1344">
      <c r="A1344" t="s">
        <v>2550</v>
      </c>
      <c r="B1344" t="s">
        <v>1229</v>
      </c>
      <c r="C1344" t="s">
        <v>958</v>
      </c>
      <c r="D1344" t="s">
        <v>1198</v>
      </c>
      <c r="E1344" t="s">
        <v>1221</v>
      </c>
      <c r="F1344" t="s">
        <v>154</v>
      </c>
      <c r="G1344" t="s">
        <v>4715</v>
      </c>
      <c r="H1344" t="s">
        <v>1221</v>
      </c>
      <c r="I1344" t="s">
        <v>5675</v>
      </c>
      <c r="J1344" t="s">
        <v>5676</v>
      </c>
      <c r="K1344" t="s">
        <v>5677</v>
      </c>
      <c r="L1344" t="s">
        <v>4717</v>
      </c>
    </row>
    <row r="1345">
      <c r="A1345" t="s">
        <v>2550</v>
      </c>
      <c r="B1345" t="s">
        <v>1229</v>
      </c>
      <c r="C1345" t="s">
        <v>958</v>
      </c>
      <c r="D1345" t="s">
        <v>1198</v>
      </c>
      <c r="E1345" t="s">
        <v>1221</v>
      </c>
      <c r="F1345" t="s">
        <v>154</v>
      </c>
      <c r="G1345" t="s">
        <v>4715</v>
      </c>
      <c r="H1345" t="s">
        <v>1221</v>
      </c>
      <c r="I1345" t="s">
        <v>5678</v>
      </c>
      <c r="J1345" t="s">
        <v>5679</v>
      </c>
      <c r="K1345" t="s">
        <v>5680</v>
      </c>
      <c r="L1345" t="s">
        <v>4717</v>
      </c>
    </row>
    <row r="1346">
      <c r="A1346" t="s">
        <v>2550</v>
      </c>
      <c r="B1346" t="s">
        <v>1229</v>
      </c>
      <c r="C1346" t="s">
        <v>958</v>
      </c>
      <c r="D1346" t="s">
        <v>1198</v>
      </c>
      <c r="E1346" t="s">
        <v>1221</v>
      </c>
      <c r="F1346" t="s">
        <v>154</v>
      </c>
      <c r="G1346" t="s">
        <v>4715</v>
      </c>
      <c r="H1346" t="s">
        <v>1277</v>
      </c>
      <c r="I1346" t="s">
        <v>5681</v>
      </c>
      <c r="J1346" t="s">
        <v>5682</v>
      </c>
      <c r="K1346" t="s">
        <v>5683</v>
      </c>
      <c r="L1346" t="s">
        <v>4717</v>
      </c>
    </row>
    <row r="1347">
      <c r="A1347" t="s">
        <v>2550</v>
      </c>
      <c r="B1347" t="s">
        <v>1229</v>
      </c>
      <c r="C1347" t="s">
        <v>958</v>
      </c>
      <c r="D1347" t="s">
        <v>1198</v>
      </c>
      <c r="E1347" t="s">
        <v>1221</v>
      </c>
      <c r="F1347" t="s">
        <v>154</v>
      </c>
      <c r="G1347" t="s">
        <v>4715</v>
      </c>
      <c r="H1347" t="s">
        <v>1277</v>
      </c>
      <c r="I1347" t="s">
        <v>5684</v>
      </c>
      <c r="J1347" t="s">
        <v>5685</v>
      </c>
      <c r="K1347" t="s">
        <v>5686</v>
      </c>
      <c r="L1347" t="s">
        <v>4717</v>
      </c>
    </row>
    <row r="1348">
      <c r="A1348" t="s">
        <v>2550</v>
      </c>
      <c r="B1348" t="s">
        <v>1229</v>
      </c>
      <c r="C1348" t="s">
        <v>958</v>
      </c>
      <c r="D1348" t="s">
        <v>1198</v>
      </c>
      <c r="E1348" t="s">
        <v>1221</v>
      </c>
      <c r="F1348" t="s">
        <v>154</v>
      </c>
      <c r="G1348" t="s">
        <v>4715</v>
      </c>
      <c r="H1348" t="s">
        <v>1310</v>
      </c>
      <c r="I1348" t="s">
        <v>5288</v>
      </c>
      <c r="J1348" t="s">
        <v>5687</v>
      </c>
      <c r="K1348" t="s">
        <v>5688</v>
      </c>
      <c r="L1348" t="s">
        <v>4717</v>
      </c>
    </row>
    <row r="1349">
      <c r="A1349" t="s">
        <v>2550</v>
      </c>
      <c r="B1349" t="s">
        <v>1229</v>
      </c>
      <c r="C1349" t="s">
        <v>958</v>
      </c>
      <c r="D1349" t="s">
        <v>1198</v>
      </c>
      <c r="E1349" t="s">
        <v>1221</v>
      </c>
      <c r="F1349" t="s">
        <v>154</v>
      </c>
      <c r="G1349" t="s">
        <v>4715</v>
      </c>
      <c r="H1349" t="s">
        <v>5522</v>
      </c>
      <c r="I1349" t="s">
        <v>5656</v>
      </c>
      <c r="J1349" t="s">
        <v>5657</v>
      </c>
      <c r="K1349" t="s">
        <v>5658</v>
      </c>
      <c r="L1349" t="s">
        <v>4717</v>
      </c>
    </row>
    <row r="1350">
      <c r="A1350" t="s">
        <v>2553</v>
      </c>
      <c r="B1350" t="s">
        <v>1235</v>
      </c>
      <c r="C1350" t="s">
        <v>958</v>
      </c>
      <c r="D1350" t="s">
        <v>1198</v>
      </c>
      <c r="E1350" t="s">
        <v>1221</v>
      </c>
      <c r="F1350" t="s">
        <v>120</v>
      </c>
      <c r="G1350" t="s">
        <v>4715</v>
      </c>
      <c r="H1350" t="s">
        <v>5041</v>
      </c>
      <c r="I1350" t="s">
        <v>5614</v>
      </c>
      <c r="J1350" t="s">
        <v>5615</v>
      </c>
      <c r="K1350" t="s">
        <v>4169</v>
      </c>
      <c r="L1350" t="s">
        <v>4717</v>
      </c>
    </row>
    <row r="1351">
      <c r="A1351" t="s">
        <v>2553</v>
      </c>
      <c r="B1351" t="s">
        <v>1235</v>
      </c>
      <c r="C1351" t="s">
        <v>958</v>
      </c>
      <c r="D1351" t="s">
        <v>1198</v>
      </c>
      <c r="E1351" t="s">
        <v>1221</v>
      </c>
      <c r="F1351" t="s">
        <v>120</v>
      </c>
      <c r="G1351" t="s">
        <v>4715</v>
      </c>
      <c r="H1351" t="s">
        <v>5616</v>
      </c>
      <c r="I1351" t="s">
        <v>5617</v>
      </c>
      <c r="J1351" t="s">
        <v>5618</v>
      </c>
      <c r="K1351" t="s">
        <v>5619</v>
      </c>
      <c r="L1351" t="s">
        <v>4717</v>
      </c>
    </row>
    <row r="1352">
      <c r="A1352" t="s">
        <v>2553</v>
      </c>
      <c r="B1352" t="s">
        <v>1235</v>
      </c>
      <c r="C1352" t="s">
        <v>958</v>
      </c>
      <c r="D1352" t="s">
        <v>1198</v>
      </c>
      <c r="E1352" t="s">
        <v>1221</v>
      </c>
      <c r="F1352" t="s">
        <v>120</v>
      </c>
      <c r="G1352" t="s">
        <v>4715</v>
      </c>
      <c r="H1352" t="s">
        <v>5499</v>
      </c>
      <c r="I1352" t="s">
        <v>5620</v>
      </c>
      <c r="J1352" t="s">
        <v>5621</v>
      </c>
      <c r="K1352" t="s">
        <v>5622</v>
      </c>
      <c r="L1352" t="s">
        <v>4717</v>
      </c>
    </row>
    <row r="1353">
      <c r="A1353" t="s">
        <v>2553</v>
      </c>
      <c r="B1353" t="s">
        <v>1235</v>
      </c>
      <c r="C1353" t="s">
        <v>958</v>
      </c>
      <c r="D1353" t="s">
        <v>1198</v>
      </c>
      <c r="E1353" t="s">
        <v>1221</v>
      </c>
      <c r="F1353" t="s">
        <v>120</v>
      </c>
      <c r="G1353" t="s">
        <v>4715</v>
      </c>
      <c r="H1353" t="s">
        <v>5623</v>
      </c>
      <c r="I1353" t="s">
        <v>5624</v>
      </c>
      <c r="J1353" t="s">
        <v>5625</v>
      </c>
      <c r="K1353" t="s">
        <v>5626</v>
      </c>
      <c r="L1353" t="s">
        <v>4717</v>
      </c>
    </row>
    <row r="1354">
      <c r="A1354" t="s">
        <v>2553</v>
      </c>
      <c r="B1354" t="s">
        <v>1235</v>
      </c>
      <c r="C1354" t="s">
        <v>958</v>
      </c>
      <c r="D1354" t="s">
        <v>1198</v>
      </c>
      <c r="E1354" t="s">
        <v>1221</v>
      </c>
      <c r="F1354" t="s">
        <v>120</v>
      </c>
      <c r="G1354" t="s">
        <v>4715</v>
      </c>
      <c r="H1354" t="s">
        <v>3904</v>
      </c>
      <c r="I1354" t="s">
        <v>5627</v>
      </c>
      <c r="J1354" t="s">
        <v>5628</v>
      </c>
      <c r="K1354" t="s">
        <v>5629</v>
      </c>
      <c r="L1354" t="s">
        <v>4717</v>
      </c>
    </row>
    <row r="1355">
      <c r="A1355" t="s">
        <v>2553</v>
      </c>
      <c r="B1355" t="s">
        <v>1235</v>
      </c>
      <c r="C1355" t="s">
        <v>958</v>
      </c>
      <c r="D1355" t="s">
        <v>1198</v>
      </c>
      <c r="E1355" t="s">
        <v>1221</v>
      </c>
      <c r="F1355" t="s">
        <v>120</v>
      </c>
      <c r="G1355" t="s">
        <v>4715</v>
      </c>
      <c r="H1355" t="s">
        <v>5630</v>
      </c>
      <c r="I1355" t="s">
        <v>5474</v>
      </c>
      <c r="J1355" t="s">
        <v>5631</v>
      </c>
      <c r="K1355" t="s">
        <v>5632</v>
      </c>
      <c r="L1355" t="s">
        <v>4717</v>
      </c>
    </row>
    <row r="1356">
      <c r="A1356" t="s">
        <v>2553</v>
      </c>
      <c r="B1356" t="s">
        <v>1235</v>
      </c>
      <c r="C1356" t="s">
        <v>958</v>
      </c>
      <c r="D1356" t="s">
        <v>1198</v>
      </c>
      <c r="E1356" t="s">
        <v>1221</v>
      </c>
      <c r="F1356" t="s">
        <v>120</v>
      </c>
      <c r="G1356" t="s">
        <v>4715</v>
      </c>
      <c r="H1356" t="s">
        <v>5170</v>
      </c>
      <c r="I1356" t="s">
        <v>5171</v>
      </c>
      <c r="J1356" t="s">
        <v>5633</v>
      </c>
      <c r="K1356" t="s">
        <v>5634</v>
      </c>
      <c r="L1356" t="s">
        <v>4717</v>
      </c>
    </row>
    <row r="1357">
      <c r="A1357" t="s">
        <v>2553</v>
      </c>
      <c r="B1357" t="s">
        <v>1235</v>
      </c>
      <c r="C1357" t="s">
        <v>958</v>
      </c>
      <c r="D1357" t="s">
        <v>1198</v>
      </c>
      <c r="E1357" t="s">
        <v>1221</v>
      </c>
      <c r="F1357" t="s">
        <v>120</v>
      </c>
      <c r="G1357" t="s">
        <v>4715</v>
      </c>
      <c r="H1357" t="s">
        <v>5157</v>
      </c>
      <c r="I1357" t="s">
        <v>5635</v>
      </c>
      <c r="J1357" t="s">
        <v>5636</v>
      </c>
      <c r="K1357" t="s">
        <v>5637</v>
      </c>
      <c r="L1357" t="s">
        <v>4717</v>
      </c>
    </row>
    <row r="1358">
      <c r="A1358" t="s">
        <v>2553</v>
      </c>
      <c r="B1358" t="s">
        <v>1235</v>
      </c>
      <c r="C1358" t="s">
        <v>958</v>
      </c>
      <c r="D1358" t="s">
        <v>1198</v>
      </c>
      <c r="E1358" t="s">
        <v>1221</v>
      </c>
      <c r="F1358" t="s">
        <v>120</v>
      </c>
      <c r="G1358" t="s">
        <v>4715</v>
      </c>
      <c r="H1358" t="s">
        <v>5539</v>
      </c>
      <c r="I1358" t="s">
        <v>5638</v>
      </c>
      <c r="J1358" t="s">
        <v>5639</v>
      </c>
      <c r="K1358" t="s">
        <v>5640</v>
      </c>
      <c r="L1358" t="s">
        <v>4717</v>
      </c>
    </row>
    <row r="1359">
      <c r="A1359" t="s">
        <v>2553</v>
      </c>
      <c r="B1359" t="s">
        <v>1235</v>
      </c>
      <c r="C1359" t="s">
        <v>958</v>
      </c>
      <c r="D1359" t="s">
        <v>1198</v>
      </c>
      <c r="E1359" t="s">
        <v>1221</v>
      </c>
      <c r="F1359" t="s">
        <v>120</v>
      </c>
      <c r="G1359" t="s">
        <v>4715</v>
      </c>
      <c r="H1359" t="s">
        <v>5539</v>
      </c>
      <c r="I1359" t="s">
        <v>5641</v>
      </c>
      <c r="J1359" t="s">
        <v>5642</v>
      </c>
      <c r="K1359" t="s">
        <v>5643</v>
      </c>
      <c r="L1359" t="s">
        <v>4717</v>
      </c>
    </row>
    <row r="1360">
      <c r="A1360" t="s">
        <v>2553</v>
      </c>
      <c r="B1360" t="s">
        <v>1235</v>
      </c>
      <c r="C1360" t="s">
        <v>958</v>
      </c>
      <c r="D1360" t="s">
        <v>1198</v>
      </c>
      <c r="E1360" t="s">
        <v>1221</v>
      </c>
      <c r="F1360" t="s">
        <v>120</v>
      </c>
      <c r="G1360" t="s">
        <v>4715</v>
      </c>
      <c r="H1360" t="s">
        <v>5644</v>
      </c>
      <c r="I1360" t="s">
        <v>5645</v>
      </c>
      <c r="J1360" t="s">
        <v>5646</v>
      </c>
      <c r="K1360" t="s">
        <v>5647</v>
      </c>
      <c r="L1360" t="s">
        <v>4717</v>
      </c>
    </row>
    <row r="1361">
      <c r="A1361" t="s">
        <v>2553</v>
      </c>
      <c r="B1361" t="s">
        <v>1235</v>
      </c>
      <c r="C1361" t="s">
        <v>958</v>
      </c>
      <c r="D1361" t="s">
        <v>1198</v>
      </c>
      <c r="E1361" t="s">
        <v>1221</v>
      </c>
      <c r="F1361" t="s">
        <v>120</v>
      </c>
      <c r="G1361" t="s">
        <v>4715</v>
      </c>
      <c r="H1361" t="s">
        <v>5644</v>
      </c>
      <c r="I1361" t="s">
        <v>5648</v>
      </c>
      <c r="J1361" t="s">
        <v>5649</v>
      </c>
      <c r="K1361" t="s">
        <v>5650</v>
      </c>
      <c r="L1361" t="s">
        <v>4717</v>
      </c>
    </row>
    <row r="1362">
      <c r="A1362" t="s">
        <v>2553</v>
      </c>
      <c r="B1362" t="s">
        <v>1235</v>
      </c>
      <c r="C1362" t="s">
        <v>958</v>
      </c>
      <c r="D1362" t="s">
        <v>1198</v>
      </c>
      <c r="E1362" t="s">
        <v>1221</v>
      </c>
      <c r="F1362" t="s">
        <v>120</v>
      </c>
      <c r="G1362" t="s">
        <v>4715</v>
      </c>
      <c r="H1362" t="s">
        <v>5651</v>
      </c>
      <c r="I1362" t="s">
        <v>5196</v>
      </c>
      <c r="J1362" t="s">
        <v>5652</v>
      </c>
      <c r="K1362" t="s">
        <v>5653</v>
      </c>
      <c r="L1362" t="s">
        <v>4717</v>
      </c>
    </row>
    <row r="1363">
      <c r="A1363" t="s">
        <v>2553</v>
      </c>
      <c r="B1363" t="s">
        <v>1235</v>
      </c>
      <c r="C1363" t="s">
        <v>958</v>
      </c>
      <c r="D1363" t="s">
        <v>1198</v>
      </c>
      <c r="E1363" t="s">
        <v>1221</v>
      </c>
      <c r="F1363" t="s">
        <v>120</v>
      </c>
      <c r="G1363" t="s">
        <v>4715</v>
      </c>
      <c r="H1363" t="s">
        <v>5651</v>
      </c>
      <c r="I1363" t="s">
        <v>5195</v>
      </c>
      <c r="J1363" t="s">
        <v>5654</v>
      </c>
      <c r="K1363" t="s">
        <v>5655</v>
      </c>
      <c r="L1363" t="s">
        <v>4717</v>
      </c>
    </row>
    <row r="1364">
      <c r="A1364" t="s">
        <v>2553</v>
      </c>
      <c r="B1364" t="s">
        <v>1235</v>
      </c>
      <c r="C1364" t="s">
        <v>958</v>
      </c>
      <c r="D1364" t="s">
        <v>1198</v>
      </c>
      <c r="E1364" t="s">
        <v>1221</v>
      </c>
      <c r="F1364" t="s">
        <v>120</v>
      </c>
      <c r="G1364" t="s">
        <v>4715</v>
      </c>
      <c r="H1364" t="s">
        <v>5522</v>
      </c>
      <c r="I1364" t="s">
        <v>5656</v>
      </c>
      <c r="J1364" t="s">
        <v>5657</v>
      </c>
      <c r="K1364" t="s">
        <v>5658</v>
      </c>
      <c r="L1364" t="s">
        <v>4717</v>
      </c>
    </row>
    <row r="1365">
      <c r="A1365" t="s">
        <v>2555</v>
      </c>
      <c r="B1365" t="s">
        <v>1242</v>
      </c>
      <c r="C1365" t="s">
        <v>958</v>
      </c>
      <c r="D1365" t="s">
        <v>1198</v>
      </c>
      <c r="E1365" t="s">
        <v>1221</v>
      </c>
      <c r="F1365" t="s">
        <v>120</v>
      </c>
      <c r="G1365" t="s">
        <v>4715</v>
      </c>
      <c r="H1365" t="s">
        <v>5041</v>
      </c>
      <c r="I1365" t="s">
        <v>5614</v>
      </c>
      <c r="J1365" t="s">
        <v>5615</v>
      </c>
      <c r="K1365" t="s">
        <v>4169</v>
      </c>
      <c r="L1365" t="s">
        <v>4717</v>
      </c>
    </row>
    <row r="1366">
      <c r="A1366" t="s">
        <v>2555</v>
      </c>
      <c r="B1366" t="s">
        <v>1242</v>
      </c>
      <c r="C1366" t="s">
        <v>958</v>
      </c>
      <c r="D1366" t="s">
        <v>1198</v>
      </c>
      <c r="E1366" t="s">
        <v>1221</v>
      </c>
      <c r="F1366" t="s">
        <v>120</v>
      </c>
      <c r="G1366" t="s">
        <v>4715</v>
      </c>
      <c r="H1366" t="s">
        <v>5616</v>
      </c>
      <c r="I1366" t="s">
        <v>5617</v>
      </c>
      <c r="J1366" t="s">
        <v>5618</v>
      </c>
      <c r="K1366" t="s">
        <v>5619</v>
      </c>
      <c r="L1366" t="s">
        <v>4717</v>
      </c>
    </row>
    <row r="1367">
      <c r="A1367" t="s">
        <v>2555</v>
      </c>
      <c r="B1367" t="s">
        <v>1242</v>
      </c>
      <c r="C1367" t="s">
        <v>958</v>
      </c>
      <c r="D1367" t="s">
        <v>1198</v>
      </c>
      <c r="E1367" t="s">
        <v>1221</v>
      </c>
      <c r="F1367" t="s">
        <v>120</v>
      </c>
      <c r="G1367" t="s">
        <v>4715</v>
      </c>
      <c r="H1367" t="s">
        <v>5499</v>
      </c>
      <c r="I1367" t="s">
        <v>5620</v>
      </c>
      <c r="J1367" t="s">
        <v>5621</v>
      </c>
      <c r="K1367" t="s">
        <v>5622</v>
      </c>
      <c r="L1367" t="s">
        <v>4717</v>
      </c>
    </row>
    <row r="1368">
      <c r="A1368" t="s">
        <v>2555</v>
      </c>
      <c r="B1368" t="s">
        <v>1242</v>
      </c>
      <c r="C1368" t="s">
        <v>958</v>
      </c>
      <c r="D1368" t="s">
        <v>1198</v>
      </c>
      <c r="E1368" t="s">
        <v>1221</v>
      </c>
      <c r="F1368" t="s">
        <v>120</v>
      </c>
      <c r="G1368" t="s">
        <v>4715</v>
      </c>
      <c r="H1368" t="s">
        <v>5623</v>
      </c>
      <c r="I1368" t="s">
        <v>5624</v>
      </c>
      <c r="J1368" t="s">
        <v>5625</v>
      </c>
      <c r="K1368" t="s">
        <v>5626</v>
      </c>
      <c r="L1368" t="s">
        <v>4717</v>
      </c>
    </row>
    <row r="1369">
      <c r="A1369" t="s">
        <v>2555</v>
      </c>
      <c r="B1369" t="s">
        <v>1242</v>
      </c>
      <c r="C1369" t="s">
        <v>958</v>
      </c>
      <c r="D1369" t="s">
        <v>1198</v>
      </c>
      <c r="E1369" t="s">
        <v>1221</v>
      </c>
      <c r="F1369" t="s">
        <v>120</v>
      </c>
      <c r="G1369" t="s">
        <v>4715</v>
      </c>
      <c r="H1369" t="s">
        <v>3904</v>
      </c>
      <c r="I1369" t="s">
        <v>5627</v>
      </c>
      <c r="J1369" t="s">
        <v>5628</v>
      </c>
      <c r="K1369" t="s">
        <v>5629</v>
      </c>
      <c r="L1369" t="s">
        <v>4717</v>
      </c>
    </row>
    <row r="1370">
      <c r="A1370" t="s">
        <v>2555</v>
      </c>
      <c r="B1370" t="s">
        <v>1242</v>
      </c>
      <c r="C1370" t="s">
        <v>958</v>
      </c>
      <c r="D1370" t="s">
        <v>1198</v>
      </c>
      <c r="E1370" t="s">
        <v>1221</v>
      </c>
      <c r="F1370" t="s">
        <v>120</v>
      </c>
      <c r="G1370" t="s">
        <v>4715</v>
      </c>
      <c r="H1370" t="s">
        <v>5630</v>
      </c>
      <c r="I1370" t="s">
        <v>5474</v>
      </c>
      <c r="J1370" t="s">
        <v>5631</v>
      </c>
      <c r="K1370" t="s">
        <v>5632</v>
      </c>
      <c r="L1370" t="s">
        <v>4717</v>
      </c>
    </row>
    <row r="1371">
      <c r="A1371" t="s">
        <v>2555</v>
      </c>
      <c r="B1371" t="s">
        <v>1242</v>
      </c>
      <c r="C1371" t="s">
        <v>958</v>
      </c>
      <c r="D1371" t="s">
        <v>1198</v>
      </c>
      <c r="E1371" t="s">
        <v>1221</v>
      </c>
      <c r="F1371" t="s">
        <v>120</v>
      </c>
      <c r="G1371" t="s">
        <v>4715</v>
      </c>
      <c r="H1371" t="s">
        <v>5170</v>
      </c>
      <c r="I1371" t="s">
        <v>5171</v>
      </c>
      <c r="J1371" t="s">
        <v>5633</v>
      </c>
      <c r="K1371" t="s">
        <v>5634</v>
      </c>
      <c r="L1371" t="s">
        <v>4717</v>
      </c>
    </row>
    <row r="1372">
      <c r="A1372" t="s">
        <v>2555</v>
      </c>
      <c r="B1372" t="s">
        <v>1242</v>
      </c>
      <c r="C1372" t="s">
        <v>958</v>
      </c>
      <c r="D1372" t="s">
        <v>1198</v>
      </c>
      <c r="E1372" t="s">
        <v>1221</v>
      </c>
      <c r="F1372" t="s">
        <v>120</v>
      </c>
      <c r="G1372" t="s">
        <v>4715</v>
      </c>
      <c r="H1372" t="s">
        <v>5157</v>
      </c>
      <c r="I1372" t="s">
        <v>5635</v>
      </c>
      <c r="J1372" t="s">
        <v>5636</v>
      </c>
      <c r="K1372" t="s">
        <v>5637</v>
      </c>
      <c r="L1372" t="s">
        <v>4717</v>
      </c>
    </row>
    <row r="1373">
      <c r="A1373" t="s">
        <v>2555</v>
      </c>
      <c r="B1373" t="s">
        <v>1242</v>
      </c>
      <c r="C1373" t="s">
        <v>958</v>
      </c>
      <c r="D1373" t="s">
        <v>1198</v>
      </c>
      <c r="E1373" t="s">
        <v>1221</v>
      </c>
      <c r="F1373" t="s">
        <v>120</v>
      </c>
      <c r="G1373" t="s">
        <v>4715</v>
      </c>
      <c r="H1373" t="s">
        <v>1221</v>
      </c>
      <c r="I1373" t="s">
        <v>5263</v>
      </c>
      <c r="J1373" t="s">
        <v>5673</v>
      </c>
      <c r="K1373" t="s">
        <v>5674</v>
      </c>
      <c r="L1373" t="s">
        <v>4717</v>
      </c>
    </row>
    <row r="1374">
      <c r="A1374" t="s">
        <v>2555</v>
      </c>
      <c r="B1374" t="s">
        <v>1242</v>
      </c>
      <c r="C1374" t="s">
        <v>958</v>
      </c>
      <c r="D1374" t="s">
        <v>1198</v>
      </c>
      <c r="E1374" t="s">
        <v>1221</v>
      </c>
      <c r="F1374" t="s">
        <v>120</v>
      </c>
      <c r="G1374" t="s">
        <v>4715</v>
      </c>
      <c r="H1374" t="s">
        <v>1221</v>
      </c>
      <c r="I1374" t="s">
        <v>5675</v>
      </c>
      <c r="J1374" t="s">
        <v>5676</v>
      </c>
      <c r="K1374" t="s">
        <v>5677</v>
      </c>
      <c r="L1374" t="s">
        <v>4717</v>
      </c>
    </row>
    <row r="1375">
      <c r="A1375" t="s">
        <v>2555</v>
      </c>
      <c r="B1375" t="s">
        <v>1242</v>
      </c>
      <c r="C1375" t="s">
        <v>958</v>
      </c>
      <c r="D1375" t="s">
        <v>1198</v>
      </c>
      <c r="E1375" t="s">
        <v>1221</v>
      </c>
      <c r="F1375" t="s">
        <v>120</v>
      </c>
      <c r="G1375" t="s">
        <v>4715</v>
      </c>
      <c r="H1375" t="s">
        <v>1221</v>
      </c>
      <c r="I1375" t="s">
        <v>5678</v>
      </c>
      <c r="J1375" t="s">
        <v>5679</v>
      </c>
      <c r="K1375" t="s">
        <v>5680</v>
      </c>
      <c r="L1375" t="s">
        <v>4717</v>
      </c>
    </row>
    <row r="1376">
      <c r="A1376" t="s">
        <v>2555</v>
      </c>
      <c r="B1376" t="s">
        <v>1242</v>
      </c>
      <c r="C1376" t="s">
        <v>958</v>
      </c>
      <c r="D1376" t="s">
        <v>1198</v>
      </c>
      <c r="E1376" t="s">
        <v>1221</v>
      </c>
      <c r="F1376" t="s">
        <v>120</v>
      </c>
      <c r="G1376" t="s">
        <v>4715</v>
      </c>
      <c r="H1376" t="s">
        <v>1277</v>
      </c>
      <c r="I1376" t="s">
        <v>5681</v>
      </c>
      <c r="J1376" t="s">
        <v>5682</v>
      </c>
      <c r="K1376" t="s">
        <v>5683</v>
      </c>
      <c r="L1376" t="s">
        <v>4717</v>
      </c>
    </row>
    <row r="1377">
      <c r="A1377" t="s">
        <v>2555</v>
      </c>
      <c r="B1377" t="s">
        <v>1242</v>
      </c>
      <c r="C1377" t="s">
        <v>958</v>
      </c>
      <c r="D1377" t="s">
        <v>1198</v>
      </c>
      <c r="E1377" t="s">
        <v>1221</v>
      </c>
      <c r="F1377" t="s">
        <v>120</v>
      </c>
      <c r="G1377" t="s">
        <v>4715</v>
      </c>
      <c r="H1377" t="s">
        <v>1277</v>
      </c>
      <c r="I1377" t="s">
        <v>5684</v>
      </c>
      <c r="J1377" t="s">
        <v>5685</v>
      </c>
      <c r="K1377" t="s">
        <v>5686</v>
      </c>
      <c r="L1377" t="s">
        <v>4717</v>
      </c>
    </row>
    <row r="1378">
      <c r="A1378" t="s">
        <v>2555</v>
      </c>
      <c r="B1378" t="s">
        <v>1242</v>
      </c>
      <c r="C1378" t="s">
        <v>958</v>
      </c>
      <c r="D1378" t="s">
        <v>1198</v>
      </c>
      <c r="E1378" t="s">
        <v>1221</v>
      </c>
      <c r="F1378" t="s">
        <v>120</v>
      </c>
      <c r="G1378" t="s">
        <v>4715</v>
      </c>
      <c r="H1378" t="s">
        <v>1310</v>
      </c>
      <c r="I1378" t="s">
        <v>5288</v>
      </c>
      <c r="J1378" t="s">
        <v>5687</v>
      </c>
      <c r="K1378" t="s">
        <v>5688</v>
      </c>
      <c r="L1378" t="s">
        <v>4717</v>
      </c>
    </row>
    <row r="1379">
      <c r="A1379" t="s">
        <v>2555</v>
      </c>
      <c r="B1379" t="s">
        <v>1242</v>
      </c>
      <c r="C1379" t="s">
        <v>958</v>
      </c>
      <c r="D1379" t="s">
        <v>1198</v>
      </c>
      <c r="E1379" t="s">
        <v>1221</v>
      </c>
      <c r="F1379" t="s">
        <v>120</v>
      </c>
      <c r="G1379" t="s">
        <v>4715</v>
      </c>
      <c r="H1379" t="s">
        <v>5522</v>
      </c>
      <c r="I1379" t="s">
        <v>5656</v>
      </c>
      <c r="J1379" t="s">
        <v>5657</v>
      </c>
      <c r="K1379" t="s">
        <v>5658</v>
      </c>
      <c r="L1379" t="s">
        <v>4717</v>
      </c>
    </row>
    <row r="1380">
      <c r="A1380" t="s">
        <v>2558</v>
      </c>
      <c r="B1380" t="s">
        <v>1250</v>
      </c>
      <c r="C1380" t="s">
        <v>958</v>
      </c>
      <c r="D1380" t="s">
        <v>1198</v>
      </c>
      <c r="E1380" t="s">
        <v>1248</v>
      </c>
      <c r="F1380" t="s">
        <v>154</v>
      </c>
      <c r="G1380" t="s">
        <v>4715</v>
      </c>
      <c r="H1380" t="s">
        <v>5041</v>
      </c>
      <c r="I1380" t="s">
        <v>5614</v>
      </c>
      <c r="J1380" t="s">
        <v>5615</v>
      </c>
      <c r="K1380" t="s">
        <v>4169</v>
      </c>
      <c r="L1380" t="s">
        <v>4717</v>
      </c>
    </row>
    <row r="1381">
      <c r="A1381" t="s">
        <v>2558</v>
      </c>
      <c r="B1381" t="s">
        <v>1250</v>
      </c>
      <c r="C1381" t="s">
        <v>958</v>
      </c>
      <c r="D1381" t="s">
        <v>1198</v>
      </c>
      <c r="E1381" t="s">
        <v>1248</v>
      </c>
      <c r="F1381" t="s">
        <v>154</v>
      </c>
      <c r="G1381" t="s">
        <v>4715</v>
      </c>
      <c r="H1381" t="s">
        <v>5616</v>
      </c>
      <c r="I1381" t="s">
        <v>5617</v>
      </c>
      <c r="J1381" t="s">
        <v>5618</v>
      </c>
      <c r="K1381" t="s">
        <v>5619</v>
      </c>
      <c r="L1381" t="s">
        <v>4717</v>
      </c>
    </row>
    <row r="1382">
      <c r="A1382" t="s">
        <v>2558</v>
      </c>
      <c r="B1382" t="s">
        <v>1250</v>
      </c>
      <c r="C1382" t="s">
        <v>958</v>
      </c>
      <c r="D1382" t="s">
        <v>1198</v>
      </c>
      <c r="E1382" t="s">
        <v>1248</v>
      </c>
      <c r="F1382" t="s">
        <v>154</v>
      </c>
      <c r="G1382" t="s">
        <v>4715</v>
      </c>
      <c r="H1382" t="s">
        <v>5499</v>
      </c>
      <c r="I1382" t="s">
        <v>5620</v>
      </c>
      <c r="J1382" t="s">
        <v>5621</v>
      </c>
      <c r="K1382" t="s">
        <v>5622</v>
      </c>
      <c r="L1382" t="s">
        <v>4717</v>
      </c>
    </row>
    <row r="1383">
      <c r="A1383" t="s">
        <v>2558</v>
      </c>
      <c r="B1383" t="s">
        <v>1250</v>
      </c>
      <c r="C1383" t="s">
        <v>958</v>
      </c>
      <c r="D1383" t="s">
        <v>1198</v>
      </c>
      <c r="E1383" t="s">
        <v>1248</v>
      </c>
      <c r="F1383" t="s">
        <v>154</v>
      </c>
      <c r="G1383" t="s">
        <v>4715</v>
      </c>
      <c r="H1383" t="s">
        <v>5623</v>
      </c>
      <c r="I1383" t="s">
        <v>5624</v>
      </c>
      <c r="J1383" t="s">
        <v>5625</v>
      </c>
      <c r="K1383" t="s">
        <v>5626</v>
      </c>
      <c r="L1383" t="s">
        <v>4717</v>
      </c>
    </row>
    <row r="1384">
      <c r="A1384" t="s">
        <v>2558</v>
      </c>
      <c r="B1384" t="s">
        <v>1250</v>
      </c>
      <c r="C1384" t="s">
        <v>958</v>
      </c>
      <c r="D1384" t="s">
        <v>1198</v>
      </c>
      <c r="E1384" t="s">
        <v>1248</v>
      </c>
      <c r="F1384" t="s">
        <v>154</v>
      </c>
      <c r="G1384" t="s">
        <v>4715</v>
      </c>
      <c r="H1384" t="s">
        <v>3904</v>
      </c>
      <c r="I1384" t="s">
        <v>5627</v>
      </c>
      <c r="J1384" t="s">
        <v>5628</v>
      </c>
      <c r="K1384" t="s">
        <v>5629</v>
      </c>
      <c r="L1384" t="s">
        <v>4717</v>
      </c>
    </row>
    <row r="1385">
      <c r="A1385" t="s">
        <v>2558</v>
      </c>
      <c r="B1385" t="s">
        <v>1250</v>
      </c>
      <c r="C1385" t="s">
        <v>958</v>
      </c>
      <c r="D1385" t="s">
        <v>1198</v>
      </c>
      <c r="E1385" t="s">
        <v>1248</v>
      </c>
      <c r="F1385" t="s">
        <v>154</v>
      </c>
      <c r="G1385" t="s">
        <v>4715</v>
      </c>
      <c r="H1385" t="s">
        <v>5630</v>
      </c>
      <c r="I1385" t="s">
        <v>5474</v>
      </c>
      <c r="J1385" t="s">
        <v>5631</v>
      </c>
      <c r="K1385" t="s">
        <v>5632</v>
      </c>
      <c r="L1385" t="s">
        <v>4717</v>
      </c>
    </row>
    <row r="1386">
      <c r="A1386" t="s">
        <v>2558</v>
      </c>
      <c r="B1386" t="s">
        <v>1250</v>
      </c>
      <c r="C1386" t="s">
        <v>958</v>
      </c>
      <c r="D1386" t="s">
        <v>1198</v>
      </c>
      <c r="E1386" t="s">
        <v>1248</v>
      </c>
      <c r="F1386" t="s">
        <v>154</v>
      </c>
      <c r="G1386" t="s">
        <v>4715</v>
      </c>
      <c r="H1386" t="s">
        <v>5170</v>
      </c>
      <c r="I1386" t="s">
        <v>5171</v>
      </c>
      <c r="J1386" t="s">
        <v>5633</v>
      </c>
      <c r="K1386" t="s">
        <v>5634</v>
      </c>
      <c r="L1386" t="s">
        <v>4717</v>
      </c>
    </row>
    <row r="1387">
      <c r="A1387" t="s">
        <v>2558</v>
      </c>
      <c r="B1387" t="s">
        <v>1250</v>
      </c>
      <c r="C1387" t="s">
        <v>958</v>
      </c>
      <c r="D1387" t="s">
        <v>1198</v>
      </c>
      <c r="E1387" t="s">
        <v>1248</v>
      </c>
      <c r="F1387" t="s">
        <v>154</v>
      </c>
      <c r="G1387" t="s">
        <v>4715</v>
      </c>
      <c r="H1387" t="s">
        <v>5157</v>
      </c>
      <c r="I1387" t="s">
        <v>5635</v>
      </c>
      <c r="J1387" t="s">
        <v>5636</v>
      </c>
      <c r="K1387" t="s">
        <v>5637</v>
      </c>
      <c r="L1387" t="s">
        <v>4717</v>
      </c>
    </row>
    <row r="1388">
      <c r="A1388" t="s">
        <v>2558</v>
      </c>
      <c r="B1388" t="s">
        <v>1250</v>
      </c>
      <c r="C1388" t="s">
        <v>958</v>
      </c>
      <c r="D1388" t="s">
        <v>1198</v>
      </c>
      <c r="E1388" t="s">
        <v>1248</v>
      </c>
      <c r="F1388" t="s">
        <v>154</v>
      </c>
      <c r="G1388" t="s">
        <v>4715</v>
      </c>
      <c r="H1388" t="s">
        <v>1221</v>
      </c>
      <c r="I1388" t="s">
        <v>5263</v>
      </c>
      <c r="J1388" t="s">
        <v>5673</v>
      </c>
      <c r="K1388" t="s">
        <v>5674</v>
      </c>
      <c r="L1388" t="s">
        <v>4717</v>
      </c>
    </row>
    <row r="1389">
      <c r="A1389" t="s">
        <v>2558</v>
      </c>
      <c r="B1389" t="s">
        <v>1250</v>
      </c>
      <c r="C1389" t="s">
        <v>958</v>
      </c>
      <c r="D1389" t="s">
        <v>1198</v>
      </c>
      <c r="E1389" t="s">
        <v>1248</v>
      </c>
      <c r="F1389" t="s">
        <v>154</v>
      </c>
      <c r="G1389" t="s">
        <v>4715</v>
      </c>
      <c r="H1389" t="s">
        <v>1221</v>
      </c>
      <c r="I1389" t="s">
        <v>5675</v>
      </c>
      <c r="J1389" t="s">
        <v>5676</v>
      </c>
      <c r="K1389" t="s">
        <v>5677</v>
      </c>
      <c r="L1389" t="s">
        <v>4717</v>
      </c>
    </row>
    <row r="1390">
      <c r="A1390" t="s">
        <v>2558</v>
      </c>
      <c r="B1390" t="s">
        <v>1250</v>
      </c>
      <c r="C1390" t="s">
        <v>958</v>
      </c>
      <c r="D1390" t="s">
        <v>1198</v>
      </c>
      <c r="E1390" t="s">
        <v>1248</v>
      </c>
      <c r="F1390" t="s">
        <v>154</v>
      </c>
      <c r="G1390" t="s">
        <v>4715</v>
      </c>
      <c r="H1390" t="s">
        <v>1221</v>
      </c>
      <c r="I1390" t="s">
        <v>5678</v>
      </c>
      <c r="J1390" t="s">
        <v>5679</v>
      </c>
      <c r="K1390" t="s">
        <v>5680</v>
      </c>
      <c r="L1390" t="s">
        <v>4717</v>
      </c>
    </row>
    <row r="1391">
      <c r="A1391" t="s">
        <v>2558</v>
      </c>
      <c r="B1391" t="s">
        <v>1250</v>
      </c>
      <c r="C1391" t="s">
        <v>958</v>
      </c>
      <c r="D1391" t="s">
        <v>1198</v>
      </c>
      <c r="E1391" t="s">
        <v>1248</v>
      </c>
      <c r="F1391" t="s">
        <v>154</v>
      </c>
      <c r="G1391" t="s">
        <v>4715</v>
      </c>
      <c r="H1391" t="s">
        <v>1277</v>
      </c>
      <c r="I1391" t="s">
        <v>5681</v>
      </c>
      <c r="J1391" t="s">
        <v>5682</v>
      </c>
      <c r="K1391" t="s">
        <v>5683</v>
      </c>
      <c r="L1391" t="s">
        <v>4717</v>
      </c>
    </row>
    <row r="1392">
      <c r="A1392" t="s">
        <v>2558</v>
      </c>
      <c r="B1392" t="s">
        <v>1250</v>
      </c>
      <c r="C1392" t="s">
        <v>958</v>
      </c>
      <c r="D1392" t="s">
        <v>1198</v>
      </c>
      <c r="E1392" t="s">
        <v>1248</v>
      </c>
      <c r="F1392" t="s">
        <v>154</v>
      </c>
      <c r="G1392" t="s">
        <v>4715</v>
      </c>
      <c r="H1392" t="s">
        <v>1277</v>
      </c>
      <c r="I1392" t="s">
        <v>5684</v>
      </c>
      <c r="J1392" t="s">
        <v>5685</v>
      </c>
      <c r="K1392" t="s">
        <v>5686</v>
      </c>
      <c r="L1392" t="s">
        <v>4717</v>
      </c>
    </row>
    <row r="1393">
      <c r="A1393" t="s">
        <v>2558</v>
      </c>
      <c r="B1393" t="s">
        <v>1250</v>
      </c>
      <c r="C1393" t="s">
        <v>958</v>
      </c>
      <c r="D1393" t="s">
        <v>1198</v>
      </c>
      <c r="E1393" t="s">
        <v>1248</v>
      </c>
      <c r="F1393" t="s">
        <v>154</v>
      </c>
      <c r="G1393" t="s">
        <v>4715</v>
      </c>
      <c r="H1393" t="s">
        <v>1310</v>
      </c>
      <c r="I1393" t="s">
        <v>5288</v>
      </c>
      <c r="J1393" t="s">
        <v>5687</v>
      </c>
      <c r="K1393" t="s">
        <v>5688</v>
      </c>
      <c r="L1393" t="s">
        <v>4717</v>
      </c>
    </row>
    <row r="1394">
      <c r="A1394" t="s">
        <v>2558</v>
      </c>
      <c r="B1394" t="s">
        <v>1250</v>
      </c>
      <c r="C1394" t="s">
        <v>958</v>
      </c>
      <c r="D1394" t="s">
        <v>1198</v>
      </c>
      <c r="E1394" t="s">
        <v>1248</v>
      </c>
      <c r="F1394" t="s">
        <v>154</v>
      </c>
      <c r="G1394" t="s">
        <v>4715</v>
      </c>
      <c r="H1394" t="s">
        <v>5522</v>
      </c>
      <c r="I1394" t="s">
        <v>5656</v>
      </c>
      <c r="J1394" t="s">
        <v>5657</v>
      </c>
      <c r="K1394" t="s">
        <v>5658</v>
      </c>
      <c r="L1394" t="s">
        <v>4717</v>
      </c>
    </row>
    <row r="1395">
      <c r="A1395" t="s">
        <v>2561</v>
      </c>
      <c r="B1395" t="s">
        <v>1257</v>
      </c>
      <c r="C1395" t="s">
        <v>958</v>
      </c>
      <c r="D1395" t="s">
        <v>1198</v>
      </c>
      <c r="E1395" t="s">
        <v>1248</v>
      </c>
      <c r="F1395" t="s">
        <v>154</v>
      </c>
      <c r="G1395" t="s">
        <v>4715</v>
      </c>
      <c r="H1395" t="s">
        <v>5041</v>
      </c>
      <c r="I1395" t="s">
        <v>5614</v>
      </c>
      <c r="J1395" t="s">
        <v>5615</v>
      </c>
      <c r="K1395" t="s">
        <v>4169</v>
      </c>
      <c r="L1395" t="s">
        <v>4717</v>
      </c>
    </row>
    <row r="1396">
      <c r="A1396" t="s">
        <v>2561</v>
      </c>
      <c r="B1396" t="s">
        <v>1257</v>
      </c>
      <c r="C1396" t="s">
        <v>958</v>
      </c>
      <c r="D1396" t="s">
        <v>1198</v>
      </c>
      <c r="E1396" t="s">
        <v>1248</v>
      </c>
      <c r="F1396" t="s">
        <v>154</v>
      </c>
      <c r="G1396" t="s">
        <v>4715</v>
      </c>
      <c r="H1396" t="s">
        <v>5616</v>
      </c>
      <c r="I1396" t="s">
        <v>5617</v>
      </c>
      <c r="J1396" t="s">
        <v>5618</v>
      </c>
      <c r="K1396" t="s">
        <v>5619</v>
      </c>
      <c r="L1396" t="s">
        <v>4717</v>
      </c>
    </row>
    <row r="1397">
      <c r="A1397" t="s">
        <v>2561</v>
      </c>
      <c r="B1397" t="s">
        <v>1257</v>
      </c>
      <c r="C1397" t="s">
        <v>958</v>
      </c>
      <c r="D1397" t="s">
        <v>1198</v>
      </c>
      <c r="E1397" t="s">
        <v>1248</v>
      </c>
      <c r="F1397" t="s">
        <v>154</v>
      </c>
      <c r="G1397" t="s">
        <v>4715</v>
      </c>
      <c r="H1397" t="s">
        <v>5499</v>
      </c>
      <c r="I1397" t="s">
        <v>5620</v>
      </c>
      <c r="J1397" t="s">
        <v>5621</v>
      </c>
      <c r="K1397" t="s">
        <v>5622</v>
      </c>
      <c r="L1397" t="s">
        <v>4717</v>
      </c>
    </row>
    <row r="1398">
      <c r="A1398" t="s">
        <v>2561</v>
      </c>
      <c r="B1398" t="s">
        <v>1257</v>
      </c>
      <c r="C1398" t="s">
        <v>958</v>
      </c>
      <c r="D1398" t="s">
        <v>1198</v>
      </c>
      <c r="E1398" t="s">
        <v>1248</v>
      </c>
      <c r="F1398" t="s">
        <v>154</v>
      </c>
      <c r="G1398" t="s">
        <v>4715</v>
      </c>
      <c r="H1398" t="s">
        <v>5623</v>
      </c>
      <c r="I1398" t="s">
        <v>5624</v>
      </c>
      <c r="J1398" t="s">
        <v>5625</v>
      </c>
      <c r="K1398" t="s">
        <v>5626</v>
      </c>
      <c r="L1398" t="s">
        <v>4717</v>
      </c>
    </row>
    <row r="1399">
      <c r="A1399" t="s">
        <v>2561</v>
      </c>
      <c r="B1399" t="s">
        <v>1257</v>
      </c>
      <c r="C1399" t="s">
        <v>958</v>
      </c>
      <c r="D1399" t="s">
        <v>1198</v>
      </c>
      <c r="E1399" t="s">
        <v>1248</v>
      </c>
      <c r="F1399" t="s">
        <v>154</v>
      </c>
      <c r="G1399" t="s">
        <v>4715</v>
      </c>
      <c r="H1399" t="s">
        <v>3904</v>
      </c>
      <c r="I1399" t="s">
        <v>5627</v>
      </c>
      <c r="J1399" t="s">
        <v>5628</v>
      </c>
      <c r="K1399" t="s">
        <v>5629</v>
      </c>
      <c r="L1399" t="s">
        <v>4717</v>
      </c>
    </row>
    <row r="1400">
      <c r="A1400" t="s">
        <v>2561</v>
      </c>
      <c r="B1400" t="s">
        <v>1257</v>
      </c>
      <c r="C1400" t="s">
        <v>958</v>
      </c>
      <c r="D1400" t="s">
        <v>1198</v>
      </c>
      <c r="E1400" t="s">
        <v>1248</v>
      </c>
      <c r="F1400" t="s">
        <v>154</v>
      </c>
      <c r="G1400" t="s">
        <v>4715</v>
      </c>
      <c r="H1400" t="s">
        <v>5630</v>
      </c>
      <c r="I1400" t="s">
        <v>5474</v>
      </c>
      <c r="J1400" t="s">
        <v>5631</v>
      </c>
      <c r="K1400" t="s">
        <v>5632</v>
      </c>
      <c r="L1400" t="s">
        <v>4717</v>
      </c>
    </row>
    <row r="1401">
      <c r="A1401" t="s">
        <v>2561</v>
      </c>
      <c r="B1401" t="s">
        <v>1257</v>
      </c>
      <c r="C1401" t="s">
        <v>958</v>
      </c>
      <c r="D1401" t="s">
        <v>1198</v>
      </c>
      <c r="E1401" t="s">
        <v>1248</v>
      </c>
      <c r="F1401" t="s">
        <v>154</v>
      </c>
      <c r="G1401" t="s">
        <v>4715</v>
      </c>
      <c r="H1401" t="s">
        <v>5170</v>
      </c>
      <c r="I1401" t="s">
        <v>5171</v>
      </c>
      <c r="J1401" t="s">
        <v>5633</v>
      </c>
      <c r="K1401" t="s">
        <v>5634</v>
      </c>
      <c r="L1401" t="s">
        <v>4717</v>
      </c>
    </row>
    <row r="1402">
      <c r="A1402" t="s">
        <v>2561</v>
      </c>
      <c r="B1402" t="s">
        <v>1257</v>
      </c>
      <c r="C1402" t="s">
        <v>958</v>
      </c>
      <c r="D1402" t="s">
        <v>1198</v>
      </c>
      <c r="E1402" t="s">
        <v>1248</v>
      </c>
      <c r="F1402" t="s">
        <v>154</v>
      </c>
      <c r="G1402" t="s">
        <v>4715</v>
      </c>
      <c r="H1402" t="s">
        <v>5157</v>
      </c>
      <c r="I1402" t="s">
        <v>5635</v>
      </c>
      <c r="J1402" t="s">
        <v>5636</v>
      </c>
      <c r="K1402" t="s">
        <v>5637</v>
      </c>
      <c r="L1402" t="s">
        <v>4717</v>
      </c>
    </row>
    <row r="1403">
      <c r="A1403" t="s">
        <v>2561</v>
      </c>
      <c r="B1403" t="s">
        <v>1257</v>
      </c>
      <c r="C1403" t="s">
        <v>958</v>
      </c>
      <c r="D1403" t="s">
        <v>1198</v>
      </c>
      <c r="E1403" t="s">
        <v>1248</v>
      </c>
      <c r="F1403" t="s">
        <v>154</v>
      </c>
      <c r="G1403" t="s">
        <v>4715</v>
      </c>
      <c r="H1403" t="s">
        <v>1221</v>
      </c>
      <c r="I1403" t="s">
        <v>5263</v>
      </c>
      <c r="J1403" t="s">
        <v>5673</v>
      </c>
      <c r="K1403" t="s">
        <v>5674</v>
      </c>
      <c r="L1403" t="s">
        <v>4717</v>
      </c>
    </row>
    <row r="1404">
      <c r="A1404" t="s">
        <v>2561</v>
      </c>
      <c r="B1404" t="s">
        <v>1257</v>
      </c>
      <c r="C1404" t="s">
        <v>958</v>
      </c>
      <c r="D1404" t="s">
        <v>1198</v>
      </c>
      <c r="E1404" t="s">
        <v>1248</v>
      </c>
      <c r="F1404" t="s">
        <v>154</v>
      </c>
      <c r="G1404" t="s">
        <v>4715</v>
      </c>
      <c r="H1404" t="s">
        <v>1221</v>
      </c>
      <c r="I1404" t="s">
        <v>5675</v>
      </c>
      <c r="J1404" t="s">
        <v>5676</v>
      </c>
      <c r="K1404" t="s">
        <v>5677</v>
      </c>
      <c r="L1404" t="s">
        <v>4717</v>
      </c>
    </row>
    <row r="1405">
      <c r="A1405" t="s">
        <v>2561</v>
      </c>
      <c r="B1405" t="s">
        <v>1257</v>
      </c>
      <c r="C1405" t="s">
        <v>958</v>
      </c>
      <c r="D1405" t="s">
        <v>1198</v>
      </c>
      <c r="E1405" t="s">
        <v>1248</v>
      </c>
      <c r="F1405" t="s">
        <v>154</v>
      </c>
      <c r="G1405" t="s">
        <v>4715</v>
      </c>
      <c r="H1405" t="s">
        <v>1221</v>
      </c>
      <c r="I1405" t="s">
        <v>5678</v>
      </c>
      <c r="J1405" t="s">
        <v>5679</v>
      </c>
      <c r="K1405" t="s">
        <v>5680</v>
      </c>
      <c r="L1405" t="s">
        <v>4717</v>
      </c>
    </row>
    <row r="1406">
      <c r="A1406" t="s">
        <v>2561</v>
      </c>
      <c r="B1406" t="s">
        <v>1257</v>
      </c>
      <c r="C1406" t="s">
        <v>958</v>
      </c>
      <c r="D1406" t="s">
        <v>1198</v>
      </c>
      <c r="E1406" t="s">
        <v>1248</v>
      </c>
      <c r="F1406" t="s">
        <v>154</v>
      </c>
      <c r="G1406" t="s">
        <v>4715</v>
      </c>
      <c r="H1406" t="s">
        <v>1277</v>
      </c>
      <c r="I1406" t="s">
        <v>5681</v>
      </c>
      <c r="J1406" t="s">
        <v>5682</v>
      </c>
      <c r="K1406" t="s">
        <v>5683</v>
      </c>
      <c r="L1406" t="s">
        <v>4717</v>
      </c>
    </row>
    <row r="1407">
      <c r="A1407" t="s">
        <v>2561</v>
      </c>
      <c r="B1407" t="s">
        <v>1257</v>
      </c>
      <c r="C1407" t="s">
        <v>958</v>
      </c>
      <c r="D1407" t="s">
        <v>1198</v>
      </c>
      <c r="E1407" t="s">
        <v>1248</v>
      </c>
      <c r="F1407" t="s">
        <v>154</v>
      </c>
      <c r="G1407" t="s">
        <v>4715</v>
      </c>
      <c r="H1407" t="s">
        <v>1277</v>
      </c>
      <c r="I1407" t="s">
        <v>5684</v>
      </c>
      <c r="J1407" t="s">
        <v>5685</v>
      </c>
      <c r="K1407" t="s">
        <v>5686</v>
      </c>
      <c r="L1407" t="s">
        <v>4717</v>
      </c>
    </row>
    <row r="1408">
      <c r="A1408" t="s">
        <v>2561</v>
      </c>
      <c r="B1408" t="s">
        <v>1257</v>
      </c>
      <c r="C1408" t="s">
        <v>958</v>
      </c>
      <c r="D1408" t="s">
        <v>1198</v>
      </c>
      <c r="E1408" t="s">
        <v>1248</v>
      </c>
      <c r="F1408" t="s">
        <v>154</v>
      </c>
      <c r="G1408" t="s">
        <v>4715</v>
      </c>
      <c r="H1408" t="s">
        <v>1310</v>
      </c>
      <c r="I1408" t="s">
        <v>5288</v>
      </c>
      <c r="J1408" t="s">
        <v>5687</v>
      </c>
      <c r="K1408" t="s">
        <v>5688</v>
      </c>
      <c r="L1408" t="s">
        <v>4717</v>
      </c>
    </row>
    <row r="1409">
      <c r="A1409" t="s">
        <v>2561</v>
      </c>
      <c r="B1409" t="s">
        <v>1257</v>
      </c>
      <c r="C1409" t="s">
        <v>958</v>
      </c>
      <c r="D1409" t="s">
        <v>1198</v>
      </c>
      <c r="E1409" t="s">
        <v>1248</v>
      </c>
      <c r="F1409" t="s">
        <v>154</v>
      </c>
      <c r="G1409" t="s">
        <v>4715</v>
      </c>
      <c r="H1409" t="s">
        <v>5522</v>
      </c>
      <c r="I1409" t="s">
        <v>5656</v>
      </c>
      <c r="J1409" t="s">
        <v>5657</v>
      </c>
      <c r="K1409" t="s">
        <v>5658</v>
      </c>
      <c r="L1409" t="s">
        <v>4717</v>
      </c>
    </row>
    <row r="1410">
      <c r="A1410" t="s">
        <v>2564</v>
      </c>
      <c r="B1410" t="s">
        <v>1263</v>
      </c>
      <c r="C1410" t="s">
        <v>958</v>
      </c>
      <c r="D1410" t="s">
        <v>1198</v>
      </c>
      <c r="E1410" t="s">
        <v>1248</v>
      </c>
      <c r="F1410" t="s">
        <v>154</v>
      </c>
      <c r="G1410" t="s">
        <v>4715</v>
      </c>
      <c r="H1410" t="s">
        <v>5041</v>
      </c>
      <c r="I1410" t="s">
        <v>5614</v>
      </c>
      <c r="J1410" t="s">
        <v>5615</v>
      </c>
      <c r="K1410" t="s">
        <v>4169</v>
      </c>
      <c r="L1410" t="s">
        <v>4717</v>
      </c>
    </row>
    <row r="1411">
      <c r="A1411" t="s">
        <v>2564</v>
      </c>
      <c r="B1411" t="s">
        <v>1263</v>
      </c>
      <c r="C1411" t="s">
        <v>958</v>
      </c>
      <c r="D1411" t="s">
        <v>1198</v>
      </c>
      <c r="E1411" t="s">
        <v>1248</v>
      </c>
      <c r="F1411" t="s">
        <v>154</v>
      </c>
      <c r="G1411" t="s">
        <v>4715</v>
      </c>
      <c r="H1411" t="s">
        <v>5616</v>
      </c>
      <c r="I1411" t="s">
        <v>5617</v>
      </c>
      <c r="J1411" t="s">
        <v>5618</v>
      </c>
      <c r="K1411" t="s">
        <v>5619</v>
      </c>
      <c r="L1411" t="s">
        <v>4717</v>
      </c>
    </row>
    <row r="1412">
      <c r="A1412" t="s">
        <v>2564</v>
      </c>
      <c r="B1412" t="s">
        <v>1263</v>
      </c>
      <c r="C1412" t="s">
        <v>958</v>
      </c>
      <c r="D1412" t="s">
        <v>1198</v>
      </c>
      <c r="E1412" t="s">
        <v>1248</v>
      </c>
      <c r="F1412" t="s">
        <v>154</v>
      </c>
      <c r="G1412" t="s">
        <v>4715</v>
      </c>
      <c r="H1412" t="s">
        <v>5499</v>
      </c>
      <c r="I1412" t="s">
        <v>5620</v>
      </c>
      <c r="J1412" t="s">
        <v>5621</v>
      </c>
      <c r="K1412" t="s">
        <v>5622</v>
      </c>
      <c r="L1412" t="s">
        <v>4717</v>
      </c>
    </row>
    <row r="1413">
      <c r="A1413" t="s">
        <v>2564</v>
      </c>
      <c r="B1413" t="s">
        <v>1263</v>
      </c>
      <c r="C1413" t="s">
        <v>958</v>
      </c>
      <c r="D1413" t="s">
        <v>1198</v>
      </c>
      <c r="E1413" t="s">
        <v>1248</v>
      </c>
      <c r="F1413" t="s">
        <v>154</v>
      </c>
      <c r="G1413" t="s">
        <v>4715</v>
      </c>
      <c r="H1413" t="s">
        <v>5623</v>
      </c>
      <c r="I1413" t="s">
        <v>5624</v>
      </c>
      <c r="J1413" t="s">
        <v>5625</v>
      </c>
      <c r="K1413" t="s">
        <v>5626</v>
      </c>
      <c r="L1413" t="s">
        <v>4717</v>
      </c>
    </row>
    <row r="1414">
      <c r="A1414" t="s">
        <v>2564</v>
      </c>
      <c r="B1414" t="s">
        <v>1263</v>
      </c>
      <c r="C1414" t="s">
        <v>958</v>
      </c>
      <c r="D1414" t="s">
        <v>1198</v>
      </c>
      <c r="E1414" t="s">
        <v>1248</v>
      </c>
      <c r="F1414" t="s">
        <v>154</v>
      </c>
      <c r="G1414" t="s">
        <v>4715</v>
      </c>
      <c r="H1414" t="s">
        <v>3904</v>
      </c>
      <c r="I1414" t="s">
        <v>5627</v>
      </c>
      <c r="J1414" t="s">
        <v>5628</v>
      </c>
      <c r="K1414" t="s">
        <v>5629</v>
      </c>
      <c r="L1414" t="s">
        <v>4717</v>
      </c>
    </row>
    <row r="1415">
      <c r="A1415" t="s">
        <v>2564</v>
      </c>
      <c r="B1415" t="s">
        <v>1263</v>
      </c>
      <c r="C1415" t="s">
        <v>958</v>
      </c>
      <c r="D1415" t="s">
        <v>1198</v>
      </c>
      <c r="E1415" t="s">
        <v>1248</v>
      </c>
      <c r="F1415" t="s">
        <v>154</v>
      </c>
      <c r="G1415" t="s">
        <v>4715</v>
      </c>
      <c r="H1415" t="s">
        <v>5630</v>
      </c>
      <c r="I1415" t="s">
        <v>5474</v>
      </c>
      <c r="J1415" t="s">
        <v>5631</v>
      </c>
      <c r="K1415" t="s">
        <v>5632</v>
      </c>
      <c r="L1415" t="s">
        <v>4717</v>
      </c>
    </row>
    <row r="1416">
      <c r="A1416" t="s">
        <v>2564</v>
      </c>
      <c r="B1416" t="s">
        <v>1263</v>
      </c>
      <c r="C1416" t="s">
        <v>958</v>
      </c>
      <c r="D1416" t="s">
        <v>1198</v>
      </c>
      <c r="E1416" t="s">
        <v>1248</v>
      </c>
      <c r="F1416" t="s">
        <v>154</v>
      </c>
      <c r="G1416" t="s">
        <v>4715</v>
      </c>
      <c r="H1416" t="s">
        <v>5170</v>
      </c>
      <c r="I1416" t="s">
        <v>5171</v>
      </c>
      <c r="J1416" t="s">
        <v>5633</v>
      </c>
      <c r="K1416" t="s">
        <v>5634</v>
      </c>
      <c r="L1416" t="s">
        <v>4717</v>
      </c>
    </row>
    <row r="1417">
      <c r="A1417" t="s">
        <v>2564</v>
      </c>
      <c r="B1417" t="s">
        <v>1263</v>
      </c>
      <c r="C1417" t="s">
        <v>958</v>
      </c>
      <c r="D1417" t="s">
        <v>1198</v>
      </c>
      <c r="E1417" t="s">
        <v>1248</v>
      </c>
      <c r="F1417" t="s">
        <v>154</v>
      </c>
      <c r="G1417" t="s">
        <v>4715</v>
      </c>
      <c r="H1417" t="s">
        <v>5157</v>
      </c>
      <c r="I1417" t="s">
        <v>5635</v>
      </c>
      <c r="J1417" t="s">
        <v>5636</v>
      </c>
      <c r="K1417" t="s">
        <v>5637</v>
      </c>
      <c r="L1417" t="s">
        <v>4717</v>
      </c>
    </row>
    <row r="1418">
      <c r="A1418" t="s">
        <v>2564</v>
      </c>
      <c r="B1418" t="s">
        <v>1263</v>
      </c>
      <c r="C1418" t="s">
        <v>958</v>
      </c>
      <c r="D1418" t="s">
        <v>1198</v>
      </c>
      <c r="E1418" t="s">
        <v>1248</v>
      </c>
      <c r="F1418" t="s">
        <v>154</v>
      </c>
      <c r="G1418" t="s">
        <v>4715</v>
      </c>
      <c r="H1418" t="s">
        <v>1221</v>
      </c>
      <c r="I1418" t="s">
        <v>5263</v>
      </c>
      <c r="J1418" t="s">
        <v>5673</v>
      </c>
      <c r="K1418" t="s">
        <v>5674</v>
      </c>
      <c r="L1418" t="s">
        <v>4717</v>
      </c>
    </row>
    <row r="1419">
      <c r="A1419" t="s">
        <v>2564</v>
      </c>
      <c r="B1419" t="s">
        <v>1263</v>
      </c>
      <c r="C1419" t="s">
        <v>958</v>
      </c>
      <c r="D1419" t="s">
        <v>1198</v>
      </c>
      <c r="E1419" t="s">
        <v>1248</v>
      </c>
      <c r="F1419" t="s">
        <v>154</v>
      </c>
      <c r="G1419" t="s">
        <v>4715</v>
      </c>
      <c r="H1419" t="s">
        <v>1221</v>
      </c>
      <c r="I1419" t="s">
        <v>5675</v>
      </c>
      <c r="J1419" t="s">
        <v>5676</v>
      </c>
      <c r="K1419" t="s">
        <v>5677</v>
      </c>
      <c r="L1419" t="s">
        <v>4717</v>
      </c>
    </row>
    <row r="1420">
      <c r="A1420" t="s">
        <v>2564</v>
      </c>
      <c r="B1420" t="s">
        <v>1263</v>
      </c>
      <c r="C1420" t="s">
        <v>958</v>
      </c>
      <c r="D1420" t="s">
        <v>1198</v>
      </c>
      <c r="E1420" t="s">
        <v>1248</v>
      </c>
      <c r="F1420" t="s">
        <v>154</v>
      </c>
      <c r="G1420" t="s">
        <v>4715</v>
      </c>
      <c r="H1420" t="s">
        <v>1221</v>
      </c>
      <c r="I1420" t="s">
        <v>5678</v>
      </c>
      <c r="J1420" t="s">
        <v>5679</v>
      </c>
      <c r="K1420" t="s">
        <v>5680</v>
      </c>
      <c r="L1420" t="s">
        <v>4717</v>
      </c>
    </row>
    <row r="1421">
      <c r="A1421" t="s">
        <v>2564</v>
      </c>
      <c r="B1421" t="s">
        <v>1263</v>
      </c>
      <c r="C1421" t="s">
        <v>958</v>
      </c>
      <c r="D1421" t="s">
        <v>1198</v>
      </c>
      <c r="E1421" t="s">
        <v>1248</v>
      </c>
      <c r="F1421" t="s">
        <v>154</v>
      </c>
      <c r="G1421" t="s">
        <v>4715</v>
      </c>
      <c r="H1421" t="s">
        <v>1277</v>
      </c>
      <c r="I1421" t="s">
        <v>5681</v>
      </c>
      <c r="J1421" t="s">
        <v>5682</v>
      </c>
      <c r="K1421" t="s">
        <v>5683</v>
      </c>
      <c r="L1421" t="s">
        <v>4717</v>
      </c>
    </row>
    <row r="1422">
      <c r="A1422" t="s">
        <v>2564</v>
      </c>
      <c r="B1422" t="s">
        <v>1263</v>
      </c>
      <c r="C1422" t="s">
        <v>958</v>
      </c>
      <c r="D1422" t="s">
        <v>1198</v>
      </c>
      <c r="E1422" t="s">
        <v>1248</v>
      </c>
      <c r="F1422" t="s">
        <v>154</v>
      </c>
      <c r="G1422" t="s">
        <v>4715</v>
      </c>
      <c r="H1422" t="s">
        <v>1277</v>
      </c>
      <c r="I1422" t="s">
        <v>5684</v>
      </c>
      <c r="J1422" t="s">
        <v>5685</v>
      </c>
      <c r="K1422" t="s">
        <v>5686</v>
      </c>
      <c r="L1422" t="s">
        <v>4717</v>
      </c>
    </row>
    <row r="1423">
      <c r="A1423" t="s">
        <v>2564</v>
      </c>
      <c r="B1423" t="s">
        <v>1263</v>
      </c>
      <c r="C1423" t="s">
        <v>958</v>
      </c>
      <c r="D1423" t="s">
        <v>1198</v>
      </c>
      <c r="E1423" t="s">
        <v>1248</v>
      </c>
      <c r="F1423" t="s">
        <v>154</v>
      </c>
      <c r="G1423" t="s">
        <v>4715</v>
      </c>
      <c r="H1423" t="s">
        <v>1310</v>
      </c>
      <c r="I1423" t="s">
        <v>5288</v>
      </c>
      <c r="J1423" t="s">
        <v>5687</v>
      </c>
      <c r="K1423" t="s">
        <v>5688</v>
      </c>
      <c r="L1423" t="s">
        <v>4717</v>
      </c>
    </row>
    <row r="1424">
      <c r="A1424" t="s">
        <v>2564</v>
      </c>
      <c r="B1424" t="s">
        <v>1263</v>
      </c>
      <c r="C1424" t="s">
        <v>958</v>
      </c>
      <c r="D1424" t="s">
        <v>1198</v>
      </c>
      <c r="E1424" t="s">
        <v>1248</v>
      </c>
      <c r="F1424" t="s">
        <v>154</v>
      </c>
      <c r="G1424" t="s">
        <v>4715</v>
      </c>
      <c r="H1424" t="s">
        <v>5522</v>
      </c>
      <c r="I1424" t="s">
        <v>5656</v>
      </c>
      <c r="J1424" t="s">
        <v>5657</v>
      </c>
      <c r="K1424" t="s">
        <v>5658</v>
      </c>
      <c r="L1424" t="s">
        <v>4717</v>
      </c>
    </row>
    <row r="1425">
      <c r="A1425" t="s">
        <v>2567</v>
      </c>
      <c r="B1425" t="s">
        <v>1271</v>
      </c>
      <c r="C1425" t="s">
        <v>958</v>
      </c>
      <c r="D1425" t="s">
        <v>1198</v>
      </c>
      <c r="E1425" t="s">
        <v>1248</v>
      </c>
      <c r="F1425" t="s">
        <v>120</v>
      </c>
      <c r="G1425" t="s">
        <v>4715</v>
      </c>
      <c r="H1425" t="s">
        <v>5041</v>
      </c>
      <c r="I1425" t="s">
        <v>5614</v>
      </c>
      <c r="J1425" t="s">
        <v>5615</v>
      </c>
      <c r="K1425" t="s">
        <v>4169</v>
      </c>
      <c r="L1425" t="s">
        <v>4717</v>
      </c>
    </row>
    <row r="1426">
      <c r="A1426" t="s">
        <v>2567</v>
      </c>
      <c r="B1426" t="s">
        <v>1271</v>
      </c>
      <c r="C1426" t="s">
        <v>958</v>
      </c>
      <c r="D1426" t="s">
        <v>1198</v>
      </c>
      <c r="E1426" t="s">
        <v>1248</v>
      </c>
      <c r="F1426" t="s">
        <v>120</v>
      </c>
      <c r="G1426" t="s">
        <v>4715</v>
      </c>
      <c r="H1426" t="s">
        <v>5616</v>
      </c>
      <c r="I1426" t="s">
        <v>5617</v>
      </c>
      <c r="J1426" t="s">
        <v>5618</v>
      </c>
      <c r="K1426" t="s">
        <v>5619</v>
      </c>
      <c r="L1426" t="s">
        <v>4717</v>
      </c>
    </row>
    <row r="1427">
      <c r="A1427" t="s">
        <v>2567</v>
      </c>
      <c r="B1427" t="s">
        <v>1271</v>
      </c>
      <c r="C1427" t="s">
        <v>958</v>
      </c>
      <c r="D1427" t="s">
        <v>1198</v>
      </c>
      <c r="E1427" t="s">
        <v>1248</v>
      </c>
      <c r="F1427" t="s">
        <v>120</v>
      </c>
      <c r="G1427" t="s">
        <v>4715</v>
      </c>
      <c r="H1427" t="s">
        <v>5499</v>
      </c>
      <c r="I1427" t="s">
        <v>5620</v>
      </c>
      <c r="J1427" t="s">
        <v>5621</v>
      </c>
      <c r="K1427" t="s">
        <v>5622</v>
      </c>
      <c r="L1427" t="s">
        <v>4717</v>
      </c>
    </row>
    <row r="1428">
      <c r="A1428" t="s">
        <v>2567</v>
      </c>
      <c r="B1428" t="s">
        <v>1271</v>
      </c>
      <c r="C1428" t="s">
        <v>958</v>
      </c>
      <c r="D1428" t="s">
        <v>1198</v>
      </c>
      <c r="E1428" t="s">
        <v>1248</v>
      </c>
      <c r="F1428" t="s">
        <v>120</v>
      </c>
      <c r="G1428" t="s">
        <v>4715</v>
      </c>
      <c r="H1428" t="s">
        <v>5623</v>
      </c>
      <c r="I1428" t="s">
        <v>5624</v>
      </c>
      <c r="J1428" t="s">
        <v>5625</v>
      </c>
      <c r="K1428" t="s">
        <v>5626</v>
      </c>
      <c r="L1428" t="s">
        <v>4717</v>
      </c>
    </row>
    <row r="1429">
      <c r="A1429" t="s">
        <v>2567</v>
      </c>
      <c r="B1429" t="s">
        <v>1271</v>
      </c>
      <c r="C1429" t="s">
        <v>958</v>
      </c>
      <c r="D1429" t="s">
        <v>1198</v>
      </c>
      <c r="E1429" t="s">
        <v>1248</v>
      </c>
      <c r="F1429" t="s">
        <v>120</v>
      </c>
      <c r="G1429" t="s">
        <v>4715</v>
      </c>
      <c r="H1429" t="s">
        <v>3904</v>
      </c>
      <c r="I1429" t="s">
        <v>5627</v>
      </c>
      <c r="J1429" t="s">
        <v>5628</v>
      </c>
      <c r="K1429" t="s">
        <v>5629</v>
      </c>
      <c r="L1429" t="s">
        <v>4717</v>
      </c>
    </row>
    <row r="1430">
      <c r="A1430" t="s">
        <v>2567</v>
      </c>
      <c r="B1430" t="s">
        <v>1271</v>
      </c>
      <c r="C1430" t="s">
        <v>958</v>
      </c>
      <c r="D1430" t="s">
        <v>1198</v>
      </c>
      <c r="E1430" t="s">
        <v>1248</v>
      </c>
      <c r="F1430" t="s">
        <v>120</v>
      </c>
      <c r="G1430" t="s">
        <v>4715</v>
      </c>
      <c r="H1430" t="s">
        <v>5630</v>
      </c>
      <c r="I1430" t="s">
        <v>5474</v>
      </c>
      <c r="J1430" t="s">
        <v>5631</v>
      </c>
      <c r="K1430" t="s">
        <v>5632</v>
      </c>
      <c r="L1430" t="s">
        <v>4717</v>
      </c>
    </row>
    <row r="1431">
      <c r="A1431" t="s">
        <v>2567</v>
      </c>
      <c r="B1431" t="s">
        <v>1271</v>
      </c>
      <c r="C1431" t="s">
        <v>958</v>
      </c>
      <c r="D1431" t="s">
        <v>1198</v>
      </c>
      <c r="E1431" t="s">
        <v>1248</v>
      </c>
      <c r="F1431" t="s">
        <v>120</v>
      </c>
      <c r="G1431" t="s">
        <v>4715</v>
      </c>
      <c r="H1431" t="s">
        <v>5170</v>
      </c>
      <c r="I1431" t="s">
        <v>5171</v>
      </c>
      <c r="J1431" t="s">
        <v>5633</v>
      </c>
      <c r="K1431" t="s">
        <v>5634</v>
      </c>
      <c r="L1431" t="s">
        <v>4717</v>
      </c>
    </row>
    <row r="1432">
      <c r="A1432" t="s">
        <v>2567</v>
      </c>
      <c r="B1432" t="s">
        <v>1271</v>
      </c>
      <c r="C1432" t="s">
        <v>958</v>
      </c>
      <c r="D1432" t="s">
        <v>1198</v>
      </c>
      <c r="E1432" t="s">
        <v>1248</v>
      </c>
      <c r="F1432" t="s">
        <v>120</v>
      </c>
      <c r="G1432" t="s">
        <v>4715</v>
      </c>
      <c r="H1432" t="s">
        <v>5157</v>
      </c>
      <c r="I1432" t="s">
        <v>5635</v>
      </c>
      <c r="J1432" t="s">
        <v>5636</v>
      </c>
      <c r="K1432" t="s">
        <v>5637</v>
      </c>
      <c r="L1432" t="s">
        <v>4717</v>
      </c>
    </row>
    <row r="1433">
      <c r="A1433" t="s">
        <v>2567</v>
      </c>
      <c r="B1433" t="s">
        <v>1271</v>
      </c>
      <c r="C1433" t="s">
        <v>958</v>
      </c>
      <c r="D1433" t="s">
        <v>1198</v>
      </c>
      <c r="E1433" t="s">
        <v>1248</v>
      </c>
      <c r="F1433" t="s">
        <v>120</v>
      </c>
      <c r="G1433" t="s">
        <v>4715</v>
      </c>
      <c r="H1433" t="s">
        <v>1221</v>
      </c>
      <c r="I1433" t="s">
        <v>5263</v>
      </c>
      <c r="J1433" t="s">
        <v>5673</v>
      </c>
      <c r="K1433" t="s">
        <v>5674</v>
      </c>
      <c r="L1433" t="s">
        <v>4717</v>
      </c>
    </row>
    <row r="1434">
      <c r="A1434" t="s">
        <v>2567</v>
      </c>
      <c r="B1434" t="s">
        <v>1271</v>
      </c>
      <c r="C1434" t="s">
        <v>958</v>
      </c>
      <c r="D1434" t="s">
        <v>1198</v>
      </c>
      <c r="E1434" t="s">
        <v>1248</v>
      </c>
      <c r="F1434" t="s">
        <v>120</v>
      </c>
      <c r="G1434" t="s">
        <v>4715</v>
      </c>
      <c r="H1434" t="s">
        <v>1221</v>
      </c>
      <c r="I1434" t="s">
        <v>5675</v>
      </c>
      <c r="J1434" t="s">
        <v>5676</v>
      </c>
      <c r="K1434" t="s">
        <v>5677</v>
      </c>
      <c r="L1434" t="s">
        <v>4717</v>
      </c>
    </row>
    <row r="1435">
      <c r="A1435" t="s">
        <v>2567</v>
      </c>
      <c r="B1435" t="s">
        <v>1271</v>
      </c>
      <c r="C1435" t="s">
        <v>958</v>
      </c>
      <c r="D1435" t="s">
        <v>1198</v>
      </c>
      <c r="E1435" t="s">
        <v>1248</v>
      </c>
      <c r="F1435" t="s">
        <v>120</v>
      </c>
      <c r="G1435" t="s">
        <v>4715</v>
      </c>
      <c r="H1435" t="s">
        <v>1221</v>
      </c>
      <c r="I1435" t="s">
        <v>5678</v>
      </c>
      <c r="J1435" t="s">
        <v>5679</v>
      </c>
      <c r="K1435" t="s">
        <v>5680</v>
      </c>
      <c r="L1435" t="s">
        <v>4717</v>
      </c>
    </row>
    <row r="1436">
      <c r="A1436" t="s">
        <v>2567</v>
      </c>
      <c r="B1436" t="s">
        <v>1271</v>
      </c>
      <c r="C1436" t="s">
        <v>958</v>
      </c>
      <c r="D1436" t="s">
        <v>1198</v>
      </c>
      <c r="E1436" t="s">
        <v>1248</v>
      </c>
      <c r="F1436" t="s">
        <v>120</v>
      </c>
      <c r="G1436" t="s">
        <v>4715</v>
      </c>
      <c r="H1436" t="s">
        <v>1277</v>
      </c>
      <c r="I1436" t="s">
        <v>5681</v>
      </c>
      <c r="J1436" t="s">
        <v>5682</v>
      </c>
      <c r="K1436" t="s">
        <v>5683</v>
      </c>
      <c r="L1436" t="s">
        <v>4717</v>
      </c>
    </row>
    <row r="1437">
      <c r="A1437" t="s">
        <v>2567</v>
      </c>
      <c r="B1437" t="s">
        <v>1271</v>
      </c>
      <c r="C1437" t="s">
        <v>958</v>
      </c>
      <c r="D1437" t="s">
        <v>1198</v>
      </c>
      <c r="E1437" t="s">
        <v>1248</v>
      </c>
      <c r="F1437" t="s">
        <v>120</v>
      </c>
      <c r="G1437" t="s">
        <v>4715</v>
      </c>
      <c r="H1437" t="s">
        <v>1277</v>
      </c>
      <c r="I1437" t="s">
        <v>5684</v>
      </c>
      <c r="J1437" t="s">
        <v>5685</v>
      </c>
      <c r="K1437" t="s">
        <v>5686</v>
      </c>
      <c r="L1437" t="s">
        <v>4717</v>
      </c>
    </row>
    <row r="1438">
      <c r="A1438" t="s">
        <v>2567</v>
      </c>
      <c r="B1438" t="s">
        <v>1271</v>
      </c>
      <c r="C1438" t="s">
        <v>958</v>
      </c>
      <c r="D1438" t="s">
        <v>1198</v>
      </c>
      <c r="E1438" t="s">
        <v>1248</v>
      </c>
      <c r="F1438" t="s">
        <v>120</v>
      </c>
      <c r="G1438" t="s">
        <v>4715</v>
      </c>
      <c r="H1438" t="s">
        <v>1310</v>
      </c>
      <c r="I1438" t="s">
        <v>5288</v>
      </c>
      <c r="J1438" t="s">
        <v>5687</v>
      </c>
      <c r="K1438" t="s">
        <v>5688</v>
      </c>
      <c r="L1438" t="s">
        <v>4717</v>
      </c>
    </row>
    <row r="1439">
      <c r="A1439" t="s">
        <v>2567</v>
      </c>
      <c r="B1439" t="s">
        <v>1271</v>
      </c>
      <c r="C1439" t="s">
        <v>958</v>
      </c>
      <c r="D1439" t="s">
        <v>1198</v>
      </c>
      <c r="E1439" t="s">
        <v>1248</v>
      </c>
      <c r="F1439" t="s">
        <v>120</v>
      </c>
      <c r="G1439" t="s">
        <v>4715</v>
      </c>
      <c r="H1439" t="s">
        <v>5522</v>
      </c>
      <c r="I1439" t="s">
        <v>5656</v>
      </c>
      <c r="J1439" t="s">
        <v>5657</v>
      </c>
      <c r="K1439" t="s">
        <v>5658</v>
      </c>
      <c r="L1439" t="s">
        <v>4717</v>
      </c>
    </row>
    <row r="1440">
      <c r="A1440" t="s">
        <v>2570</v>
      </c>
      <c r="B1440" t="s">
        <v>1279</v>
      </c>
      <c r="C1440" t="s">
        <v>958</v>
      </c>
      <c r="D1440" t="s">
        <v>1198</v>
      </c>
      <c r="E1440" t="s">
        <v>1277</v>
      </c>
      <c r="F1440" t="s">
        <v>129</v>
      </c>
      <c r="G1440" t="s">
        <v>4715</v>
      </c>
      <c r="H1440" t="s">
        <v>5041</v>
      </c>
      <c r="I1440" t="s">
        <v>5614</v>
      </c>
      <c r="J1440" t="s">
        <v>5615</v>
      </c>
      <c r="K1440" t="s">
        <v>4169</v>
      </c>
      <c r="L1440" t="s">
        <v>4717</v>
      </c>
    </row>
    <row r="1441">
      <c r="A1441" t="s">
        <v>2570</v>
      </c>
      <c r="B1441" t="s">
        <v>1279</v>
      </c>
      <c r="C1441" t="s">
        <v>958</v>
      </c>
      <c r="D1441" t="s">
        <v>1198</v>
      </c>
      <c r="E1441" t="s">
        <v>1277</v>
      </c>
      <c r="F1441" t="s">
        <v>129</v>
      </c>
      <c r="G1441" t="s">
        <v>4715</v>
      </c>
      <c r="H1441" t="s">
        <v>5616</v>
      </c>
      <c r="I1441" t="s">
        <v>5617</v>
      </c>
      <c r="J1441" t="s">
        <v>5618</v>
      </c>
      <c r="K1441" t="s">
        <v>5619</v>
      </c>
      <c r="L1441" t="s">
        <v>4717</v>
      </c>
    </row>
    <row r="1442">
      <c r="A1442" t="s">
        <v>2570</v>
      </c>
      <c r="B1442" t="s">
        <v>1279</v>
      </c>
      <c r="C1442" t="s">
        <v>958</v>
      </c>
      <c r="D1442" t="s">
        <v>1198</v>
      </c>
      <c r="E1442" t="s">
        <v>1277</v>
      </c>
      <c r="F1442" t="s">
        <v>129</v>
      </c>
      <c r="G1442" t="s">
        <v>4715</v>
      </c>
      <c r="H1442" t="s">
        <v>5499</v>
      </c>
      <c r="I1442" t="s">
        <v>5620</v>
      </c>
      <c r="J1442" t="s">
        <v>5621</v>
      </c>
      <c r="K1442" t="s">
        <v>5622</v>
      </c>
      <c r="L1442" t="s">
        <v>4717</v>
      </c>
    </row>
    <row r="1443">
      <c r="A1443" t="s">
        <v>2570</v>
      </c>
      <c r="B1443" t="s">
        <v>1279</v>
      </c>
      <c r="C1443" t="s">
        <v>958</v>
      </c>
      <c r="D1443" t="s">
        <v>1198</v>
      </c>
      <c r="E1443" t="s">
        <v>1277</v>
      </c>
      <c r="F1443" t="s">
        <v>129</v>
      </c>
      <c r="G1443" t="s">
        <v>4715</v>
      </c>
      <c r="H1443" t="s">
        <v>5623</v>
      </c>
      <c r="I1443" t="s">
        <v>5624</v>
      </c>
      <c r="J1443" t="s">
        <v>5625</v>
      </c>
      <c r="K1443" t="s">
        <v>5626</v>
      </c>
      <c r="L1443" t="s">
        <v>4717</v>
      </c>
    </row>
    <row r="1444">
      <c r="A1444" t="s">
        <v>2570</v>
      </c>
      <c r="B1444" t="s">
        <v>1279</v>
      </c>
      <c r="C1444" t="s">
        <v>958</v>
      </c>
      <c r="D1444" t="s">
        <v>1198</v>
      </c>
      <c r="E1444" t="s">
        <v>1277</v>
      </c>
      <c r="F1444" t="s">
        <v>129</v>
      </c>
      <c r="G1444" t="s">
        <v>4715</v>
      </c>
      <c r="H1444" t="s">
        <v>3904</v>
      </c>
      <c r="I1444" t="s">
        <v>5627</v>
      </c>
      <c r="J1444" t="s">
        <v>5628</v>
      </c>
      <c r="K1444" t="s">
        <v>5629</v>
      </c>
      <c r="L1444" t="s">
        <v>4717</v>
      </c>
    </row>
    <row r="1445">
      <c r="A1445" t="s">
        <v>2570</v>
      </c>
      <c r="B1445" t="s">
        <v>1279</v>
      </c>
      <c r="C1445" t="s">
        <v>958</v>
      </c>
      <c r="D1445" t="s">
        <v>1198</v>
      </c>
      <c r="E1445" t="s">
        <v>1277</v>
      </c>
      <c r="F1445" t="s">
        <v>129</v>
      </c>
      <c r="G1445" t="s">
        <v>4715</v>
      </c>
      <c r="H1445" t="s">
        <v>5630</v>
      </c>
      <c r="I1445" t="s">
        <v>5474</v>
      </c>
      <c r="J1445" t="s">
        <v>5631</v>
      </c>
      <c r="K1445" t="s">
        <v>5632</v>
      </c>
      <c r="L1445" t="s">
        <v>4717</v>
      </c>
    </row>
    <row r="1446">
      <c r="A1446" t="s">
        <v>2570</v>
      </c>
      <c r="B1446" t="s">
        <v>1279</v>
      </c>
      <c r="C1446" t="s">
        <v>958</v>
      </c>
      <c r="D1446" t="s">
        <v>1198</v>
      </c>
      <c r="E1446" t="s">
        <v>1277</v>
      </c>
      <c r="F1446" t="s">
        <v>129</v>
      </c>
      <c r="G1446" t="s">
        <v>4715</v>
      </c>
      <c r="H1446" t="s">
        <v>5170</v>
      </c>
      <c r="I1446" t="s">
        <v>5171</v>
      </c>
      <c r="J1446" t="s">
        <v>5633</v>
      </c>
      <c r="K1446" t="s">
        <v>5634</v>
      </c>
      <c r="L1446" t="s">
        <v>4717</v>
      </c>
    </row>
    <row r="1447">
      <c r="A1447" t="s">
        <v>2570</v>
      </c>
      <c r="B1447" t="s">
        <v>1279</v>
      </c>
      <c r="C1447" t="s">
        <v>958</v>
      </c>
      <c r="D1447" t="s">
        <v>1198</v>
      </c>
      <c r="E1447" t="s">
        <v>1277</v>
      </c>
      <c r="F1447" t="s">
        <v>129</v>
      </c>
      <c r="G1447" t="s">
        <v>4715</v>
      </c>
      <c r="H1447" t="s">
        <v>5157</v>
      </c>
      <c r="I1447" t="s">
        <v>5635</v>
      </c>
      <c r="J1447" t="s">
        <v>5636</v>
      </c>
      <c r="K1447" t="s">
        <v>5637</v>
      </c>
      <c r="L1447" t="s">
        <v>4717</v>
      </c>
    </row>
    <row r="1448">
      <c r="A1448" t="s">
        <v>2570</v>
      </c>
      <c r="B1448" t="s">
        <v>1279</v>
      </c>
      <c r="C1448" t="s">
        <v>958</v>
      </c>
      <c r="D1448" t="s">
        <v>1198</v>
      </c>
      <c r="E1448" t="s">
        <v>1277</v>
      </c>
      <c r="F1448" t="s">
        <v>129</v>
      </c>
      <c r="G1448" t="s">
        <v>4715</v>
      </c>
      <c r="H1448" t="s">
        <v>1221</v>
      </c>
      <c r="I1448" t="s">
        <v>5263</v>
      </c>
      <c r="J1448" t="s">
        <v>5673</v>
      </c>
      <c r="K1448" t="s">
        <v>5674</v>
      </c>
      <c r="L1448" t="s">
        <v>4717</v>
      </c>
    </row>
    <row r="1449">
      <c r="A1449" t="s">
        <v>2570</v>
      </c>
      <c r="B1449" t="s">
        <v>1279</v>
      </c>
      <c r="C1449" t="s">
        <v>958</v>
      </c>
      <c r="D1449" t="s">
        <v>1198</v>
      </c>
      <c r="E1449" t="s">
        <v>1277</v>
      </c>
      <c r="F1449" t="s">
        <v>129</v>
      </c>
      <c r="G1449" t="s">
        <v>4715</v>
      </c>
      <c r="H1449" t="s">
        <v>1221</v>
      </c>
      <c r="I1449" t="s">
        <v>5675</v>
      </c>
      <c r="J1449" t="s">
        <v>5676</v>
      </c>
      <c r="K1449" t="s">
        <v>5677</v>
      </c>
      <c r="L1449" t="s">
        <v>4717</v>
      </c>
    </row>
    <row r="1450">
      <c r="A1450" t="s">
        <v>2570</v>
      </c>
      <c r="B1450" t="s">
        <v>1279</v>
      </c>
      <c r="C1450" t="s">
        <v>958</v>
      </c>
      <c r="D1450" t="s">
        <v>1198</v>
      </c>
      <c r="E1450" t="s">
        <v>1277</v>
      </c>
      <c r="F1450" t="s">
        <v>129</v>
      </c>
      <c r="G1450" t="s">
        <v>4715</v>
      </c>
      <c r="H1450" t="s">
        <v>1221</v>
      </c>
      <c r="I1450" t="s">
        <v>5678</v>
      </c>
      <c r="J1450" t="s">
        <v>5679</v>
      </c>
      <c r="K1450" t="s">
        <v>5680</v>
      </c>
      <c r="L1450" t="s">
        <v>4717</v>
      </c>
    </row>
    <row r="1451">
      <c r="A1451" t="s">
        <v>2570</v>
      </c>
      <c r="B1451" t="s">
        <v>1279</v>
      </c>
      <c r="C1451" t="s">
        <v>958</v>
      </c>
      <c r="D1451" t="s">
        <v>1198</v>
      </c>
      <c r="E1451" t="s">
        <v>1277</v>
      </c>
      <c r="F1451" t="s">
        <v>129</v>
      </c>
      <c r="G1451" t="s">
        <v>4715</v>
      </c>
      <c r="H1451" t="s">
        <v>1277</v>
      </c>
      <c r="I1451" t="s">
        <v>5681</v>
      </c>
      <c r="J1451" t="s">
        <v>5682</v>
      </c>
      <c r="K1451" t="s">
        <v>5683</v>
      </c>
      <c r="L1451" t="s">
        <v>4717</v>
      </c>
    </row>
    <row r="1452">
      <c r="A1452" t="s">
        <v>2570</v>
      </c>
      <c r="B1452" t="s">
        <v>1279</v>
      </c>
      <c r="C1452" t="s">
        <v>958</v>
      </c>
      <c r="D1452" t="s">
        <v>1198</v>
      </c>
      <c r="E1452" t="s">
        <v>1277</v>
      </c>
      <c r="F1452" t="s">
        <v>129</v>
      </c>
      <c r="G1452" t="s">
        <v>4715</v>
      </c>
      <c r="H1452" t="s">
        <v>1277</v>
      </c>
      <c r="I1452" t="s">
        <v>5684</v>
      </c>
      <c r="J1452" t="s">
        <v>5685</v>
      </c>
      <c r="K1452" t="s">
        <v>5686</v>
      </c>
      <c r="L1452" t="s">
        <v>4717</v>
      </c>
    </row>
    <row r="1453">
      <c r="A1453" t="s">
        <v>2570</v>
      </c>
      <c r="B1453" t="s">
        <v>1279</v>
      </c>
      <c r="C1453" t="s">
        <v>958</v>
      </c>
      <c r="D1453" t="s">
        <v>1198</v>
      </c>
      <c r="E1453" t="s">
        <v>1277</v>
      </c>
      <c r="F1453" t="s">
        <v>129</v>
      </c>
      <c r="G1453" t="s">
        <v>4715</v>
      </c>
      <c r="H1453" t="s">
        <v>1310</v>
      </c>
      <c r="I1453" t="s">
        <v>5288</v>
      </c>
      <c r="J1453" t="s">
        <v>5687</v>
      </c>
      <c r="K1453" t="s">
        <v>5688</v>
      </c>
      <c r="L1453" t="s">
        <v>4717</v>
      </c>
    </row>
    <row r="1454">
      <c r="A1454" t="s">
        <v>2570</v>
      </c>
      <c r="B1454" t="s">
        <v>1279</v>
      </c>
      <c r="C1454" t="s">
        <v>958</v>
      </c>
      <c r="D1454" t="s">
        <v>1198</v>
      </c>
      <c r="E1454" t="s">
        <v>1277</v>
      </c>
      <c r="F1454" t="s">
        <v>129</v>
      </c>
      <c r="G1454" t="s">
        <v>4715</v>
      </c>
      <c r="H1454" t="s">
        <v>5522</v>
      </c>
      <c r="I1454" t="s">
        <v>5656</v>
      </c>
      <c r="J1454" t="s">
        <v>5657</v>
      </c>
      <c r="K1454" t="s">
        <v>5658</v>
      </c>
      <c r="L1454" t="s">
        <v>4717</v>
      </c>
    </row>
    <row r="1455">
      <c r="A1455" t="s">
        <v>2573</v>
      </c>
      <c r="B1455" t="s">
        <v>1287</v>
      </c>
      <c r="C1455" t="s">
        <v>958</v>
      </c>
      <c r="D1455" t="s">
        <v>1198</v>
      </c>
      <c r="E1455" t="s">
        <v>1277</v>
      </c>
      <c r="F1455" t="s">
        <v>97</v>
      </c>
      <c r="G1455" t="s">
        <v>4715</v>
      </c>
      <c r="H1455" t="s">
        <v>5041</v>
      </c>
      <c r="I1455" t="s">
        <v>5614</v>
      </c>
      <c r="J1455" t="s">
        <v>5615</v>
      </c>
      <c r="K1455" t="s">
        <v>4169</v>
      </c>
      <c r="L1455" t="s">
        <v>4717</v>
      </c>
    </row>
    <row r="1456">
      <c r="A1456" t="s">
        <v>2573</v>
      </c>
      <c r="B1456" t="s">
        <v>1287</v>
      </c>
      <c r="C1456" t="s">
        <v>958</v>
      </c>
      <c r="D1456" t="s">
        <v>1198</v>
      </c>
      <c r="E1456" t="s">
        <v>1277</v>
      </c>
      <c r="F1456" t="s">
        <v>97</v>
      </c>
      <c r="G1456" t="s">
        <v>4715</v>
      </c>
      <c r="H1456" t="s">
        <v>5616</v>
      </c>
      <c r="I1456" t="s">
        <v>5617</v>
      </c>
      <c r="J1456" t="s">
        <v>5618</v>
      </c>
      <c r="K1456" t="s">
        <v>5619</v>
      </c>
      <c r="L1456" t="s">
        <v>4717</v>
      </c>
    </row>
    <row r="1457">
      <c r="A1457" t="s">
        <v>2573</v>
      </c>
      <c r="B1457" t="s">
        <v>1287</v>
      </c>
      <c r="C1457" t="s">
        <v>958</v>
      </c>
      <c r="D1457" t="s">
        <v>1198</v>
      </c>
      <c r="E1457" t="s">
        <v>1277</v>
      </c>
      <c r="F1457" t="s">
        <v>97</v>
      </c>
      <c r="G1457" t="s">
        <v>4715</v>
      </c>
      <c r="H1457" t="s">
        <v>5499</v>
      </c>
      <c r="I1457" t="s">
        <v>5620</v>
      </c>
      <c r="J1457" t="s">
        <v>5621</v>
      </c>
      <c r="K1457" t="s">
        <v>5622</v>
      </c>
      <c r="L1457" t="s">
        <v>4717</v>
      </c>
    </row>
    <row r="1458">
      <c r="A1458" t="s">
        <v>2573</v>
      </c>
      <c r="B1458" t="s">
        <v>1287</v>
      </c>
      <c r="C1458" t="s">
        <v>958</v>
      </c>
      <c r="D1458" t="s">
        <v>1198</v>
      </c>
      <c r="E1458" t="s">
        <v>1277</v>
      </c>
      <c r="F1458" t="s">
        <v>97</v>
      </c>
      <c r="G1458" t="s">
        <v>4715</v>
      </c>
      <c r="H1458" t="s">
        <v>5623</v>
      </c>
      <c r="I1458" t="s">
        <v>5624</v>
      </c>
      <c r="J1458" t="s">
        <v>5625</v>
      </c>
      <c r="K1458" t="s">
        <v>5626</v>
      </c>
      <c r="L1458" t="s">
        <v>4717</v>
      </c>
    </row>
    <row r="1459">
      <c r="A1459" t="s">
        <v>2573</v>
      </c>
      <c r="B1459" t="s">
        <v>1287</v>
      </c>
      <c r="C1459" t="s">
        <v>958</v>
      </c>
      <c r="D1459" t="s">
        <v>1198</v>
      </c>
      <c r="E1459" t="s">
        <v>1277</v>
      </c>
      <c r="F1459" t="s">
        <v>97</v>
      </c>
      <c r="G1459" t="s">
        <v>4715</v>
      </c>
      <c r="H1459" t="s">
        <v>3904</v>
      </c>
      <c r="I1459" t="s">
        <v>5627</v>
      </c>
      <c r="J1459" t="s">
        <v>5628</v>
      </c>
      <c r="K1459" t="s">
        <v>5629</v>
      </c>
      <c r="L1459" t="s">
        <v>4717</v>
      </c>
    </row>
    <row r="1460">
      <c r="A1460" t="s">
        <v>2573</v>
      </c>
      <c r="B1460" t="s">
        <v>1287</v>
      </c>
      <c r="C1460" t="s">
        <v>958</v>
      </c>
      <c r="D1460" t="s">
        <v>1198</v>
      </c>
      <c r="E1460" t="s">
        <v>1277</v>
      </c>
      <c r="F1460" t="s">
        <v>97</v>
      </c>
      <c r="G1460" t="s">
        <v>4715</v>
      </c>
      <c r="H1460" t="s">
        <v>5630</v>
      </c>
      <c r="I1460" t="s">
        <v>5474</v>
      </c>
      <c r="J1460" t="s">
        <v>5631</v>
      </c>
      <c r="K1460" t="s">
        <v>5632</v>
      </c>
      <c r="L1460" t="s">
        <v>4717</v>
      </c>
    </row>
    <row r="1461">
      <c r="A1461" t="s">
        <v>2573</v>
      </c>
      <c r="B1461" t="s">
        <v>1287</v>
      </c>
      <c r="C1461" t="s">
        <v>958</v>
      </c>
      <c r="D1461" t="s">
        <v>1198</v>
      </c>
      <c r="E1461" t="s">
        <v>1277</v>
      </c>
      <c r="F1461" t="s">
        <v>97</v>
      </c>
      <c r="G1461" t="s">
        <v>4715</v>
      </c>
      <c r="H1461" t="s">
        <v>5170</v>
      </c>
      <c r="I1461" t="s">
        <v>5171</v>
      </c>
      <c r="J1461" t="s">
        <v>5633</v>
      </c>
      <c r="K1461" t="s">
        <v>5634</v>
      </c>
      <c r="L1461" t="s">
        <v>4717</v>
      </c>
    </row>
    <row r="1462">
      <c r="A1462" t="s">
        <v>2573</v>
      </c>
      <c r="B1462" t="s">
        <v>1287</v>
      </c>
      <c r="C1462" t="s">
        <v>958</v>
      </c>
      <c r="D1462" t="s">
        <v>1198</v>
      </c>
      <c r="E1462" t="s">
        <v>1277</v>
      </c>
      <c r="F1462" t="s">
        <v>97</v>
      </c>
      <c r="G1462" t="s">
        <v>4715</v>
      </c>
      <c r="H1462" t="s">
        <v>5157</v>
      </c>
      <c r="I1462" t="s">
        <v>5635</v>
      </c>
      <c r="J1462" t="s">
        <v>5636</v>
      </c>
      <c r="K1462" t="s">
        <v>5637</v>
      </c>
      <c r="L1462" t="s">
        <v>4717</v>
      </c>
    </row>
    <row r="1463">
      <c r="A1463" t="s">
        <v>2573</v>
      </c>
      <c r="B1463" t="s">
        <v>1287</v>
      </c>
      <c r="C1463" t="s">
        <v>958</v>
      </c>
      <c r="D1463" t="s">
        <v>1198</v>
      </c>
      <c r="E1463" t="s">
        <v>1277</v>
      </c>
      <c r="F1463" t="s">
        <v>97</v>
      </c>
      <c r="G1463" t="s">
        <v>4715</v>
      </c>
      <c r="H1463" t="s">
        <v>1221</v>
      </c>
      <c r="I1463" t="s">
        <v>5263</v>
      </c>
      <c r="J1463" t="s">
        <v>5673</v>
      </c>
      <c r="K1463" t="s">
        <v>5674</v>
      </c>
      <c r="L1463" t="s">
        <v>4717</v>
      </c>
    </row>
    <row r="1464">
      <c r="A1464" t="s">
        <v>2573</v>
      </c>
      <c r="B1464" t="s">
        <v>1287</v>
      </c>
      <c r="C1464" t="s">
        <v>958</v>
      </c>
      <c r="D1464" t="s">
        <v>1198</v>
      </c>
      <c r="E1464" t="s">
        <v>1277</v>
      </c>
      <c r="F1464" t="s">
        <v>97</v>
      </c>
      <c r="G1464" t="s">
        <v>4715</v>
      </c>
      <c r="H1464" t="s">
        <v>1221</v>
      </c>
      <c r="I1464" t="s">
        <v>5675</v>
      </c>
      <c r="J1464" t="s">
        <v>5676</v>
      </c>
      <c r="K1464" t="s">
        <v>5677</v>
      </c>
      <c r="L1464" t="s">
        <v>4717</v>
      </c>
    </row>
    <row r="1465">
      <c r="A1465" t="s">
        <v>2573</v>
      </c>
      <c r="B1465" t="s">
        <v>1287</v>
      </c>
      <c r="C1465" t="s">
        <v>958</v>
      </c>
      <c r="D1465" t="s">
        <v>1198</v>
      </c>
      <c r="E1465" t="s">
        <v>1277</v>
      </c>
      <c r="F1465" t="s">
        <v>97</v>
      </c>
      <c r="G1465" t="s">
        <v>4715</v>
      </c>
      <c r="H1465" t="s">
        <v>1221</v>
      </c>
      <c r="I1465" t="s">
        <v>5678</v>
      </c>
      <c r="J1465" t="s">
        <v>5679</v>
      </c>
      <c r="K1465" t="s">
        <v>5680</v>
      </c>
      <c r="L1465" t="s">
        <v>4717</v>
      </c>
    </row>
    <row r="1466">
      <c r="A1466" t="s">
        <v>2573</v>
      </c>
      <c r="B1466" t="s">
        <v>1287</v>
      </c>
      <c r="C1466" t="s">
        <v>958</v>
      </c>
      <c r="D1466" t="s">
        <v>1198</v>
      </c>
      <c r="E1466" t="s">
        <v>1277</v>
      </c>
      <c r="F1466" t="s">
        <v>97</v>
      </c>
      <c r="G1466" t="s">
        <v>4715</v>
      </c>
      <c r="H1466" t="s">
        <v>1277</v>
      </c>
      <c r="I1466" t="s">
        <v>5681</v>
      </c>
      <c r="J1466" t="s">
        <v>5682</v>
      </c>
      <c r="K1466" t="s">
        <v>5683</v>
      </c>
      <c r="L1466" t="s">
        <v>4717</v>
      </c>
    </row>
    <row r="1467">
      <c r="A1467" t="s">
        <v>2573</v>
      </c>
      <c r="B1467" t="s">
        <v>1287</v>
      </c>
      <c r="C1467" t="s">
        <v>958</v>
      </c>
      <c r="D1467" t="s">
        <v>1198</v>
      </c>
      <c r="E1467" t="s">
        <v>1277</v>
      </c>
      <c r="F1467" t="s">
        <v>97</v>
      </c>
      <c r="G1467" t="s">
        <v>4715</v>
      </c>
      <c r="H1467" t="s">
        <v>1277</v>
      </c>
      <c r="I1467" t="s">
        <v>5684</v>
      </c>
      <c r="J1467" t="s">
        <v>5685</v>
      </c>
      <c r="K1467" t="s">
        <v>5686</v>
      </c>
      <c r="L1467" t="s">
        <v>4717</v>
      </c>
    </row>
    <row r="1468">
      <c r="A1468" t="s">
        <v>2573</v>
      </c>
      <c r="B1468" t="s">
        <v>1287</v>
      </c>
      <c r="C1468" t="s">
        <v>958</v>
      </c>
      <c r="D1468" t="s">
        <v>1198</v>
      </c>
      <c r="E1468" t="s">
        <v>1277</v>
      </c>
      <c r="F1468" t="s">
        <v>97</v>
      </c>
      <c r="G1468" t="s">
        <v>4715</v>
      </c>
      <c r="H1468" t="s">
        <v>1310</v>
      </c>
      <c r="I1468" t="s">
        <v>5288</v>
      </c>
      <c r="J1468" t="s">
        <v>5687</v>
      </c>
      <c r="K1468" t="s">
        <v>5688</v>
      </c>
      <c r="L1468" t="s">
        <v>4717</v>
      </c>
    </row>
    <row r="1469">
      <c r="A1469" t="s">
        <v>2573</v>
      </c>
      <c r="B1469" t="s">
        <v>1287</v>
      </c>
      <c r="C1469" t="s">
        <v>958</v>
      </c>
      <c r="D1469" t="s">
        <v>1198</v>
      </c>
      <c r="E1469" t="s">
        <v>1277</v>
      </c>
      <c r="F1469" t="s">
        <v>97</v>
      </c>
      <c r="G1469" t="s">
        <v>4715</v>
      </c>
      <c r="H1469" t="s">
        <v>5522</v>
      </c>
      <c r="I1469" t="s">
        <v>5656</v>
      </c>
      <c r="J1469" t="s">
        <v>5657</v>
      </c>
      <c r="K1469" t="s">
        <v>5658</v>
      </c>
      <c r="L1469" t="s">
        <v>4717</v>
      </c>
    </row>
    <row r="1470">
      <c r="A1470" t="s">
        <v>2576</v>
      </c>
      <c r="B1470" t="s">
        <v>1294</v>
      </c>
      <c r="C1470" t="s">
        <v>958</v>
      </c>
      <c r="D1470" t="s">
        <v>1198</v>
      </c>
      <c r="E1470" t="s">
        <v>1277</v>
      </c>
      <c r="F1470" t="s">
        <v>120</v>
      </c>
      <c r="G1470" t="s">
        <v>4715</v>
      </c>
      <c r="H1470" t="s">
        <v>5041</v>
      </c>
      <c r="I1470" t="s">
        <v>5614</v>
      </c>
      <c r="J1470" t="s">
        <v>5615</v>
      </c>
      <c r="K1470" t="s">
        <v>4169</v>
      </c>
      <c r="L1470" t="s">
        <v>4717</v>
      </c>
    </row>
    <row r="1471">
      <c r="A1471" t="s">
        <v>2576</v>
      </c>
      <c r="B1471" t="s">
        <v>1294</v>
      </c>
      <c r="C1471" t="s">
        <v>958</v>
      </c>
      <c r="D1471" t="s">
        <v>1198</v>
      </c>
      <c r="E1471" t="s">
        <v>1277</v>
      </c>
      <c r="F1471" t="s">
        <v>120</v>
      </c>
      <c r="G1471" t="s">
        <v>4715</v>
      </c>
      <c r="H1471" t="s">
        <v>5616</v>
      </c>
      <c r="I1471" t="s">
        <v>5617</v>
      </c>
      <c r="J1471" t="s">
        <v>5618</v>
      </c>
      <c r="K1471" t="s">
        <v>5619</v>
      </c>
      <c r="L1471" t="s">
        <v>4717</v>
      </c>
    </row>
    <row r="1472">
      <c r="A1472" t="s">
        <v>2576</v>
      </c>
      <c r="B1472" t="s">
        <v>1294</v>
      </c>
      <c r="C1472" t="s">
        <v>958</v>
      </c>
      <c r="D1472" t="s">
        <v>1198</v>
      </c>
      <c r="E1472" t="s">
        <v>1277</v>
      </c>
      <c r="F1472" t="s">
        <v>120</v>
      </c>
      <c r="G1472" t="s">
        <v>4715</v>
      </c>
      <c r="H1472" t="s">
        <v>5499</v>
      </c>
      <c r="I1472" t="s">
        <v>5620</v>
      </c>
      <c r="J1472" t="s">
        <v>5621</v>
      </c>
      <c r="K1472" t="s">
        <v>5622</v>
      </c>
      <c r="L1472" t="s">
        <v>4717</v>
      </c>
    </row>
    <row r="1473">
      <c r="A1473" t="s">
        <v>2576</v>
      </c>
      <c r="B1473" t="s">
        <v>1294</v>
      </c>
      <c r="C1473" t="s">
        <v>958</v>
      </c>
      <c r="D1473" t="s">
        <v>1198</v>
      </c>
      <c r="E1473" t="s">
        <v>1277</v>
      </c>
      <c r="F1473" t="s">
        <v>120</v>
      </c>
      <c r="G1473" t="s">
        <v>4715</v>
      </c>
      <c r="H1473" t="s">
        <v>5623</v>
      </c>
      <c r="I1473" t="s">
        <v>5624</v>
      </c>
      <c r="J1473" t="s">
        <v>5625</v>
      </c>
      <c r="K1473" t="s">
        <v>5626</v>
      </c>
      <c r="L1473" t="s">
        <v>4717</v>
      </c>
    </row>
    <row r="1474">
      <c r="A1474" t="s">
        <v>2576</v>
      </c>
      <c r="B1474" t="s">
        <v>1294</v>
      </c>
      <c r="C1474" t="s">
        <v>958</v>
      </c>
      <c r="D1474" t="s">
        <v>1198</v>
      </c>
      <c r="E1474" t="s">
        <v>1277</v>
      </c>
      <c r="F1474" t="s">
        <v>120</v>
      </c>
      <c r="G1474" t="s">
        <v>4715</v>
      </c>
      <c r="H1474" t="s">
        <v>3904</v>
      </c>
      <c r="I1474" t="s">
        <v>5627</v>
      </c>
      <c r="J1474" t="s">
        <v>5628</v>
      </c>
      <c r="K1474" t="s">
        <v>5629</v>
      </c>
      <c r="L1474" t="s">
        <v>4717</v>
      </c>
    </row>
    <row r="1475">
      <c r="A1475" t="s">
        <v>2576</v>
      </c>
      <c r="B1475" t="s">
        <v>1294</v>
      </c>
      <c r="C1475" t="s">
        <v>958</v>
      </c>
      <c r="D1475" t="s">
        <v>1198</v>
      </c>
      <c r="E1475" t="s">
        <v>1277</v>
      </c>
      <c r="F1475" t="s">
        <v>120</v>
      </c>
      <c r="G1475" t="s">
        <v>4715</v>
      </c>
      <c r="H1475" t="s">
        <v>5630</v>
      </c>
      <c r="I1475" t="s">
        <v>5474</v>
      </c>
      <c r="J1475" t="s">
        <v>5631</v>
      </c>
      <c r="K1475" t="s">
        <v>5632</v>
      </c>
      <c r="L1475" t="s">
        <v>4717</v>
      </c>
    </row>
    <row r="1476">
      <c r="A1476" t="s">
        <v>2576</v>
      </c>
      <c r="B1476" t="s">
        <v>1294</v>
      </c>
      <c r="C1476" t="s">
        <v>958</v>
      </c>
      <c r="D1476" t="s">
        <v>1198</v>
      </c>
      <c r="E1476" t="s">
        <v>1277</v>
      </c>
      <c r="F1476" t="s">
        <v>120</v>
      </c>
      <c r="G1476" t="s">
        <v>4715</v>
      </c>
      <c r="H1476" t="s">
        <v>5170</v>
      </c>
      <c r="I1476" t="s">
        <v>5171</v>
      </c>
      <c r="J1476" t="s">
        <v>5633</v>
      </c>
      <c r="K1476" t="s">
        <v>5634</v>
      </c>
      <c r="L1476" t="s">
        <v>4717</v>
      </c>
    </row>
    <row r="1477">
      <c r="A1477" t="s">
        <v>2576</v>
      </c>
      <c r="B1477" t="s">
        <v>1294</v>
      </c>
      <c r="C1477" t="s">
        <v>958</v>
      </c>
      <c r="D1477" t="s">
        <v>1198</v>
      </c>
      <c r="E1477" t="s">
        <v>1277</v>
      </c>
      <c r="F1477" t="s">
        <v>120</v>
      </c>
      <c r="G1477" t="s">
        <v>4715</v>
      </c>
      <c r="H1477" t="s">
        <v>5157</v>
      </c>
      <c r="I1477" t="s">
        <v>5635</v>
      </c>
      <c r="J1477" t="s">
        <v>5636</v>
      </c>
      <c r="K1477" t="s">
        <v>5637</v>
      </c>
      <c r="L1477" t="s">
        <v>4717</v>
      </c>
    </row>
    <row r="1478">
      <c r="A1478" t="s">
        <v>2576</v>
      </c>
      <c r="B1478" t="s">
        <v>1294</v>
      </c>
      <c r="C1478" t="s">
        <v>958</v>
      </c>
      <c r="D1478" t="s">
        <v>1198</v>
      </c>
      <c r="E1478" t="s">
        <v>1277</v>
      </c>
      <c r="F1478" t="s">
        <v>120</v>
      </c>
      <c r="G1478" t="s">
        <v>4715</v>
      </c>
      <c r="H1478" t="s">
        <v>1221</v>
      </c>
      <c r="I1478" t="s">
        <v>5263</v>
      </c>
      <c r="J1478" t="s">
        <v>5673</v>
      </c>
      <c r="K1478" t="s">
        <v>5674</v>
      </c>
      <c r="L1478" t="s">
        <v>4717</v>
      </c>
    </row>
    <row r="1479">
      <c r="A1479" t="s">
        <v>2576</v>
      </c>
      <c r="B1479" t="s">
        <v>1294</v>
      </c>
      <c r="C1479" t="s">
        <v>958</v>
      </c>
      <c r="D1479" t="s">
        <v>1198</v>
      </c>
      <c r="E1479" t="s">
        <v>1277</v>
      </c>
      <c r="F1479" t="s">
        <v>120</v>
      </c>
      <c r="G1479" t="s">
        <v>4715</v>
      </c>
      <c r="H1479" t="s">
        <v>1221</v>
      </c>
      <c r="I1479" t="s">
        <v>5675</v>
      </c>
      <c r="J1479" t="s">
        <v>5676</v>
      </c>
      <c r="K1479" t="s">
        <v>5677</v>
      </c>
      <c r="L1479" t="s">
        <v>4717</v>
      </c>
    </row>
    <row r="1480">
      <c r="A1480" t="s">
        <v>2576</v>
      </c>
      <c r="B1480" t="s">
        <v>1294</v>
      </c>
      <c r="C1480" t="s">
        <v>958</v>
      </c>
      <c r="D1480" t="s">
        <v>1198</v>
      </c>
      <c r="E1480" t="s">
        <v>1277</v>
      </c>
      <c r="F1480" t="s">
        <v>120</v>
      </c>
      <c r="G1480" t="s">
        <v>4715</v>
      </c>
      <c r="H1480" t="s">
        <v>1221</v>
      </c>
      <c r="I1480" t="s">
        <v>5678</v>
      </c>
      <c r="J1480" t="s">
        <v>5679</v>
      </c>
      <c r="K1480" t="s">
        <v>5680</v>
      </c>
      <c r="L1480" t="s">
        <v>4717</v>
      </c>
    </row>
    <row r="1481">
      <c r="A1481" t="s">
        <v>2576</v>
      </c>
      <c r="B1481" t="s">
        <v>1294</v>
      </c>
      <c r="C1481" t="s">
        <v>958</v>
      </c>
      <c r="D1481" t="s">
        <v>1198</v>
      </c>
      <c r="E1481" t="s">
        <v>1277</v>
      </c>
      <c r="F1481" t="s">
        <v>120</v>
      </c>
      <c r="G1481" t="s">
        <v>4715</v>
      </c>
      <c r="H1481" t="s">
        <v>1277</v>
      </c>
      <c r="I1481" t="s">
        <v>5681</v>
      </c>
      <c r="J1481" t="s">
        <v>5682</v>
      </c>
      <c r="K1481" t="s">
        <v>5683</v>
      </c>
      <c r="L1481" t="s">
        <v>4717</v>
      </c>
    </row>
    <row r="1482">
      <c r="A1482" t="s">
        <v>2576</v>
      </c>
      <c r="B1482" t="s">
        <v>1294</v>
      </c>
      <c r="C1482" t="s">
        <v>958</v>
      </c>
      <c r="D1482" t="s">
        <v>1198</v>
      </c>
      <c r="E1482" t="s">
        <v>1277</v>
      </c>
      <c r="F1482" t="s">
        <v>120</v>
      </c>
      <c r="G1482" t="s">
        <v>4715</v>
      </c>
      <c r="H1482" t="s">
        <v>1277</v>
      </c>
      <c r="I1482" t="s">
        <v>5684</v>
      </c>
      <c r="J1482" t="s">
        <v>5685</v>
      </c>
      <c r="K1482" t="s">
        <v>5686</v>
      </c>
      <c r="L1482" t="s">
        <v>4717</v>
      </c>
    </row>
    <row r="1483">
      <c r="A1483" t="s">
        <v>2576</v>
      </c>
      <c r="B1483" t="s">
        <v>1294</v>
      </c>
      <c r="C1483" t="s">
        <v>958</v>
      </c>
      <c r="D1483" t="s">
        <v>1198</v>
      </c>
      <c r="E1483" t="s">
        <v>1277</v>
      </c>
      <c r="F1483" t="s">
        <v>120</v>
      </c>
      <c r="G1483" t="s">
        <v>4715</v>
      </c>
      <c r="H1483" t="s">
        <v>1310</v>
      </c>
      <c r="I1483" t="s">
        <v>5288</v>
      </c>
      <c r="J1483" t="s">
        <v>5687</v>
      </c>
      <c r="K1483" t="s">
        <v>5688</v>
      </c>
      <c r="L1483" t="s">
        <v>4717</v>
      </c>
    </row>
    <row r="1484">
      <c r="A1484" t="s">
        <v>2576</v>
      </c>
      <c r="B1484" t="s">
        <v>1294</v>
      </c>
      <c r="C1484" t="s">
        <v>958</v>
      </c>
      <c r="D1484" t="s">
        <v>1198</v>
      </c>
      <c r="E1484" t="s">
        <v>1277</v>
      </c>
      <c r="F1484" t="s">
        <v>120</v>
      </c>
      <c r="G1484" t="s">
        <v>4715</v>
      </c>
      <c r="H1484" t="s">
        <v>5522</v>
      </c>
      <c r="I1484" t="s">
        <v>5656</v>
      </c>
      <c r="J1484" t="s">
        <v>5657</v>
      </c>
      <c r="K1484" t="s">
        <v>5658</v>
      </c>
      <c r="L1484" t="s">
        <v>4717</v>
      </c>
    </row>
    <row r="1485">
      <c r="A1485" t="s">
        <v>2579</v>
      </c>
      <c r="B1485" t="s">
        <v>1302</v>
      </c>
      <c r="C1485" t="s">
        <v>958</v>
      </c>
      <c r="D1485" t="s">
        <v>1198</v>
      </c>
      <c r="E1485" t="s">
        <v>1277</v>
      </c>
      <c r="F1485" t="s">
        <v>120</v>
      </c>
      <c r="G1485" t="s">
        <v>4715</v>
      </c>
      <c r="H1485" t="s">
        <v>5041</v>
      </c>
      <c r="I1485" t="s">
        <v>5614</v>
      </c>
      <c r="J1485" t="s">
        <v>5615</v>
      </c>
      <c r="K1485" t="s">
        <v>4169</v>
      </c>
      <c r="L1485" t="s">
        <v>4717</v>
      </c>
    </row>
    <row r="1486">
      <c r="A1486" t="s">
        <v>2579</v>
      </c>
      <c r="B1486" t="s">
        <v>1302</v>
      </c>
      <c r="C1486" t="s">
        <v>958</v>
      </c>
      <c r="D1486" t="s">
        <v>1198</v>
      </c>
      <c r="E1486" t="s">
        <v>1277</v>
      </c>
      <c r="F1486" t="s">
        <v>120</v>
      </c>
      <c r="G1486" t="s">
        <v>4715</v>
      </c>
      <c r="H1486" t="s">
        <v>5616</v>
      </c>
      <c r="I1486" t="s">
        <v>5617</v>
      </c>
      <c r="J1486" t="s">
        <v>5618</v>
      </c>
      <c r="K1486" t="s">
        <v>5619</v>
      </c>
      <c r="L1486" t="s">
        <v>4717</v>
      </c>
    </row>
    <row r="1487">
      <c r="A1487" t="s">
        <v>2579</v>
      </c>
      <c r="B1487" t="s">
        <v>1302</v>
      </c>
      <c r="C1487" t="s">
        <v>958</v>
      </c>
      <c r="D1487" t="s">
        <v>1198</v>
      </c>
      <c r="E1487" t="s">
        <v>1277</v>
      </c>
      <c r="F1487" t="s">
        <v>120</v>
      </c>
      <c r="G1487" t="s">
        <v>4715</v>
      </c>
      <c r="H1487" t="s">
        <v>5499</v>
      </c>
      <c r="I1487" t="s">
        <v>5620</v>
      </c>
      <c r="J1487" t="s">
        <v>5621</v>
      </c>
      <c r="K1487" t="s">
        <v>5622</v>
      </c>
      <c r="L1487" t="s">
        <v>4717</v>
      </c>
    </row>
    <row r="1488">
      <c r="A1488" t="s">
        <v>2579</v>
      </c>
      <c r="B1488" t="s">
        <v>1302</v>
      </c>
      <c r="C1488" t="s">
        <v>958</v>
      </c>
      <c r="D1488" t="s">
        <v>1198</v>
      </c>
      <c r="E1488" t="s">
        <v>1277</v>
      </c>
      <c r="F1488" t="s">
        <v>120</v>
      </c>
      <c r="G1488" t="s">
        <v>4715</v>
      </c>
      <c r="H1488" t="s">
        <v>5623</v>
      </c>
      <c r="I1488" t="s">
        <v>5624</v>
      </c>
      <c r="J1488" t="s">
        <v>5625</v>
      </c>
      <c r="K1488" t="s">
        <v>5626</v>
      </c>
      <c r="L1488" t="s">
        <v>4717</v>
      </c>
    </row>
    <row r="1489">
      <c r="A1489" t="s">
        <v>2579</v>
      </c>
      <c r="B1489" t="s">
        <v>1302</v>
      </c>
      <c r="C1489" t="s">
        <v>958</v>
      </c>
      <c r="D1489" t="s">
        <v>1198</v>
      </c>
      <c r="E1489" t="s">
        <v>1277</v>
      </c>
      <c r="F1489" t="s">
        <v>120</v>
      </c>
      <c r="G1489" t="s">
        <v>4715</v>
      </c>
      <c r="H1489" t="s">
        <v>3904</v>
      </c>
      <c r="I1489" t="s">
        <v>5627</v>
      </c>
      <c r="J1489" t="s">
        <v>5628</v>
      </c>
      <c r="K1489" t="s">
        <v>5629</v>
      </c>
      <c r="L1489" t="s">
        <v>4717</v>
      </c>
    </row>
    <row r="1490">
      <c r="A1490" t="s">
        <v>2579</v>
      </c>
      <c r="B1490" t="s">
        <v>1302</v>
      </c>
      <c r="C1490" t="s">
        <v>958</v>
      </c>
      <c r="D1490" t="s">
        <v>1198</v>
      </c>
      <c r="E1490" t="s">
        <v>1277</v>
      </c>
      <c r="F1490" t="s">
        <v>120</v>
      </c>
      <c r="G1490" t="s">
        <v>4715</v>
      </c>
      <c r="H1490" t="s">
        <v>5630</v>
      </c>
      <c r="I1490" t="s">
        <v>5474</v>
      </c>
      <c r="J1490" t="s">
        <v>5631</v>
      </c>
      <c r="K1490" t="s">
        <v>5632</v>
      </c>
      <c r="L1490" t="s">
        <v>4717</v>
      </c>
    </row>
    <row r="1491">
      <c r="A1491" t="s">
        <v>2579</v>
      </c>
      <c r="B1491" t="s">
        <v>1302</v>
      </c>
      <c r="C1491" t="s">
        <v>958</v>
      </c>
      <c r="D1491" t="s">
        <v>1198</v>
      </c>
      <c r="E1491" t="s">
        <v>1277</v>
      </c>
      <c r="F1491" t="s">
        <v>120</v>
      </c>
      <c r="G1491" t="s">
        <v>4715</v>
      </c>
      <c r="H1491" t="s">
        <v>5170</v>
      </c>
      <c r="I1491" t="s">
        <v>5171</v>
      </c>
      <c r="J1491" t="s">
        <v>5633</v>
      </c>
      <c r="K1491" t="s">
        <v>5634</v>
      </c>
      <c r="L1491" t="s">
        <v>4717</v>
      </c>
    </row>
    <row r="1492">
      <c r="A1492" t="s">
        <v>2579</v>
      </c>
      <c r="B1492" t="s">
        <v>1302</v>
      </c>
      <c r="C1492" t="s">
        <v>958</v>
      </c>
      <c r="D1492" t="s">
        <v>1198</v>
      </c>
      <c r="E1492" t="s">
        <v>1277</v>
      </c>
      <c r="F1492" t="s">
        <v>120</v>
      </c>
      <c r="G1492" t="s">
        <v>4715</v>
      </c>
      <c r="H1492" t="s">
        <v>5157</v>
      </c>
      <c r="I1492" t="s">
        <v>5635</v>
      </c>
      <c r="J1492" t="s">
        <v>5636</v>
      </c>
      <c r="K1492" t="s">
        <v>5637</v>
      </c>
      <c r="L1492" t="s">
        <v>4717</v>
      </c>
    </row>
    <row r="1493">
      <c r="A1493" t="s">
        <v>2579</v>
      </c>
      <c r="B1493" t="s">
        <v>1302</v>
      </c>
      <c r="C1493" t="s">
        <v>958</v>
      </c>
      <c r="D1493" t="s">
        <v>1198</v>
      </c>
      <c r="E1493" t="s">
        <v>1277</v>
      </c>
      <c r="F1493" t="s">
        <v>120</v>
      </c>
      <c r="G1493" t="s">
        <v>4715</v>
      </c>
      <c r="H1493" t="s">
        <v>1221</v>
      </c>
      <c r="I1493" t="s">
        <v>5263</v>
      </c>
      <c r="J1493" t="s">
        <v>5673</v>
      </c>
      <c r="K1493" t="s">
        <v>5674</v>
      </c>
      <c r="L1493" t="s">
        <v>4717</v>
      </c>
    </row>
    <row r="1494">
      <c r="A1494" t="s">
        <v>2579</v>
      </c>
      <c r="B1494" t="s">
        <v>1302</v>
      </c>
      <c r="C1494" t="s">
        <v>958</v>
      </c>
      <c r="D1494" t="s">
        <v>1198</v>
      </c>
      <c r="E1494" t="s">
        <v>1277</v>
      </c>
      <c r="F1494" t="s">
        <v>120</v>
      </c>
      <c r="G1494" t="s">
        <v>4715</v>
      </c>
      <c r="H1494" t="s">
        <v>1221</v>
      </c>
      <c r="I1494" t="s">
        <v>5675</v>
      </c>
      <c r="J1494" t="s">
        <v>5676</v>
      </c>
      <c r="K1494" t="s">
        <v>5677</v>
      </c>
      <c r="L1494" t="s">
        <v>4717</v>
      </c>
    </row>
    <row r="1495">
      <c r="A1495" t="s">
        <v>2579</v>
      </c>
      <c r="B1495" t="s">
        <v>1302</v>
      </c>
      <c r="C1495" t="s">
        <v>958</v>
      </c>
      <c r="D1495" t="s">
        <v>1198</v>
      </c>
      <c r="E1495" t="s">
        <v>1277</v>
      </c>
      <c r="F1495" t="s">
        <v>120</v>
      </c>
      <c r="G1495" t="s">
        <v>4715</v>
      </c>
      <c r="H1495" t="s">
        <v>1221</v>
      </c>
      <c r="I1495" t="s">
        <v>5678</v>
      </c>
      <c r="J1495" t="s">
        <v>5679</v>
      </c>
      <c r="K1495" t="s">
        <v>5680</v>
      </c>
      <c r="L1495" t="s">
        <v>4717</v>
      </c>
    </row>
    <row r="1496">
      <c r="A1496" t="s">
        <v>2579</v>
      </c>
      <c r="B1496" t="s">
        <v>1302</v>
      </c>
      <c r="C1496" t="s">
        <v>958</v>
      </c>
      <c r="D1496" t="s">
        <v>1198</v>
      </c>
      <c r="E1496" t="s">
        <v>1277</v>
      </c>
      <c r="F1496" t="s">
        <v>120</v>
      </c>
      <c r="G1496" t="s">
        <v>4715</v>
      </c>
      <c r="H1496" t="s">
        <v>1277</v>
      </c>
      <c r="I1496" t="s">
        <v>5681</v>
      </c>
      <c r="J1496" t="s">
        <v>5682</v>
      </c>
      <c r="K1496" t="s">
        <v>5683</v>
      </c>
      <c r="L1496" t="s">
        <v>4717</v>
      </c>
    </row>
    <row r="1497">
      <c r="A1497" t="s">
        <v>2579</v>
      </c>
      <c r="B1497" t="s">
        <v>1302</v>
      </c>
      <c r="C1497" t="s">
        <v>958</v>
      </c>
      <c r="D1497" t="s">
        <v>1198</v>
      </c>
      <c r="E1497" t="s">
        <v>1277</v>
      </c>
      <c r="F1497" t="s">
        <v>120</v>
      </c>
      <c r="G1497" t="s">
        <v>4715</v>
      </c>
      <c r="H1497" t="s">
        <v>1277</v>
      </c>
      <c r="I1497" t="s">
        <v>5684</v>
      </c>
      <c r="J1497" t="s">
        <v>5685</v>
      </c>
      <c r="K1497" t="s">
        <v>5686</v>
      </c>
      <c r="L1497" t="s">
        <v>4717</v>
      </c>
    </row>
    <row r="1498">
      <c r="A1498" t="s">
        <v>2579</v>
      </c>
      <c r="B1498" t="s">
        <v>1302</v>
      </c>
      <c r="C1498" t="s">
        <v>958</v>
      </c>
      <c r="D1498" t="s">
        <v>1198</v>
      </c>
      <c r="E1498" t="s">
        <v>1277</v>
      </c>
      <c r="F1498" t="s">
        <v>120</v>
      </c>
      <c r="G1498" t="s">
        <v>4715</v>
      </c>
      <c r="H1498" t="s">
        <v>1310</v>
      </c>
      <c r="I1498" t="s">
        <v>5288</v>
      </c>
      <c r="J1498" t="s">
        <v>5687</v>
      </c>
      <c r="K1498" t="s">
        <v>5688</v>
      </c>
      <c r="L1498" t="s">
        <v>4717</v>
      </c>
    </row>
    <row r="1499">
      <c r="A1499" t="s">
        <v>2579</v>
      </c>
      <c r="B1499" t="s">
        <v>1302</v>
      </c>
      <c r="C1499" t="s">
        <v>958</v>
      </c>
      <c r="D1499" t="s">
        <v>1198</v>
      </c>
      <c r="E1499" t="s">
        <v>1277</v>
      </c>
      <c r="F1499" t="s">
        <v>120</v>
      </c>
      <c r="G1499" t="s">
        <v>4715</v>
      </c>
      <c r="H1499" t="s">
        <v>5522</v>
      </c>
      <c r="I1499" t="s">
        <v>5656</v>
      </c>
      <c r="J1499" t="s">
        <v>5657</v>
      </c>
      <c r="K1499" t="s">
        <v>5658</v>
      </c>
      <c r="L1499" t="s">
        <v>4717</v>
      </c>
    </row>
    <row r="1500">
      <c r="A1500" t="s">
        <v>2582</v>
      </c>
      <c r="B1500" t="s">
        <v>1312</v>
      </c>
      <c r="C1500" t="s">
        <v>958</v>
      </c>
      <c r="D1500" t="s">
        <v>1198</v>
      </c>
      <c r="E1500" t="s">
        <v>1310</v>
      </c>
      <c r="F1500" t="s">
        <v>97</v>
      </c>
      <c r="G1500" t="s">
        <v>4715</v>
      </c>
      <c r="H1500" t="s">
        <v>5041</v>
      </c>
      <c r="I1500" t="s">
        <v>5614</v>
      </c>
      <c r="J1500" t="s">
        <v>5615</v>
      </c>
      <c r="K1500" t="s">
        <v>4169</v>
      </c>
      <c r="L1500" t="s">
        <v>4717</v>
      </c>
    </row>
    <row r="1501">
      <c r="A1501" t="s">
        <v>2582</v>
      </c>
      <c r="B1501" t="s">
        <v>1312</v>
      </c>
      <c r="C1501" t="s">
        <v>958</v>
      </c>
      <c r="D1501" t="s">
        <v>1198</v>
      </c>
      <c r="E1501" t="s">
        <v>1310</v>
      </c>
      <c r="F1501" t="s">
        <v>97</v>
      </c>
      <c r="G1501" t="s">
        <v>4715</v>
      </c>
      <c r="H1501" t="s">
        <v>5616</v>
      </c>
      <c r="I1501" t="s">
        <v>5617</v>
      </c>
      <c r="J1501" t="s">
        <v>5618</v>
      </c>
      <c r="K1501" t="s">
        <v>5619</v>
      </c>
      <c r="L1501" t="s">
        <v>4717</v>
      </c>
    </row>
    <row r="1502">
      <c r="A1502" t="s">
        <v>2582</v>
      </c>
      <c r="B1502" t="s">
        <v>1312</v>
      </c>
      <c r="C1502" t="s">
        <v>958</v>
      </c>
      <c r="D1502" t="s">
        <v>1198</v>
      </c>
      <c r="E1502" t="s">
        <v>1310</v>
      </c>
      <c r="F1502" t="s">
        <v>97</v>
      </c>
      <c r="G1502" t="s">
        <v>4715</v>
      </c>
      <c r="H1502" t="s">
        <v>5499</v>
      </c>
      <c r="I1502" t="s">
        <v>5620</v>
      </c>
      <c r="J1502" t="s">
        <v>5621</v>
      </c>
      <c r="K1502" t="s">
        <v>5622</v>
      </c>
      <c r="L1502" t="s">
        <v>4717</v>
      </c>
    </row>
    <row r="1503">
      <c r="A1503" t="s">
        <v>2582</v>
      </c>
      <c r="B1503" t="s">
        <v>1312</v>
      </c>
      <c r="C1503" t="s">
        <v>958</v>
      </c>
      <c r="D1503" t="s">
        <v>1198</v>
      </c>
      <c r="E1503" t="s">
        <v>1310</v>
      </c>
      <c r="F1503" t="s">
        <v>97</v>
      </c>
      <c r="G1503" t="s">
        <v>4715</v>
      </c>
      <c r="H1503" t="s">
        <v>5623</v>
      </c>
      <c r="I1503" t="s">
        <v>5624</v>
      </c>
      <c r="J1503" t="s">
        <v>5625</v>
      </c>
      <c r="K1503" t="s">
        <v>5626</v>
      </c>
      <c r="L1503" t="s">
        <v>4717</v>
      </c>
    </row>
    <row r="1504">
      <c r="A1504" t="s">
        <v>2582</v>
      </c>
      <c r="B1504" t="s">
        <v>1312</v>
      </c>
      <c r="C1504" t="s">
        <v>958</v>
      </c>
      <c r="D1504" t="s">
        <v>1198</v>
      </c>
      <c r="E1504" t="s">
        <v>1310</v>
      </c>
      <c r="F1504" t="s">
        <v>97</v>
      </c>
      <c r="G1504" t="s">
        <v>4715</v>
      </c>
      <c r="H1504" t="s">
        <v>3904</v>
      </c>
      <c r="I1504" t="s">
        <v>5627</v>
      </c>
      <c r="J1504" t="s">
        <v>5628</v>
      </c>
      <c r="K1504" t="s">
        <v>5629</v>
      </c>
      <c r="L1504" t="s">
        <v>4717</v>
      </c>
    </row>
    <row r="1505">
      <c r="A1505" t="s">
        <v>2582</v>
      </c>
      <c r="B1505" t="s">
        <v>1312</v>
      </c>
      <c r="C1505" t="s">
        <v>958</v>
      </c>
      <c r="D1505" t="s">
        <v>1198</v>
      </c>
      <c r="E1505" t="s">
        <v>1310</v>
      </c>
      <c r="F1505" t="s">
        <v>97</v>
      </c>
      <c r="G1505" t="s">
        <v>4715</v>
      </c>
      <c r="H1505" t="s">
        <v>5630</v>
      </c>
      <c r="I1505" t="s">
        <v>5474</v>
      </c>
      <c r="J1505" t="s">
        <v>5631</v>
      </c>
      <c r="K1505" t="s">
        <v>5632</v>
      </c>
      <c r="L1505" t="s">
        <v>4717</v>
      </c>
    </row>
    <row r="1506">
      <c r="A1506" t="s">
        <v>2582</v>
      </c>
      <c r="B1506" t="s">
        <v>1312</v>
      </c>
      <c r="C1506" t="s">
        <v>958</v>
      </c>
      <c r="D1506" t="s">
        <v>1198</v>
      </c>
      <c r="E1506" t="s">
        <v>1310</v>
      </c>
      <c r="F1506" t="s">
        <v>97</v>
      </c>
      <c r="G1506" t="s">
        <v>4715</v>
      </c>
      <c r="H1506" t="s">
        <v>5170</v>
      </c>
      <c r="I1506" t="s">
        <v>5171</v>
      </c>
      <c r="J1506" t="s">
        <v>5633</v>
      </c>
      <c r="K1506" t="s">
        <v>5634</v>
      </c>
      <c r="L1506" t="s">
        <v>4717</v>
      </c>
    </row>
    <row r="1507">
      <c r="A1507" t="s">
        <v>2582</v>
      </c>
      <c r="B1507" t="s">
        <v>1312</v>
      </c>
      <c r="C1507" t="s">
        <v>958</v>
      </c>
      <c r="D1507" t="s">
        <v>1198</v>
      </c>
      <c r="E1507" t="s">
        <v>1310</v>
      </c>
      <c r="F1507" t="s">
        <v>97</v>
      </c>
      <c r="G1507" t="s">
        <v>4715</v>
      </c>
      <c r="H1507" t="s">
        <v>5157</v>
      </c>
      <c r="I1507" t="s">
        <v>5635</v>
      </c>
      <c r="J1507" t="s">
        <v>5636</v>
      </c>
      <c r="K1507" t="s">
        <v>5637</v>
      </c>
      <c r="L1507" t="s">
        <v>4717</v>
      </c>
    </row>
    <row r="1508">
      <c r="A1508" t="s">
        <v>2582</v>
      </c>
      <c r="B1508" t="s">
        <v>1312</v>
      </c>
      <c r="C1508" t="s">
        <v>958</v>
      </c>
      <c r="D1508" t="s">
        <v>1198</v>
      </c>
      <c r="E1508" t="s">
        <v>1310</v>
      </c>
      <c r="F1508" t="s">
        <v>97</v>
      </c>
      <c r="G1508" t="s">
        <v>4715</v>
      </c>
      <c r="H1508" t="s">
        <v>1221</v>
      </c>
      <c r="I1508" t="s">
        <v>5263</v>
      </c>
      <c r="J1508" t="s">
        <v>5673</v>
      </c>
      <c r="K1508" t="s">
        <v>5674</v>
      </c>
      <c r="L1508" t="s">
        <v>4717</v>
      </c>
    </row>
    <row r="1509">
      <c r="A1509" t="s">
        <v>2582</v>
      </c>
      <c r="B1509" t="s">
        <v>1312</v>
      </c>
      <c r="C1509" t="s">
        <v>958</v>
      </c>
      <c r="D1509" t="s">
        <v>1198</v>
      </c>
      <c r="E1509" t="s">
        <v>1310</v>
      </c>
      <c r="F1509" t="s">
        <v>97</v>
      </c>
      <c r="G1509" t="s">
        <v>4715</v>
      </c>
      <c r="H1509" t="s">
        <v>1221</v>
      </c>
      <c r="I1509" t="s">
        <v>5675</v>
      </c>
      <c r="J1509" t="s">
        <v>5676</v>
      </c>
      <c r="K1509" t="s">
        <v>5677</v>
      </c>
      <c r="L1509" t="s">
        <v>4717</v>
      </c>
    </row>
    <row r="1510">
      <c r="A1510" t="s">
        <v>2582</v>
      </c>
      <c r="B1510" t="s">
        <v>1312</v>
      </c>
      <c r="C1510" t="s">
        <v>958</v>
      </c>
      <c r="D1510" t="s">
        <v>1198</v>
      </c>
      <c r="E1510" t="s">
        <v>1310</v>
      </c>
      <c r="F1510" t="s">
        <v>97</v>
      </c>
      <c r="G1510" t="s">
        <v>4715</v>
      </c>
      <c r="H1510" t="s">
        <v>1221</v>
      </c>
      <c r="I1510" t="s">
        <v>5678</v>
      </c>
      <c r="J1510" t="s">
        <v>5679</v>
      </c>
      <c r="K1510" t="s">
        <v>5680</v>
      </c>
      <c r="L1510" t="s">
        <v>4717</v>
      </c>
    </row>
    <row r="1511">
      <c r="A1511" t="s">
        <v>2582</v>
      </c>
      <c r="B1511" t="s">
        <v>1312</v>
      </c>
      <c r="C1511" t="s">
        <v>958</v>
      </c>
      <c r="D1511" t="s">
        <v>1198</v>
      </c>
      <c r="E1511" t="s">
        <v>1310</v>
      </c>
      <c r="F1511" t="s">
        <v>97</v>
      </c>
      <c r="G1511" t="s">
        <v>4715</v>
      </c>
      <c r="H1511" t="s">
        <v>1277</v>
      </c>
      <c r="I1511" t="s">
        <v>5681</v>
      </c>
      <c r="J1511" t="s">
        <v>5682</v>
      </c>
      <c r="K1511" t="s">
        <v>5683</v>
      </c>
      <c r="L1511" t="s">
        <v>4717</v>
      </c>
    </row>
    <row r="1512">
      <c r="A1512" t="s">
        <v>2582</v>
      </c>
      <c r="B1512" t="s">
        <v>1312</v>
      </c>
      <c r="C1512" t="s">
        <v>958</v>
      </c>
      <c r="D1512" t="s">
        <v>1198</v>
      </c>
      <c r="E1512" t="s">
        <v>1310</v>
      </c>
      <c r="F1512" t="s">
        <v>97</v>
      </c>
      <c r="G1512" t="s">
        <v>4715</v>
      </c>
      <c r="H1512" t="s">
        <v>1277</v>
      </c>
      <c r="I1512" t="s">
        <v>5684</v>
      </c>
      <c r="J1512" t="s">
        <v>5685</v>
      </c>
      <c r="K1512" t="s">
        <v>5686</v>
      </c>
      <c r="L1512" t="s">
        <v>4717</v>
      </c>
    </row>
    <row r="1513">
      <c r="A1513" t="s">
        <v>2582</v>
      </c>
      <c r="B1513" t="s">
        <v>1312</v>
      </c>
      <c r="C1513" t="s">
        <v>958</v>
      </c>
      <c r="D1513" t="s">
        <v>1198</v>
      </c>
      <c r="E1513" t="s">
        <v>1310</v>
      </c>
      <c r="F1513" t="s">
        <v>97</v>
      </c>
      <c r="G1513" t="s">
        <v>4715</v>
      </c>
      <c r="H1513" t="s">
        <v>1310</v>
      </c>
      <c r="I1513" t="s">
        <v>5288</v>
      </c>
      <c r="J1513" t="s">
        <v>5687</v>
      </c>
      <c r="K1513" t="s">
        <v>5688</v>
      </c>
      <c r="L1513" t="s">
        <v>4717</v>
      </c>
    </row>
    <row r="1514">
      <c r="A1514" t="s">
        <v>2582</v>
      </c>
      <c r="B1514" t="s">
        <v>1312</v>
      </c>
      <c r="C1514" t="s">
        <v>958</v>
      </c>
      <c r="D1514" t="s">
        <v>1198</v>
      </c>
      <c r="E1514" t="s">
        <v>1310</v>
      </c>
      <c r="F1514" t="s">
        <v>97</v>
      </c>
      <c r="G1514" t="s">
        <v>4715</v>
      </c>
      <c r="H1514" t="s">
        <v>5522</v>
      </c>
      <c r="I1514" t="s">
        <v>5656</v>
      </c>
      <c r="J1514" t="s">
        <v>5657</v>
      </c>
      <c r="K1514" t="s">
        <v>5658</v>
      </c>
      <c r="L1514" t="s">
        <v>4717</v>
      </c>
    </row>
    <row r="1515">
      <c r="A1515" t="s">
        <v>2585</v>
      </c>
      <c r="B1515" t="s">
        <v>1320</v>
      </c>
      <c r="C1515" t="s">
        <v>958</v>
      </c>
      <c r="D1515" t="s">
        <v>1198</v>
      </c>
      <c r="E1515" t="s">
        <v>1310</v>
      </c>
      <c r="F1515" t="s">
        <v>120</v>
      </c>
      <c r="G1515" t="s">
        <v>4715</v>
      </c>
      <c r="H1515" t="s">
        <v>5041</v>
      </c>
      <c r="I1515" t="s">
        <v>5614</v>
      </c>
      <c r="J1515" t="s">
        <v>5615</v>
      </c>
      <c r="K1515" t="s">
        <v>4169</v>
      </c>
      <c r="L1515" t="s">
        <v>4717</v>
      </c>
    </row>
    <row r="1516">
      <c r="A1516" t="s">
        <v>2585</v>
      </c>
      <c r="B1516" t="s">
        <v>1320</v>
      </c>
      <c r="C1516" t="s">
        <v>958</v>
      </c>
      <c r="D1516" t="s">
        <v>1198</v>
      </c>
      <c r="E1516" t="s">
        <v>1310</v>
      </c>
      <c r="F1516" t="s">
        <v>120</v>
      </c>
      <c r="G1516" t="s">
        <v>4715</v>
      </c>
      <c r="H1516" t="s">
        <v>5616</v>
      </c>
      <c r="I1516" t="s">
        <v>5617</v>
      </c>
      <c r="J1516" t="s">
        <v>5618</v>
      </c>
      <c r="K1516" t="s">
        <v>5619</v>
      </c>
      <c r="L1516" t="s">
        <v>4717</v>
      </c>
    </row>
    <row r="1517">
      <c r="A1517" t="s">
        <v>2585</v>
      </c>
      <c r="B1517" t="s">
        <v>1320</v>
      </c>
      <c r="C1517" t="s">
        <v>958</v>
      </c>
      <c r="D1517" t="s">
        <v>1198</v>
      </c>
      <c r="E1517" t="s">
        <v>1310</v>
      </c>
      <c r="F1517" t="s">
        <v>120</v>
      </c>
      <c r="G1517" t="s">
        <v>4715</v>
      </c>
      <c r="H1517" t="s">
        <v>5499</v>
      </c>
      <c r="I1517" t="s">
        <v>5620</v>
      </c>
      <c r="J1517" t="s">
        <v>5621</v>
      </c>
      <c r="K1517" t="s">
        <v>5622</v>
      </c>
      <c r="L1517" t="s">
        <v>4717</v>
      </c>
    </row>
    <row r="1518">
      <c r="A1518" t="s">
        <v>2585</v>
      </c>
      <c r="B1518" t="s">
        <v>1320</v>
      </c>
      <c r="C1518" t="s">
        <v>958</v>
      </c>
      <c r="D1518" t="s">
        <v>1198</v>
      </c>
      <c r="E1518" t="s">
        <v>1310</v>
      </c>
      <c r="F1518" t="s">
        <v>120</v>
      </c>
      <c r="G1518" t="s">
        <v>4715</v>
      </c>
      <c r="H1518" t="s">
        <v>5623</v>
      </c>
      <c r="I1518" t="s">
        <v>5624</v>
      </c>
      <c r="J1518" t="s">
        <v>5625</v>
      </c>
      <c r="K1518" t="s">
        <v>5626</v>
      </c>
      <c r="L1518" t="s">
        <v>4717</v>
      </c>
    </row>
    <row r="1519">
      <c r="A1519" t="s">
        <v>2585</v>
      </c>
      <c r="B1519" t="s">
        <v>1320</v>
      </c>
      <c r="C1519" t="s">
        <v>958</v>
      </c>
      <c r="D1519" t="s">
        <v>1198</v>
      </c>
      <c r="E1519" t="s">
        <v>1310</v>
      </c>
      <c r="F1519" t="s">
        <v>120</v>
      </c>
      <c r="G1519" t="s">
        <v>4715</v>
      </c>
      <c r="H1519" t="s">
        <v>3904</v>
      </c>
      <c r="I1519" t="s">
        <v>5627</v>
      </c>
      <c r="J1519" t="s">
        <v>5628</v>
      </c>
      <c r="K1519" t="s">
        <v>5629</v>
      </c>
      <c r="L1519" t="s">
        <v>4717</v>
      </c>
    </row>
    <row r="1520">
      <c r="A1520" t="s">
        <v>2585</v>
      </c>
      <c r="B1520" t="s">
        <v>1320</v>
      </c>
      <c r="C1520" t="s">
        <v>958</v>
      </c>
      <c r="D1520" t="s">
        <v>1198</v>
      </c>
      <c r="E1520" t="s">
        <v>1310</v>
      </c>
      <c r="F1520" t="s">
        <v>120</v>
      </c>
      <c r="G1520" t="s">
        <v>4715</v>
      </c>
      <c r="H1520" t="s">
        <v>5630</v>
      </c>
      <c r="I1520" t="s">
        <v>5474</v>
      </c>
      <c r="J1520" t="s">
        <v>5631</v>
      </c>
      <c r="K1520" t="s">
        <v>5632</v>
      </c>
      <c r="L1520" t="s">
        <v>4717</v>
      </c>
    </row>
    <row r="1521">
      <c r="A1521" t="s">
        <v>2585</v>
      </c>
      <c r="B1521" t="s">
        <v>1320</v>
      </c>
      <c r="C1521" t="s">
        <v>958</v>
      </c>
      <c r="D1521" t="s">
        <v>1198</v>
      </c>
      <c r="E1521" t="s">
        <v>1310</v>
      </c>
      <c r="F1521" t="s">
        <v>120</v>
      </c>
      <c r="G1521" t="s">
        <v>4715</v>
      </c>
      <c r="H1521" t="s">
        <v>5170</v>
      </c>
      <c r="I1521" t="s">
        <v>5171</v>
      </c>
      <c r="J1521" t="s">
        <v>5633</v>
      </c>
      <c r="K1521" t="s">
        <v>5634</v>
      </c>
      <c r="L1521" t="s">
        <v>4717</v>
      </c>
    </row>
    <row r="1522">
      <c r="A1522" t="s">
        <v>2585</v>
      </c>
      <c r="B1522" t="s">
        <v>1320</v>
      </c>
      <c r="C1522" t="s">
        <v>958</v>
      </c>
      <c r="D1522" t="s">
        <v>1198</v>
      </c>
      <c r="E1522" t="s">
        <v>1310</v>
      </c>
      <c r="F1522" t="s">
        <v>120</v>
      </c>
      <c r="G1522" t="s">
        <v>4715</v>
      </c>
      <c r="H1522" t="s">
        <v>5157</v>
      </c>
      <c r="I1522" t="s">
        <v>5635</v>
      </c>
      <c r="J1522" t="s">
        <v>5636</v>
      </c>
      <c r="K1522" t="s">
        <v>5637</v>
      </c>
      <c r="L1522" t="s">
        <v>4717</v>
      </c>
    </row>
    <row r="1523">
      <c r="A1523" t="s">
        <v>2585</v>
      </c>
      <c r="B1523" t="s">
        <v>1320</v>
      </c>
      <c r="C1523" t="s">
        <v>958</v>
      </c>
      <c r="D1523" t="s">
        <v>1198</v>
      </c>
      <c r="E1523" t="s">
        <v>1310</v>
      </c>
      <c r="F1523" t="s">
        <v>120</v>
      </c>
      <c r="G1523" t="s">
        <v>4715</v>
      </c>
      <c r="H1523" t="s">
        <v>1221</v>
      </c>
      <c r="I1523" t="s">
        <v>5263</v>
      </c>
      <c r="J1523" t="s">
        <v>5673</v>
      </c>
      <c r="K1523" t="s">
        <v>5674</v>
      </c>
      <c r="L1523" t="s">
        <v>4717</v>
      </c>
    </row>
    <row r="1524">
      <c r="A1524" t="s">
        <v>2585</v>
      </c>
      <c r="B1524" t="s">
        <v>1320</v>
      </c>
      <c r="C1524" t="s">
        <v>958</v>
      </c>
      <c r="D1524" t="s">
        <v>1198</v>
      </c>
      <c r="E1524" t="s">
        <v>1310</v>
      </c>
      <c r="F1524" t="s">
        <v>120</v>
      </c>
      <c r="G1524" t="s">
        <v>4715</v>
      </c>
      <c r="H1524" t="s">
        <v>1221</v>
      </c>
      <c r="I1524" t="s">
        <v>5675</v>
      </c>
      <c r="J1524" t="s">
        <v>5676</v>
      </c>
      <c r="K1524" t="s">
        <v>5677</v>
      </c>
      <c r="L1524" t="s">
        <v>4717</v>
      </c>
    </row>
    <row r="1525">
      <c r="A1525" t="s">
        <v>2585</v>
      </c>
      <c r="B1525" t="s">
        <v>1320</v>
      </c>
      <c r="C1525" t="s">
        <v>958</v>
      </c>
      <c r="D1525" t="s">
        <v>1198</v>
      </c>
      <c r="E1525" t="s">
        <v>1310</v>
      </c>
      <c r="F1525" t="s">
        <v>120</v>
      </c>
      <c r="G1525" t="s">
        <v>4715</v>
      </c>
      <c r="H1525" t="s">
        <v>1221</v>
      </c>
      <c r="I1525" t="s">
        <v>5678</v>
      </c>
      <c r="J1525" t="s">
        <v>5679</v>
      </c>
      <c r="K1525" t="s">
        <v>5680</v>
      </c>
      <c r="L1525" t="s">
        <v>4717</v>
      </c>
    </row>
    <row r="1526">
      <c r="A1526" t="s">
        <v>2585</v>
      </c>
      <c r="B1526" t="s">
        <v>1320</v>
      </c>
      <c r="C1526" t="s">
        <v>958</v>
      </c>
      <c r="D1526" t="s">
        <v>1198</v>
      </c>
      <c r="E1526" t="s">
        <v>1310</v>
      </c>
      <c r="F1526" t="s">
        <v>120</v>
      </c>
      <c r="G1526" t="s">
        <v>4715</v>
      </c>
      <c r="H1526" t="s">
        <v>1277</v>
      </c>
      <c r="I1526" t="s">
        <v>5681</v>
      </c>
      <c r="J1526" t="s">
        <v>5682</v>
      </c>
      <c r="K1526" t="s">
        <v>5683</v>
      </c>
      <c r="L1526" t="s">
        <v>4717</v>
      </c>
    </row>
    <row r="1527">
      <c r="A1527" t="s">
        <v>2585</v>
      </c>
      <c r="B1527" t="s">
        <v>1320</v>
      </c>
      <c r="C1527" t="s">
        <v>958</v>
      </c>
      <c r="D1527" t="s">
        <v>1198</v>
      </c>
      <c r="E1527" t="s">
        <v>1310</v>
      </c>
      <c r="F1527" t="s">
        <v>120</v>
      </c>
      <c r="G1527" t="s">
        <v>4715</v>
      </c>
      <c r="H1527" t="s">
        <v>1277</v>
      </c>
      <c r="I1527" t="s">
        <v>5684</v>
      </c>
      <c r="J1527" t="s">
        <v>5685</v>
      </c>
      <c r="K1527" t="s">
        <v>5686</v>
      </c>
      <c r="L1527" t="s">
        <v>4717</v>
      </c>
    </row>
    <row r="1528">
      <c r="A1528" t="s">
        <v>2585</v>
      </c>
      <c r="B1528" t="s">
        <v>1320</v>
      </c>
      <c r="C1528" t="s">
        <v>958</v>
      </c>
      <c r="D1528" t="s">
        <v>1198</v>
      </c>
      <c r="E1528" t="s">
        <v>1310</v>
      </c>
      <c r="F1528" t="s">
        <v>120</v>
      </c>
      <c r="G1528" t="s">
        <v>4715</v>
      </c>
      <c r="H1528" t="s">
        <v>1310</v>
      </c>
      <c r="I1528" t="s">
        <v>5288</v>
      </c>
      <c r="J1528" t="s">
        <v>5687</v>
      </c>
      <c r="K1528" t="s">
        <v>5688</v>
      </c>
      <c r="L1528" t="s">
        <v>4717</v>
      </c>
    </row>
    <row r="1529">
      <c r="A1529" t="s">
        <v>2585</v>
      </c>
      <c r="B1529" t="s">
        <v>1320</v>
      </c>
      <c r="C1529" t="s">
        <v>958</v>
      </c>
      <c r="D1529" t="s">
        <v>1198</v>
      </c>
      <c r="E1529" t="s">
        <v>1310</v>
      </c>
      <c r="F1529" t="s">
        <v>120</v>
      </c>
      <c r="G1529" t="s">
        <v>4715</v>
      </c>
      <c r="H1529" t="s">
        <v>5522</v>
      </c>
      <c r="I1529" t="s">
        <v>5656</v>
      </c>
      <c r="J1529" t="s">
        <v>5657</v>
      </c>
      <c r="K1529" t="s">
        <v>5658</v>
      </c>
      <c r="L1529" t="s">
        <v>4717</v>
      </c>
    </row>
    <row r="1530">
      <c r="A1530" t="s">
        <v>2588</v>
      </c>
      <c r="B1530" t="s">
        <v>1328</v>
      </c>
      <c r="C1530" t="s">
        <v>958</v>
      </c>
      <c r="D1530" t="s">
        <v>1198</v>
      </c>
      <c r="E1530" t="s">
        <v>1310</v>
      </c>
      <c r="F1530" t="s">
        <v>120</v>
      </c>
      <c r="G1530" t="s">
        <v>4715</v>
      </c>
      <c r="H1530" t="s">
        <v>5041</v>
      </c>
      <c r="I1530" t="s">
        <v>5614</v>
      </c>
      <c r="J1530" t="s">
        <v>5615</v>
      </c>
      <c r="K1530" t="s">
        <v>4169</v>
      </c>
      <c r="L1530" t="s">
        <v>4717</v>
      </c>
    </row>
    <row r="1531">
      <c r="A1531" t="s">
        <v>2588</v>
      </c>
      <c r="B1531" t="s">
        <v>1328</v>
      </c>
      <c r="C1531" t="s">
        <v>958</v>
      </c>
      <c r="D1531" t="s">
        <v>1198</v>
      </c>
      <c r="E1531" t="s">
        <v>1310</v>
      </c>
      <c r="F1531" t="s">
        <v>120</v>
      </c>
      <c r="G1531" t="s">
        <v>4715</v>
      </c>
      <c r="H1531" t="s">
        <v>5616</v>
      </c>
      <c r="I1531" t="s">
        <v>5617</v>
      </c>
      <c r="J1531" t="s">
        <v>5618</v>
      </c>
      <c r="K1531" t="s">
        <v>5619</v>
      </c>
      <c r="L1531" t="s">
        <v>4717</v>
      </c>
    </row>
    <row r="1532">
      <c r="A1532" t="s">
        <v>2588</v>
      </c>
      <c r="B1532" t="s">
        <v>1328</v>
      </c>
      <c r="C1532" t="s">
        <v>958</v>
      </c>
      <c r="D1532" t="s">
        <v>1198</v>
      </c>
      <c r="E1532" t="s">
        <v>1310</v>
      </c>
      <c r="F1532" t="s">
        <v>120</v>
      </c>
      <c r="G1532" t="s">
        <v>4715</v>
      </c>
      <c r="H1532" t="s">
        <v>5499</v>
      </c>
      <c r="I1532" t="s">
        <v>5620</v>
      </c>
      <c r="J1532" t="s">
        <v>5621</v>
      </c>
      <c r="K1532" t="s">
        <v>5622</v>
      </c>
      <c r="L1532" t="s">
        <v>4717</v>
      </c>
    </row>
    <row r="1533">
      <c r="A1533" t="s">
        <v>2588</v>
      </c>
      <c r="B1533" t="s">
        <v>1328</v>
      </c>
      <c r="C1533" t="s">
        <v>958</v>
      </c>
      <c r="D1533" t="s">
        <v>1198</v>
      </c>
      <c r="E1533" t="s">
        <v>1310</v>
      </c>
      <c r="F1533" t="s">
        <v>120</v>
      </c>
      <c r="G1533" t="s">
        <v>4715</v>
      </c>
      <c r="H1533" t="s">
        <v>5623</v>
      </c>
      <c r="I1533" t="s">
        <v>5624</v>
      </c>
      <c r="J1533" t="s">
        <v>5625</v>
      </c>
      <c r="K1533" t="s">
        <v>5626</v>
      </c>
      <c r="L1533" t="s">
        <v>4717</v>
      </c>
    </row>
    <row r="1534">
      <c r="A1534" t="s">
        <v>2588</v>
      </c>
      <c r="B1534" t="s">
        <v>1328</v>
      </c>
      <c r="C1534" t="s">
        <v>958</v>
      </c>
      <c r="D1534" t="s">
        <v>1198</v>
      </c>
      <c r="E1534" t="s">
        <v>1310</v>
      </c>
      <c r="F1534" t="s">
        <v>120</v>
      </c>
      <c r="G1534" t="s">
        <v>4715</v>
      </c>
      <c r="H1534" t="s">
        <v>3904</v>
      </c>
      <c r="I1534" t="s">
        <v>5627</v>
      </c>
      <c r="J1534" t="s">
        <v>5628</v>
      </c>
      <c r="K1534" t="s">
        <v>5629</v>
      </c>
      <c r="L1534" t="s">
        <v>4717</v>
      </c>
    </row>
    <row r="1535">
      <c r="A1535" t="s">
        <v>2588</v>
      </c>
      <c r="B1535" t="s">
        <v>1328</v>
      </c>
      <c r="C1535" t="s">
        <v>958</v>
      </c>
      <c r="D1535" t="s">
        <v>1198</v>
      </c>
      <c r="E1535" t="s">
        <v>1310</v>
      </c>
      <c r="F1535" t="s">
        <v>120</v>
      </c>
      <c r="G1535" t="s">
        <v>4715</v>
      </c>
      <c r="H1535" t="s">
        <v>5630</v>
      </c>
      <c r="I1535" t="s">
        <v>5474</v>
      </c>
      <c r="J1535" t="s">
        <v>5631</v>
      </c>
      <c r="K1535" t="s">
        <v>5632</v>
      </c>
      <c r="L1535" t="s">
        <v>4717</v>
      </c>
    </row>
    <row r="1536">
      <c r="A1536" t="s">
        <v>2588</v>
      </c>
      <c r="B1536" t="s">
        <v>1328</v>
      </c>
      <c r="C1536" t="s">
        <v>958</v>
      </c>
      <c r="D1536" t="s">
        <v>1198</v>
      </c>
      <c r="E1536" t="s">
        <v>1310</v>
      </c>
      <c r="F1536" t="s">
        <v>120</v>
      </c>
      <c r="G1536" t="s">
        <v>4715</v>
      </c>
      <c r="H1536" t="s">
        <v>5170</v>
      </c>
      <c r="I1536" t="s">
        <v>5171</v>
      </c>
      <c r="J1536" t="s">
        <v>5633</v>
      </c>
      <c r="K1536" t="s">
        <v>5634</v>
      </c>
      <c r="L1536" t="s">
        <v>4717</v>
      </c>
    </row>
    <row r="1537">
      <c r="A1537" t="s">
        <v>2588</v>
      </c>
      <c r="B1537" t="s">
        <v>1328</v>
      </c>
      <c r="C1537" t="s">
        <v>958</v>
      </c>
      <c r="D1537" t="s">
        <v>1198</v>
      </c>
      <c r="E1537" t="s">
        <v>1310</v>
      </c>
      <c r="F1537" t="s">
        <v>120</v>
      </c>
      <c r="G1537" t="s">
        <v>4715</v>
      </c>
      <c r="H1537" t="s">
        <v>5157</v>
      </c>
      <c r="I1537" t="s">
        <v>5635</v>
      </c>
      <c r="J1537" t="s">
        <v>5636</v>
      </c>
      <c r="K1537" t="s">
        <v>5637</v>
      </c>
      <c r="L1537" t="s">
        <v>4717</v>
      </c>
    </row>
    <row r="1538">
      <c r="A1538" t="s">
        <v>2588</v>
      </c>
      <c r="B1538" t="s">
        <v>1328</v>
      </c>
      <c r="C1538" t="s">
        <v>958</v>
      </c>
      <c r="D1538" t="s">
        <v>1198</v>
      </c>
      <c r="E1538" t="s">
        <v>1310</v>
      </c>
      <c r="F1538" t="s">
        <v>120</v>
      </c>
      <c r="G1538" t="s">
        <v>4715</v>
      </c>
      <c r="H1538" t="s">
        <v>1221</v>
      </c>
      <c r="I1538" t="s">
        <v>5263</v>
      </c>
      <c r="J1538" t="s">
        <v>5673</v>
      </c>
      <c r="K1538" t="s">
        <v>5674</v>
      </c>
      <c r="L1538" t="s">
        <v>4717</v>
      </c>
    </row>
    <row r="1539">
      <c r="A1539" t="s">
        <v>2588</v>
      </c>
      <c r="B1539" t="s">
        <v>1328</v>
      </c>
      <c r="C1539" t="s">
        <v>958</v>
      </c>
      <c r="D1539" t="s">
        <v>1198</v>
      </c>
      <c r="E1539" t="s">
        <v>1310</v>
      </c>
      <c r="F1539" t="s">
        <v>120</v>
      </c>
      <c r="G1539" t="s">
        <v>4715</v>
      </c>
      <c r="H1539" t="s">
        <v>1221</v>
      </c>
      <c r="I1539" t="s">
        <v>5675</v>
      </c>
      <c r="J1539" t="s">
        <v>5676</v>
      </c>
      <c r="K1539" t="s">
        <v>5677</v>
      </c>
      <c r="L1539" t="s">
        <v>4717</v>
      </c>
    </row>
    <row r="1540">
      <c r="A1540" t="s">
        <v>2588</v>
      </c>
      <c r="B1540" t="s">
        <v>1328</v>
      </c>
      <c r="C1540" t="s">
        <v>958</v>
      </c>
      <c r="D1540" t="s">
        <v>1198</v>
      </c>
      <c r="E1540" t="s">
        <v>1310</v>
      </c>
      <c r="F1540" t="s">
        <v>120</v>
      </c>
      <c r="G1540" t="s">
        <v>4715</v>
      </c>
      <c r="H1540" t="s">
        <v>1221</v>
      </c>
      <c r="I1540" t="s">
        <v>5678</v>
      </c>
      <c r="J1540" t="s">
        <v>5679</v>
      </c>
      <c r="K1540" t="s">
        <v>5680</v>
      </c>
      <c r="L1540" t="s">
        <v>4717</v>
      </c>
    </row>
    <row r="1541">
      <c r="A1541" t="s">
        <v>2588</v>
      </c>
      <c r="B1541" t="s">
        <v>1328</v>
      </c>
      <c r="C1541" t="s">
        <v>958</v>
      </c>
      <c r="D1541" t="s">
        <v>1198</v>
      </c>
      <c r="E1541" t="s">
        <v>1310</v>
      </c>
      <c r="F1541" t="s">
        <v>120</v>
      </c>
      <c r="G1541" t="s">
        <v>4715</v>
      </c>
      <c r="H1541" t="s">
        <v>1277</v>
      </c>
      <c r="I1541" t="s">
        <v>5681</v>
      </c>
      <c r="J1541" t="s">
        <v>5682</v>
      </c>
      <c r="K1541" t="s">
        <v>5683</v>
      </c>
      <c r="L1541" t="s">
        <v>4717</v>
      </c>
    </row>
    <row r="1542">
      <c r="A1542" t="s">
        <v>2588</v>
      </c>
      <c r="B1542" t="s">
        <v>1328</v>
      </c>
      <c r="C1542" t="s">
        <v>958</v>
      </c>
      <c r="D1542" t="s">
        <v>1198</v>
      </c>
      <c r="E1542" t="s">
        <v>1310</v>
      </c>
      <c r="F1542" t="s">
        <v>120</v>
      </c>
      <c r="G1542" t="s">
        <v>4715</v>
      </c>
      <c r="H1542" t="s">
        <v>1277</v>
      </c>
      <c r="I1542" t="s">
        <v>5684</v>
      </c>
      <c r="J1542" t="s">
        <v>5685</v>
      </c>
      <c r="K1542" t="s">
        <v>5686</v>
      </c>
      <c r="L1542" t="s">
        <v>4717</v>
      </c>
    </row>
    <row r="1543">
      <c r="A1543" t="s">
        <v>2588</v>
      </c>
      <c r="B1543" t="s">
        <v>1328</v>
      </c>
      <c r="C1543" t="s">
        <v>958</v>
      </c>
      <c r="D1543" t="s">
        <v>1198</v>
      </c>
      <c r="E1543" t="s">
        <v>1310</v>
      </c>
      <c r="F1543" t="s">
        <v>120</v>
      </c>
      <c r="G1543" t="s">
        <v>4715</v>
      </c>
      <c r="H1543" t="s">
        <v>1310</v>
      </c>
      <c r="I1543" t="s">
        <v>5288</v>
      </c>
      <c r="J1543" t="s">
        <v>5687</v>
      </c>
      <c r="K1543" t="s">
        <v>5688</v>
      </c>
      <c r="L1543" t="s">
        <v>4717</v>
      </c>
    </row>
    <row r="1544">
      <c r="A1544" t="s">
        <v>2588</v>
      </c>
      <c r="B1544" t="s">
        <v>1328</v>
      </c>
      <c r="C1544" t="s">
        <v>958</v>
      </c>
      <c r="D1544" t="s">
        <v>1198</v>
      </c>
      <c r="E1544" t="s">
        <v>1310</v>
      </c>
      <c r="F1544" t="s">
        <v>120</v>
      </c>
      <c r="G1544" t="s">
        <v>4715</v>
      </c>
      <c r="H1544" t="s">
        <v>5522</v>
      </c>
      <c r="I1544" t="s">
        <v>5656</v>
      </c>
      <c r="J1544" t="s">
        <v>5657</v>
      </c>
      <c r="K1544" t="s">
        <v>5658</v>
      </c>
      <c r="L1544" t="s">
        <v>4717</v>
      </c>
    </row>
    <row r="1545">
      <c r="A1545" t="s">
        <v>2590</v>
      </c>
      <c r="B1545" t="s">
        <v>1334</v>
      </c>
      <c r="C1545" t="s">
        <v>958</v>
      </c>
      <c r="D1545" t="s">
        <v>1198</v>
      </c>
      <c r="E1545" t="s">
        <v>1310</v>
      </c>
      <c r="F1545" t="s">
        <v>120</v>
      </c>
      <c r="G1545" t="s">
        <v>4715</v>
      </c>
      <c r="H1545" t="s">
        <v>5041</v>
      </c>
      <c r="I1545" t="s">
        <v>5614</v>
      </c>
      <c r="J1545" t="s">
        <v>5615</v>
      </c>
      <c r="K1545" t="s">
        <v>4169</v>
      </c>
      <c r="L1545" t="s">
        <v>4717</v>
      </c>
    </row>
    <row r="1546">
      <c r="A1546" t="s">
        <v>2590</v>
      </c>
      <c r="B1546" t="s">
        <v>1334</v>
      </c>
      <c r="C1546" t="s">
        <v>958</v>
      </c>
      <c r="D1546" t="s">
        <v>1198</v>
      </c>
      <c r="E1546" t="s">
        <v>1310</v>
      </c>
      <c r="F1546" t="s">
        <v>120</v>
      </c>
      <c r="G1546" t="s">
        <v>4715</v>
      </c>
      <c r="H1546" t="s">
        <v>5616</v>
      </c>
      <c r="I1546" t="s">
        <v>5617</v>
      </c>
      <c r="J1546" t="s">
        <v>5618</v>
      </c>
      <c r="K1546" t="s">
        <v>5619</v>
      </c>
      <c r="L1546" t="s">
        <v>4717</v>
      </c>
    </row>
    <row r="1547">
      <c r="A1547" t="s">
        <v>2590</v>
      </c>
      <c r="B1547" t="s">
        <v>1334</v>
      </c>
      <c r="C1547" t="s">
        <v>958</v>
      </c>
      <c r="D1547" t="s">
        <v>1198</v>
      </c>
      <c r="E1547" t="s">
        <v>1310</v>
      </c>
      <c r="F1547" t="s">
        <v>120</v>
      </c>
      <c r="G1547" t="s">
        <v>4715</v>
      </c>
      <c r="H1547" t="s">
        <v>5499</v>
      </c>
      <c r="I1547" t="s">
        <v>5620</v>
      </c>
      <c r="J1547" t="s">
        <v>5621</v>
      </c>
      <c r="K1547" t="s">
        <v>5622</v>
      </c>
      <c r="L1547" t="s">
        <v>4717</v>
      </c>
    </row>
    <row r="1548">
      <c r="A1548" t="s">
        <v>2590</v>
      </c>
      <c r="B1548" t="s">
        <v>1334</v>
      </c>
      <c r="C1548" t="s">
        <v>958</v>
      </c>
      <c r="D1548" t="s">
        <v>1198</v>
      </c>
      <c r="E1548" t="s">
        <v>1310</v>
      </c>
      <c r="F1548" t="s">
        <v>120</v>
      </c>
      <c r="G1548" t="s">
        <v>4715</v>
      </c>
      <c r="H1548" t="s">
        <v>5623</v>
      </c>
      <c r="I1548" t="s">
        <v>5624</v>
      </c>
      <c r="J1548" t="s">
        <v>5625</v>
      </c>
      <c r="K1548" t="s">
        <v>5626</v>
      </c>
      <c r="L1548" t="s">
        <v>4717</v>
      </c>
    </row>
    <row r="1549">
      <c r="A1549" t="s">
        <v>2590</v>
      </c>
      <c r="B1549" t="s">
        <v>1334</v>
      </c>
      <c r="C1549" t="s">
        <v>958</v>
      </c>
      <c r="D1549" t="s">
        <v>1198</v>
      </c>
      <c r="E1549" t="s">
        <v>1310</v>
      </c>
      <c r="F1549" t="s">
        <v>120</v>
      </c>
      <c r="G1549" t="s">
        <v>4715</v>
      </c>
      <c r="H1549" t="s">
        <v>3904</v>
      </c>
      <c r="I1549" t="s">
        <v>5627</v>
      </c>
      <c r="J1549" t="s">
        <v>5628</v>
      </c>
      <c r="K1549" t="s">
        <v>5629</v>
      </c>
      <c r="L1549" t="s">
        <v>4717</v>
      </c>
    </row>
    <row r="1550">
      <c r="A1550" t="s">
        <v>2590</v>
      </c>
      <c r="B1550" t="s">
        <v>1334</v>
      </c>
      <c r="C1550" t="s">
        <v>958</v>
      </c>
      <c r="D1550" t="s">
        <v>1198</v>
      </c>
      <c r="E1550" t="s">
        <v>1310</v>
      </c>
      <c r="F1550" t="s">
        <v>120</v>
      </c>
      <c r="G1550" t="s">
        <v>4715</v>
      </c>
      <c r="H1550" t="s">
        <v>5630</v>
      </c>
      <c r="I1550" t="s">
        <v>5474</v>
      </c>
      <c r="J1550" t="s">
        <v>5631</v>
      </c>
      <c r="K1550" t="s">
        <v>5632</v>
      </c>
      <c r="L1550" t="s">
        <v>4717</v>
      </c>
    </row>
    <row r="1551">
      <c r="A1551" t="s">
        <v>2590</v>
      </c>
      <c r="B1551" t="s">
        <v>1334</v>
      </c>
      <c r="C1551" t="s">
        <v>958</v>
      </c>
      <c r="D1551" t="s">
        <v>1198</v>
      </c>
      <c r="E1551" t="s">
        <v>1310</v>
      </c>
      <c r="F1551" t="s">
        <v>120</v>
      </c>
      <c r="G1551" t="s">
        <v>4715</v>
      </c>
      <c r="H1551" t="s">
        <v>5170</v>
      </c>
      <c r="I1551" t="s">
        <v>5171</v>
      </c>
      <c r="J1551" t="s">
        <v>5633</v>
      </c>
      <c r="K1551" t="s">
        <v>5634</v>
      </c>
      <c r="L1551" t="s">
        <v>4717</v>
      </c>
    </row>
    <row r="1552">
      <c r="A1552" t="s">
        <v>2590</v>
      </c>
      <c r="B1552" t="s">
        <v>1334</v>
      </c>
      <c r="C1552" t="s">
        <v>958</v>
      </c>
      <c r="D1552" t="s">
        <v>1198</v>
      </c>
      <c r="E1552" t="s">
        <v>1310</v>
      </c>
      <c r="F1552" t="s">
        <v>120</v>
      </c>
      <c r="G1552" t="s">
        <v>4715</v>
      </c>
      <c r="H1552" t="s">
        <v>5157</v>
      </c>
      <c r="I1552" t="s">
        <v>5635</v>
      </c>
      <c r="J1552" t="s">
        <v>5636</v>
      </c>
      <c r="K1552" t="s">
        <v>5637</v>
      </c>
      <c r="L1552" t="s">
        <v>4717</v>
      </c>
    </row>
    <row r="1553">
      <c r="A1553" t="s">
        <v>2590</v>
      </c>
      <c r="B1553" t="s">
        <v>1334</v>
      </c>
      <c r="C1553" t="s">
        <v>958</v>
      </c>
      <c r="D1553" t="s">
        <v>1198</v>
      </c>
      <c r="E1553" t="s">
        <v>1310</v>
      </c>
      <c r="F1553" t="s">
        <v>120</v>
      </c>
      <c r="G1553" t="s">
        <v>4715</v>
      </c>
      <c r="H1553" t="s">
        <v>1221</v>
      </c>
      <c r="I1553" t="s">
        <v>5263</v>
      </c>
      <c r="J1553" t="s">
        <v>5673</v>
      </c>
      <c r="K1553" t="s">
        <v>5674</v>
      </c>
      <c r="L1553" t="s">
        <v>4717</v>
      </c>
    </row>
    <row r="1554">
      <c r="A1554" t="s">
        <v>2590</v>
      </c>
      <c r="B1554" t="s">
        <v>1334</v>
      </c>
      <c r="C1554" t="s">
        <v>958</v>
      </c>
      <c r="D1554" t="s">
        <v>1198</v>
      </c>
      <c r="E1554" t="s">
        <v>1310</v>
      </c>
      <c r="F1554" t="s">
        <v>120</v>
      </c>
      <c r="G1554" t="s">
        <v>4715</v>
      </c>
      <c r="H1554" t="s">
        <v>1221</v>
      </c>
      <c r="I1554" t="s">
        <v>5675</v>
      </c>
      <c r="J1554" t="s">
        <v>5676</v>
      </c>
      <c r="K1554" t="s">
        <v>5677</v>
      </c>
      <c r="L1554" t="s">
        <v>4717</v>
      </c>
    </row>
    <row r="1555">
      <c r="A1555" t="s">
        <v>2590</v>
      </c>
      <c r="B1555" t="s">
        <v>1334</v>
      </c>
      <c r="C1555" t="s">
        <v>958</v>
      </c>
      <c r="D1555" t="s">
        <v>1198</v>
      </c>
      <c r="E1555" t="s">
        <v>1310</v>
      </c>
      <c r="F1555" t="s">
        <v>120</v>
      </c>
      <c r="G1555" t="s">
        <v>4715</v>
      </c>
      <c r="H1555" t="s">
        <v>1221</v>
      </c>
      <c r="I1555" t="s">
        <v>5678</v>
      </c>
      <c r="J1555" t="s">
        <v>5679</v>
      </c>
      <c r="K1555" t="s">
        <v>5680</v>
      </c>
      <c r="L1555" t="s">
        <v>4717</v>
      </c>
    </row>
    <row r="1556">
      <c r="A1556" t="s">
        <v>2590</v>
      </c>
      <c r="B1556" t="s">
        <v>1334</v>
      </c>
      <c r="C1556" t="s">
        <v>958</v>
      </c>
      <c r="D1556" t="s">
        <v>1198</v>
      </c>
      <c r="E1556" t="s">
        <v>1310</v>
      </c>
      <c r="F1556" t="s">
        <v>120</v>
      </c>
      <c r="G1556" t="s">
        <v>4715</v>
      </c>
      <c r="H1556" t="s">
        <v>1277</v>
      </c>
      <c r="I1556" t="s">
        <v>5681</v>
      </c>
      <c r="J1556" t="s">
        <v>5682</v>
      </c>
      <c r="K1556" t="s">
        <v>5683</v>
      </c>
      <c r="L1556" t="s">
        <v>4717</v>
      </c>
    </row>
    <row r="1557">
      <c r="A1557" t="s">
        <v>2590</v>
      </c>
      <c r="B1557" t="s">
        <v>1334</v>
      </c>
      <c r="C1557" t="s">
        <v>958</v>
      </c>
      <c r="D1557" t="s">
        <v>1198</v>
      </c>
      <c r="E1557" t="s">
        <v>1310</v>
      </c>
      <c r="F1557" t="s">
        <v>120</v>
      </c>
      <c r="G1557" t="s">
        <v>4715</v>
      </c>
      <c r="H1557" t="s">
        <v>1277</v>
      </c>
      <c r="I1557" t="s">
        <v>5684</v>
      </c>
      <c r="J1557" t="s">
        <v>5685</v>
      </c>
      <c r="K1557" t="s">
        <v>5686</v>
      </c>
      <c r="L1557" t="s">
        <v>4717</v>
      </c>
    </row>
    <row r="1558">
      <c r="A1558" t="s">
        <v>2590</v>
      </c>
      <c r="B1558" t="s">
        <v>1334</v>
      </c>
      <c r="C1558" t="s">
        <v>958</v>
      </c>
      <c r="D1558" t="s">
        <v>1198</v>
      </c>
      <c r="E1558" t="s">
        <v>1310</v>
      </c>
      <c r="F1558" t="s">
        <v>120</v>
      </c>
      <c r="G1558" t="s">
        <v>4715</v>
      </c>
      <c r="H1558" t="s">
        <v>1310</v>
      </c>
      <c r="I1558" t="s">
        <v>5288</v>
      </c>
      <c r="J1558" t="s">
        <v>5687</v>
      </c>
      <c r="K1558" t="s">
        <v>5688</v>
      </c>
      <c r="L1558" t="s">
        <v>4717</v>
      </c>
    </row>
    <row r="1559">
      <c r="A1559" t="s">
        <v>2590</v>
      </c>
      <c r="B1559" t="s">
        <v>1334</v>
      </c>
      <c r="C1559" t="s">
        <v>958</v>
      </c>
      <c r="D1559" t="s">
        <v>1198</v>
      </c>
      <c r="E1559" t="s">
        <v>1310</v>
      </c>
      <c r="F1559" t="s">
        <v>120</v>
      </c>
      <c r="G1559" t="s">
        <v>4715</v>
      </c>
      <c r="H1559" t="s">
        <v>5522</v>
      </c>
      <c r="I1559" t="s">
        <v>5656</v>
      </c>
      <c r="J1559" t="s">
        <v>5657</v>
      </c>
      <c r="K1559" t="s">
        <v>5658</v>
      </c>
      <c r="L1559" t="s">
        <v>4717</v>
      </c>
    </row>
    <row r="1560">
      <c r="A1560" t="s">
        <v>2593</v>
      </c>
      <c r="B1560" t="s">
        <v>1344</v>
      </c>
      <c r="C1560" t="s">
        <v>958</v>
      </c>
      <c r="D1560" t="s">
        <v>1198</v>
      </c>
      <c r="E1560" t="s">
        <v>1342</v>
      </c>
      <c r="F1560" t="s">
        <v>97</v>
      </c>
      <c r="G1560" t="s">
        <v>4715</v>
      </c>
      <c r="H1560" t="s">
        <v>5041</v>
      </c>
      <c r="I1560" t="s">
        <v>5614</v>
      </c>
      <c r="J1560" t="s">
        <v>5615</v>
      </c>
      <c r="K1560" t="s">
        <v>4169</v>
      </c>
      <c r="L1560" t="s">
        <v>4717</v>
      </c>
    </row>
    <row r="1561">
      <c r="A1561" t="s">
        <v>2593</v>
      </c>
      <c r="B1561" t="s">
        <v>1344</v>
      </c>
      <c r="C1561" t="s">
        <v>958</v>
      </c>
      <c r="D1561" t="s">
        <v>1198</v>
      </c>
      <c r="E1561" t="s">
        <v>1342</v>
      </c>
      <c r="F1561" t="s">
        <v>97</v>
      </c>
      <c r="G1561" t="s">
        <v>4715</v>
      </c>
      <c r="H1561" t="s">
        <v>5616</v>
      </c>
      <c r="I1561" t="s">
        <v>5617</v>
      </c>
      <c r="J1561" t="s">
        <v>5618</v>
      </c>
      <c r="K1561" t="s">
        <v>5619</v>
      </c>
      <c r="L1561" t="s">
        <v>4717</v>
      </c>
    </row>
    <row r="1562">
      <c r="A1562" t="s">
        <v>2593</v>
      </c>
      <c r="B1562" t="s">
        <v>1344</v>
      </c>
      <c r="C1562" t="s">
        <v>958</v>
      </c>
      <c r="D1562" t="s">
        <v>1198</v>
      </c>
      <c r="E1562" t="s">
        <v>1342</v>
      </c>
      <c r="F1562" t="s">
        <v>97</v>
      </c>
      <c r="G1562" t="s">
        <v>4715</v>
      </c>
      <c r="H1562" t="s">
        <v>5499</v>
      </c>
      <c r="I1562" t="s">
        <v>5620</v>
      </c>
      <c r="J1562" t="s">
        <v>5621</v>
      </c>
      <c r="K1562" t="s">
        <v>5622</v>
      </c>
      <c r="L1562" t="s">
        <v>4717</v>
      </c>
    </row>
    <row r="1563">
      <c r="A1563" t="s">
        <v>2593</v>
      </c>
      <c r="B1563" t="s">
        <v>1344</v>
      </c>
      <c r="C1563" t="s">
        <v>958</v>
      </c>
      <c r="D1563" t="s">
        <v>1198</v>
      </c>
      <c r="E1563" t="s">
        <v>1342</v>
      </c>
      <c r="F1563" t="s">
        <v>97</v>
      </c>
      <c r="G1563" t="s">
        <v>4715</v>
      </c>
      <c r="H1563" t="s">
        <v>5623</v>
      </c>
      <c r="I1563" t="s">
        <v>5624</v>
      </c>
      <c r="J1563" t="s">
        <v>5625</v>
      </c>
      <c r="K1563" t="s">
        <v>5626</v>
      </c>
      <c r="L1563" t="s">
        <v>4717</v>
      </c>
    </row>
    <row r="1564">
      <c r="A1564" t="s">
        <v>2593</v>
      </c>
      <c r="B1564" t="s">
        <v>1344</v>
      </c>
      <c r="C1564" t="s">
        <v>958</v>
      </c>
      <c r="D1564" t="s">
        <v>1198</v>
      </c>
      <c r="E1564" t="s">
        <v>1342</v>
      </c>
      <c r="F1564" t="s">
        <v>97</v>
      </c>
      <c r="G1564" t="s">
        <v>4715</v>
      </c>
      <c r="H1564" t="s">
        <v>3904</v>
      </c>
      <c r="I1564" t="s">
        <v>5627</v>
      </c>
      <c r="J1564" t="s">
        <v>5628</v>
      </c>
      <c r="K1564" t="s">
        <v>5629</v>
      </c>
      <c r="L1564" t="s">
        <v>4717</v>
      </c>
    </row>
    <row r="1565">
      <c r="A1565" t="s">
        <v>2593</v>
      </c>
      <c r="B1565" t="s">
        <v>1344</v>
      </c>
      <c r="C1565" t="s">
        <v>958</v>
      </c>
      <c r="D1565" t="s">
        <v>1198</v>
      </c>
      <c r="E1565" t="s">
        <v>1342</v>
      </c>
      <c r="F1565" t="s">
        <v>97</v>
      </c>
      <c r="G1565" t="s">
        <v>4715</v>
      </c>
      <c r="H1565" t="s">
        <v>5630</v>
      </c>
      <c r="I1565" t="s">
        <v>5474</v>
      </c>
      <c r="J1565" t="s">
        <v>5631</v>
      </c>
      <c r="K1565" t="s">
        <v>5632</v>
      </c>
      <c r="L1565" t="s">
        <v>4717</v>
      </c>
    </row>
    <row r="1566">
      <c r="A1566" t="s">
        <v>2593</v>
      </c>
      <c r="B1566" t="s">
        <v>1344</v>
      </c>
      <c r="C1566" t="s">
        <v>958</v>
      </c>
      <c r="D1566" t="s">
        <v>1198</v>
      </c>
      <c r="E1566" t="s">
        <v>1342</v>
      </c>
      <c r="F1566" t="s">
        <v>97</v>
      </c>
      <c r="G1566" t="s">
        <v>4715</v>
      </c>
      <c r="H1566" t="s">
        <v>5170</v>
      </c>
      <c r="I1566" t="s">
        <v>5171</v>
      </c>
      <c r="J1566" t="s">
        <v>5633</v>
      </c>
      <c r="K1566" t="s">
        <v>5634</v>
      </c>
      <c r="L1566" t="s">
        <v>4717</v>
      </c>
    </row>
    <row r="1567">
      <c r="A1567" t="s">
        <v>2593</v>
      </c>
      <c r="B1567" t="s">
        <v>1344</v>
      </c>
      <c r="C1567" t="s">
        <v>958</v>
      </c>
      <c r="D1567" t="s">
        <v>1198</v>
      </c>
      <c r="E1567" t="s">
        <v>1342</v>
      </c>
      <c r="F1567" t="s">
        <v>97</v>
      </c>
      <c r="G1567" t="s">
        <v>4715</v>
      </c>
      <c r="H1567" t="s">
        <v>5157</v>
      </c>
      <c r="I1567" t="s">
        <v>5635</v>
      </c>
      <c r="J1567" t="s">
        <v>5636</v>
      </c>
      <c r="K1567" t="s">
        <v>5637</v>
      </c>
      <c r="L1567" t="s">
        <v>4717</v>
      </c>
    </row>
    <row r="1568">
      <c r="A1568" t="s">
        <v>2593</v>
      </c>
      <c r="B1568" t="s">
        <v>1344</v>
      </c>
      <c r="C1568" t="s">
        <v>958</v>
      </c>
      <c r="D1568" t="s">
        <v>1198</v>
      </c>
      <c r="E1568" t="s">
        <v>1342</v>
      </c>
      <c r="F1568" t="s">
        <v>97</v>
      </c>
      <c r="G1568" t="s">
        <v>4715</v>
      </c>
      <c r="H1568" t="s">
        <v>1221</v>
      </c>
      <c r="I1568" t="s">
        <v>5263</v>
      </c>
      <c r="J1568" t="s">
        <v>5673</v>
      </c>
      <c r="K1568" t="s">
        <v>5674</v>
      </c>
      <c r="L1568" t="s">
        <v>4717</v>
      </c>
    </row>
    <row r="1569">
      <c r="A1569" t="s">
        <v>2593</v>
      </c>
      <c r="B1569" t="s">
        <v>1344</v>
      </c>
      <c r="C1569" t="s">
        <v>958</v>
      </c>
      <c r="D1569" t="s">
        <v>1198</v>
      </c>
      <c r="E1569" t="s">
        <v>1342</v>
      </c>
      <c r="F1569" t="s">
        <v>97</v>
      </c>
      <c r="G1569" t="s">
        <v>4715</v>
      </c>
      <c r="H1569" t="s">
        <v>1221</v>
      </c>
      <c r="I1569" t="s">
        <v>5675</v>
      </c>
      <c r="J1569" t="s">
        <v>5676</v>
      </c>
      <c r="K1569" t="s">
        <v>5677</v>
      </c>
      <c r="L1569" t="s">
        <v>4717</v>
      </c>
    </row>
    <row r="1570">
      <c r="A1570" t="s">
        <v>2593</v>
      </c>
      <c r="B1570" t="s">
        <v>1344</v>
      </c>
      <c r="C1570" t="s">
        <v>958</v>
      </c>
      <c r="D1570" t="s">
        <v>1198</v>
      </c>
      <c r="E1570" t="s">
        <v>1342</v>
      </c>
      <c r="F1570" t="s">
        <v>97</v>
      </c>
      <c r="G1570" t="s">
        <v>4715</v>
      </c>
      <c r="H1570" t="s">
        <v>1221</v>
      </c>
      <c r="I1570" t="s">
        <v>5678</v>
      </c>
      <c r="J1570" t="s">
        <v>5679</v>
      </c>
      <c r="K1570" t="s">
        <v>5680</v>
      </c>
      <c r="L1570" t="s">
        <v>4717</v>
      </c>
    </row>
    <row r="1571">
      <c r="A1571" t="s">
        <v>2593</v>
      </c>
      <c r="B1571" t="s">
        <v>1344</v>
      </c>
      <c r="C1571" t="s">
        <v>958</v>
      </c>
      <c r="D1571" t="s">
        <v>1198</v>
      </c>
      <c r="E1571" t="s">
        <v>1342</v>
      </c>
      <c r="F1571" t="s">
        <v>97</v>
      </c>
      <c r="G1571" t="s">
        <v>4715</v>
      </c>
      <c r="H1571" t="s">
        <v>1277</v>
      </c>
      <c r="I1571" t="s">
        <v>5681</v>
      </c>
      <c r="J1571" t="s">
        <v>5682</v>
      </c>
      <c r="K1571" t="s">
        <v>5683</v>
      </c>
      <c r="L1571" t="s">
        <v>4717</v>
      </c>
    </row>
    <row r="1572">
      <c r="A1572" t="s">
        <v>2593</v>
      </c>
      <c r="B1572" t="s">
        <v>1344</v>
      </c>
      <c r="C1572" t="s">
        <v>958</v>
      </c>
      <c r="D1572" t="s">
        <v>1198</v>
      </c>
      <c r="E1572" t="s">
        <v>1342</v>
      </c>
      <c r="F1572" t="s">
        <v>97</v>
      </c>
      <c r="G1572" t="s">
        <v>4715</v>
      </c>
      <c r="H1572" t="s">
        <v>1277</v>
      </c>
      <c r="I1572" t="s">
        <v>5684</v>
      </c>
      <c r="J1572" t="s">
        <v>5685</v>
      </c>
      <c r="K1572" t="s">
        <v>5686</v>
      </c>
      <c r="L1572" t="s">
        <v>4717</v>
      </c>
    </row>
    <row r="1573">
      <c r="A1573" t="s">
        <v>2593</v>
      </c>
      <c r="B1573" t="s">
        <v>1344</v>
      </c>
      <c r="C1573" t="s">
        <v>958</v>
      </c>
      <c r="D1573" t="s">
        <v>1198</v>
      </c>
      <c r="E1573" t="s">
        <v>1342</v>
      </c>
      <c r="F1573" t="s">
        <v>97</v>
      </c>
      <c r="G1573" t="s">
        <v>4715</v>
      </c>
      <c r="H1573" t="s">
        <v>1310</v>
      </c>
      <c r="I1573" t="s">
        <v>5288</v>
      </c>
      <c r="J1573" t="s">
        <v>5687</v>
      </c>
      <c r="K1573" t="s">
        <v>5688</v>
      </c>
      <c r="L1573" t="s">
        <v>4717</v>
      </c>
    </row>
    <row r="1574">
      <c r="A1574" t="s">
        <v>2593</v>
      </c>
      <c r="B1574" t="s">
        <v>1344</v>
      </c>
      <c r="C1574" t="s">
        <v>958</v>
      </c>
      <c r="D1574" t="s">
        <v>1198</v>
      </c>
      <c r="E1574" t="s">
        <v>1342</v>
      </c>
      <c r="F1574" t="s">
        <v>97</v>
      </c>
      <c r="G1574" t="s">
        <v>4715</v>
      </c>
      <c r="H1574" t="s">
        <v>5522</v>
      </c>
      <c r="I1574" t="s">
        <v>5656</v>
      </c>
      <c r="J1574" t="s">
        <v>5657</v>
      </c>
      <c r="K1574" t="s">
        <v>5658</v>
      </c>
      <c r="L1574" t="s">
        <v>4717</v>
      </c>
    </row>
    <row r="1575">
      <c r="A1575" t="s">
        <v>2596</v>
      </c>
      <c r="B1575" t="s">
        <v>1352</v>
      </c>
      <c r="C1575" t="s">
        <v>958</v>
      </c>
      <c r="D1575" t="s">
        <v>1198</v>
      </c>
      <c r="E1575" t="s">
        <v>1342</v>
      </c>
      <c r="F1575" t="s">
        <v>97</v>
      </c>
      <c r="G1575" t="s">
        <v>4715</v>
      </c>
      <c r="H1575" t="s">
        <v>5041</v>
      </c>
      <c r="I1575" t="s">
        <v>5614</v>
      </c>
      <c r="J1575" t="s">
        <v>5615</v>
      </c>
      <c r="K1575" t="s">
        <v>4169</v>
      </c>
      <c r="L1575" t="s">
        <v>4717</v>
      </c>
    </row>
    <row r="1576">
      <c r="A1576" t="s">
        <v>2596</v>
      </c>
      <c r="B1576" t="s">
        <v>1352</v>
      </c>
      <c r="C1576" t="s">
        <v>958</v>
      </c>
      <c r="D1576" t="s">
        <v>1198</v>
      </c>
      <c r="E1576" t="s">
        <v>1342</v>
      </c>
      <c r="F1576" t="s">
        <v>97</v>
      </c>
      <c r="G1576" t="s">
        <v>4715</v>
      </c>
      <c r="H1576" t="s">
        <v>5616</v>
      </c>
      <c r="I1576" t="s">
        <v>5617</v>
      </c>
      <c r="J1576" t="s">
        <v>5618</v>
      </c>
      <c r="K1576" t="s">
        <v>5619</v>
      </c>
      <c r="L1576" t="s">
        <v>4717</v>
      </c>
    </row>
    <row r="1577">
      <c r="A1577" t="s">
        <v>2596</v>
      </c>
      <c r="B1577" t="s">
        <v>1352</v>
      </c>
      <c r="C1577" t="s">
        <v>958</v>
      </c>
      <c r="D1577" t="s">
        <v>1198</v>
      </c>
      <c r="E1577" t="s">
        <v>1342</v>
      </c>
      <c r="F1577" t="s">
        <v>97</v>
      </c>
      <c r="G1577" t="s">
        <v>4715</v>
      </c>
      <c r="H1577" t="s">
        <v>5499</v>
      </c>
      <c r="I1577" t="s">
        <v>5620</v>
      </c>
      <c r="J1577" t="s">
        <v>5621</v>
      </c>
      <c r="K1577" t="s">
        <v>5622</v>
      </c>
      <c r="L1577" t="s">
        <v>4717</v>
      </c>
    </row>
    <row r="1578">
      <c r="A1578" t="s">
        <v>2596</v>
      </c>
      <c r="B1578" t="s">
        <v>1352</v>
      </c>
      <c r="C1578" t="s">
        <v>958</v>
      </c>
      <c r="D1578" t="s">
        <v>1198</v>
      </c>
      <c r="E1578" t="s">
        <v>1342</v>
      </c>
      <c r="F1578" t="s">
        <v>97</v>
      </c>
      <c r="G1578" t="s">
        <v>4715</v>
      </c>
      <c r="H1578" t="s">
        <v>5623</v>
      </c>
      <c r="I1578" t="s">
        <v>5624</v>
      </c>
      <c r="J1578" t="s">
        <v>5625</v>
      </c>
      <c r="K1578" t="s">
        <v>5626</v>
      </c>
      <c r="L1578" t="s">
        <v>4717</v>
      </c>
    </row>
    <row r="1579">
      <c r="A1579" t="s">
        <v>2596</v>
      </c>
      <c r="B1579" t="s">
        <v>1352</v>
      </c>
      <c r="C1579" t="s">
        <v>958</v>
      </c>
      <c r="D1579" t="s">
        <v>1198</v>
      </c>
      <c r="E1579" t="s">
        <v>1342</v>
      </c>
      <c r="F1579" t="s">
        <v>97</v>
      </c>
      <c r="G1579" t="s">
        <v>4715</v>
      </c>
      <c r="H1579" t="s">
        <v>3904</v>
      </c>
      <c r="I1579" t="s">
        <v>5627</v>
      </c>
      <c r="J1579" t="s">
        <v>5628</v>
      </c>
      <c r="K1579" t="s">
        <v>5629</v>
      </c>
      <c r="L1579" t="s">
        <v>4717</v>
      </c>
    </row>
    <row r="1580">
      <c r="A1580" t="s">
        <v>2596</v>
      </c>
      <c r="B1580" t="s">
        <v>1352</v>
      </c>
      <c r="C1580" t="s">
        <v>958</v>
      </c>
      <c r="D1580" t="s">
        <v>1198</v>
      </c>
      <c r="E1580" t="s">
        <v>1342</v>
      </c>
      <c r="F1580" t="s">
        <v>97</v>
      </c>
      <c r="G1580" t="s">
        <v>4715</v>
      </c>
      <c r="H1580" t="s">
        <v>5630</v>
      </c>
      <c r="I1580" t="s">
        <v>5474</v>
      </c>
      <c r="J1580" t="s">
        <v>5631</v>
      </c>
      <c r="K1580" t="s">
        <v>5632</v>
      </c>
      <c r="L1580" t="s">
        <v>4717</v>
      </c>
    </row>
    <row r="1581">
      <c r="A1581" t="s">
        <v>2596</v>
      </c>
      <c r="B1581" t="s">
        <v>1352</v>
      </c>
      <c r="C1581" t="s">
        <v>958</v>
      </c>
      <c r="D1581" t="s">
        <v>1198</v>
      </c>
      <c r="E1581" t="s">
        <v>1342</v>
      </c>
      <c r="F1581" t="s">
        <v>97</v>
      </c>
      <c r="G1581" t="s">
        <v>4715</v>
      </c>
      <c r="H1581" t="s">
        <v>5170</v>
      </c>
      <c r="I1581" t="s">
        <v>5171</v>
      </c>
      <c r="J1581" t="s">
        <v>5633</v>
      </c>
      <c r="K1581" t="s">
        <v>5634</v>
      </c>
      <c r="L1581" t="s">
        <v>4717</v>
      </c>
    </row>
    <row r="1582">
      <c r="A1582" t="s">
        <v>2596</v>
      </c>
      <c r="B1582" t="s">
        <v>1352</v>
      </c>
      <c r="C1582" t="s">
        <v>958</v>
      </c>
      <c r="D1582" t="s">
        <v>1198</v>
      </c>
      <c r="E1582" t="s">
        <v>1342</v>
      </c>
      <c r="F1582" t="s">
        <v>97</v>
      </c>
      <c r="G1582" t="s">
        <v>4715</v>
      </c>
      <c r="H1582" t="s">
        <v>5157</v>
      </c>
      <c r="I1582" t="s">
        <v>5635</v>
      </c>
      <c r="J1582" t="s">
        <v>5636</v>
      </c>
      <c r="K1582" t="s">
        <v>5637</v>
      </c>
      <c r="L1582" t="s">
        <v>4717</v>
      </c>
    </row>
    <row r="1583">
      <c r="A1583" t="s">
        <v>2596</v>
      </c>
      <c r="B1583" t="s">
        <v>1352</v>
      </c>
      <c r="C1583" t="s">
        <v>958</v>
      </c>
      <c r="D1583" t="s">
        <v>1198</v>
      </c>
      <c r="E1583" t="s">
        <v>1342</v>
      </c>
      <c r="F1583" t="s">
        <v>97</v>
      </c>
      <c r="G1583" t="s">
        <v>4715</v>
      </c>
      <c r="H1583" t="s">
        <v>1221</v>
      </c>
      <c r="I1583" t="s">
        <v>5263</v>
      </c>
      <c r="J1583" t="s">
        <v>5673</v>
      </c>
      <c r="K1583" t="s">
        <v>5674</v>
      </c>
      <c r="L1583" t="s">
        <v>4717</v>
      </c>
    </row>
    <row r="1584">
      <c r="A1584" t="s">
        <v>2596</v>
      </c>
      <c r="B1584" t="s">
        <v>1352</v>
      </c>
      <c r="C1584" t="s">
        <v>958</v>
      </c>
      <c r="D1584" t="s">
        <v>1198</v>
      </c>
      <c r="E1584" t="s">
        <v>1342</v>
      </c>
      <c r="F1584" t="s">
        <v>97</v>
      </c>
      <c r="G1584" t="s">
        <v>4715</v>
      </c>
      <c r="H1584" t="s">
        <v>1221</v>
      </c>
      <c r="I1584" t="s">
        <v>5675</v>
      </c>
      <c r="J1584" t="s">
        <v>5676</v>
      </c>
      <c r="K1584" t="s">
        <v>5677</v>
      </c>
      <c r="L1584" t="s">
        <v>4717</v>
      </c>
    </row>
    <row r="1585">
      <c r="A1585" t="s">
        <v>2596</v>
      </c>
      <c r="B1585" t="s">
        <v>1352</v>
      </c>
      <c r="C1585" t="s">
        <v>958</v>
      </c>
      <c r="D1585" t="s">
        <v>1198</v>
      </c>
      <c r="E1585" t="s">
        <v>1342</v>
      </c>
      <c r="F1585" t="s">
        <v>97</v>
      </c>
      <c r="G1585" t="s">
        <v>4715</v>
      </c>
      <c r="H1585" t="s">
        <v>1221</v>
      </c>
      <c r="I1585" t="s">
        <v>5678</v>
      </c>
      <c r="J1585" t="s">
        <v>5679</v>
      </c>
      <c r="K1585" t="s">
        <v>5680</v>
      </c>
      <c r="L1585" t="s">
        <v>4717</v>
      </c>
    </row>
    <row r="1586">
      <c r="A1586" t="s">
        <v>2596</v>
      </c>
      <c r="B1586" t="s">
        <v>1352</v>
      </c>
      <c r="C1586" t="s">
        <v>958</v>
      </c>
      <c r="D1586" t="s">
        <v>1198</v>
      </c>
      <c r="E1586" t="s">
        <v>1342</v>
      </c>
      <c r="F1586" t="s">
        <v>97</v>
      </c>
      <c r="G1586" t="s">
        <v>4715</v>
      </c>
      <c r="H1586" t="s">
        <v>1277</v>
      </c>
      <c r="I1586" t="s">
        <v>5681</v>
      </c>
      <c r="J1586" t="s">
        <v>5682</v>
      </c>
      <c r="K1586" t="s">
        <v>5683</v>
      </c>
      <c r="L1586" t="s">
        <v>4717</v>
      </c>
    </row>
    <row r="1587">
      <c r="A1587" t="s">
        <v>2596</v>
      </c>
      <c r="B1587" t="s">
        <v>1352</v>
      </c>
      <c r="C1587" t="s">
        <v>958</v>
      </c>
      <c r="D1587" t="s">
        <v>1198</v>
      </c>
      <c r="E1587" t="s">
        <v>1342</v>
      </c>
      <c r="F1587" t="s">
        <v>97</v>
      </c>
      <c r="G1587" t="s">
        <v>4715</v>
      </c>
      <c r="H1587" t="s">
        <v>1277</v>
      </c>
      <c r="I1587" t="s">
        <v>5684</v>
      </c>
      <c r="J1587" t="s">
        <v>5685</v>
      </c>
      <c r="K1587" t="s">
        <v>5686</v>
      </c>
      <c r="L1587" t="s">
        <v>4717</v>
      </c>
    </row>
    <row r="1588">
      <c r="A1588" t="s">
        <v>2596</v>
      </c>
      <c r="B1588" t="s">
        <v>1352</v>
      </c>
      <c r="C1588" t="s">
        <v>958</v>
      </c>
      <c r="D1588" t="s">
        <v>1198</v>
      </c>
      <c r="E1588" t="s">
        <v>1342</v>
      </c>
      <c r="F1588" t="s">
        <v>97</v>
      </c>
      <c r="G1588" t="s">
        <v>4715</v>
      </c>
      <c r="H1588" t="s">
        <v>1310</v>
      </c>
      <c r="I1588" t="s">
        <v>5288</v>
      </c>
      <c r="J1588" t="s">
        <v>5687</v>
      </c>
      <c r="K1588" t="s">
        <v>5688</v>
      </c>
      <c r="L1588" t="s">
        <v>4717</v>
      </c>
    </row>
    <row r="1589">
      <c r="A1589" t="s">
        <v>2596</v>
      </c>
      <c r="B1589" t="s">
        <v>1352</v>
      </c>
      <c r="C1589" t="s">
        <v>958</v>
      </c>
      <c r="D1589" t="s">
        <v>1198</v>
      </c>
      <c r="E1589" t="s">
        <v>1342</v>
      </c>
      <c r="F1589" t="s">
        <v>97</v>
      </c>
      <c r="G1589" t="s">
        <v>4715</v>
      </c>
      <c r="H1589" t="s">
        <v>5522</v>
      </c>
      <c r="I1589" t="s">
        <v>5656</v>
      </c>
      <c r="J1589" t="s">
        <v>5657</v>
      </c>
      <c r="K1589" t="s">
        <v>5658</v>
      </c>
      <c r="L1589" t="s">
        <v>4717</v>
      </c>
    </row>
    <row r="1590">
      <c r="A1590" t="s">
        <v>2599</v>
      </c>
      <c r="B1590" t="s">
        <v>1359</v>
      </c>
      <c r="C1590" t="s">
        <v>958</v>
      </c>
      <c r="D1590" t="s">
        <v>1198</v>
      </c>
      <c r="E1590" t="s">
        <v>1342</v>
      </c>
      <c r="F1590" t="s">
        <v>154</v>
      </c>
      <c r="G1590" t="s">
        <v>4715</v>
      </c>
      <c r="H1590" t="s">
        <v>5041</v>
      </c>
      <c r="I1590" t="s">
        <v>5614</v>
      </c>
      <c r="J1590" t="s">
        <v>5615</v>
      </c>
      <c r="K1590" t="s">
        <v>4169</v>
      </c>
      <c r="L1590" t="s">
        <v>4717</v>
      </c>
    </row>
    <row r="1591">
      <c r="A1591" t="s">
        <v>2599</v>
      </c>
      <c r="B1591" t="s">
        <v>1359</v>
      </c>
      <c r="C1591" t="s">
        <v>958</v>
      </c>
      <c r="D1591" t="s">
        <v>1198</v>
      </c>
      <c r="E1591" t="s">
        <v>1342</v>
      </c>
      <c r="F1591" t="s">
        <v>154</v>
      </c>
      <c r="G1591" t="s">
        <v>4715</v>
      </c>
      <c r="H1591" t="s">
        <v>5616</v>
      </c>
      <c r="I1591" t="s">
        <v>5617</v>
      </c>
      <c r="J1591" t="s">
        <v>5618</v>
      </c>
      <c r="K1591" t="s">
        <v>5619</v>
      </c>
      <c r="L1591" t="s">
        <v>4717</v>
      </c>
    </row>
    <row r="1592">
      <c r="A1592" t="s">
        <v>2599</v>
      </c>
      <c r="B1592" t="s">
        <v>1359</v>
      </c>
      <c r="C1592" t="s">
        <v>958</v>
      </c>
      <c r="D1592" t="s">
        <v>1198</v>
      </c>
      <c r="E1592" t="s">
        <v>1342</v>
      </c>
      <c r="F1592" t="s">
        <v>154</v>
      </c>
      <c r="G1592" t="s">
        <v>4715</v>
      </c>
      <c r="H1592" t="s">
        <v>5499</v>
      </c>
      <c r="I1592" t="s">
        <v>5620</v>
      </c>
      <c r="J1592" t="s">
        <v>5621</v>
      </c>
      <c r="K1592" t="s">
        <v>5622</v>
      </c>
      <c r="L1592" t="s">
        <v>4717</v>
      </c>
    </row>
    <row r="1593">
      <c r="A1593" t="s">
        <v>2599</v>
      </c>
      <c r="B1593" t="s">
        <v>1359</v>
      </c>
      <c r="C1593" t="s">
        <v>958</v>
      </c>
      <c r="D1593" t="s">
        <v>1198</v>
      </c>
      <c r="E1593" t="s">
        <v>1342</v>
      </c>
      <c r="F1593" t="s">
        <v>154</v>
      </c>
      <c r="G1593" t="s">
        <v>4715</v>
      </c>
      <c r="H1593" t="s">
        <v>5623</v>
      </c>
      <c r="I1593" t="s">
        <v>5624</v>
      </c>
      <c r="J1593" t="s">
        <v>5625</v>
      </c>
      <c r="K1593" t="s">
        <v>5626</v>
      </c>
      <c r="L1593" t="s">
        <v>4717</v>
      </c>
    </row>
    <row r="1594">
      <c r="A1594" t="s">
        <v>2599</v>
      </c>
      <c r="B1594" t="s">
        <v>1359</v>
      </c>
      <c r="C1594" t="s">
        <v>958</v>
      </c>
      <c r="D1594" t="s">
        <v>1198</v>
      </c>
      <c r="E1594" t="s">
        <v>1342</v>
      </c>
      <c r="F1594" t="s">
        <v>154</v>
      </c>
      <c r="G1594" t="s">
        <v>4715</v>
      </c>
      <c r="H1594" t="s">
        <v>3904</v>
      </c>
      <c r="I1594" t="s">
        <v>5627</v>
      </c>
      <c r="J1594" t="s">
        <v>5628</v>
      </c>
      <c r="K1594" t="s">
        <v>5629</v>
      </c>
      <c r="L1594" t="s">
        <v>4717</v>
      </c>
    </row>
    <row r="1595">
      <c r="A1595" t="s">
        <v>2599</v>
      </c>
      <c r="B1595" t="s">
        <v>1359</v>
      </c>
      <c r="C1595" t="s">
        <v>958</v>
      </c>
      <c r="D1595" t="s">
        <v>1198</v>
      </c>
      <c r="E1595" t="s">
        <v>1342</v>
      </c>
      <c r="F1595" t="s">
        <v>154</v>
      </c>
      <c r="G1595" t="s">
        <v>4715</v>
      </c>
      <c r="H1595" t="s">
        <v>5630</v>
      </c>
      <c r="I1595" t="s">
        <v>5474</v>
      </c>
      <c r="J1595" t="s">
        <v>5631</v>
      </c>
      <c r="K1595" t="s">
        <v>5632</v>
      </c>
      <c r="L1595" t="s">
        <v>4717</v>
      </c>
    </row>
    <row r="1596">
      <c r="A1596" t="s">
        <v>2599</v>
      </c>
      <c r="B1596" t="s">
        <v>1359</v>
      </c>
      <c r="C1596" t="s">
        <v>958</v>
      </c>
      <c r="D1596" t="s">
        <v>1198</v>
      </c>
      <c r="E1596" t="s">
        <v>1342</v>
      </c>
      <c r="F1596" t="s">
        <v>154</v>
      </c>
      <c r="G1596" t="s">
        <v>4715</v>
      </c>
      <c r="H1596" t="s">
        <v>5170</v>
      </c>
      <c r="I1596" t="s">
        <v>5171</v>
      </c>
      <c r="J1596" t="s">
        <v>5633</v>
      </c>
      <c r="K1596" t="s">
        <v>5634</v>
      </c>
      <c r="L1596" t="s">
        <v>4717</v>
      </c>
    </row>
    <row r="1597">
      <c r="A1597" t="s">
        <v>2599</v>
      </c>
      <c r="B1597" t="s">
        <v>1359</v>
      </c>
      <c r="C1597" t="s">
        <v>958</v>
      </c>
      <c r="D1597" t="s">
        <v>1198</v>
      </c>
      <c r="E1597" t="s">
        <v>1342</v>
      </c>
      <c r="F1597" t="s">
        <v>154</v>
      </c>
      <c r="G1597" t="s">
        <v>4715</v>
      </c>
      <c r="H1597" t="s">
        <v>5157</v>
      </c>
      <c r="I1597" t="s">
        <v>5635</v>
      </c>
      <c r="J1597" t="s">
        <v>5636</v>
      </c>
      <c r="K1597" t="s">
        <v>5637</v>
      </c>
      <c r="L1597" t="s">
        <v>4717</v>
      </c>
    </row>
    <row r="1598">
      <c r="A1598" t="s">
        <v>2599</v>
      </c>
      <c r="B1598" t="s">
        <v>1359</v>
      </c>
      <c r="C1598" t="s">
        <v>958</v>
      </c>
      <c r="D1598" t="s">
        <v>1198</v>
      </c>
      <c r="E1598" t="s">
        <v>1342</v>
      </c>
      <c r="F1598" t="s">
        <v>154</v>
      </c>
      <c r="G1598" t="s">
        <v>4715</v>
      </c>
      <c r="H1598" t="s">
        <v>1221</v>
      </c>
      <c r="I1598" t="s">
        <v>5263</v>
      </c>
      <c r="J1598" t="s">
        <v>5673</v>
      </c>
      <c r="K1598" t="s">
        <v>5674</v>
      </c>
      <c r="L1598" t="s">
        <v>4717</v>
      </c>
    </row>
    <row r="1599">
      <c r="A1599" t="s">
        <v>2599</v>
      </c>
      <c r="B1599" t="s">
        <v>1359</v>
      </c>
      <c r="C1599" t="s">
        <v>958</v>
      </c>
      <c r="D1599" t="s">
        <v>1198</v>
      </c>
      <c r="E1599" t="s">
        <v>1342</v>
      </c>
      <c r="F1599" t="s">
        <v>154</v>
      </c>
      <c r="G1599" t="s">
        <v>4715</v>
      </c>
      <c r="H1599" t="s">
        <v>1221</v>
      </c>
      <c r="I1599" t="s">
        <v>5675</v>
      </c>
      <c r="J1599" t="s">
        <v>5676</v>
      </c>
      <c r="K1599" t="s">
        <v>5677</v>
      </c>
      <c r="L1599" t="s">
        <v>4717</v>
      </c>
    </row>
    <row r="1600">
      <c r="A1600" t="s">
        <v>2599</v>
      </c>
      <c r="B1600" t="s">
        <v>1359</v>
      </c>
      <c r="C1600" t="s">
        <v>958</v>
      </c>
      <c r="D1600" t="s">
        <v>1198</v>
      </c>
      <c r="E1600" t="s">
        <v>1342</v>
      </c>
      <c r="F1600" t="s">
        <v>154</v>
      </c>
      <c r="G1600" t="s">
        <v>4715</v>
      </c>
      <c r="H1600" t="s">
        <v>1221</v>
      </c>
      <c r="I1600" t="s">
        <v>5678</v>
      </c>
      <c r="J1600" t="s">
        <v>5679</v>
      </c>
      <c r="K1600" t="s">
        <v>5680</v>
      </c>
      <c r="L1600" t="s">
        <v>4717</v>
      </c>
    </row>
    <row r="1601">
      <c r="A1601" t="s">
        <v>2599</v>
      </c>
      <c r="B1601" t="s">
        <v>1359</v>
      </c>
      <c r="C1601" t="s">
        <v>958</v>
      </c>
      <c r="D1601" t="s">
        <v>1198</v>
      </c>
      <c r="E1601" t="s">
        <v>1342</v>
      </c>
      <c r="F1601" t="s">
        <v>154</v>
      </c>
      <c r="G1601" t="s">
        <v>4715</v>
      </c>
      <c r="H1601" t="s">
        <v>1277</v>
      </c>
      <c r="I1601" t="s">
        <v>5681</v>
      </c>
      <c r="J1601" t="s">
        <v>5682</v>
      </c>
      <c r="K1601" t="s">
        <v>5683</v>
      </c>
      <c r="L1601" t="s">
        <v>4717</v>
      </c>
    </row>
    <row r="1602">
      <c r="A1602" t="s">
        <v>2599</v>
      </c>
      <c r="B1602" t="s">
        <v>1359</v>
      </c>
      <c r="C1602" t="s">
        <v>958</v>
      </c>
      <c r="D1602" t="s">
        <v>1198</v>
      </c>
      <c r="E1602" t="s">
        <v>1342</v>
      </c>
      <c r="F1602" t="s">
        <v>154</v>
      </c>
      <c r="G1602" t="s">
        <v>4715</v>
      </c>
      <c r="H1602" t="s">
        <v>1277</v>
      </c>
      <c r="I1602" t="s">
        <v>5684</v>
      </c>
      <c r="J1602" t="s">
        <v>5685</v>
      </c>
      <c r="K1602" t="s">
        <v>5686</v>
      </c>
      <c r="L1602" t="s">
        <v>4717</v>
      </c>
    </row>
    <row r="1603">
      <c r="A1603" t="s">
        <v>2599</v>
      </c>
      <c r="B1603" t="s">
        <v>1359</v>
      </c>
      <c r="C1603" t="s">
        <v>958</v>
      </c>
      <c r="D1603" t="s">
        <v>1198</v>
      </c>
      <c r="E1603" t="s">
        <v>1342</v>
      </c>
      <c r="F1603" t="s">
        <v>154</v>
      </c>
      <c r="G1603" t="s">
        <v>4715</v>
      </c>
      <c r="H1603" t="s">
        <v>1310</v>
      </c>
      <c r="I1603" t="s">
        <v>5288</v>
      </c>
      <c r="J1603" t="s">
        <v>5687</v>
      </c>
      <c r="K1603" t="s">
        <v>5688</v>
      </c>
      <c r="L1603" t="s">
        <v>4717</v>
      </c>
    </row>
    <row r="1604">
      <c r="A1604" t="s">
        <v>2599</v>
      </c>
      <c r="B1604" t="s">
        <v>1359</v>
      </c>
      <c r="C1604" t="s">
        <v>958</v>
      </c>
      <c r="D1604" t="s">
        <v>1198</v>
      </c>
      <c r="E1604" t="s">
        <v>1342</v>
      </c>
      <c r="F1604" t="s">
        <v>154</v>
      </c>
      <c r="G1604" t="s">
        <v>4715</v>
      </c>
      <c r="H1604" t="s">
        <v>5522</v>
      </c>
      <c r="I1604" t="s">
        <v>5656</v>
      </c>
      <c r="J1604" t="s">
        <v>5657</v>
      </c>
      <c r="K1604" t="s">
        <v>5658</v>
      </c>
      <c r="L1604" t="s">
        <v>4717</v>
      </c>
    </row>
    <row r="1605">
      <c r="A1605" t="s">
        <v>2602</v>
      </c>
      <c r="B1605" t="s">
        <v>1366</v>
      </c>
      <c r="C1605" t="s">
        <v>958</v>
      </c>
      <c r="D1605" t="s">
        <v>1198</v>
      </c>
      <c r="E1605" t="s">
        <v>1342</v>
      </c>
      <c r="F1605" t="s">
        <v>154</v>
      </c>
      <c r="G1605" t="s">
        <v>4715</v>
      </c>
      <c r="H1605" t="s">
        <v>5041</v>
      </c>
      <c r="I1605" t="s">
        <v>5614</v>
      </c>
      <c r="J1605" t="s">
        <v>5615</v>
      </c>
      <c r="K1605" t="s">
        <v>4169</v>
      </c>
      <c r="L1605" t="s">
        <v>4717</v>
      </c>
    </row>
    <row r="1606">
      <c r="A1606" t="s">
        <v>2602</v>
      </c>
      <c r="B1606" t="s">
        <v>1366</v>
      </c>
      <c r="C1606" t="s">
        <v>958</v>
      </c>
      <c r="D1606" t="s">
        <v>1198</v>
      </c>
      <c r="E1606" t="s">
        <v>1342</v>
      </c>
      <c r="F1606" t="s">
        <v>154</v>
      </c>
      <c r="G1606" t="s">
        <v>4715</v>
      </c>
      <c r="H1606" t="s">
        <v>5616</v>
      </c>
      <c r="I1606" t="s">
        <v>5617</v>
      </c>
      <c r="J1606" t="s">
        <v>5618</v>
      </c>
      <c r="K1606" t="s">
        <v>5619</v>
      </c>
      <c r="L1606" t="s">
        <v>4717</v>
      </c>
    </row>
    <row r="1607">
      <c r="A1607" t="s">
        <v>2602</v>
      </c>
      <c r="B1607" t="s">
        <v>1366</v>
      </c>
      <c r="C1607" t="s">
        <v>958</v>
      </c>
      <c r="D1607" t="s">
        <v>1198</v>
      </c>
      <c r="E1607" t="s">
        <v>1342</v>
      </c>
      <c r="F1607" t="s">
        <v>154</v>
      </c>
      <c r="G1607" t="s">
        <v>4715</v>
      </c>
      <c r="H1607" t="s">
        <v>5499</v>
      </c>
      <c r="I1607" t="s">
        <v>5620</v>
      </c>
      <c r="J1607" t="s">
        <v>5621</v>
      </c>
      <c r="K1607" t="s">
        <v>5622</v>
      </c>
      <c r="L1607" t="s">
        <v>4717</v>
      </c>
    </row>
    <row r="1608">
      <c r="A1608" t="s">
        <v>2602</v>
      </c>
      <c r="B1608" t="s">
        <v>1366</v>
      </c>
      <c r="C1608" t="s">
        <v>958</v>
      </c>
      <c r="D1608" t="s">
        <v>1198</v>
      </c>
      <c r="E1608" t="s">
        <v>1342</v>
      </c>
      <c r="F1608" t="s">
        <v>154</v>
      </c>
      <c r="G1608" t="s">
        <v>4715</v>
      </c>
      <c r="H1608" t="s">
        <v>5623</v>
      </c>
      <c r="I1608" t="s">
        <v>5624</v>
      </c>
      <c r="J1608" t="s">
        <v>5625</v>
      </c>
      <c r="K1608" t="s">
        <v>5626</v>
      </c>
      <c r="L1608" t="s">
        <v>4717</v>
      </c>
    </row>
    <row r="1609">
      <c r="A1609" t="s">
        <v>2602</v>
      </c>
      <c r="B1609" t="s">
        <v>1366</v>
      </c>
      <c r="C1609" t="s">
        <v>958</v>
      </c>
      <c r="D1609" t="s">
        <v>1198</v>
      </c>
      <c r="E1609" t="s">
        <v>1342</v>
      </c>
      <c r="F1609" t="s">
        <v>154</v>
      </c>
      <c r="G1609" t="s">
        <v>4715</v>
      </c>
      <c r="H1609" t="s">
        <v>3904</v>
      </c>
      <c r="I1609" t="s">
        <v>5627</v>
      </c>
      <c r="J1609" t="s">
        <v>5628</v>
      </c>
      <c r="K1609" t="s">
        <v>5629</v>
      </c>
      <c r="L1609" t="s">
        <v>4717</v>
      </c>
    </row>
    <row r="1610">
      <c r="A1610" t="s">
        <v>2602</v>
      </c>
      <c r="B1610" t="s">
        <v>1366</v>
      </c>
      <c r="C1610" t="s">
        <v>958</v>
      </c>
      <c r="D1610" t="s">
        <v>1198</v>
      </c>
      <c r="E1610" t="s">
        <v>1342</v>
      </c>
      <c r="F1610" t="s">
        <v>154</v>
      </c>
      <c r="G1610" t="s">
        <v>4715</v>
      </c>
      <c r="H1610" t="s">
        <v>5630</v>
      </c>
      <c r="I1610" t="s">
        <v>5474</v>
      </c>
      <c r="J1610" t="s">
        <v>5631</v>
      </c>
      <c r="K1610" t="s">
        <v>5632</v>
      </c>
      <c r="L1610" t="s">
        <v>4717</v>
      </c>
    </row>
    <row r="1611">
      <c r="A1611" t="s">
        <v>2602</v>
      </c>
      <c r="B1611" t="s">
        <v>1366</v>
      </c>
      <c r="C1611" t="s">
        <v>958</v>
      </c>
      <c r="D1611" t="s">
        <v>1198</v>
      </c>
      <c r="E1611" t="s">
        <v>1342</v>
      </c>
      <c r="F1611" t="s">
        <v>154</v>
      </c>
      <c r="G1611" t="s">
        <v>4715</v>
      </c>
      <c r="H1611" t="s">
        <v>5170</v>
      </c>
      <c r="I1611" t="s">
        <v>5171</v>
      </c>
      <c r="J1611" t="s">
        <v>5633</v>
      </c>
      <c r="K1611" t="s">
        <v>5634</v>
      </c>
      <c r="L1611" t="s">
        <v>4717</v>
      </c>
    </row>
    <row r="1612">
      <c r="A1612" t="s">
        <v>2602</v>
      </c>
      <c r="B1612" t="s">
        <v>1366</v>
      </c>
      <c r="C1612" t="s">
        <v>958</v>
      </c>
      <c r="D1612" t="s">
        <v>1198</v>
      </c>
      <c r="E1612" t="s">
        <v>1342</v>
      </c>
      <c r="F1612" t="s">
        <v>154</v>
      </c>
      <c r="G1612" t="s">
        <v>4715</v>
      </c>
      <c r="H1612" t="s">
        <v>5157</v>
      </c>
      <c r="I1612" t="s">
        <v>5635</v>
      </c>
      <c r="J1612" t="s">
        <v>5636</v>
      </c>
      <c r="K1612" t="s">
        <v>5637</v>
      </c>
      <c r="L1612" t="s">
        <v>4717</v>
      </c>
    </row>
    <row r="1613">
      <c r="A1613" t="s">
        <v>2602</v>
      </c>
      <c r="B1613" t="s">
        <v>1366</v>
      </c>
      <c r="C1613" t="s">
        <v>958</v>
      </c>
      <c r="D1613" t="s">
        <v>1198</v>
      </c>
      <c r="E1613" t="s">
        <v>1342</v>
      </c>
      <c r="F1613" t="s">
        <v>154</v>
      </c>
      <c r="G1613" t="s">
        <v>4715</v>
      </c>
      <c r="H1613" t="s">
        <v>1221</v>
      </c>
      <c r="I1613" t="s">
        <v>5263</v>
      </c>
      <c r="J1613" t="s">
        <v>5673</v>
      </c>
      <c r="K1613" t="s">
        <v>5674</v>
      </c>
      <c r="L1613" t="s">
        <v>4717</v>
      </c>
    </row>
    <row r="1614">
      <c r="A1614" t="s">
        <v>2602</v>
      </c>
      <c r="B1614" t="s">
        <v>1366</v>
      </c>
      <c r="C1614" t="s">
        <v>958</v>
      </c>
      <c r="D1614" t="s">
        <v>1198</v>
      </c>
      <c r="E1614" t="s">
        <v>1342</v>
      </c>
      <c r="F1614" t="s">
        <v>154</v>
      </c>
      <c r="G1614" t="s">
        <v>4715</v>
      </c>
      <c r="H1614" t="s">
        <v>1221</v>
      </c>
      <c r="I1614" t="s">
        <v>5675</v>
      </c>
      <c r="J1614" t="s">
        <v>5676</v>
      </c>
      <c r="K1614" t="s">
        <v>5677</v>
      </c>
      <c r="L1614" t="s">
        <v>4717</v>
      </c>
    </row>
    <row r="1615">
      <c r="A1615" t="s">
        <v>2602</v>
      </c>
      <c r="B1615" t="s">
        <v>1366</v>
      </c>
      <c r="C1615" t="s">
        <v>958</v>
      </c>
      <c r="D1615" t="s">
        <v>1198</v>
      </c>
      <c r="E1615" t="s">
        <v>1342</v>
      </c>
      <c r="F1615" t="s">
        <v>154</v>
      </c>
      <c r="G1615" t="s">
        <v>4715</v>
      </c>
      <c r="H1615" t="s">
        <v>1221</v>
      </c>
      <c r="I1615" t="s">
        <v>5678</v>
      </c>
      <c r="J1615" t="s">
        <v>5679</v>
      </c>
      <c r="K1615" t="s">
        <v>5680</v>
      </c>
      <c r="L1615" t="s">
        <v>4717</v>
      </c>
    </row>
    <row r="1616">
      <c r="A1616" t="s">
        <v>2602</v>
      </c>
      <c r="B1616" t="s">
        <v>1366</v>
      </c>
      <c r="C1616" t="s">
        <v>958</v>
      </c>
      <c r="D1616" t="s">
        <v>1198</v>
      </c>
      <c r="E1616" t="s">
        <v>1342</v>
      </c>
      <c r="F1616" t="s">
        <v>154</v>
      </c>
      <c r="G1616" t="s">
        <v>4715</v>
      </c>
      <c r="H1616" t="s">
        <v>1277</v>
      </c>
      <c r="I1616" t="s">
        <v>5681</v>
      </c>
      <c r="J1616" t="s">
        <v>5682</v>
      </c>
      <c r="K1616" t="s">
        <v>5683</v>
      </c>
      <c r="L1616" t="s">
        <v>4717</v>
      </c>
    </row>
    <row r="1617">
      <c r="A1617" t="s">
        <v>2602</v>
      </c>
      <c r="B1617" t="s">
        <v>1366</v>
      </c>
      <c r="C1617" t="s">
        <v>958</v>
      </c>
      <c r="D1617" t="s">
        <v>1198</v>
      </c>
      <c r="E1617" t="s">
        <v>1342</v>
      </c>
      <c r="F1617" t="s">
        <v>154</v>
      </c>
      <c r="G1617" t="s">
        <v>4715</v>
      </c>
      <c r="H1617" t="s">
        <v>1277</v>
      </c>
      <c r="I1617" t="s">
        <v>5684</v>
      </c>
      <c r="J1617" t="s">
        <v>5685</v>
      </c>
      <c r="K1617" t="s">
        <v>5686</v>
      </c>
      <c r="L1617" t="s">
        <v>4717</v>
      </c>
    </row>
    <row r="1618">
      <c r="A1618" t="s">
        <v>2602</v>
      </c>
      <c r="B1618" t="s">
        <v>1366</v>
      </c>
      <c r="C1618" t="s">
        <v>958</v>
      </c>
      <c r="D1618" t="s">
        <v>1198</v>
      </c>
      <c r="E1618" t="s">
        <v>1342</v>
      </c>
      <c r="F1618" t="s">
        <v>154</v>
      </c>
      <c r="G1618" t="s">
        <v>4715</v>
      </c>
      <c r="H1618" t="s">
        <v>1310</v>
      </c>
      <c r="I1618" t="s">
        <v>5288</v>
      </c>
      <c r="J1618" t="s">
        <v>5687</v>
      </c>
      <c r="K1618" t="s">
        <v>5688</v>
      </c>
      <c r="L1618" t="s">
        <v>4717</v>
      </c>
    </row>
    <row r="1619">
      <c r="A1619" t="s">
        <v>2602</v>
      </c>
      <c r="B1619" t="s">
        <v>1366</v>
      </c>
      <c r="C1619" t="s">
        <v>958</v>
      </c>
      <c r="D1619" t="s">
        <v>1198</v>
      </c>
      <c r="E1619" t="s">
        <v>1342</v>
      </c>
      <c r="F1619" t="s">
        <v>154</v>
      </c>
      <c r="G1619" t="s">
        <v>4715</v>
      </c>
      <c r="H1619" t="s">
        <v>5522</v>
      </c>
      <c r="I1619" t="s">
        <v>5656</v>
      </c>
      <c r="J1619" t="s">
        <v>5657</v>
      </c>
      <c r="K1619" t="s">
        <v>5658</v>
      </c>
      <c r="L1619" t="s">
        <v>4717</v>
      </c>
    </row>
    <row r="1620">
      <c r="A1620" t="s">
        <v>2605</v>
      </c>
      <c r="B1620" t="s">
        <v>1372</v>
      </c>
      <c r="C1620" t="s">
        <v>958</v>
      </c>
      <c r="D1620" t="s">
        <v>1198</v>
      </c>
      <c r="E1620" t="s">
        <v>1342</v>
      </c>
      <c r="F1620" t="s">
        <v>120</v>
      </c>
      <c r="G1620" t="s">
        <v>4715</v>
      </c>
      <c r="H1620" t="s">
        <v>5041</v>
      </c>
      <c r="I1620" t="s">
        <v>5614</v>
      </c>
      <c r="J1620" t="s">
        <v>5615</v>
      </c>
      <c r="K1620" t="s">
        <v>4169</v>
      </c>
      <c r="L1620" t="s">
        <v>4717</v>
      </c>
    </row>
    <row r="1621">
      <c r="A1621" t="s">
        <v>2605</v>
      </c>
      <c r="B1621" t="s">
        <v>1372</v>
      </c>
      <c r="C1621" t="s">
        <v>958</v>
      </c>
      <c r="D1621" t="s">
        <v>1198</v>
      </c>
      <c r="E1621" t="s">
        <v>1342</v>
      </c>
      <c r="F1621" t="s">
        <v>120</v>
      </c>
      <c r="G1621" t="s">
        <v>4715</v>
      </c>
      <c r="H1621" t="s">
        <v>5616</v>
      </c>
      <c r="I1621" t="s">
        <v>5617</v>
      </c>
      <c r="J1621" t="s">
        <v>5618</v>
      </c>
      <c r="K1621" t="s">
        <v>5619</v>
      </c>
      <c r="L1621" t="s">
        <v>4717</v>
      </c>
    </row>
    <row r="1622">
      <c r="A1622" t="s">
        <v>2605</v>
      </c>
      <c r="B1622" t="s">
        <v>1372</v>
      </c>
      <c r="C1622" t="s">
        <v>958</v>
      </c>
      <c r="D1622" t="s">
        <v>1198</v>
      </c>
      <c r="E1622" t="s">
        <v>1342</v>
      </c>
      <c r="F1622" t="s">
        <v>120</v>
      </c>
      <c r="G1622" t="s">
        <v>4715</v>
      </c>
      <c r="H1622" t="s">
        <v>5499</v>
      </c>
      <c r="I1622" t="s">
        <v>5620</v>
      </c>
      <c r="J1622" t="s">
        <v>5621</v>
      </c>
      <c r="K1622" t="s">
        <v>5622</v>
      </c>
      <c r="L1622" t="s">
        <v>4717</v>
      </c>
    </row>
    <row r="1623">
      <c r="A1623" t="s">
        <v>2605</v>
      </c>
      <c r="B1623" t="s">
        <v>1372</v>
      </c>
      <c r="C1623" t="s">
        <v>958</v>
      </c>
      <c r="D1623" t="s">
        <v>1198</v>
      </c>
      <c r="E1623" t="s">
        <v>1342</v>
      </c>
      <c r="F1623" t="s">
        <v>120</v>
      </c>
      <c r="G1623" t="s">
        <v>4715</v>
      </c>
      <c r="H1623" t="s">
        <v>5623</v>
      </c>
      <c r="I1623" t="s">
        <v>5624</v>
      </c>
      <c r="J1623" t="s">
        <v>5625</v>
      </c>
      <c r="K1623" t="s">
        <v>5626</v>
      </c>
      <c r="L1623" t="s">
        <v>4717</v>
      </c>
    </row>
    <row r="1624">
      <c r="A1624" t="s">
        <v>2605</v>
      </c>
      <c r="B1624" t="s">
        <v>1372</v>
      </c>
      <c r="C1624" t="s">
        <v>958</v>
      </c>
      <c r="D1624" t="s">
        <v>1198</v>
      </c>
      <c r="E1624" t="s">
        <v>1342</v>
      </c>
      <c r="F1624" t="s">
        <v>120</v>
      </c>
      <c r="G1624" t="s">
        <v>4715</v>
      </c>
      <c r="H1624" t="s">
        <v>3904</v>
      </c>
      <c r="I1624" t="s">
        <v>5627</v>
      </c>
      <c r="J1624" t="s">
        <v>5628</v>
      </c>
      <c r="K1624" t="s">
        <v>5629</v>
      </c>
      <c r="L1624" t="s">
        <v>4717</v>
      </c>
    </row>
    <row r="1625">
      <c r="A1625" t="s">
        <v>2605</v>
      </c>
      <c r="B1625" t="s">
        <v>1372</v>
      </c>
      <c r="C1625" t="s">
        <v>958</v>
      </c>
      <c r="D1625" t="s">
        <v>1198</v>
      </c>
      <c r="E1625" t="s">
        <v>1342</v>
      </c>
      <c r="F1625" t="s">
        <v>120</v>
      </c>
      <c r="G1625" t="s">
        <v>4715</v>
      </c>
      <c r="H1625" t="s">
        <v>5630</v>
      </c>
      <c r="I1625" t="s">
        <v>5474</v>
      </c>
      <c r="J1625" t="s">
        <v>5631</v>
      </c>
      <c r="K1625" t="s">
        <v>5632</v>
      </c>
      <c r="L1625" t="s">
        <v>4717</v>
      </c>
    </row>
    <row r="1626">
      <c r="A1626" t="s">
        <v>2605</v>
      </c>
      <c r="B1626" t="s">
        <v>1372</v>
      </c>
      <c r="C1626" t="s">
        <v>958</v>
      </c>
      <c r="D1626" t="s">
        <v>1198</v>
      </c>
      <c r="E1626" t="s">
        <v>1342</v>
      </c>
      <c r="F1626" t="s">
        <v>120</v>
      </c>
      <c r="G1626" t="s">
        <v>4715</v>
      </c>
      <c r="H1626" t="s">
        <v>5170</v>
      </c>
      <c r="I1626" t="s">
        <v>5171</v>
      </c>
      <c r="J1626" t="s">
        <v>5633</v>
      </c>
      <c r="K1626" t="s">
        <v>5634</v>
      </c>
      <c r="L1626" t="s">
        <v>4717</v>
      </c>
    </row>
    <row r="1627">
      <c r="A1627" t="s">
        <v>2605</v>
      </c>
      <c r="B1627" t="s">
        <v>1372</v>
      </c>
      <c r="C1627" t="s">
        <v>958</v>
      </c>
      <c r="D1627" t="s">
        <v>1198</v>
      </c>
      <c r="E1627" t="s">
        <v>1342</v>
      </c>
      <c r="F1627" t="s">
        <v>120</v>
      </c>
      <c r="G1627" t="s">
        <v>4715</v>
      </c>
      <c r="H1627" t="s">
        <v>5157</v>
      </c>
      <c r="I1627" t="s">
        <v>5635</v>
      </c>
      <c r="J1627" t="s">
        <v>5636</v>
      </c>
      <c r="K1627" t="s">
        <v>5637</v>
      </c>
      <c r="L1627" t="s">
        <v>4717</v>
      </c>
    </row>
    <row r="1628">
      <c r="A1628" t="s">
        <v>2605</v>
      </c>
      <c r="B1628" t="s">
        <v>1372</v>
      </c>
      <c r="C1628" t="s">
        <v>958</v>
      </c>
      <c r="D1628" t="s">
        <v>1198</v>
      </c>
      <c r="E1628" t="s">
        <v>1342</v>
      </c>
      <c r="F1628" t="s">
        <v>120</v>
      </c>
      <c r="G1628" t="s">
        <v>4715</v>
      </c>
      <c r="H1628" t="s">
        <v>1221</v>
      </c>
      <c r="I1628" t="s">
        <v>5263</v>
      </c>
      <c r="J1628" t="s">
        <v>5673</v>
      </c>
      <c r="K1628" t="s">
        <v>5674</v>
      </c>
      <c r="L1628" t="s">
        <v>4717</v>
      </c>
    </row>
    <row r="1629">
      <c r="A1629" t="s">
        <v>2605</v>
      </c>
      <c r="B1629" t="s">
        <v>1372</v>
      </c>
      <c r="C1629" t="s">
        <v>958</v>
      </c>
      <c r="D1629" t="s">
        <v>1198</v>
      </c>
      <c r="E1629" t="s">
        <v>1342</v>
      </c>
      <c r="F1629" t="s">
        <v>120</v>
      </c>
      <c r="G1629" t="s">
        <v>4715</v>
      </c>
      <c r="H1629" t="s">
        <v>1221</v>
      </c>
      <c r="I1629" t="s">
        <v>5675</v>
      </c>
      <c r="J1629" t="s">
        <v>5676</v>
      </c>
      <c r="K1629" t="s">
        <v>5677</v>
      </c>
      <c r="L1629" t="s">
        <v>4717</v>
      </c>
    </row>
    <row r="1630">
      <c r="A1630" t="s">
        <v>2605</v>
      </c>
      <c r="B1630" t="s">
        <v>1372</v>
      </c>
      <c r="C1630" t="s">
        <v>958</v>
      </c>
      <c r="D1630" t="s">
        <v>1198</v>
      </c>
      <c r="E1630" t="s">
        <v>1342</v>
      </c>
      <c r="F1630" t="s">
        <v>120</v>
      </c>
      <c r="G1630" t="s">
        <v>4715</v>
      </c>
      <c r="H1630" t="s">
        <v>1221</v>
      </c>
      <c r="I1630" t="s">
        <v>5678</v>
      </c>
      <c r="J1630" t="s">
        <v>5679</v>
      </c>
      <c r="K1630" t="s">
        <v>5680</v>
      </c>
      <c r="L1630" t="s">
        <v>4717</v>
      </c>
    </row>
    <row r="1631">
      <c r="A1631" t="s">
        <v>2605</v>
      </c>
      <c r="B1631" t="s">
        <v>1372</v>
      </c>
      <c r="C1631" t="s">
        <v>958</v>
      </c>
      <c r="D1631" t="s">
        <v>1198</v>
      </c>
      <c r="E1631" t="s">
        <v>1342</v>
      </c>
      <c r="F1631" t="s">
        <v>120</v>
      </c>
      <c r="G1631" t="s">
        <v>4715</v>
      </c>
      <c r="H1631" t="s">
        <v>1277</v>
      </c>
      <c r="I1631" t="s">
        <v>5681</v>
      </c>
      <c r="J1631" t="s">
        <v>5682</v>
      </c>
      <c r="K1631" t="s">
        <v>5683</v>
      </c>
      <c r="L1631" t="s">
        <v>4717</v>
      </c>
    </row>
    <row r="1632">
      <c r="A1632" t="s">
        <v>2605</v>
      </c>
      <c r="B1632" t="s">
        <v>1372</v>
      </c>
      <c r="C1632" t="s">
        <v>958</v>
      </c>
      <c r="D1632" t="s">
        <v>1198</v>
      </c>
      <c r="E1632" t="s">
        <v>1342</v>
      </c>
      <c r="F1632" t="s">
        <v>120</v>
      </c>
      <c r="G1632" t="s">
        <v>4715</v>
      </c>
      <c r="H1632" t="s">
        <v>1277</v>
      </c>
      <c r="I1632" t="s">
        <v>5684</v>
      </c>
      <c r="J1632" t="s">
        <v>5685</v>
      </c>
      <c r="K1632" t="s">
        <v>5686</v>
      </c>
      <c r="L1632" t="s">
        <v>4717</v>
      </c>
    </row>
    <row r="1633">
      <c r="A1633" t="s">
        <v>2605</v>
      </c>
      <c r="B1633" t="s">
        <v>1372</v>
      </c>
      <c r="C1633" t="s">
        <v>958</v>
      </c>
      <c r="D1633" t="s">
        <v>1198</v>
      </c>
      <c r="E1633" t="s">
        <v>1342</v>
      </c>
      <c r="F1633" t="s">
        <v>120</v>
      </c>
      <c r="G1633" t="s">
        <v>4715</v>
      </c>
      <c r="H1633" t="s">
        <v>1310</v>
      </c>
      <c r="I1633" t="s">
        <v>5288</v>
      </c>
      <c r="J1633" t="s">
        <v>5687</v>
      </c>
      <c r="K1633" t="s">
        <v>5688</v>
      </c>
      <c r="L1633" t="s">
        <v>4717</v>
      </c>
    </row>
    <row r="1634">
      <c r="A1634" t="s">
        <v>2605</v>
      </c>
      <c r="B1634" t="s">
        <v>1372</v>
      </c>
      <c r="C1634" t="s">
        <v>958</v>
      </c>
      <c r="D1634" t="s">
        <v>1198</v>
      </c>
      <c r="E1634" t="s">
        <v>1342</v>
      </c>
      <c r="F1634" t="s">
        <v>120</v>
      </c>
      <c r="G1634" t="s">
        <v>4715</v>
      </c>
      <c r="H1634" t="s">
        <v>5522</v>
      </c>
      <c r="I1634" t="s">
        <v>5656</v>
      </c>
      <c r="J1634" t="s">
        <v>5657</v>
      </c>
      <c r="K1634" t="s">
        <v>5658</v>
      </c>
      <c r="L1634" t="s">
        <v>4717</v>
      </c>
    </row>
    <row r="1635">
      <c r="A1635" t="s">
        <v>2608</v>
      </c>
      <c r="B1635" t="s">
        <v>1383</v>
      </c>
      <c r="C1635" t="s">
        <v>958</v>
      </c>
      <c r="D1635" t="s">
        <v>1380</v>
      </c>
      <c r="E1635" t="s">
        <v>1381</v>
      </c>
      <c r="F1635" t="s">
        <v>97</v>
      </c>
      <c r="G1635" t="s">
        <v>4715</v>
      </c>
      <c r="H1635" t="s">
        <v>5041</v>
      </c>
      <c r="I1635" t="s">
        <v>5614</v>
      </c>
      <c r="J1635" t="s">
        <v>5615</v>
      </c>
      <c r="K1635" t="s">
        <v>4169</v>
      </c>
      <c r="L1635" t="s">
        <v>4717</v>
      </c>
    </row>
    <row r="1636">
      <c r="A1636" t="s">
        <v>2608</v>
      </c>
      <c r="B1636" t="s">
        <v>1383</v>
      </c>
      <c r="C1636" t="s">
        <v>958</v>
      </c>
      <c r="D1636" t="s">
        <v>1380</v>
      </c>
      <c r="E1636" t="s">
        <v>1381</v>
      </c>
      <c r="F1636" t="s">
        <v>97</v>
      </c>
      <c r="G1636" t="s">
        <v>4715</v>
      </c>
      <c r="H1636" t="s">
        <v>5616</v>
      </c>
      <c r="I1636" t="s">
        <v>5617</v>
      </c>
      <c r="J1636" t="s">
        <v>5618</v>
      </c>
      <c r="K1636" t="s">
        <v>5619</v>
      </c>
      <c r="L1636" t="s">
        <v>4717</v>
      </c>
    </row>
    <row r="1637">
      <c r="A1637" t="s">
        <v>2608</v>
      </c>
      <c r="B1637" t="s">
        <v>1383</v>
      </c>
      <c r="C1637" t="s">
        <v>958</v>
      </c>
      <c r="D1637" t="s">
        <v>1380</v>
      </c>
      <c r="E1637" t="s">
        <v>1381</v>
      </c>
      <c r="F1637" t="s">
        <v>97</v>
      </c>
      <c r="G1637" t="s">
        <v>4715</v>
      </c>
      <c r="H1637" t="s">
        <v>5499</v>
      </c>
      <c r="I1637" t="s">
        <v>5620</v>
      </c>
      <c r="J1637" t="s">
        <v>5621</v>
      </c>
      <c r="K1637" t="s">
        <v>5622</v>
      </c>
      <c r="L1637" t="s">
        <v>4717</v>
      </c>
    </row>
    <row r="1638">
      <c r="A1638" t="s">
        <v>2608</v>
      </c>
      <c r="B1638" t="s">
        <v>1383</v>
      </c>
      <c r="C1638" t="s">
        <v>958</v>
      </c>
      <c r="D1638" t="s">
        <v>1380</v>
      </c>
      <c r="E1638" t="s">
        <v>1381</v>
      </c>
      <c r="F1638" t="s">
        <v>97</v>
      </c>
      <c r="G1638" t="s">
        <v>4715</v>
      </c>
      <c r="H1638" t="s">
        <v>5623</v>
      </c>
      <c r="I1638" t="s">
        <v>5624</v>
      </c>
      <c r="J1638" t="s">
        <v>5625</v>
      </c>
      <c r="K1638" t="s">
        <v>5626</v>
      </c>
      <c r="L1638" t="s">
        <v>4717</v>
      </c>
    </row>
    <row r="1639">
      <c r="A1639" t="s">
        <v>2608</v>
      </c>
      <c r="B1639" t="s">
        <v>1383</v>
      </c>
      <c r="C1639" t="s">
        <v>958</v>
      </c>
      <c r="D1639" t="s">
        <v>1380</v>
      </c>
      <c r="E1639" t="s">
        <v>1381</v>
      </c>
      <c r="F1639" t="s">
        <v>97</v>
      </c>
      <c r="G1639" t="s">
        <v>4715</v>
      </c>
      <c r="H1639" t="s">
        <v>3904</v>
      </c>
      <c r="I1639" t="s">
        <v>5627</v>
      </c>
      <c r="J1639" t="s">
        <v>5628</v>
      </c>
      <c r="K1639" t="s">
        <v>5629</v>
      </c>
      <c r="L1639" t="s">
        <v>4717</v>
      </c>
    </row>
    <row r="1640">
      <c r="A1640" t="s">
        <v>2608</v>
      </c>
      <c r="B1640" t="s">
        <v>1383</v>
      </c>
      <c r="C1640" t="s">
        <v>958</v>
      </c>
      <c r="D1640" t="s">
        <v>1380</v>
      </c>
      <c r="E1640" t="s">
        <v>1381</v>
      </c>
      <c r="F1640" t="s">
        <v>97</v>
      </c>
      <c r="G1640" t="s">
        <v>4715</v>
      </c>
      <c r="H1640" t="s">
        <v>5630</v>
      </c>
      <c r="I1640" t="s">
        <v>5474</v>
      </c>
      <c r="J1640" t="s">
        <v>5631</v>
      </c>
      <c r="K1640" t="s">
        <v>5632</v>
      </c>
      <c r="L1640" t="s">
        <v>4717</v>
      </c>
    </row>
    <row r="1641">
      <c r="A1641" t="s">
        <v>2608</v>
      </c>
      <c r="B1641" t="s">
        <v>1383</v>
      </c>
      <c r="C1641" t="s">
        <v>958</v>
      </c>
      <c r="D1641" t="s">
        <v>1380</v>
      </c>
      <c r="E1641" t="s">
        <v>1381</v>
      </c>
      <c r="F1641" t="s">
        <v>97</v>
      </c>
      <c r="G1641" t="s">
        <v>4715</v>
      </c>
      <c r="H1641" t="s">
        <v>5170</v>
      </c>
      <c r="I1641" t="s">
        <v>5171</v>
      </c>
      <c r="J1641" t="s">
        <v>5633</v>
      </c>
      <c r="K1641" t="s">
        <v>5634</v>
      </c>
      <c r="L1641" t="s">
        <v>4717</v>
      </c>
    </row>
    <row r="1642">
      <c r="A1642" t="s">
        <v>2608</v>
      </c>
      <c r="B1642" t="s">
        <v>1383</v>
      </c>
      <c r="C1642" t="s">
        <v>958</v>
      </c>
      <c r="D1642" t="s">
        <v>1380</v>
      </c>
      <c r="E1642" t="s">
        <v>1381</v>
      </c>
      <c r="F1642" t="s">
        <v>97</v>
      </c>
      <c r="G1642" t="s">
        <v>4715</v>
      </c>
      <c r="H1642" t="s">
        <v>5157</v>
      </c>
      <c r="I1642" t="s">
        <v>5635</v>
      </c>
      <c r="J1642" t="s">
        <v>5636</v>
      </c>
      <c r="K1642" t="s">
        <v>5637</v>
      </c>
      <c r="L1642" t="s">
        <v>4717</v>
      </c>
    </row>
    <row r="1643">
      <c r="A1643" t="s">
        <v>2608</v>
      </c>
      <c r="B1643" t="s">
        <v>1383</v>
      </c>
      <c r="C1643" t="s">
        <v>958</v>
      </c>
      <c r="D1643" t="s">
        <v>1380</v>
      </c>
      <c r="E1643" t="s">
        <v>1381</v>
      </c>
      <c r="F1643" t="s">
        <v>97</v>
      </c>
      <c r="G1643" t="s">
        <v>4715</v>
      </c>
      <c r="H1643" t="s">
        <v>5689</v>
      </c>
      <c r="I1643" t="s">
        <v>5304</v>
      </c>
      <c r="J1643" t="s">
        <v>5690</v>
      </c>
      <c r="K1643" t="s">
        <v>5691</v>
      </c>
      <c r="L1643" t="s">
        <v>4717</v>
      </c>
    </row>
    <row r="1644">
      <c r="A1644" t="s">
        <v>2608</v>
      </c>
      <c r="B1644" t="s">
        <v>1383</v>
      </c>
      <c r="C1644" t="s">
        <v>958</v>
      </c>
      <c r="D1644" t="s">
        <v>1380</v>
      </c>
      <c r="E1644" t="s">
        <v>1381</v>
      </c>
      <c r="F1644" t="s">
        <v>97</v>
      </c>
      <c r="G1644" t="s">
        <v>4715</v>
      </c>
      <c r="H1644" t="s">
        <v>5692</v>
      </c>
      <c r="I1644" t="s">
        <v>5693</v>
      </c>
      <c r="J1644" t="s">
        <v>5694</v>
      </c>
      <c r="K1644" t="s">
        <v>5695</v>
      </c>
      <c r="L1644" t="s">
        <v>4717</v>
      </c>
    </row>
    <row r="1645">
      <c r="A1645" t="s">
        <v>2608</v>
      </c>
      <c r="B1645" t="s">
        <v>1383</v>
      </c>
      <c r="C1645" t="s">
        <v>958</v>
      </c>
      <c r="D1645" t="s">
        <v>1380</v>
      </c>
      <c r="E1645" t="s">
        <v>1381</v>
      </c>
      <c r="F1645" t="s">
        <v>97</v>
      </c>
      <c r="G1645" t="s">
        <v>4715</v>
      </c>
      <c r="H1645" t="s">
        <v>5696</v>
      </c>
      <c r="I1645" t="s">
        <v>5324</v>
      </c>
      <c r="J1645" t="s">
        <v>5697</v>
      </c>
      <c r="K1645" t="s">
        <v>5698</v>
      </c>
      <c r="L1645" t="s">
        <v>4717</v>
      </c>
    </row>
    <row r="1646">
      <c r="A1646" t="s">
        <v>2608</v>
      </c>
      <c r="B1646" t="s">
        <v>1383</v>
      </c>
      <c r="C1646" t="s">
        <v>958</v>
      </c>
      <c r="D1646" t="s">
        <v>1380</v>
      </c>
      <c r="E1646" t="s">
        <v>1381</v>
      </c>
      <c r="F1646" t="s">
        <v>97</v>
      </c>
      <c r="G1646" t="s">
        <v>4715</v>
      </c>
      <c r="H1646" t="s">
        <v>5699</v>
      </c>
      <c r="I1646" t="s">
        <v>5700</v>
      </c>
      <c r="J1646" t="s">
        <v>5701</v>
      </c>
      <c r="K1646" t="s">
        <v>5702</v>
      </c>
      <c r="L1646" t="s">
        <v>4717</v>
      </c>
    </row>
    <row r="1647">
      <c r="A1647" t="s">
        <v>2608</v>
      </c>
      <c r="B1647" t="s">
        <v>1383</v>
      </c>
      <c r="C1647" t="s">
        <v>958</v>
      </c>
      <c r="D1647" t="s">
        <v>1380</v>
      </c>
      <c r="E1647" t="s">
        <v>1381</v>
      </c>
      <c r="F1647" t="s">
        <v>97</v>
      </c>
      <c r="G1647" t="s">
        <v>4715</v>
      </c>
      <c r="H1647" t="s">
        <v>5522</v>
      </c>
      <c r="I1647" t="s">
        <v>5656</v>
      </c>
      <c r="J1647" t="s">
        <v>5657</v>
      </c>
      <c r="K1647" t="s">
        <v>5658</v>
      </c>
      <c r="L1647" t="s">
        <v>4717</v>
      </c>
    </row>
    <row r="1648">
      <c r="A1648" t="s">
        <v>2611</v>
      </c>
      <c r="B1648" t="s">
        <v>1390</v>
      </c>
      <c r="C1648" t="s">
        <v>958</v>
      </c>
      <c r="D1648" t="s">
        <v>1380</v>
      </c>
      <c r="E1648" t="s">
        <v>1381</v>
      </c>
      <c r="F1648" t="s">
        <v>97</v>
      </c>
      <c r="G1648" t="s">
        <v>4715</v>
      </c>
      <c r="H1648" t="s">
        <v>5041</v>
      </c>
      <c r="I1648" t="s">
        <v>5614</v>
      </c>
      <c r="J1648" t="s">
        <v>5615</v>
      </c>
      <c r="K1648" t="s">
        <v>4169</v>
      </c>
      <c r="L1648" t="s">
        <v>4717</v>
      </c>
    </row>
    <row r="1649">
      <c r="A1649" t="s">
        <v>2611</v>
      </c>
      <c r="B1649" t="s">
        <v>1390</v>
      </c>
      <c r="C1649" t="s">
        <v>958</v>
      </c>
      <c r="D1649" t="s">
        <v>1380</v>
      </c>
      <c r="E1649" t="s">
        <v>1381</v>
      </c>
      <c r="F1649" t="s">
        <v>97</v>
      </c>
      <c r="G1649" t="s">
        <v>4715</v>
      </c>
      <c r="H1649" t="s">
        <v>5616</v>
      </c>
      <c r="I1649" t="s">
        <v>5617</v>
      </c>
      <c r="J1649" t="s">
        <v>5618</v>
      </c>
      <c r="K1649" t="s">
        <v>5619</v>
      </c>
      <c r="L1649" t="s">
        <v>4717</v>
      </c>
    </row>
    <row r="1650">
      <c r="A1650" t="s">
        <v>2611</v>
      </c>
      <c r="B1650" t="s">
        <v>1390</v>
      </c>
      <c r="C1650" t="s">
        <v>958</v>
      </c>
      <c r="D1650" t="s">
        <v>1380</v>
      </c>
      <c r="E1650" t="s">
        <v>1381</v>
      </c>
      <c r="F1650" t="s">
        <v>97</v>
      </c>
      <c r="G1650" t="s">
        <v>4715</v>
      </c>
      <c r="H1650" t="s">
        <v>5499</v>
      </c>
      <c r="I1650" t="s">
        <v>5620</v>
      </c>
      <c r="J1650" t="s">
        <v>5621</v>
      </c>
      <c r="K1650" t="s">
        <v>5622</v>
      </c>
      <c r="L1650" t="s">
        <v>4717</v>
      </c>
    </row>
    <row r="1651">
      <c r="A1651" t="s">
        <v>2611</v>
      </c>
      <c r="B1651" t="s">
        <v>1390</v>
      </c>
      <c r="C1651" t="s">
        <v>958</v>
      </c>
      <c r="D1651" t="s">
        <v>1380</v>
      </c>
      <c r="E1651" t="s">
        <v>1381</v>
      </c>
      <c r="F1651" t="s">
        <v>97</v>
      </c>
      <c r="G1651" t="s">
        <v>4715</v>
      </c>
      <c r="H1651" t="s">
        <v>5623</v>
      </c>
      <c r="I1651" t="s">
        <v>5624</v>
      </c>
      <c r="J1651" t="s">
        <v>5625</v>
      </c>
      <c r="K1651" t="s">
        <v>5626</v>
      </c>
      <c r="L1651" t="s">
        <v>4717</v>
      </c>
    </row>
    <row r="1652">
      <c r="A1652" t="s">
        <v>2611</v>
      </c>
      <c r="B1652" t="s">
        <v>1390</v>
      </c>
      <c r="C1652" t="s">
        <v>958</v>
      </c>
      <c r="D1652" t="s">
        <v>1380</v>
      </c>
      <c r="E1652" t="s">
        <v>1381</v>
      </c>
      <c r="F1652" t="s">
        <v>97</v>
      </c>
      <c r="G1652" t="s">
        <v>4715</v>
      </c>
      <c r="H1652" t="s">
        <v>3904</v>
      </c>
      <c r="I1652" t="s">
        <v>5627</v>
      </c>
      <c r="J1652" t="s">
        <v>5628</v>
      </c>
      <c r="K1652" t="s">
        <v>5629</v>
      </c>
      <c r="L1652" t="s">
        <v>4717</v>
      </c>
    </row>
    <row r="1653">
      <c r="A1653" t="s">
        <v>2611</v>
      </c>
      <c r="B1653" t="s">
        <v>1390</v>
      </c>
      <c r="C1653" t="s">
        <v>958</v>
      </c>
      <c r="D1653" t="s">
        <v>1380</v>
      </c>
      <c r="E1653" t="s">
        <v>1381</v>
      </c>
      <c r="F1653" t="s">
        <v>97</v>
      </c>
      <c r="G1653" t="s">
        <v>4715</v>
      </c>
      <c r="H1653" t="s">
        <v>5630</v>
      </c>
      <c r="I1653" t="s">
        <v>5474</v>
      </c>
      <c r="J1653" t="s">
        <v>5631</v>
      </c>
      <c r="K1653" t="s">
        <v>5632</v>
      </c>
      <c r="L1653" t="s">
        <v>4717</v>
      </c>
    </row>
    <row r="1654">
      <c r="A1654" t="s">
        <v>2611</v>
      </c>
      <c r="B1654" t="s">
        <v>1390</v>
      </c>
      <c r="C1654" t="s">
        <v>958</v>
      </c>
      <c r="D1654" t="s">
        <v>1380</v>
      </c>
      <c r="E1654" t="s">
        <v>1381</v>
      </c>
      <c r="F1654" t="s">
        <v>97</v>
      </c>
      <c r="G1654" t="s">
        <v>4715</v>
      </c>
      <c r="H1654" t="s">
        <v>5170</v>
      </c>
      <c r="I1654" t="s">
        <v>5171</v>
      </c>
      <c r="J1654" t="s">
        <v>5633</v>
      </c>
      <c r="K1654" t="s">
        <v>5634</v>
      </c>
      <c r="L1654" t="s">
        <v>4717</v>
      </c>
    </row>
    <row r="1655">
      <c r="A1655" t="s">
        <v>2611</v>
      </c>
      <c r="B1655" t="s">
        <v>1390</v>
      </c>
      <c r="C1655" t="s">
        <v>958</v>
      </c>
      <c r="D1655" t="s">
        <v>1380</v>
      </c>
      <c r="E1655" t="s">
        <v>1381</v>
      </c>
      <c r="F1655" t="s">
        <v>97</v>
      </c>
      <c r="G1655" t="s">
        <v>4715</v>
      </c>
      <c r="H1655" t="s">
        <v>5157</v>
      </c>
      <c r="I1655" t="s">
        <v>5635</v>
      </c>
      <c r="J1655" t="s">
        <v>5636</v>
      </c>
      <c r="K1655" t="s">
        <v>5637</v>
      </c>
      <c r="L1655" t="s">
        <v>4717</v>
      </c>
    </row>
    <row r="1656">
      <c r="A1656" t="s">
        <v>2611</v>
      </c>
      <c r="B1656" t="s">
        <v>1390</v>
      </c>
      <c r="C1656" t="s">
        <v>958</v>
      </c>
      <c r="D1656" t="s">
        <v>1380</v>
      </c>
      <c r="E1656" t="s">
        <v>1381</v>
      </c>
      <c r="F1656" t="s">
        <v>97</v>
      </c>
      <c r="G1656" t="s">
        <v>4715</v>
      </c>
      <c r="H1656" t="s">
        <v>5689</v>
      </c>
      <c r="I1656" t="s">
        <v>5304</v>
      </c>
      <c r="J1656" t="s">
        <v>5690</v>
      </c>
      <c r="K1656" t="s">
        <v>5691</v>
      </c>
      <c r="L1656" t="s">
        <v>4717</v>
      </c>
    </row>
    <row r="1657">
      <c r="A1657" t="s">
        <v>2611</v>
      </c>
      <c r="B1657" t="s">
        <v>1390</v>
      </c>
      <c r="C1657" t="s">
        <v>958</v>
      </c>
      <c r="D1657" t="s">
        <v>1380</v>
      </c>
      <c r="E1657" t="s">
        <v>1381</v>
      </c>
      <c r="F1657" t="s">
        <v>97</v>
      </c>
      <c r="G1657" t="s">
        <v>4715</v>
      </c>
      <c r="H1657" t="s">
        <v>5692</v>
      </c>
      <c r="I1657" t="s">
        <v>5693</v>
      </c>
      <c r="J1657" t="s">
        <v>5694</v>
      </c>
      <c r="K1657" t="s">
        <v>5695</v>
      </c>
      <c r="L1657" t="s">
        <v>4717</v>
      </c>
    </row>
    <row r="1658">
      <c r="A1658" t="s">
        <v>2611</v>
      </c>
      <c r="B1658" t="s">
        <v>1390</v>
      </c>
      <c r="C1658" t="s">
        <v>958</v>
      </c>
      <c r="D1658" t="s">
        <v>1380</v>
      </c>
      <c r="E1658" t="s">
        <v>1381</v>
      </c>
      <c r="F1658" t="s">
        <v>97</v>
      </c>
      <c r="G1658" t="s">
        <v>4715</v>
      </c>
      <c r="H1658" t="s">
        <v>5696</v>
      </c>
      <c r="I1658" t="s">
        <v>5324</v>
      </c>
      <c r="J1658" t="s">
        <v>5697</v>
      </c>
      <c r="K1658" t="s">
        <v>5698</v>
      </c>
      <c r="L1658" t="s">
        <v>4717</v>
      </c>
    </row>
    <row r="1659">
      <c r="A1659" t="s">
        <v>2611</v>
      </c>
      <c r="B1659" t="s">
        <v>1390</v>
      </c>
      <c r="C1659" t="s">
        <v>958</v>
      </c>
      <c r="D1659" t="s">
        <v>1380</v>
      </c>
      <c r="E1659" t="s">
        <v>1381</v>
      </c>
      <c r="F1659" t="s">
        <v>97</v>
      </c>
      <c r="G1659" t="s">
        <v>4715</v>
      </c>
      <c r="H1659" t="s">
        <v>5699</v>
      </c>
      <c r="I1659" t="s">
        <v>5700</v>
      </c>
      <c r="J1659" t="s">
        <v>5701</v>
      </c>
      <c r="K1659" t="s">
        <v>5702</v>
      </c>
      <c r="L1659" t="s">
        <v>4717</v>
      </c>
    </row>
    <row r="1660">
      <c r="A1660" t="s">
        <v>2611</v>
      </c>
      <c r="B1660" t="s">
        <v>1390</v>
      </c>
      <c r="C1660" t="s">
        <v>958</v>
      </c>
      <c r="D1660" t="s">
        <v>1380</v>
      </c>
      <c r="E1660" t="s">
        <v>1381</v>
      </c>
      <c r="F1660" t="s">
        <v>97</v>
      </c>
      <c r="G1660" t="s">
        <v>4715</v>
      </c>
      <c r="H1660" t="s">
        <v>5522</v>
      </c>
      <c r="I1660" t="s">
        <v>5656</v>
      </c>
      <c r="J1660" t="s">
        <v>5657</v>
      </c>
      <c r="K1660" t="s">
        <v>5658</v>
      </c>
      <c r="L1660" t="s">
        <v>4717</v>
      </c>
    </row>
    <row r="1661">
      <c r="A1661" t="s">
        <v>2614</v>
      </c>
      <c r="B1661" t="s">
        <v>1396</v>
      </c>
      <c r="C1661" t="s">
        <v>958</v>
      </c>
      <c r="D1661" t="s">
        <v>1380</v>
      </c>
      <c r="E1661" t="s">
        <v>1381</v>
      </c>
      <c r="F1661" t="s">
        <v>154</v>
      </c>
      <c r="G1661" t="s">
        <v>4715</v>
      </c>
      <c r="H1661" t="s">
        <v>5041</v>
      </c>
      <c r="I1661" t="s">
        <v>5614</v>
      </c>
      <c r="J1661" t="s">
        <v>5615</v>
      </c>
      <c r="K1661" t="s">
        <v>4169</v>
      </c>
      <c r="L1661" t="s">
        <v>4717</v>
      </c>
    </row>
    <row r="1662">
      <c r="A1662" t="s">
        <v>2614</v>
      </c>
      <c r="B1662" t="s">
        <v>1396</v>
      </c>
      <c r="C1662" t="s">
        <v>958</v>
      </c>
      <c r="D1662" t="s">
        <v>1380</v>
      </c>
      <c r="E1662" t="s">
        <v>1381</v>
      </c>
      <c r="F1662" t="s">
        <v>154</v>
      </c>
      <c r="G1662" t="s">
        <v>4715</v>
      </c>
      <c r="H1662" t="s">
        <v>5616</v>
      </c>
      <c r="I1662" t="s">
        <v>5617</v>
      </c>
      <c r="J1662" t="s">
        <v>5618</v>
      </c>
      <c r="K1662" t="s">
        <v>5619</v>
      </c>
      <c r="L1662" t="s">
        <v>4717</v>
      </c>
    </row>
    <row r="1663">
      <c r="A1663" t="s">
        <v>2614</v>
      </c>
      <c r="B1663" t="s">
        <v>1396</v>
      </c>
      <c r="C1663" t="s">
        <v>958</v>
      </c>
      <c r="D1663" t="s">
        <v>1380</v>
      </c>
      <c r="E1663" t="s">
        <v>1381</v>
      </c>
      <c r="F1663" t="s">
        <v>154</v>
      </c>
      <c r="G1663" t="s">
        <v>4715</v>
      </c>
      <c r="H1663" t="s">
        <v>5499</v>
      </c>
      <c r="I1663" t="s">
        <v>5620</v>
      </c>
      <c r="J1663" t="s">
        <v>5621</v>
      </c>
      <c r="K1663" t="s">
        <v>5622</v>
      </c>
      <c r="L1663" t="s">
        <v>4717</v>
      </c>
    </row>
    <row r="1664">
      <c r="A1664" t="s">
        <v>2614</v>
      </c>
      <c r="B1664" t="s">
        <v>1396</v>
      </c>
      <c r="C1664" t="s">
        <v>958</v>
      </c>
      <c r="D1664" t="s">
        <v>1380</v>
      </c>
      <c r="E1664" t="s">
        <v>1381</v>
      </c>
      <c r="F1664" t="s">
        <v>154</v>
      </c>
      <c r="G1664" t="s">
        <v>4715</v>
      </c>
      <c r="H1664" t="s">
        <v>5623</v>
      </c>
      <c r="I1664" t="s">
        <v>5624</v>
      </c>
      <c r="J1664" t="s">
        <v>5625</v>
      </c>
      <c r="K1664" t="s">
        <v>5626</v>
      </c>
      <c r="L1664" t="s">
        <v>4717</v>
      </c>
    </row>
    <row r="1665">
      <c r="A1665" t="s">
        <v>2614</v>
      </c>
      <c r="B1665" t="s">
        <v>1396</v>
      </c>
      <c r="C1665" t="s">
        <v>958</v>
      </c>
      <c r="D1665" t="s">
        <v>1380</v>
      </c>
      <c r="E1665" t="s">
        <v>1381</v>
      </c>
      <c r="F1665" t="s">
        <v>154</v>
      </c>
      <c r="G1665" t="s">
        <v>4715</v>
      </c>
      <c r="H1665" t="s">
        <v>3904</v>
      </c>
      <c r="I1665" t="s">
        <v>5627</v>
      </c>
      <c r="J1665" t="s">
        <v>5628</v>
      </c>
      <c r="K1665" t="s">
        <v>5629</v>
      </c>
      <c r="L1665" t="s">
        <v>4717</v>
      </c>
    </row>
    <row r="1666">
      <c r="A1666" t="s">
        <v>2614</v>
      </c>
      <c r="B1666" t="s">
        <v>1396</v>
      </c>
      <c r="C1666" t="s">
        <v>958</v>
      </c>
      <c r="D1666" t="s">
        <v>1380</v>
      </c>
      <c r="E1666" t="s">
        <v>1381</v>
      </c>
      <c r="F1666" t="s">
        <v>154</v>
      </c>
      <c r="G1666" t="s">
        <v>4715</v>
      </c>
      <c r="H1666" t="s">
        <v>5630</v>
      </c>
      <c r="I1666" t="s">
        <v>5474</v>
      </c>
      <c r="J1666" t="s">
        <v>5631</v>
      </c>
      <c r="K1666" t="s">
        <v>5632</v>
      </c>
      <c r="L1666" t="s">
        <v>4717</v>
      </c>
    </row>
    <row r="1667">
      <c r="A1667" t="s">
        <v>2614</v>
      </c>
      <c r="B1667" t="s">
        <v>1396</v>
      </c>
      <c r="C1667" t="s">
        <v>958</v>
      </c>
      <c r="D1667" t="s">
        <v>1380</v>
      </c>
      <c r="E1667" t="s">
        <v>1381</v>
      </c>
      <c r="F1667" t="s">
        <v>154</v>
      </c>
      <c r="G1667" t="s">
        <v>4715</v>
      </c>
      <c r="H1667" t="s">
        <v>5170</v>
      </c>
      <c r="I1667" t="s">
        <v>5171</v>
      </c>
      <c r="J1667" t="s">
        <v>5633</v>
      </c>
      <c r="K1667" t="s">
        <v>5634</v>
      </c>
      <c r="L1667" t="s">
        <v>4717</v>
      </c>
    </row>
    <row r="1668">
      <c r="A1668" t="s">
        <v>2614</v>
      </c>
      <c r="B1668" t="s">
        <v>1396</v>
      </c>
      <c r="C1668" t="s">
        <v>958</v>
      </c>
      <c r="D1668" t="s">
        <v>1380</v>
      </c>
      <c r="E1668" t="s">
        <v>1381</v>
      </c>
      <c r="F1668" t="s">
        <v>154</v>
      </c>
      <c r="G1668" t="s">
        <v>4715</v>
      </c>
      <c r="H1668" t="s">
        <v>5157</v>
      </c>
      <c r="I1668" t="s">
        <v>5635</v>
      </c>
      <c r="J1668" t="s">
        <v>5636</v>
      </c>
      <c r="K1668" t="s">
        <v>5637</v>
      </c>
      <c r="L1668" t="s">
        <v>4717</v>
      </c>
    </row>
    <row r="1669">
      <c r="A1669" t="s">
        <v>2614</v>
      </c>
      <c r="B1669" t="s">
        <v>1396</v>
      </c>
      <c r="C1669" t="s">
        <v>958</v>
      </c>
      <c r="D1669" t="s">
        <v>1380</v>
      </c>
      <c r="E1669" t="s">
        <v>1381</v>
      </c>
      <c r="F1669" t="s">
        <v>154</v>
      </c>
      <c r="G1669" t="s">
        <v>4715</v>
      </c>
      <c r="H1669" t="s">
        <v>5689</v>
      </c>
      <c r="I1669" t="s">
        <v>5304</v>
      </c>
      <c r="J1669" t="s">
        <v>5690</v>
      </c>
      <c r="K1669" t="s">
        <v>5691</v>
      </c>
      <c r="L1669" t="s">
        <v>4717</v>
      </c>
    </row>
    <row r="1670">
      <c r="A1670" t="s">
        <v>2614</v>
      </c>
      <c r="B1670" t="s">
        <v>1396</v>
      </c>
      <c r="C1670" t="s">
        <v>958</v>
      </c>
      <c r="D1670" t="s">
        <v>1380</v>
      </c>
      <c r="E1670" t="s">
        <v>1381</v>
      </c>
      <c r="F1670" t="s">
        <v>154</v>
      </c>
      <c r="G1670" t="s">
        <v>4715</v>
      </c>
      <c r="H1670" t="s">
        <v>5692</v>
      </c>
      <c r="I1670" t="s">
        <v>5693</v>
      </c>
      <c r="J1670" t="s">
        <v>5694</v>
      </c>
      <c r="K1670" t="s">
        <v>5695</v>
      </c>
      <c r="L1670" t="s">
        <v>4717</v>
      </c>
    </row>
    <row r="1671">
      <c r="A1671" t="s">
        <v>2614</v>
      </c>
      <c r="B1671" t="s">
        <v>1396</v>
      </c>
      <c r="C1671" t="s">
        <v>958</v>
      </c>
      <c r="D1671" t="s">
        <v>1380</v>
      </c>
      <c r="E1671" t="s">
        <v>1381</v>
      </c>
      <c r="F1671" t="s">
        <v>154</v>
      </c>
      <c r="G1671" t="s">
        <v>4715</v>
      </c>
      <c r="H1671" t="s">
        <v>5696</v>
      </c>
      <c r="I1671" t="s">
        <v>5324</v>
      </c>
      <c r="J1671" t="s">
        <v>5697</v>
      </c>
      <c r="K1671" t="s">
        <v>5698</v>
      </c>
      <c r="L1671" t="s">
        <v>4717</v>
      </c>
    </row>
    <row r="1672">
      <c r="A1672" t="s">
        <v>2614</v>
      </c>
      <c r="B1672" t="s">
        <v>1396</v>
      </c>
      <c r="C1672" t="s">
        <v>958</v>
      </c>
      <c r="D1672" t="s">
        <v>1380</v>
      </c>
      <c r="E1672" t="s">
        <v>1381</v>
      </c>
      <c r="F1672" t="s">
        <v>154</v>
      </c>
      <c r="G1672" t="s">
        <v>4715</v>
      </c>
      <c r="H1672" t="s">
        <v>5699</v>
      </c>
      <c r="I1672" t="s">
        <v>5700</v>
      </c>
      <c r="J1672" t="s">
        <v>5701</v>
      </c>
      <c r="K1672" t="s">
        <v>5702</v>
      </c>
      <c r="L1672" t="s">
        <v>4717</v>
      </c>
    </row>
    <row r="1673">
      <c r="A1673" t="s">
        <v>2614</v>
      </c>
      <c r="B1673" t="s">
        <v>1396</v>
      </c>
      <c r="C1673" t="s">
        <v>958</v>
      </c>
      <c r="D1673" t="s">
        <v>1380</v>
      </c>
      <c r="E1673" t="s">
        <v>1381</v>
      </c>
      <c r="F1673" t="s">
        <v>154</v>
      </c>
      <c r="G1673" t="s">
        <v>4715</v>
      </c>
      <c r="H1673" t="s">
        <v>5522</v>
      </c>
      <c r="I1673" t="s">
        <v>5656</v>
      </c>
      <c r="J1673" t="s">
        <v>5657</v>
      </c>
      <c r="K1673" t="s">
        <v>5658</v>
      </c>
      <c r="L1673" t="s">
        <v>4717</v>
      </c>
    </row>
    <row r="1674">
      <c r="A1674" t="s">
        <v>2617</v>
      </c>
      <c r="B1674" t="s">
        <v>1402</v>
      </c>
      <c r="C1674" t="s">
        <v>958</v>
      </c>
      <c r="D1674" t="s">
        <v>1380</v>
      </c>
      <c r="E1674" t="s">
        <v>1381</v>
      </c>
      <c r="F1674" t="s">
        <v>120</v>
      </c>
      <c r="G1674" t="s">
        <v>4715</v>
      </c>
      <c r="H1674" t="s">
        <v>5041</v>
      </c>
      <c r="I1674" t="s">
        <v>5614</v>
      </c>
      <c r="J1674" t="s">
        <v>5615</v>
      </c>
      <c r="K1674" t="s">
        <v>4169</v>
      </c>
      <c r="L1674" t="s">
        <v>4717</v>
      </c>
    </row>
    <row r="1675">
      <c r="A1675" t="s">
        <v>2617</v>
      </c>
      <c r="B1675" t="s">
        <v>1402</v>
      </c>
      <c r="C1675" t="s">
        <v>958</v>
      </c>
      <c r="D1675" t="s">
        <v>1380</v>
      </c>
      <c r="E1675" t="s">
        <v>1381</v>
      </c>
      <c r="F1675" t="s">
        <v>120</v>
      </c>
      <c r="G1675" t="s">
        <v>4715</v>
      </c>
      <c r="H1675" t="s">
        <v>5616</v>
      </c>
      <c r="I1675" t="s">
        <v>5617</v>
      </c>
      <c r="J1675" t="s">
        <v>5618</v>
      </c>
      <c r="K1675" t="s">
        <v>5619</v>
      </c>
      <c r="L1675" t="s">
        <v>4717</v>
      </c>
    </row>
    <row r="1676">
      <c r="A1676" t="s">
        <v>2617</v>
      </c>
      <c r="B1676" t="s">
        <v>1402</v>
      </c>
      <c r="C1676" t="s">
        <v>958</v>
      </c>
      <c r="D1676" t="s">
        <v>1380</v>
      </c>
      <c r="E1676" t="s">
        <v>1381</v>
      </c>
      <c r="F1676" t="s">
        <v>120</v>
      </c>
      <c r="G1676" t="s">
        <v>4715</v>
      </c>
      <c r="H1676" t="s">
        <v>5499</v>
      </c>
      <c r="I1676" t="s">
        <v>5620</v>
      </c>
      <c r="J1676" t="s">
        <v>5621</v>
      </c>
      <c r="K1676" t="s">
        <v>5622</v>
      </c>
      <c r="L1676" t="s">
        <v>4717</v>
      </c>
    </row>
    <row r="1677">
      <c r="A1677" t="s">
        <v>2617</v>
      </c>
      <c r="B1677" t="s">
        <v>1402</v>
      </c>
      <c r="C1677" t="s">
        <v>958</v>
      </c>
      <c r="D1677" t="s">
        <v>1380</v>
      </c>
      <c r="E1677" t="s">
        <v>1381</v>
      </c>
      <c r="F1677" t="s">
        <v>120</v>
      </c>
      <c r="G1677" t="s">
        <v>4715</v>
      </c>
      <c r="H1677" t="s">
        <v>5623</v>
      </c>
      <c r="I1677" t="s">
        <v>5624</v>
      </c>
      <c r="J1677" t="s">
        <v>5625</v>
      </c>
      <c r="K1677" t="s">
        <v>5626</v>
      </c>
      <c r="L1677" t="s">
        <v>4717</v>
      </c>
    </row>
    <row r="1678">
      <c r="A1678" t="s">
        <v>2617</v>
      </c>
      <c r="B1678" t="s">
        <v>1402</v>
      </c>
      <c r="C1678" t="s">
        <v>958</v>
      </c>
      <c r="D1678" t="s">
        <v>1380</v>
      </c>
      <c r="E1678" t="s">
        <v>1381</v>
      </c>
      <c r="F1678" t="s">
        <v>120</v>
      </c>
      <c r="G1678" t="s">
        <v>4715</v>
      </c>
      <c r="H1678" t="s">
        <v>3904</v>
      </c>
      <c r="I1678" t="s">
        <v>5627</v>
      </c>
      <c r="J1678" t="s">
        <v>5628</v>
      </c>
      <c r="K1678" t="s">
        <v>5629</v>
      </c>
      <c r="L1678" t="s">
        <v>4717</v>
      </c>
    </row>
    <row r="1679">
      <c r="A1679" t="s">
        <v>2617</v>
      </c>
      <c r="B1679" t="s">
        <v>1402</v>
      </c>
      <c r="C1679" t="s">
        <v>958</v>
      </c>
      <c r="D1679" t="s">
        <v>1380</v>
      </c>
      <c r="E1679" t="s">
        <v>1381</v>
      </c>
      <c r="F1679" t="s">
        <v>120</v>
      </c>
      <c r="G1679" t="s">
        <v>4715</v>
      </c>
      <c r="H1679" t="s">
        <v>5630</v>
      </c>
      <c r="I1679" t="s">
        <v>5474</v>
      </c>
      <c r="J1679" t="s">
        <v>5631</v>
      </c>
      <c r="K1679" t="s">
        <v>5632</v>
      </c>
      <c r="L1679" t="s">
        <v>4717</v>
      </c>
    </row>
    <row r="1680">
      <c r="A1680" t="s">
        <v>2617</v>
      </c>
      <c r="B1680" t="s">
        <v>1402</v>
      </c>
      <c r="C1680" t="s">
        <v>958</v>
      </c>
      <c r="D1680" t="s">
        <v>1380</v>
      </c>
      <c r="E1680" t="s">
        <v>1381</v>
      </c>
      <c r="F1680" t="s">
        <v>120</v>
      </c>
      <c r="G1680" t="s">
        <v>4715</v>
      </c>
      <c r="H1680" t="s">
        <v>5170</v>
      </c>
      <c r="I1680" t="s">
        <v>5171</v>
      </c>
      <c r="J1680" t="s">
        <v>5633</v>
      </c>
      <c r="K1680" t="s">
        <v>5634</v>
      </c>
      <c r="L1680" t="s">
        <v>4717</v>
      </c>
    </row>
    <row r="1681">
      <c r="A1681" t="s">
        <v>2617</v>
      </c>
      <c r="B1681" t="s">
        <v>1402</v>
      </c>
      <c r="C1681" t="s">
        <v>958</v>
      </c>
      <c r="D1681" t="s">
        <v>1380</v>
      </c>
      <c r="E1681" t="s">
        <v>1381</v>
      </c>
      <c r="F1681" t="s">
        <v>120</v>
      </c>
      <c r="G1681" t="s">
        <v>4715</v>
      </c>
      <c r="H1681" t="s">
        <v>5157</v>
      </c>
      <c r="I1681" t="s">
        <v>5635</v>
      </c>
      <c r="J1681" t="s">
        <v>5636</v>
      </c>
      <c r="K1681" t="s">
        <v>5637</v>
      </c>
      <c r="L1681" t="s">
        <v>4717</v>
      </c>
    </row>
    <row r="1682">
      <c r="A1682" t="s">
        <v>2617</v>
      </c>
      <c r="B1682" t="s">
        <v>1402</v>
      </c>
      <c r="C1682" t="s">
        <v>958</v>
      </c>
      <c r="D1682" t="s">
        <v>1380</v>
      </c>
      <c r="E1682" t="s">
        <v>1381</v>
      </c>
      <c r="F1682" t="s">
        <v>120</v>
      </c>
      <c r="G1682" t="s">
        <v>4715</v>
      </c>
      <c r="H1682" t="s">
        <v>5689</v>
      </c>
      <c r="I1682" t="s">
        <v>5304</v>
      </c>
      <c r="J1682" t="s">
        <v>5690</v>
      </c>
      <c r="K1682" t="s">
        <v>5691</v>
      </c>
      <c r="L1682" t="s">
        <v>4717</v>
      </c>
    </row>
    <row r="1683">
      <c r="A1683" t="s">
        <v>2617</v>
      </c>
      <c r="B1683" t="s">
        <v>1402</v>
      </c>
      <c r="C1683" t="s">
        <v>958</v>
      </c>
      <c r="D1683" t="s">
        <v>1380</v>
      </c>
      <c r="E1683" t="s">
        <v>1381</v>
      </c>
      <c r="F1683" t="s">
        <v>120</v>
      </c>
      <c r="G1683" t="s">
        <v>4715</v>
      </c>
      <c r="H1683" t="s">
        <v>5692</v>
      </c>
      <c r="I1683" t="s">
        <v>5693</v>
      </c>
      <c r="J1683" t="s">
        <v>5694</v>
      </c>
      <c r="K1683" t="s">
        <v>5695</v>
      </c>
      <c r="L1683" t="s">
        <v>4717</v>
      </c>
    </row>
    <row r="1684">
      <c r="A1684" t="s">
        <v>2617</v>
      </c>
      <c r="B1684" t="s">
        <v>1402</v>
      </c>
      <c r="C1684" t="s">
        <v>958</v>
      </c>
      <c r="D1684" t="s">
        <v>1380</v>
      </c>
      <c r="E1684" t="s">
        <v>1381</v>
      </c>
      <c r="F1684" t="s">
        <v>120</v>
      </c>
      <c r="G1684" t="s">
        <v>4715</v>
      </c>
      <c r="H1684" t="s">
        <v>5696</v>
      </c>
      <c r="I1684" t="s">
        <v>5324</v>
      </c>
      <c r="J1684" t="s">
        <v>5697</v>
      </c>
      <c r="K1684" t="s">
        <v>5698</v>
      </c>
      <c r="L1684" t="s">
        <v>4717</v>
      </c>
    </row>
    <row r="1685">
      <c r="A1685" t="s">
        <v>2617</v>
      </c>
      <c r="B1685" t="s">
        <v>1402</v>
      </c>
      <c r="C1685" t="s">
        <v>958</v>
      </c>
      <c r="D1685" t="s">
        <v>1380</v>
      </c>
      <c r="E1685" t="s">
        <v>1381</v>
      </c>
      <c r="F1685" t="s">
        <v>120</v>
      </c>
      <c r="G1685" t="s">
        <v>4715</v>
      </c>
      <c r="H1685" t="s">
        <v>5699</v>
      </c>
      <c r="I1685" t="s">
        <v>5700</v>
      </c>
      <c r="J1685" t="s">
        <v>5701</v>
      </c>
      <c r="K1685" t="s">
        <v>5702</v>
      </c>
      <c r="L1685" t="s">
        <v>4717</v>
      </c>
    </row>
    <row r="1686">
      <c r="A1686" t="s">
        <v>2617</v>
      </c>
      <c r="B1686" t="s">
        <v>1402</v>
      </c>
      <c r="C1686" t="s">
        <v>958</v>
      </c>
      <c r="D1686" t="s">
        <v>1380</v>
      </c>
      <c r="E1686" t="s">
        <v>1381</v>
      </c>
      <c r="F1686" t="s">
        <v>120</v>
      </c>
      <c r="G1686" t="s">
        <v>4715</v>
      </c>
      <c r="H1686" t="s">
        <v>5522</v>
      </c>
      <c r="I1686" t="s">
        <v>5656</v>
      </c>
      <c r="J1686" t="s">
        <v>5657</v>
      </c>
      <c r="K1686" t="s">
        <v>5658</v>
      </c>
      <c r="L1686" t="s">
        <v>4717</v>
      </c>
    </row>
    <row r="1687">
      <c r="A1687" t="s">
        <v>2620</v>
      </c>
      <c r="B1687" t="s">
        <v>1410</v>
      </c>
      <c r="C1687" t="s">
        <v>958</v>
      </c>
      <c r="D1687" t="s">
        <v>1380</v>
      </c>
      <c r="E1687" t="s">
        <v>1381</v>
      </c>
      <c r="F1687" t="s">
        <v>120</v>
      </c>
      <c r="G1687" t="s">
        <v>4715</v>
      </c>
      <c r="H1687" t="s">
        <v>5041</v>
      </c>
      <c r="I1687" t="s">
        <v>5614</v>
      </c>
      <c r="J1687" t="s">
        <v>5615</v>
      </c>
      <c r="K1687" t="s">
        <v>4169</v>
      </c>
      <c r="L1687" t="s">
        <v>4717</v>
      </c>
    </row>
    <row r="1688">
      <c r="A1688" t="s">
        <v>2620</v>
      </c>
      <c r="B1688" t="s">
        <v>1410</v>
      </c>
      <c r="C1688" t="s">
        <v>958</v>
      </c>
      <c r="D1688" t="s">
        <v>1380</v>
      </c>
      <c r="E1688" t="s">
        <v>1381</v>
      </c>
      <c r="F1688" t="s">
        <v>120</v>
      </c>
      <c r="G1688" t="s">
        <v>4715</v>
      </c>
      <c r="H1688" t="s">
        <v>5616</v>
      </c>
      <c r="I1688" t="s">
        <v>5617</v>
      </c>
      <c r="J1688" t="s">
        <v>5618</v>
      </c>
      <c r="K1688" t="s">
        <v>5619</v>
      </c>
      <c r="L1688" t="s">
        <v>4717</v>
      </c>
    </row>
    <row r="1689">
      <c r="A1689" t="s">
        <v>2620</v>
      </c>
      <c r="B1689" t="s">
        <v>1410</v>
      </c>
      <c r="C1689" t="s">
        <v>958</v>
      </c>
      <c r="D1689" t="s">
        <v>1380</v>
      </c>
      <c r="E1689" t="s">
        <v>1381</v>
      </c>
      <c r="F1689" t="s">
        <v>120</v>
      </c>
      <c r="G1689" t="s">
        <v>4715</v>
      </c>
      <c r="H1689" t="s">
        <v>5499</v>
      </c>
      <c r="I1689" t="s">
        <v>5620</v>
      </c>
      <c r="J1689" t="s">
        <v>5621</v>
      </c>
      <c r="K1689" t="s">
        <v>5622</v>
      </c>
      <c r="L1689" t="s">
        <v>4717</v>
      </c>
    </row>
    <row r="1690">
      <c r="A1690" t="s">
        <v>2620</v>
      </c>
      <c r="B1690" t="s">
        <v>1410</v>
      </c>
      <c r="C1690" t="s">
        <v>958</v>
      </c>
      <c r="D1690" t="s">
        <v>1380</v>
      </c>
      <c r="E1690" t="s">
        <v>1381</v>
      </c>
      <c r="F1690" t="s">
        <v>120</v>
      </c>
      <c r="G1690" t="s">
        <v>4715</v>
      </c>
      <c r="H1690" t="s">
        <v>5623</v>
      </c>
      <c r="I1690" t="s">
        <v>5624</v>
      </c>
      <c r="J1690" t="s">
        <v>5625</v>
      </c>
      <c r="K1690" t="s">
        <v>5626</v>
      </c>
      <c r="L1690" t="s">
        <v>4717</v>
      </c>
    </row>
    <row r="1691">
      <c r="A1691" t="s">
        <v>2620</v>
      </c>
      <c r="B1691" t="s">
        <v>1410</v>
      </c>
      <c r="C1691" t="s">
        <v>958</v>
      </c>
      <c r="D1691" t="s">
        <v>1380</v>
      </c>
      <c r="E1691" t="s">
        <v>1381</v>
      </c>
      <c r="F1691" t="s">
        <v>120</v>
      </c>
      <c r="G1691" t="s">
        <v>4715</v>
      </c>
      <c r="H1691" t="s">
        <v>3904</v>
      </c>
      <c r="I1691" t="s">
        <v>5627</v>
      </c>
      <c r="J1691" t="s">
        <v>5628</v>
      </c>
      <c r="K1691" t="s">
        <v>5629</v>
      </c>
      <c r="L1691" t="s">
        <v>4717</v>
      </c>
    </row>
    <row r="1692">
      <c r="A1692" t="s">
        <v>2620</v>
      </c>
      <c r="B1692" t="s">
        <v>1410</v>
      </c>
      <c r="C1692" t="s">
        <v>958</v>
      </c>
      <c r="D1692" t="s">
        <v>1380</v>
      </c>
      <c r="E1692" t="s">
        <v>1381</v>
      </c>
      <c r="F1692" t="s">
        <v>120</v>
      </c>
      <c r="G1692" t="s">
        <v>4715</v>
      </c>
      <c r="H1692" t="s">
        <v>5630</v>
      </c>
      <c r="I1692" t="s">
        <v>5474</v>
      </c>
      <c r="J1692" t="s">
        <v>5631</v>
      </c>
      <c r="K1692" t="s">
        <v>5632</v>
      </c>
      <c r="L1692" t="s">
        <v>4717</v>
      </c>
    </row>
    <row r="1693">
      <c r="A1693" t="s">
        <v>2620</v>
      </c>
      <c r="B1693" t="s">
        <v>1410</v>
      </c>
      <c r="C1693" t="s">
        <v>958</v>
      </c>
      <c r="D1693" t="s">
        <v>1380</v>
      </c>
      <c r="E1693" t="s">
        <v>1381</v>
      </c>
      <c r="F1693" t="s">
        <v>120</v>
      </c>
      <c r="G1693" t="s">
        <v>4715</v>
      </c>
      <c r="H1693" t="s">
        <v>5170</v>
      </c>
      <c r="I1693" t="s">
        <v>5171</v>
      </c>
      <c r="J1693" t="s">
        <v>5633</v>
      </c>
      <c r="K1693" t="s">
        <v>5634</v>
      </c>
      <c r="L1693" t="s">
        <v>4717</v>
      </c>
    </row>
    <row r="1694">
      <c r="A1694" t="s">
        <v>2620</v>
      </c>
      <c r="B1694" t="s">
        <v>1410</v>
      </c>
      <c r="C1694" t="s">
        <v>958</v>
      </c>
      <c r="D1694" t="s">
        <v>1380</v>
      </c>
      <c r="E1694" t="s">
        <v>1381</v>
      </c>
      <c r="F1694" t="s">
        <v>120</v>
      </c>
      <c r="G1694" t="s">
        <v>4715</v>
      </c>
      <c r="H1694" t="s">
        <v>5157</v>
      </c>
      <c r="I1694" t="s">
        <v>5635</v>
      </c>
      <c r="J1694" t="s">
        <v>5636</v>
      </c>
      <c r="K1694" t="s">
        <v>5637</v>
      </c>
      <c r="L1694" t="s">
        <v>4717</v>
      </c>
    </row>
    <row r="1695">
      <c r="A1695" t="s">
        <v>2620</v>
      </c>
      <c r="B1695" t="s">
        <v>1410</v>
      </c>
      <c r="C1695" t="s">
        <v>958</v>
      </c>
      <c r="D1695" t="s">
        <v>1380</v>
      </c>
      <c r="E1695" t="s">
        <v>1381</v>
      </c>
      <c r="F1695" t="s">
        <v>120</v>
      </c>
      <c r="G1695" t="s">
        <v>4715</v>
      </c>
      <c r="H1695" t="s">
        <v>5689</v>
      </c>
      <c r="I1695" t="s">
        <v>5304</v>
      </c>
      <c r="J1695" t="s">
        <v>5690</v>
      </c>
      <c r="K1695" t="s">
        <v>5691</v>
      </c>
      <c r="L1695" t="s">
        <v>4717</v>
      </c>
    </row>
    <row r="1696">
      <c r="A1696" t="s">
        <v>2620</v>
      </c>
      <c r="B1696" t="s">
        <v>1410</v>
      </c>
      <c r="C1696" t="s">
        <v>958</v>
      </c>
      <c r="D1696" t="s">
        <v>1380</v>
      </c>
      <c r="E1696" t="s">
        <v>1381</v>
      </c>
      <c r="F1696" t="s">
        <v>120</v>
      </c>
      <c r="G1696" t="s">
        <v>4715</v>
      </c>
      <c r="H1696" t="s">
        <v>5692</v>
      </c>
      <c r="I1696" t="s">
        <v>5693</v>
      </c>
      <c r="J1696" t="s">
        <v>5694</v>
      </c>
      <c r="K1696" t="s">
        <v>5695</v>
      </c>
      <c r="L1696" t="s">
        <v>4717</v>
      </c>
    </row>
    <row r="1697">
      <c r="A1697" t="s">
        <v>2620</v>
      </c>
      <c r="B1697" t="s">
        <v>1410</v>
      </c>
      <c r="C1697" t="s">
        <v>958</v>
      </c>
      <c r="D1697" t="s">
        <v>1380</v>
      </c>
      <c r="E1697" t="s">
        <v>1381</v>
      </c>
      <c r="F1697" t="s">
        <v>120</v>
      </c>
      <c r="G1697" t="s">
        <v>4715</v>
      </c>
      <c r="H1697" t="s">
        <v>5696</v>
      </c>
      <c r="I1697" t="s">
        <v>5324</v>
      </c>
      <c r="J1697" t="s">
        <v>5697</v>
      </c>
      <c r="K1697" t="s">
        <v>5698</v>
      </c>
      <c r="L1697" t="s">
        <v>4717</v>
      </c>
    </row>
    <row r="1698">
      <c r="A1698" t="s">
        <v>2620</v>
      </c>
      <c r="B1698" t="s">
        <v>1410</v>
      </c>
      <c r="C1698" t="s">
        <v>958</v>
      </c>
      <c r="D1698" t="s">
        <v>1380</v>
      </c>
      <c r="E1698" t="s">
        <v>1381</v>
      </c>
      <c r="F1698" t="s">
        <v>120</v>
      </c>
      <c r="G1698" t="s">
        <v>4715</v>
      </c>
      <c r="H1698" t="s">
        <v>5699</v>
      </c>
      <c r="I1698" t="s">
        <v>5700</v>
      </c>
      <c r="J1698" t="s">
        <v>5701</v>
      </c>
      <c r="K1698" t="s">
        <v>5702</v>
      </c>
      <c r="L1698" t="s">
        <v>4717</v>
      </c>
    </row>
    <row r="1699">
      <c r="A1699" t="s">
        <v>2620</v>
      </c>
      <c r="B1699" t="s">
        <v>1410</v>
      </c>
      <c r="C1699" t="s">
        <v>958</v>
      </c>
      <c r="D1699" t="s">
        <v>1380</v>
      </c>
      <c r="E1699" t="s">
        <v>1381</v>
      </c>
      <c r="F1699" t="s">
        <v>120</v>
      </c>
      <c r="G1699" t="s">
        <v>4715</v>
      </c>
      <c r="H1699" t="s">
        <v>5522</v>
      </c>
      <c r="I1699" t="s">
        <v>5656</v>
      </c>
      <c r="J1699" t="s">
        <v>5657</v>
      </c>
      <c r="K1699" t="s">
        <v>5658</v>
      </c>
      <c r="L1699" t="s">
        <v>4717</v>
      </c>
    </row>
    <row r="1700">
      <c r="A1700" t="s">
        <v>2623</v>
      </c>
      <c r="B1700" t="s">
        <v>1420</v>
      </c>
      <c r="C1700" t="s">
        <v>958</v>
      </c>
      <c r="D1700" t="s">
        <v>1380</v>
      </c>
      <c r="E1700" t="s">
        <v>1418</v>
      </c>
      <c r="F1700" t="s">
        <v>154</v>
      </c>
      <c r="G1700" t="s">
        <v>4715</v>
      </c>
      <c r="H1700" t="s">
        <v>5041</v>
      </c>
      <c r="I1700" t="s">
        <v>5614</v>
      </c>
      <c r="J1700" t="s">
        <v>5615</v>
      </c>
      <c r="K1700" t="s">
        <v>4169</v>
      </c>
      <c r="L1700" t="s">
        <v>4717</v>
      </c>
    </row>
    <row r="1701">
      <c r="A1701" t="s">
        <v>2623</v>
      </c>
      <c r="B1701" t="s">
        <v>1420</v>
      </c>
      <c r="C1701" t="s">
        <v>958</v>
      </c>
      <c r="D1701" t="s">
        <v>1380</v>
      </c>
      <c r="E1701" t="s">
        <v>1418</v>
      </c>
      <c r="F1701" t="s">
        <v>154</v>
      </c>
      <c r="G1701" t="s">
        <v>4715</v>
      </c>
      <c r="H1701" t="s">
        <v>5616</v>
      </c>
      <c r="I1701" t="s">
        <v>5617</v>
      </c>
      <c r="J1701" t="s">
        <v>5618</v>
      </c>
      <c r="K1701" t="s">
        <v>5619</v>
      </c>
      <c r="L1701" t="s">
        <v>4717</v>
      </c>
    </row>
    <row r="1702">
      <c r="A1702" t="s">
        <v>2623</v>
      </c>
      <c r="B1702" t="s">
        <v>1420</v>
      </c>
      <c r="C1702" t="s">
        <v>958</v>
      </c>
      <c r="D1702" t="s">
        <v>1380</v>
      </c>
      <c r="E1702" t="s">
        <v>1418</v>
      </c>
      <c r="F1702" t="s">
        <v>154</v>
      </c>
      <c r="G1702" t="s">
        <v>4715</v>
      </c>
      <c r="H1702" t="s">
        <v>5499</v>
      </c>
      <c r="I1702" t="s">
        <v>5620</v>
      </c>
      <c r="J1702" t="s">
        <v>5621</v>
      </c>
      <c r="K1702" t="s">
        <v>5622</v>
      </c>
      <c r="L1702" t="s">
        <v>4717</v>
      </c>
    </row>
    <row r="1703">
      <c r="A1703" t="s">
        <v>2623</v>
      </c>
      <c r="B1703" t="s">
        <v>1420</v>
      </c>
      <c r="C1703" t="s">
        <v>958</v>
      </c>
      <c r="D1703" t="s">
        <v>1380</v>
      </c>
      <c r="E1703" t="s">
        <v>1418</v>
      </c>
      <c r="F1703" t="s">
        <v>154</v>
      </c>
      <c r="G1703" t="s">
        <v>4715</v>
      </c>
      <c r="H1703" t="s">
        <v>5623</v>
      </c>
      <c r="I1703" t="s">
        <v>5624</v>
      </c>
      <c r="J1703" t="s">
        <v>5625</v>
      </c>
      <c r="K1703" t="s">
        <v>5626</v>
      </c>
      <c r="L1703" t="s">
        <v>4717</v>
      </c>
    </row>
    <row r="1704">
      <c r="A1704" t="s">
        <v>2623</v>
      </c>
      <c r="B1704" t="s">
        <v>1420</v>
      </c>
      <c r="C1704" t="s">
        <v>958</v>
      </c>
      <c r="D1704" t="s">
        <v>1380</v>
      </c>
      <c r="E1704" t="s">
        <v>1418</v>
      </c>
      <c r="F1704" t="s">
        <v>154</v>
      </c>
      <c r="G1704" t="s">
        <v>4715</v>
      </c>
      <c r="H1704" t="s">
        <v>3904</v>
      </c>
      <c r="I1704" t="s">
        <v>5627</v>
      </c>
      <c r="J1704" t="s">
        <v>5628</v>
      </c>
      <c r="K1704" t="s">
        <v>5629</v>
      </c>
      <c r="L1704" t="s">
        <v>4717</v>
      </c>
    </row>
    <row r="1705">
      <c r="A1705" t="s">
        <v>2623</v>
      </c>
      <c r="B1705" t="s">
        <v>1420</v>
      </c>
      <c r="C1705" t="s">
        <v>958</v>
      </c>
      <c r="D1705" t="s">
        <v>1380</v>
      </c>
      <c r="E1705" t="s">
        <v>1418</v>
      </c>
      <c r="F1705" t="s">
        <v>154</v>
      </c>
      <c r="G1705" t="s">
        <v>4715</v>
      </c>
      <c r="H1705" t="s">
        <v>5630</v>
      </c>
      <c r="I1705" t="s">
        <v>5474</v>
      </c>
      <c r="J1705" t="s">
        <v>5631</v>
      </c>
      <c r="K1705" t="s">
        <v>5632</v>
      </c>
      <c r="L1705" t="s">
        <v>4717</v>
      </c>
    </row>
    <row r="1706">
      <c r="A1706" t="s">
        <v>2623</v>
      </c>
      <c r="B1706" t="s">
        <v>1420</v>
      </c>
      <c r="C1706" t="s">
        <v>958</v>
      </c>
      <c r="D1706" t="s">
        <v>1380</v>
      </c>
      <c r="E1706" t="s">
        <v>1418</v>
      </c>
      <c r="F1706" t="s">
        <v>154</v>
      </c>
      <c r="G1706" t="s">
        <v>4715</v>
      </c>
      <c r="H1706" t="s">
        <v>5170</v>
      </c>
      <c r="I1706" t="s">
        <v>5171</v>
      </c>
      <c r="J1706" t="s">
        <v>5633</v>
      </c>
      <c r="K1706" t="s">
        <v>5634</v>
      </c>
      <c r="L1706" t="s">
        <v>4717</v>
      </c>
    </row>
    <row r="1707">
      <c r="A1707" t="s">
        <v>2623</v>
      </c>
      <c r="B1707" t="s">
        <v>1420</v>
      </c>
      <c r="C1707" t="s">
        <v>958</v>
      </c>
      <c r="D1707" t="s">
        <v>1380</v>
      </c>
      <c r="E1707" t="s">
        <v>1418</v>
      </c>
      <c r="F1707" t="s">
        <v>154</v>
      </c>
      <c r="G1707" t="s">
        <v>4715</v>
      </c>
      <c r="H1707" t="s">
        <v>5157</v>
      </c>
      <c r="I1707" t="s">
        <v>5635</v>
      </c>
      <c r="J1707" t="s">
        <v>5636</v>
      </c>
      <c r="K1707" t="s">
        <v>5637</v>
      </c>
      <c r="L1707" t="s">
        <v>4717</v>
      </c>
    </row>
    <row r="1708">
      <c r="A1708" t="s">
        <v>2623</v>
      </c>
      <c r="B1708" t="s">
        <v>1420</v>
      </c>
      <c r="C1708" t="s">
        <v>958</v>
      </c>
      <c r="D1708" t="s">
        <v>1380</v>
      </c>
      <c r="E1708" t="s">
        <v>1418</v>
      </c>
      <c r="F1708" t="s">
        <v>154</v>
      </c>
      <c r="G1708" t="s">
        <v>4715</v>
      </c>
      <c r="H1708" t="s">
        <v>5689</v>
      </c>
      <c r="I1708" t="s">
        <v>5304</v>
      </c>
      <c r="J1708" t="s">
        <v>5690</v>
      </c>
      <c r="K1708" t="s">
        <v>5691</v>
      </c>
      <c r="L1708" t="s">
        <v>4717</v>
      </c>
    </row>
    <row r="1709">
      <c r="A1709" t="s">
        <v>2623</v>
      </c>
      <c r="B1709" t="s">
        <v>1420</v>
      </c>
      <c r="C1709" t="s">
        <v>958</v>
      </c>
      <c r="D1709" t="s">
        <v>1380</v>
      </c>
      <c r="E1709" t="s">
        <v>1418</v>
      </c>
      <c r="F1709" t="s">
        <v>154</v>
      </c>
      <c r="G1709" t="s">
        <v>4715</v>
      </c>
      <c r="H1709" t="s">
        <v>5692</v>
      </c>
      <c r="I1709" t="s">
        <v>5693</v>
      </c>
      <c r="J1709" t="s">
        <v>5694</v>
      </c>
      <c r="K1709" t="s">
        <v>5695</v>
      </c>
      <c r="L1709" t="s">
        <v>4717</v>
      </c>
    </row>
    <row r="1710">
      <c r="A1710" t="s">
        <v>2623</v>
      </c>
      <c r="B1710" t="s">
        <v>1420</v>
      </c>
      <c r="C1710" t="s">
        <v>958</v>
      </c>
      <c r="D1710" t="s">
        <v>1380</v>
      </c>
      <c r="E1710" t="s">
        <v>1418</v>
      </c>
      <c r="F1710" t="s">
        <v>154</v>
      </c>
      <c r="G1710" t="s">
        <v>4715</v>
      </c>
      <c r="H1710" t="s">
        <v>5696</v>
      </c>
      <c r="I1710" t="s">
        <v>5324</v>
      </c>
      <c r="J1710" t="s">
        <v>5697</v>
      </c>
      <c r="K1710" t="s">
        <v>5698</v>
      </c>
      <c r="L1710" t="s">
        <v>4717</v>
      </c>
    </row>
    <row r="1711">
      <c r="A1711" t="s">
        <v>2623</v>
      </c>
      <c r="B1711" t="s">
        <v>1420</v>
      </c>
      <c r="C1711" t="s">
        <v>958</v>
      </c>
      <c r="D1711" t="s">
        <v>1380</v>
      </c>
      <c r="E1711" t="s">
        <v>1418</v>
      </c>
      <c r="F1711" t="s">
        <v>154</v>
      </c>
      <c r="G1711" t="s">
        <v>4715</v>
      </c>
      <c r="H1711" t="s">
        <v>5699</v>
      </c>
      <c r="I1711" t="s">
        <v>5700</v>
      </c>
      <c r="J1711" t="s">
        <v>5701</v>
      </c>
      <c r="K1711" t="s">
        <v>5702</v>
      </c>
      <c r="L1711" t="s">
        <v>4717</v>
      </c>
    </row>
    <row r="1712">
      <c r="A1712" t="s">
        <v>2623</v>
      </c>
      <c r="B1712" t="s">
        <v>1420</v>
      </c>
      <c r="C1712" t="s">
        <v>958</v>
      </c>
      <c r="D1712" t="s">
        <v>1380</v>
      </c>
      <c r="E1712" t="s">
        <v>1418</v>
      </c>
      <c r="F1712" t="s">
        <v>154</v>
      </c>
      <c r="G1712" t="s">
        <v>4715</v>
      </c>
      <c r="H1712" t="s">
        <v>5522</v>
      </c>
      <c r="I1712" t="s">
        <v>5656</v>
      </c>
      <c r="J1712" t="s">
        <v>5657</v>
      </c>
      <c r="K1712" t="s">
        <v>5658</v>
      </c>
      <c r="L1712" t="s">
        <v>4717</v>
      </c>
    </row>
    <row r="1713">
      <c r="A1713" t="s">
        <v>2626</v>
      </c>
      <c r="B1713" t="s">
        <v>1428</v>
      </c>
      <c r="C1713" t="s">
        <v>958</v>
      </c>
      <c r="D1713" t="s">
        <v>1380</v>
      </c>
      <c r="E1713" t="s">
        <v>1418</v>
      </c>
      <c r="F1713" t="s">
        <v>154</v>
      </c>
      <c r="G1713" t="s">
        <v>4715</v>
      </c>
      <c r="H1713" t="s">
        <v>5041</v>
      </c>
      <c r="I1713" t="s">
        <v>5614</v>
      </c>
      <c r="J1713" t="s">
        <v>5615</v>
      </c>
      <c r="K1713" t="s">
        <v>4169</v>
      </c>
      <c r="L1713" t="s">
        <v>4717</v>
      </c>
    </row>
    <row r="1714">
      <c r="A1714" t="s">
        <v>2626</v>
      </c>
      <c r="B1714" t="s">
        <v>1428</v>
      </c>
      <c r="C1714" t="s">
        <v>958</v>
      </c>
      <c r="D1714" t="s">
        <v>1380</v>
      </c>
      <c r="E1714" t="s">
        <v>1418</v>
      </c>
      <c r="F1714" t="s">
        <v>154</v>
      </c>
      <c r="G1714" t="s">
        <v>4715</v>
      </c>
      <c r="H1714" t="s">
        <v>5616</v>
      </c>
      <c r="I1714" t="s">
        <v>5617</v>
      </c>
      <c r="J1714" t="s">
        <v>5618</v>
      </c>
      <c r="K1714" t="s">
        <v>5619</v>
      </c>
      <c r="L1714" t="s">
        <v>4717</v>
      </c>
    </row>
    <row r="1715">
      <c r="A1715" t="s">
        <v>2626</v>
      </c>
      <c r="B1715" t="s">
        <v>1428</v>
      </c>
      <c r="C1715" t="s">
        <v>958</v>
      </c>
      <c r="D1715" t="s">
        <v>1380</v>
      </c>
      <c r="E1715" t="s">
        <v>1418</v>
      </c>
      <c r="F1715" t="s">
        <v>154</v>
      </c>
      <c r="G1715" t="s">
        <v>4715</v>
      </c>
      <c r="H1715" t="s">
        <v>5499</v>
      </c>
      <c r="I1715" t="s">
        <v>5620</v>
      </c>
      <c r="J1715" t="s">
        <v>5621</v>
      </c>
      <c r="K1715" t="s">
        <v>5622</v>
      </c>
      <c r="L1715" t="s">
        <v>4717</v>
      </c>
    </row>
    <row r="1716">
      <c r="A1716" t="s">
        <v>2626</v>
      </c>
      <c r="B1716" t="s">
        <v>1428</v>
      </c>
      <c r="C1716" t="s">
        <v>958</v>
      </c>
      <c r="D1716" t="s">
        <v>1380</v>
      </c>
      <c r="E1716" t="s">
        <v>1418</v>
      </c>
      <c r="F1716" t="s">
        <v>154</v>
      </c>
      <c r="G1716" t="s">
        <v>4715</v>
      </c>
      <c r="H1716" t="s">
        <v>5623</v>
      </c>
      <c r="I1716" t="s">
        <v>5624</v>
      </c>
      <c r="J1716" t="s">
        <v>5625</v>
      </c>
      <c r="K1716" t="s">
        <v>5626</v>
      </c>
      <c r="L1716" t="s">
        <v>4717</v>
      </c>
    </row>
    <row r="1717">
      <c r="A1717" t="s">
        <v>2626</v>
      </c>
      <c r="B1717" t="s">
        <v>1428</v>
      </c>
      <c r="C1717" t="s">
        <v>958</v>
      </c>
      <c r="D1717" t="s">
        <v>1380</v>
      </c>
      <c r="E1717" t="s">
        <v>1418</v>
      </c>
      <c r="F1717" t="s">
        <v>154</v>
      </c>
      <c r="G1717" t="s">
        <v>4715</v>
      </c>
      <c r="H1717" t="s">
        <v>3904</v>
      </c>
      <c r="I1717" t="s">
        <v>5627</v>
      </c>
      <c r="J1717" t="s">
        <v>5628</v>
      </c>
      <c r="K1717" t="s">
        <v>5629</v>
      </c>
      <c r="L1717" t="s">
        <v>4717</v>
      </c>
    </row>
    <row r="1718">
      <c r="A1718" t="s">
        <v>2626</v>
      </c>
      <c r="B1718" t="s">
        <v>1428</v>
      </c>
      <c r="C1718" t="s">
        <v>958</v>
      </c>
      <c r="D1718" t="s">
        <v>1380</v>
      </c>
      <c r="E1718" t="s">
        <v>1418</v>
      </c>
      <c r="F1718" t="s">
        <v>154</v>
      </c>
      <c r="G1718" t="s">
        <v>4715</v>
      </c>
      <c r="H1718" t="s">
        <v>5630</v>
      </c>
      <c r="I1718" t="s">
        <v>5474</v>
      </c>
      <c r="J1718" t="s">
        <v>5631</v>
      </c>
      <c r="K1718" t="s">
        <v>5632</v>
      </c>
      <c r="L1718" t="s">
        <v>4717</v>
      </c>
    </row>
    <row r="1719">
      <c r="A1719" t="s">
        <v>2626</v>
      </c>
      <c r="B1719" t="s">
        <v>1428</v>
      </c>
      <c r="C1719" t="s">
        <v>958</v>
      </c>
      <c r="D1719" t="s">
        <v>1380</v>
      </c>
      <c r="E1719" t="s">
        <v>1418</v>
      </c>
      <c r="F1719" t="s">
        <v>154</v>
      </c>
      <c r="G1719" t="s">
        <v>4715</v>
      </c>
      <c r="H1719" t="s">
        <v>5170</v>
      </c>
      <c r="I1719" t="s">
        <v>5171</v>
      </c>
      <c r="J1719" t="s">
        <v>5633</v>
      </c>
      <c r="K1719" t="s">
        <v>5634</v>
      </c>
      <c r="L1719" t="s">
        <v>4717</v>
      </c>
    </row>
    <row r="1720">
      <c r="A1720" t="s">
        <v>2626</v>
      </c>
      <c r="B1720" t="s">
        <v>1428</v>
      </c>
      <c r="C1720" t="s">
        <v>958</v>
      </c>
      <c r="D1720" t="s">
        <v>1380</v>
      </c>
      <c r="E1720" t="s">
        <v>1418</v>
      </c>
      <c r="F1720" t="s">
        <v>154</v>
      </c>
      <c r="G1720" t="s">
        <v>4715</v>
      </c>
      <c r="H1720" t="s">
        <v>5157</v>
      </c>
      <c r="I1720" t="s">
        <v>5635</v>
      </c>
      <c r="J1720" t="s">
        <v>5636</v>
      </c>
      <c r="K1720" t="s">
        <v>5637</v>
      </c>
      <c r="L1720" t="s">
        <v>4717</v>
      </c>
    </row>
    <row r="1721">
      <c r="A1721" t="s">
        <v>2626</v>
      </c>
      <c r="B1721" t="s">
        <v>1428</v>
      </c>
      <c r="C1721" t="s">
        <v>958</v>
      </c>
      <c r="D1721" t="s">
        <v>1380</v>
      </c>
      <c r="E1721" t="s">
        <v>1418</v>
      </c>
      <c r="F1721" t="s">
        <v>154</v>
      </c>
      <c r="G1721" t="s">
        <v>4715</v>
      </c>
      <c r="H1721" t="s">
        <v>5689</v>
      </c>
      <c r="I1721" t="s">
        <v>5304</v>
      </c>
      <c r="J1721" t="s">
        <v>5690</v>
      </c>
      <c r="K1721" t="s">
        <v>5691</v>
      </c>
      <c r="L1721" t="s">
        <v>4717</v>
      </c>
    </row>
    <row r="1722">
      <c r="A1722" t="s">
        <v>2626</v>
      </c>
      <c r="B1722" t="s">
        <v>1428</v>
      </c>
      <c r="C1722" t="s">
        <v>958</v>
      </c>
      <c r="D1722" t="s">
        <v>1380</v>
      </c>
      <c r="E1722" t="s">
        <v>1418</v>
      </c>
      <c r="F1722" t="s">
        <v>154</v>
      </c>
      <c r="G1722" t="s">
        <v>4715</v>
      </c>
      <c r="H1722" t="s">
        <v>5692</v>
      </c>
      <c r="I1722" t="s">
        <v>5693</v>
      </c>
      <c r="J1722" t="s">
        <v>5694</v>
      </c>
      <c r="K1722" t="s">
        <v>5695</v>
      </c>
      <c r="L1722" t="s">
        <v>4717</v>
      </c>
    </row>
    <row r="1723">
      <c r="A1723" t="s">
        <v>2626</v>
      </c>
      <c r="B1723" t="s">
        <v>1428</v>
      </c>
      <c r="C1723" t="s">
        <v>958</v>
      </c>
      <c r="D1723" t="s">
        <v>1380</v>
      </c>
      <c r="E1723" t="s">
        <v>1418</v>
      </c>
      <c r="F1723" t="s">
        <v>154</v>
      </c>
      <c r="G1723" t="s">
        <v>4715</v>
      </c>
      <c r="H1723" t="s">
        <v>5696</v>
      </c>
      <c r="I1723" t="s">
        <v>5324</v>
      </c>
      <c r="J1723" t="s">
        <v>5697</v>
      </c>
      <c r="K1723" t="s">
        <v>5698</v>
      </c>
      <c r="L1723" t="s">
        <v>4717</v>
      </c>
    </row>
    <row r="1724">
      <c r="A1724" t="s">
        <v>2626</v>
      </c>
      <c r="B1724" t="s">
        <v>1428</v>
      </c>
      <c r="C1724" t="s">
        <v>958</v>
      </c>
      <c r="D1724" t="s">
        <v>1380</v>
      </c>
      <c r="E1724" t="s">
        <v>1418</v>
      </c>
      <c r="F1724" t="s">
        <v>154</v>
      </c>
      <c r="G1724" t="s">
        <v>4715</v>
      </c>
      <c r="H1724" t="s">
        <v>5699</v>
      </c>
      <c r="I1724" t="s">
        <v>5700</v>
      </c>
      <c r="J1724" t="s">
        <v>5701</v>
      </c>
      <c r="K1724" t="s">
        <v>5702</v>
      </c>
      <c r="L1724" t="s">
        <v>4717</v>
      </c>
    </row>
    <row r="1725">
      <c r="A1725" t="s">
        <v>2626</v>
      </c>
      <c r="B1725" t="s">
        <v>1428</v>
      </c>
      <c r="C1725" t="s">
        <v>958</v>
      </c>
      <c r="D1725" t="s">
        <v>1380</v>
      </c>
      <c r="E1725" t="s">
        <v>1418</v>
      </c>
      <c r="F1725" t="s">
        <v>154</v>
      </c>
      <c r="G1725" t="s">
        <v>4715</v>
      </c>
      <c r="H1725" t="s">
        <v>5522</v>
      </c>
      <c r="I1725" t="s">
        <v>5656</v>
      </c>
      <c r="J1725" t="s">
        <v>5657</v>
      </c>
      <c r="K1725" t="s">
        <v>5658</v>
      </c>
      <c r="L1725" t="s">
        <v>4717</v>
      </c>
    </row>
    <row r="1726">
      <c r="A1726" t="s">
        <v>2628</v>
      </c>
      <c r="B1726" t="s">
        <v>1435</v>
      </c>
      <c r="C1726" t="s">
        <v>958</v>
      </c>
      <c r="D1726" t="s">
        <v>1380</v>
      </c>
      <c r="E1726" t="s">
        <v>1418</v>
      </c>
      <c r="F1726" t="s">
        <v>120</v>
      </c>
      <c r="G1726" t="s">
        <v>4715</v>
      </c>
      <c r="H1726" t="s">
        <v>5041</v>
      </c>
      <c r="I1726" t="s">
        <v>5614</v>
      </c>
      <c r="J1726" t="s">
        <v>5615</v>
      </c>
      <c r="K1726" t="s">
        <v>4169</v>
      </c>
      <c r="L1726" t="s">
        <v>4717</v>
      </c>
    </row>
    <row r="1727">
      <c r="A1727" t="s">
        <v>2628</v>
      </c>
      <c r="B1727" t="s">
        <v>1435</v>
      </c>
      <c r="C1727" t="s">
        <v>958</v>
      </c>
      <c r="D1727" t="s">
        <v>1380</v>
      </c>
      <c r="E1727" t="s">
        <v>1418</v>
      </c>
      <c r="F1727" t="s">
        <v>120</v>
      </c>
      <c r="G1727" t="s">
        <v>4715</v>
      </c>
      <c r="H1727" t="s">
        <v>5616</v>
      </c>
      <c r="I1727" t="s">
        <v>5617</v>
      </c>
      <c r="J1727" t="s">
        <v>5618</v>
      </c>
      <c r="K1727" t="s">
        <v>5619</v>
      </c>
      <c r="L1727" t="s">
        <v>4717</v>
      </c>
    </row>
    <row r="1728">
      <c r="A1728" t="s">
        <v>2628</v>
      </c>
      <c r="B1728" t="s">
        <v>1435</v>
      </c>
      <c r="C1728" t="s">
        <v>958</v>
      </c>
      <c r="D1728" t="s">
        <v>1380</v>
      </c>
      <c r="E1728" t="s">
        <v>1418</v>
      </c>
      <c r="F1728" t="s">
        <v>120</v>
      </c>
      <c r="G1728" t="s">
        <v>4715</v>
      </c>
      <c r="H1728" t="s">
        <v>5499</v>
      </c>
      <c r="I1728" t="s">
        <v>5620</v>
      </c>
      <c r="J1728" t="s">
        <v>5621</v>
      </c>
      <c r="K1728" t="s">
        <v>5622</v>
      </c>
      <c r="L1728" t="s">
        <v>4717</v>
      </c>
    </row>
    <row r="1729">
      <c r="A1729" t="s">
        <v>2628</v>
      </c>
      <c r="B1729" t="s">
        <v>1435</v>
      </c>
      <c r="C1729" t="s">
        <v>958</v>
      </c>
      <c r="D1729" t="s">
        <v>1380</v>
      </c>
      <c r="E1729" t="s">
        <v>1418</v>
      </c>
      <c r="F1729" t="s">
        <v>120</v>
      </c>
      <c r="G1729" t="s">
        <v>4715</v>
      </c>
      <c r="H1729" t="s">
        <v>5623</v>
      </c>
      <c r="I1729" t="s">
        <v>5624</v>
      </c>
      <c r="J1729" t="s">
        <v>5625</v>
      </c>
      <c r="K1729" t="s">
        <v>5626</v>
      </c>
      <c r="L1729" t="s">
        <v>4717</v>
      </c>
    </row>
    <row r="1730">
      <c r="A1730" t="s">
        <v>2628</v>
      </c>
      <c r="B1730" t="s">
        <v>1435</v>
      </c>
      <c r="C1730" t="s">
        <v>958</v>
      </c>
      <c r="D1730" t="s">
        <v>1380</v>
      </c>
      <c r="E1730" t="s">
        <v>1418</v>
      </c>
      <c r="F1730" t="s">
        <v>120</v>
      </c>
      <c r="G1730" t="s">
        <v>4715</v>
      </c>
      <c r="H1730" t="s">
        <v>3904</v>
      </c>
      <c r="I1730" t="s">
        <v>5627</v>
      </c>
      <c r="J1730" t="s">
        <v>5628</v>
      </c>
      <c r="K1730" t="s">
        <v>5629</v>
      </c>
      <c r="L1730" t="s">
        <v>4717</v>
      </c>
    </row>
    <row r="1731">
      <c r="A1731" t="s">
        <v>2628</v>
      </c>
      <c r="B1731" t="s">
        <v>1435</v>
      </c>
      <c r="C1731" t="s">
        <v>958</v>
      </c>
      <c r="D1731" t="s">
        <v>1380</v>
      </c>
      <c r="E1731" t="s">
        <v>1418</v>
      </c>
      <c r="F1731" t="s">
        <v>120</v>
      </c>
      <c r="G1731" t="s">
        <v>4715</v>
      </c>
      <c r="H1731" t="s">
        <v>5630</v>
      </c>
      <c r="I1731" t="s">
        <v>5474</v>
      </c>
      <c r="J1731" t="s">
        <v>5631</v>
      </c>
      <c r="K1731" t="s">
        <v>5632</v>
      </c>
      <c r="L1731" t="s">
        <v>4717</v>
      </c>
    </row>
    <row r="1732">
      <c r="A1732" t="s">
        <v>2628</v>
      </c>
      <c r="B1732" t="s">
        <v>1435</v>
      </c>
      <c r="C1732" t="s">
        <v>958</v>
      </c>
      <c r="D1732" t="s">
        <v>1380</v>
      </c>
      <c r="E1732" t="s">
        <v>1418</v>
      </c>
      <c r="F1732" t="s">
        <v>120</v>
      </c>
      <c r="G1732" t="s">
        <v>4715</v>
      </c>
      <c r="H1732" t="s">
        <v>5170</v>
      </c>
      <c r="I1732" t="s">
        <v>5171</v>
      </c>
      <c r="J1732" t="s">
        <v>5633</v>
      </c>
      <c r="K1732" t="s">
        <v>5634</v>
      </c>
      <c r="L1732" t="s">
        <v>4717</v>
      </c>
    </row>
    <row r="1733">
      <c r="A1733" t="s">
        <v>2628</v>
      </c>
      <c r="B1733" t="s">
        <v>1435</v>
      </c>
      <c r="C1733" t="s">
        <v>958</v>
      </c>
      <c r="D1733" t="s">
        <v>1380</v>
      </c>
      <c r="E1733" t="s">
        <v>1418</v>
      </c>
      <c r="F1733" t="s">
        <v>120</v>
      </c>
      <c r="G1733" t="s">
        <v>4715</v>
      </c>
      <c r="H1733" t="s">
        <v>5157</v>
      </c>
      <c r="I1733" t="s">
        <v>5635</v>
      </c>
      <c r="J1733" t="s">
        <v>5636</v>
      </c>
      <c r="K1733" t="s">
        <v>5637</v>
      </c>
      <c r="L1733" t="s">
        <v>4717</v>
      </c>
    </row>
    <row r="1734">
      <c r="A1734" t="s">
        <v>2628</v>
      </c>
      <c r="B1734" t="s">
        <v>1435</v>
      </c>
      <c r="C1734" t="s">
        <v>958</v>
      </c>
      <c r="D1734" t="s">
        <v>1380</v>
      </c>
      <c r="E1734" t="s">
        <v>1418</v>
      </c>
      <c r="F1734" t="s">
        <v>120</v>
      </c>
      <c r="G1734" t="s">
        <v>4715</v>
      </c>
      <c r="H1734" t="s">
        <v>5689</v>
      </c>
      <c r="I1734" t="s">
        <v>5304</v>
      </c>
      <c r="J1734" t="s">
        <v>5690</v>
      </c>
      <c r="K1734" t="s">
        <v>5691</v>
      </c>
      <c r="L1734" t="s">
        <v>4717</v>
      </c>
    </row>
    <row r="1735">
      <c r="A1735" t="s">
        <v>2628</v>
      </c>
      <c r="B1735" t="s">
        <v>1435</v>
      </c>
      <c r="C1735" t="s">
        <v>958</v>
      </c>
      <c r="D1735" t="s">
        <v>1380</v>
      </c>
      <c r="E1735" t="s">
        <v>1418</v>
      </c>
      <c r="F1735" t="s">
        <v>120</v>
      </c>
      <c r="G1735" t="s">
        <v>4715</v>
      </c>
      <c r="H1735" t="s">
        <v>5692</v>
      </c>
      <c r="I1735" t="s">
        <v>5693</v>
      </c>
      <c r="J1735" t="s">
        <v>5694</v>
      </c>
      <c r="K1735" t="s">
        <v>5695</v>
      </c>
      <c r="L1735" t="s">
        <v>4717</v>
      </c>
    </row>
    <row r="1736">
      <c r="A1736" t="s">
        <v>2628</v>
      </c>
      <c r="B1736" t="s">
        <v>1435</v>
      </c>
      <c r="C1736" t="s">
        <v>958</v>
      </c>
      <c r="D1736" t="s">
        <v>1380</v>
      </c>
      <c r="E1736" t="s">
        <v>1418</v>
      </c>
      <c r="F1736" t="s">
        <v>120</v>
      </c>
      <c r="G1736" t="s">
        <v>4715</v>
      </c>
      <c r="H1736" t="s">
        <v>5696</v>
      </c>
      <c r="I1736" t="s">
        <v>5324</v>
      </c>
      <c r="J1736" t="s">
        <v>5697</v>
      </c>
      <c r="K1736" t="s">
        <v>5698</v>
      </c>
      <c r="L1736" t="s">
        <v>4717</v>
      </c>
    </row>
    <row r="1737">
      <c r="A1737" t="s">
        <v>2628</v>
      </c>
      <c r="B1737" t="s">
        <v>1435</v>
      </c>
      <c r="C1737" t="s">
        <v>958</v>
      </c>
      <c r="D1737" t="s">
        <v>1380</v>
      </c>
      <c r="E1737" t="s">
        <v>1418</v>
      </c>
      <c r="F1737" t="s">
        <v>120</v>
      </c>
      <c r="G1737" t="s">
        <v>4715</v>
      </c>
      <c r="H1737" t="s">
        <v>5699</v>
      </c>
      <c r="I1737" t="s">
        <v>5700</v>
      </c>
      <c r="J1737" t="s">
        <v>5701</v>
      </c>
      <c r="K1737" t="s">
        <v>5702</v>
      </c>
      <c r="L1737" t="s">
        <v>4717</v>
      </c>
    </row>
    <row r="1738">
      <c r="A1738" t="s">
        <v>2628</v>
      </c>
      <c r="B1738" t="s">
        <v>1435</v>
      </c>
      <c r="C1738" t="s">
        <v>958</v>
      </c>
      <c r="D1738" t="s">
        <v>1380</v>
      </c>
      <c r="E1738" t="s">
        <v>1418</v>
      </c>
      <c r="F1738" t="s">
        <v>120</v>
      </c>
      <c r="G1738" t="s">
        <v>4715</v>
      </c>
      <c r="H1738" t="s">
        <v>5522</v>
      </c>
      <c r="I1738" t="s">
        <v>5656</v>
      </c>
      <c r="J1738" t="s">
        <v>5657</v>
      </c>
      <c r="K1738" t="s">
        <v>5658</v>
      </c>
      <c r="L1738" t="s">
        <v>4717</v>
      </c>
    </row>
    <row r="1739">
      <c r="A1739" t="s">
        <v>2631</v>
      </c>
      <c r="B1739" t="s">
        <v>1440</v>
      </c>
      <c r="C1739" t="s">
        <v>958</v>
      </c>
      <c r="D1739" t="s">
        <v>1380</v>
      </c>
      <c r="E1739" t="s">
        <v>1418</v>
      </c>
      <c r="F1739" t="s">
        <v>120</v>
      </c>
      <c r="G1739" t="s">
        <v>4715</v>
      </c>
      <c r="H1739" t="s">
        <v>5041</v>
      </c>
      <c r="I1739" t="s">
        <v>5614</v>
      </c>
      <c r="J1739" t="s">
        <v>5615</v>
      </c>
      <c r="K1739" t="s">
        <v>4169</v>
      </c>
      <c r="L1739" t="s">
        <v>4717</v>
      </c>
    </row>
    <row r="1740">
      <c r="A1740" t="s">
        <v>2631</v>
      </c>
      <c r="B1740" t="s">
        <v>1440</v>
      </c>
      <c r="C1740" t="s">
        <v>958</v>
      </c>
      <c r="D1740" t="s">
        <v>1380</v>
      </c>
      <c r="E1740" t="s">
        <v>1418</v>
      </c>
      <c r="F1740" t="s">
        <v>120</v>
      </c>
      <c r="G1740" t="s">
        <v>4715</v>
      </c>
      <c r="H1740" t="s">
        <v>5616</v>
      </c>
      <c r="I1740" t="s">
        <v>5617</v>
      </c>
      <c r="J1740" t="s">
        <v>5618</v>
      </c>
      <c r="K1740" t="s">
        <v>5619</v>
      </c>
      <c r="L1740" t="s">
        <v>4717</v>
      </c>
    </row>
    <row r="1741">
      <c r="A1741" t="s">
        <v>2631</v>
      </c>
      <c r="B1741" t="s">
        <v>1440</v>
      </c>
      <c r="C1741" t="s">
        <v>958</v>
      </c>
      <c r="D1741" t="s">
        <v>1380</v>
      </c>
      <c r="E1741" t="s">
        <v>1418</v>
      </c>
      <c r="F1741" t="s">
        <v>120</v>
      </c>
      <c r="G1741" t="s">
        <v>4715</v>
      </c>
      <c r="H1741" t="s">
        <v>5499</v>
      </c>
      <c r="I1741" t="s">
        <v>5620</v>
      </c>
      <c r="J1741" t="s">
        <v>5621</v>
      </c>
      <c r="K1741" t="s">
        <v>5622</v>
      </c>
      <c r="L1741" t="s">
        <v>4717</v>
      </c>
    </row>
    <row r="1742">
      <c r="A1742" t="s">
        <v>2631</v>
      </c>
      <c r="B1742" t="s">
        <v>1440</v>
      </c>
      <c r="C1742" t="s">
        <v>958</v>
      </c>
      <c r="D1742" t="s">
        <v>1380</v>
      </c>
      <c r="E1742" t="s">
        <v>1418</v>
      </c>
      <c r="F1742" t="s">
        <v>120</v>
      </c>
      <c r="G1742" t="s">
        <v>4715</v>
      </c>
      <c r="H1742" t="s">
        <v>5623</v>
      </c>
      <c r="I1742" t="s">
        <v>5624</v>
      </c>
      <c r="J1742" t="s">
        <v>5625</v>
      </c>
      <c r="K1742" t="s">
        <v>5626</v>
      </c>
      <c r="L1742" t="s">
        <v>4717</v>
      </c>
    </row>
    <row r="1743">
      <c r="A1743" t="s">
        <v>2631</v>
      </c>
      <c r="B1743" t="s">
        <v>1440</v>
      </c>
      <c r="C1743" t="s">
        <v>958</v>
      </c>
      <c r="D1743" t="s">
        <v>1380</v>
      </c>
      <c r="E1743" t="s">
        <v>1418</v>
      </c>
      <c r="F1743" t="s">
        <v>120</v>
      </c>
      <c r="G1743" t="s">
        <v>4715</v>
      </c>
      <c r="H1743" t="s">
        <v>3904</v>
      </c>
      <c r="I1743" t="s">
        <v>5627</v>
      </c>
      <c r="J1743" t="s">
        <v>5628</v>
      </c>
      <c r="K1743" t="s">
        <v>5629</v>
      </c>
      <c r="L1743" t="s">
        <v>4717</v>
      </c>
    </row>
    <row r="1744">
      <c r="A1744" t="s">
        <v>2631</v>
      </c>
      <c r="B1744" t="s">
        <v>1440</v>
      </c>
      <c r="C1744" t="s">
        <v>958</v>
      </c>
      <c r="D1744" t="s">
        <v>1380</v>
      </c>
      <c r="E1744" t="s">
        <v>1418</v>
      </c>
      <c r="F1744" t="s">
        <v>120</v>
      </c>
      <c r="G1744" t="s">
        <v>4715</v>
      </c>
      <c r="H1744" t="s">
        <v>5630</v>
      </c>
      <c r="I1744" t="s">
        <v>5474</v>
      </c>
      <c r="J1744" t="s">
        <v>5631</v>
      </c>
      <c r="K1744" t="s">
        <v>5632</v>
      </c>
      <c r="L1744" t="s">
        <v>4717</v>
      </c>
    </row>
    <row r="1745">
      <c r="A1745" t="s">
        <v>2631</v>
      </c>
      <c r="B1745" t="s">
        <v>1440</v>
      </c>
      <c r="C1745" t="s">
        <v>958</v>
      </c>
      <c r="D1745" t="s">
        <v>1380</v>
      </c>
      <c r="E1745" t="s">
        <v>1418</v>
      </c>
      <c r="F1745" t="s">
        <v>120</v>
      </c>
      <c r="G1745" t="s">
        <v>4715</v>
      </c>
      <c r="H1745" t="s">
        <v>5170</v>
      </c>
      <c r="I1745" t="s">
        <v>5171</v>
      </c>
      <c r="J1745" t="s">
        <v>5633</v>
      </c>
      <c r="K1745" t="s">
        <v>5634</v>
      </c>
      <c r="L1745" t="s">
        <v>4717</v>
      </c>
    </row>
    <row r="1746">
      <c r="A1746" t="s">
        <v>2631</v>
      </c>
      <c r="B1746" t="s">
        <v>1440</v>
      </c>
      <c r="C1746" t="s">
        <v>958</v>
      </c>
      <c r="D1746" t="s">
        <v>1380</v>
      </c>
      <c r="E1746" t="s">
        <v>1418</v>
      </c>
      <c r="F1746" t="s">
        <v>120</v>
      </c>
      <c r="G1746" t="s">
        <v>4715</v>
      </c>
      <c r="H1746" t="s">
        <v>5157</v>
      </c>
      <c r="I1746" t="s">
        <v>5635</v>
      </c>
      <c r="J1746" t="s">
        <v>5636</v>
      </c>
      <c r="K1746" t="s">
        <v>5637</v>
      </c>
      <c r="L1746" t="s">
        <v>4717</v>
      </c>
    </row>
    <row r="1747">
      <c r="A1747" t="s">
        <v>2631</v>
      </c>
      <c r="B1747" t="s">
        <v>1440</v>
      </c>
      <c r="C1747" t="s">
        <v>958</v>
      </c>
      <c r="D1747" t="s">
        <v>1380</v>
      </c>
      <c r="E1747" t="s">
        <v>1418</v>
      </c>
      <c r="F1747" t="s">
        <v>120</v>
      </c>
      <c r="G1747" t="s">
        <v>4715</v>
      </c>
      <c r="H1747" t="s">
        <v>5689</v>
      </c>
      <c r="I1747" t="s">
        <v>5304</v>
      </c>
      <c r="J1747" t="s">
        <v>5690</v>
      </c>
      <c r="K1747" t="s">
        <v>5691</v>
      </c>
      <c r="L1747" t="s">
        <v>4717</v>
      </c>
    </row>
    <row r="1748">
      <c r="A1748" t="s">
        <v>2631</v>
      </c>
      <c r="B1748" t="s">
        <v>1440</v>
      </c>
      <c r="C1748" t="s">
        <v>958</v>
      </c>
      <c r="D1748" t="s">
        <v>1380</v>
      </c>
      <c r="E1748" t="s">
        <v>1418</v>
      </c>
      <c r="F1748" t="s">
        <v>120</v>
      </c>
      <c r="G1748" t="s">
        <v>4715</v>
      </c>
      <c r="H1748" t="s">
        <v>5692</v>
      </c>
      <c r="I1748" t="s">
        <v>5693</v>
      </c>
      <c r="J1748" t="s">
        <v>5694</v>
      </c>
      <c r="K1748" t="s">
        <v>5695</v>
      </c>
      <c r="L1748" t="s">
        <v>4717</v>
      </c>
    </row>
    <row r="1749">
      <c r="A1749" t="s">
        <v>2631</v>
      </c>
      <c r="B1749" t="s">
        <v>1440</v>
      </c>
      <c r="C1749" t="s">
        <v>958</v>
      </c>
      <c r="D1749" t="s">
        <v>1380</v>
      </c>
      <c r="E1749" t="s">
        <v>1418</v>
      </c>
      <c r="F1749" t="s">
        <v>120</v>
      </c>
      <c r="G1749" t="s">
        <v>4715</v>
      </c>
      <c r="H1749" t="s">
        <v>5696</v>
      </c>
      <c r="I1749" t="s">
        <v>5324</v>
      </c>
      <c r="J1749" t="s">
        <v>5697</v>
      </c>
      <c r="K1749" t="s">
        <v>5698</v>
      </c>
      <c r="L1749" t="s">
        <v>4717</v>
      </c>
    </row>
    <row r="1750">
      <c r="A1750" t="s">
        <v>2631</v>
      </c>
      <c r="B1750" t="s">
        <v>1440</v>
      </c>
      <c r="C1750" t="s">
        <v>958</v>
      </c>
      <c r="D1750" t="s">
        <v>1380</v>
      </c>
      <c r="E1750" t="s">
        <v>1418</v>
      </c>
      <c r="F1750" t="s">
        <v>120</v>
      </c>
      <c r="G1750" t="s">
        <v>4715</v>
      </c>
      <c r="H1750" t="s">
        <v>5699</v>
      </c>
      <c r="I1750" t="s">
        <v>5700</v>
      </c>
      <c r="J1750" t="s">
        <v>5701</v>
      </c>
      <c r="K1750" t="s">
        <v>5702</v>
      </c>
      <c r="L1750" t="s">
        <v>4717</v>
      </c>
    </row>
    <row r="1751">
      <c r="A1751" t="s">
        <v>2631</v>
      </c>
      <c r="B1751" t="s">
        <v>1440</v>
      </c>
      <c r="C1751" t="s">
        <v>958</v>
      </c>
      <c r="D1751" t="s">
        <v>1380</v>
      </c>
      <c r="E1751" t="s">
        <v>1418</v>
      </c>
      <c r="F1751" t="s">
        <v>120</v>
      </c>
      <c r="G1751" t="s">
        <v>4715</v>
      </c>
      <c r="H1751" t="s">
        <v>5522</v>
      </c>
      <c r="I1751" t="s">
        <v>5656</v>
      </c>
      <c r="J1751" t="s">
        <v>5657</v>
      </c>
      <c r="K1751" t="s">
        <v>5658</v>
      </c>
      <c r="L1751" t="s">
        <v>4717</v>
      </c>
    </row>
    <row r="1752">
      <c r="A1752" t="s">
        <v>2634</v>
      </c>
      <c r="B1752" t="s">
        <v>1445</v>
      </c>
      <c r="C1752" t="s">
        <v>958</v>
      </c>
      <c r="D1752" t="s">
        <v>1380</v>
      </c>
      <c r="E1752" t="s">
        <v>1418</v>
      </c>
      <c r="F1752" t="s">
        <v>120</v>
      </c>
      <c r="G1752" t="s">
        <v>4715</v>
      </c>
      <c r="H1752" t="s">
        <v>5041</v>
      </c>
      <c r="I1752" t="s">
        <v>5614</v>
      </c>
      <c r="J1752" t="s">
        <v>5615</v>
      </c>
      <c r="K1752" t="s">
        <v>4169</v>
      </c>
      <c r="L1752" t="s">
        <v>4717</v>
      </c>
    </row>
    <row r="1753">
      <c r="A1753" t="s">
        <v>2634</v>
      </c>
      <c r="B1753" t="s">
        <v>1445</v>
      </c>
      <c r="C1753" t="s">
        <v>958</v>
      </c>
      <c r="D1753" t="s">
        <v>1380</v>
      </c>
      <c r="E1753" t="s">
        <v>1418</v>
      </c>
      <c r="F1753" t="s">
        <v>120</v>
      </c>
      <c r="G1753" t="s">
        <v>4715</v>
      </c>
      <c r="H1753" t="s">
        <v>5616</v>
      </c>
      <c r="I1753" t="s">
        <v>5617</v>
      </c>
      <c r="J1753" t="s">
        <v>5618</v>
      </c>
      <c r="K1753" t="s">
        <v>5619</v>
      </c>
      <c r="L1753" t="s">
        <v>4717</v>
      </c>
    </row>
    <row r="1754">
      <c r="A1754" t="s">
        <v>2634</v>
      </c>
      <c r="B1754" t="s">
        <v>1445</v>
      </c>
      <c r="C1754" t="s">
        <v>958</v>
      </c>
      <c r="D1754" t="s">
        <v>1380</v>
      </c>
      <c r="E1754" t="s">
        <v>1418</v>
      </c>
      <c r="F1754" t="s">
        <v>120</v>
      </c>
      <c r="G1754" t="s">
        <v>4715</v>
      </c>
      <c r="H1754" t="s">
        <v>5499</v>
      </c>
      <c r="I1754" t="s">
        <v>5620</v>
      </c>
      <c r="J1754" t="s">
        <v>5621</v>
      </c>
      <c r="K1754" t="s">
        <v>5622</v>
      </c>
      <c r="L1754" t="s">
        <v>4717</v>
      </c>
    </row>
    <row r="1755">
      <c r="A1755" t="s">
        <v>2634</v>
      </c>
      <c r="B1755" t="s">
        <v>1445</v>
      </c>
      <c r="C1755" t="s">
        <v>958</v>
      </c>
      <c r="D1755" t="s">
        <v>1380</v>
      </c>
      <c r="E1755" t="s">
        <v>1418</v>
      </c>
      <c r="F1755" t="s">
        <v>120</v>
      </c>
      <c r="G1755" t="s">
        <v>4715</v>
      </c>
      <c r="H1755" t="s">
        <v>5623</v>
      </c>
      <c r="I1755" t="s">
        <v>5624</v>
      </c>
      <c r="J1755" t="s">
        <v>5625</v>
      </c>
      <c r="K1755" t="s">
        <v>5626</v>
      </c>
      <c r="L1755" t="s">
        <v>4717</v>
      </c>
    </row>
    <row r="1756">
      <c r="A1756" t="s">
        <v>2634</v>
      </c>
      <c r="B1756" t="s">
        <v>1445</v>
      </c>
      <c r="C1756" t="s">
        <v>958</v>
      </c>
      <c r="D1756" t="s">
        <v>1380</v>
      </c>
      <c r="E1756" t="s">
        <v>1418</v>
      </c>
      <c r="F1756" t="s">
        <v>120</v>
      </c>
      <c r="G1756" t="s">
        <v>4715</v>
      </c>
      <c r="H1756" t="s">
        <v>3904</v>
      </c>
      <c r="I1756" t="s">
        <v>5627</v>
      </c>
      <c r="J1756" t="s">
        <v>5628</v>
      </c>
      <c r="K1756" t="s">
        <v>5629</v>
      </c>
      <c r="L1756" t="s">
        <v>4717</v>
      </c>
    </row>
    <row r="1757">
      <c r="A1757" t="s">
        <v>2634</v>
      </c>
      <c r="B1757" t="s">
        <v>1445</v>
      </c>
      <c r="C1757" t="s">
        <v>958</v>
      </c>
      <c r="D1757" t="s">
        <v>1380</v>
      </c>
      <c r="E1757" t="s">
        <v>1418</v>
      </c>
      <c r="F1757" t="s">
        <v>120</v>
      </c>
      <c r="G1757" t="s">
        <v>4715</v>
      </c>
      <c r="H1757" t="s">
        <v>5630</v>
      </c>
      <c r="I1757" t="s">
        <v>5474</v>
      </c>
      <c r="J1757" t="s">
        <v>5631</v>
      </c>
      <c r="K1757" t="s">
        <v>5632</v>
      </c>
      <c r="L1757" t="s">
        <v>4717</v>
      </c>
    </row>
    <row r="1758">
      <c r="A1758" t="s">
        <v>2634</v>
      </c>
      <c r="B1758" t="s">
        <v>1445</v>
      </c>
      <c r="C1758" t="s">
        <v>958</v>
      </c>
      <c r="D1758" t="s">
        <v>1380</v>
      </c>
      <c r="E1758" t="s">
        <v>1418</v>
      </c>
      <c r="F1758" t="s">
        <v>120</v>
      </c>
      <c r="G1758" t="s">
        <v>4715</v>
      </c>
      <c r="H1758" t="s">
        <v>5170</v>
      </c>
      <c r="I1758" t="s">
        <v>5171</v>
      </c>
      <c r="J1758" t="s">
        <v>5633</v>
      </c>
      <c r="K1758" t="s">
        <v>5634</v>
      </c>
      <c r="L1758" t="s">
        <v>4717</v>
      </c>
    </row>
    <row r="1759">
      <c r="A1759" t="s">
        <v>2634</v>
      </c>
      <c r="B1759" t="s">
        <v>1445</v>
      </c>
      <c r="C1759" t="s">
        <v>958</v>
      </c>
      <c r="D1759" t="s">
        <v>1380</v>
      </c>
      <c r="E1759" t="s">
        <v>1418</v>
      </c>
      <c r="F1759" t="s">
        <v>120</v>
      </c>
      <c r="G1759" t="s">
        <v>4715</v>
      </c>
      <c r="H1759" t="s">
        <v>5157</v>
      </c>
      <c r="I1759" t="s">
        <v>5635</v>
      </c>
      <c r="J1759" t="s">
        <v>5636</v>
      </c>
      <c r="K1759" t="s">
        <v>5637</v>
      </c>
      <c r="L1759" t="s">
        <v>4717</v>
      </c>
    </row>
    <row r="1760">
      <c r="A1760" t="s">
        <v>2634</v>
      </c>
      <c r="B1760" t="s">
        <v>1445</v>
      </c>
      <c r="C1760" t="s">
        <v>958</v>
      </c>
      <c r="D1760" t="s">
        <v>1380</v>
      </c>
      <c r="E1760" t="s">
        <v>1418</v>
      </c>
      <c r="F1760" t="s">
        <v>120</v>
      </c>
      <c r="G1760" t="s">
        <v>4715</v>
      </c>
      <c r="H1760" t="s">
        <v>5689</v>
      </c>
      <c r="I1760" t="s">
        <v>5304</v>
      </c>
      <c r="J1760" t="s">
        <v>5690</v>
      </c>
      <c r="K1760" t="s">
        <v>5691</v>
      </c>
      <c r="L1760" t="s">
        <v>4717</v>
      </c>
    </row>
    <row r="1761">
      <c r="A1761" t="s">
        <v>2634</v>
      </c>
      <c r="B1761" t="s">
        <v>1445</v>
      </c>
      <c r="C1761" t="s">
        <v>958</v>
      </c>
      <c r="D1761" t="s">
        <v>1380</v>
      </c>
      <c r="E1761" t="s">
        <v>1418</v>
      </c>
      <c r="F1761" t="s">
        <v>120</v>
      </c>
      <c r="G1761" t="s">
        <v>4715</v>
      </c>
      <c r="H1761" t="s">
        <v>5692</v>
      </c>
      <c r="I1761" t="s">
        <v>5693</v>
      </c>
      <c r="J1761" t="s">
        <v>5694</v>
      </c>
      <c r="K1761" t="s">
        <v>5695</v>
      </c>
      <c r="L1761" t="s">
        <v>4717</v>
      </c>
    </row>
    <row r="1762">
      <c r="A1762" t="s">
        <v>2634</v>
      </c>
      <c r="B1762" t="s">
        <v>1445</v>
      </c>
      <c r="C1762" t="s">
        <v>958</v>
      </c>
      <c r="D1762" t="s">
        <v>1380</v>
      </c>
      <c r="E1762" t="s">
        <v>1418</v>
      </c>
      <c r="F1762" t="s">
        <v>120</v>
      </c>
      <c r="G1762" t="s">
        <v>4715</v>
      </c>
      <c r="H1762" t="s">
        <v>5696</v>
      </c>
      <c r="I1762" t="s">
        <v>5324</v>
      </c>
      <c r="J1762" t="s">
        <v>5697</v>
      </c>
      <c r="K1762" t="s">
        <v>5698</v>
      </c>
      <c r="L1762" t="s">
        <v>4717</v>
      </c>
    </row>
    <row r="1763">
      <c r="A1763" t="s">
        <v>2634</v>
      </c>
      <c r="B1763" t="s">
        <v>1445</v>
      </c>
      <c r="C1763" t="s">
        <v>958</v>
      </c>
      <c r="D1763" t="s">
        <v>1380</v>
      </c>
      <c r="E1763" t="s">
        <v>1418</v>
      </c>
      <c r="F1763" t="s">
        <v>120</v>
      </c>
      <c r="G1763" t="s">
        <v>4715</v>
      </c>
      <c r="H1763" t="s">
        <v>5699</v>
      </c>
      <c r="I1763" t="s">
        <v>5700</v>
      </c>
      <c r="J1763" t="s">
        <v>5701</v>
      </c>
      <c r="K1763" t="s">
        <v>5702</v>
      </c>
      <c r="L1763" t="s">
        <v>4717</v>
      </c>
    </row>
    <row r="1764">
      <c r="A1764" t="s">
        <v>2634</v>
      </c>
      <c r="B1764" t="s">
        <v>1445</v>
      </c>
      <c r="C1764" t="s">
        <v>958</v>
      </c>
      <c r="D1764" t="s">
        <v>1380</v>
      </c>
      <c r="E1764" t="s">
        <v>1418</v>
      </c>
      <c r="F1764" t="s">
        <v>120</v>
      </c>
      <c r="G1764" t="s">
        <v>4715</v>
      </c>
      <c r="H1764" t="s">
        <v>5522</v>
      </c>
      <c r="I1764" t="s">
        <v>5656</v>
      </c>
      <c r="J1764" t="s">
        <v>5657</v>
      </c>
      <c r="K1764" t="s">
        <v>5658</v>
      </c>
      <c r="L1764" t="s">
        <v>4717</v>
      </c>
    </row>
    <row r="1765">
      <c r="A1765" t="s">
        <v>2637</v>
      </c>
      <c r="B1765" t="s">
        <v>1455</v>
      </c>
      <c r="C1765" t="s">
        <v>958</v>
      </c>
      <c r="D1765" t="s">
        <v>1380</v>
      </c>
      <c r="E1765" t="s">
        <v>1453</v>
      </c>
      <c r="F1765" t="s">
        <v>154</v>
      </c>
      <c r="G1765" t="s">
        <v>4715</v>
      </c>
      <c r="H1765" t="s">
        <v>5041</v>
      </c>
      <c r="I1765" t="s">
        <v>5614</v>
      </c>
      <c r="J1765" t="s">
        <v>5615</v>
      </c>
      <c r="K1765" t="s">
        <v>4169</v>
      </c>
      <c r="L1765" t="s">
        <v>4717</v>
      </c>
    </row>
    <row r="1766">
      <c r="A1766" t="s">
        <v>2637</v>
      </c>
      <c r="B1766" t="s">
        <v>1455</v>
      </c>
      <c r="C1766" t="s">
        <v>958</v>
      </c>
      <c r="D1766" t="s">
        <v>1380</v>
      </c>
      <c r="E1766" t="s">
        <v>1453</v>
      </c>
      <c r="F1766" t="s">
        <v>154</v>
      </c>
      <c r="G1766" t="s">
        <v>4715</v>
      </c>
      <c r="H1766" t="s">
        <v>5616</v>
      </c>
      <c r="I1766" t="s">
        <v>5617</v>
      </c>
      <c r="J1766" t="s">
        <v>5618</v>
      </c>
      <c r="K1766" t="s">
        <v>5619</v>
      </c>
      <c r="L1766" t="s">
        <v>4717</v>
      </c>
    </row>
    <row r="1767">
      <c r="A1767" t="s">
        <v>2637</v>
      </c>
      <c r="B1767" t="s">
        <v>1455</v>
      </c>
      <c r="C1767" t="s">
        <v>958</v>
      </c>
      <c r="D1767" t="s">
        <v>1380</v>
      </c>
      <c r="E1767" t="s">
        <v>1453</v>
      </c>
      <c r="F1767" t="s">
        <v>154</v>
      </c>
      <c r="G1767" t="s">
        <v>4715</v>
      </c>
      <c r="H1767" t="s">
        <v>5499</v>
      </c>
      <c r="I1767" t="s">
        <v>5620</v>
      </c>
      <c r="J1767" t="s">
        <v>5621</v>
      </c>
      <c r="K1767" t="s">
        <v>5622</v>
      </c>
      <c r="L1767" t="s">
        <v>4717</v>
      </c>
    </row>
    <row r="1768">
      <c r="A1768" t="s">
        <v>2637</v>
      </c>
      <c r="B1768" t="s">
        <v>1455</v>
      </c>
      <c r="C1768" t="s">
        <v>958</v>
      </c>
      <c r="D1768" t="s">
        <v>1380</v>
      </c>
      <c r="E1768" t="s">
        <v>1453</v>
      </c>
      <c r="F1768" t="s">
        <v>154</v>
      </c>
      <c r="G1768" t="s">
        <v>4715</v>
      </c>
      <c r="H1768" t="s">
        <v>5623</v>
      </c>
      <c r="I1768" t="s">
        <v>5624</v>
      </c>
      <c r="J1768" t="s">
        <v>5625</v>
      </c>
      <c r="K1768" t="s">
        <v>5626</v>
      </c>
      <c r="L1768" t="s">
        <v>4717</v>
      </c>
    </row>
    <row r="1769">
      <c r="A1769" t="s">
        <v>2637</v>
      </c>
      <c r="B1769" t="s">
        <v>1455</v>
      </c>
      <c r="C1769" t="s">
        <v>958</v>
      </c>
      <c r="D1769" t="s">
        <v>1380</v>
      </c>
      <c r="E1769" t="s">
        <v>1453</v>
      </c>
      <c r="F1769" t="s">
        <v>154</v>
      </c>
      <c r="G1769" t="s">
        <v>4715</v>
      </c>
      <c r="H1769" t="s">
        <v>3904</v>
      </c>
      <c r="I1769" t="s">
        <v>5627</v>
      </c>
      <c r="J1769" t="s">
        <v>5628</v>
      </c>
      <c r="K1769" t="s">
        <v>5629</v>
      </c>
      <c r="L1769" t="s">
        <v>4717</v>
      </c>
    </row>
    <row r="1770">
      <c r="A1770" t="s">
        <v>2637</v>
      </c>
      <c r="B1770" t="s">
        <v>1455</v>
      </c>
      <c r="C1770" t="s">
        <v>958</v>
      </c>
      <c r="D1770" t="s">
        <v>1380</v>
      </c>
      <c r="E1770" t="s">
        <v>1453</v>
      </c>
      <c r="F1770" t="s">
        <v>154</v>
      </c>
      <c r="G1770" t="s">
        <v>4715</v>
      </c>
      <c r="H1770" t="s">
        <v>5630</v>
      </c>
      <c r="I1770" t="s">
        <v>5474</v>
      </c>
      <c r="J1770" t="s">
        <v>5631</v>
      </c>
      <c r="K1770" t="s">
        <v>5632</v>
      </c>
      <c r="L1770" t="s">
        <v>4717</v>
      </c>
    </row>
    <row r="1771">
      <c r="A1771" t="s">
        <v>2637</v>
      </c>
      <c r="B1771" t="s">
        <v>1455</v>
      </c>
      <c r="C1771" t="s">
        <v>958</v>
      </c>
      <c r="D1771" t="s">
        <v>1380</v>
      </c>
      <c r="E1771" t="s">
        <v>1453</v>
      </c>
      <c r="F1771" t="s">
        <v>154</v>
      </c>
      <c r="G1771" t="s">
        <v>4715</v>
      </c>
      <c r="H1771" t="s">
        <v>5170</v>
      </c>
      <c r="I1771" t="s">
        <v>5171</v>
      </c>
      <c r="J1771" t="s">
        <v>5633</v>
      </c>
      <c r="K1771" t="s">
        <v>5634</v>
      </c>
      <c r="L1771" t="s">
        <v>4717</v>
      </c>
    </row>
    <row r="1772">
      <c r="A1772" t="s">
        <v>2637</v>
      </c>
      <c r="B1772" t="s">
        <v>1455</v>
      </c>
      <c r="C1772" t="s">
        <v>958</v>
      </c>
      <c r="D1772" t="s">
        <v>1380</v>
      </c>
      <c r="E1772" t="s">
        <v>1453</v>
      </c>
      <c r="F1772" t="s">
        <v>154</v>
      </c>
      <c r="G1772" t="s">
        <v>4715</v>
      </c>
      <c r="H1772" t="s">
        <v>5157</v>
      </c>
      <c r="I1772" t="s">
        <v>5635</v>
      </c>
      <c r="J1772" t="s">
        <v>5636</v>
      </c>
      <c r="K1772" t="s">
        <v>5637</v>
      </c>
      <c r="L1772" t="s">
        <v>4717</v>
      </c>
    </row>
    <row r="1773">
      <c r="A1773" t="s">
        <v>2637</v>
      </c>
      <c r="B1773" t="s">
        <v>1455</v>
      </c>
      <c r="C1773" t="s">
        <v>958</v>
      </c>
      <c r="D1773" t="s">
        <v>1380</v>
      </c>
      <c r="E1773" t="s">
        <v>1453</v>
      </c>
      <c r="F1773" t="s">
        <v>154</v>
      </c>
      <c r="G1773" t="s">
        <v>4715</v>
      </c>
      <c r="H1773" t="s">
        <v>5689</v>
      </c>
      <c r="I1773" t="s">
        <v>5304</v>
      </c>
      <c r="J1773" t="s">
        <v>5690</v>
      </c>
      <c r="K1773" t="s">
        <v>5691</v>
      </c>
      <c r="L1773" t="s">
        <v>4717</v>
      </c>
    </row>
    <row r="1774">
      <c r="A1774" t="s">
        <v>2637</v>
      </c>
      <c r="B1774" t="s">
        <v>1455</v>
      </c>
      <c r="C1774" t="s">
        <v>958</v>
      </c>
      <c r="D1774" t="s">
        <v>1380</v>
      </c>
      <c r="E1774" t="s">
        <v>1453</v>
      </c>
      <c r="F1774" t="s">
        <v>154</v>
      </c>
      <c r="G1774" t="s">
        <v>4715</v>
      </c>
      <c r="H1774" t="s">
        <v>5692</v>
      </c>
      <c r="I1774" t="s">
        <v>5693</v>
      </c>
      <c r="J1774" t="s">
        <v>5694</v>
      </c>
      <c r="K1774" t="s">
        <v>5695</v>
      </c>
      <c r="L1774" t="s">
        <v>4717</v>
      </c>
    </row>
    <row r="1775">
      <c r="A1775" t="s">
        <v>2637</v>
      </c>
      <c r="B1775" t="s">
        <v>1455</v>
      </c>
      <c r="C1775" t="s">
        <v>958</v>
      </c>
      <c r="D1775" t="s">
        <v>1380</v>
      </c>
      <c r="E1775" t="s">
        <v>1453</v>
      </c>
      <c r="F1775" t="s">
        <v>154</v>
      </c>
      <c r="G1775" t="s">
        <v>4715</v>
      </c>
      <c r="H1775" t="s">
        <v>5696</v>
      </c>
      <c r="I1775" t="s">
        <v>5324</v>
      </c>
      <c r="J1775" t="s">
        <v>5697</v>
      </c>
      <c r="K1775" t="s">
        <v>5698</v>
      </c>
      <c r="L1775" t="s">
        <v>4717</v>
      </c>
    </row>
    <row r="1776">
      <c r="A1776" t="s">
        <v>2637</v>
      </c>
      <c r="B1776" t="s">
        <v>1455</v>
      </c>
      <c r="C1776" t="s">
        <v>958</v>
      </c>
      <c r="D1776" t="s">
        <v>1380</v>
      </c>
      <c r="E1776" t="s">
        <v>1453</v>
      </c>
      <c r="F1776" t="s">
        <v>154</v>
      </c>
      <c r="G1776" t="s">
        <v>4715</v>
      </c>
      <c r="H1776" t="s">
        <v>5699</v>
      </c>
      <c r="I1776" t="s">
        <v>5700</v>
      </c>
      <c r="J1776" t="s">
        <v>5701</v>
      </c>
      <c r="K1776" t="s">
        <v>5702</v>
      </c>
      <c r="L1776" t="s">
        <v>4717</v>
      </c>
    </row>
    <row r="1777">
      <c r="A1777" t="s">
        <v>2637</v>
      </c>
      <c r="B1777" t="s">
        <v>1455</v>
      </c>
      <c r="C1777" t="s">
        <v>958</v>
      </c>
      <c r="D1777" t="s">
        <v>1380</v>
      </c>
      <c r="E1777" t="s">
        <v>1453</v>
      </c>
      <c r="F1777" t="s">
        <v>154</v>
      </c>
      <c r="G1777" t="s">
        <v>4715</v>
      </c>
      <c r="H1777" t="s">
        <v>5522</v>
      </c>
      <c r="I1777" t="s">
        <v>5656</v>
      </c>
      <c r="J1777" t="s">
        <v>5657</v>
      </c>
      <c r="K1777" t="s">
        <v>5658</v>
      </c>
      <c r="L1777" t="s">
        <v>4717</v>
      </c>
    </row>
    <row r="1778">
      <c r="A1778" t="s">
        <v>2640</v>
      </c>
      <c r="B1778" t="s">
        <v>1463</v>
      </c>
      <c r="C1778" t="s">
        <v>958</v>
      </c>
      <c r="D1778" t="s">
        <v>1380</v>
      </c>
      <c r="E1778" t="s">
        <v>1453</v>
      </c>
      <c r="F1778" t="s">
        <v>120</v>
      </c>
      <c r="G1778" t="s">
        <v>4715</v>
      </c>
      <c r="H1778" t="s">
        <v>5041</v>
      </c>
      <c r="I1778" t="s">
        <v>5614</v>
      </c>
      <c r="J1778" t="s">
        <v>5615</v>
      </c>
      <c r="K1778" t="s">
        <v>4169</v>
      </c>
      <c r="L1778" t="s">
        <v>4717</v>
      </c>
    </row>
    <row r="1779">
      <c r="A1779" t="s">
        <v>2640</v>
      </c>
      <c r="B1779" t="s">
        <v>1463</v>
      </c>
      <c r="C1779" t="s">
        <v>958</v>
      </c>
      <c r="D1779" t="s">
        <v>1380</v>
      </c>
      <c r="E1779" t="s">
        <v>1453</v>
      </c>
      <c r="F1779" t="s">
        <v>120</v>
      </c>
      <c r="G1779" t="s">
        <v>4715</v>
      </c>
      <c r="H1779" t="s">
        <v>5616</v>
      </c>
      <c r="I1779" t="s">
        <v>5617</v>
      </c>
      <c r="J1779" t="s">
        <v>5618</v>
      </c>
      <c r="K1779" t="s">
        <v>5619</v>
      </c>
      <c r="L1779" t="s">
        <v>4717</v>
      </c>
    </row>
    <row r="1780">
      <c r="A1780" t="s">
        <v>2640</v>
      </c>
      <c r="B1780" t="s">
        <v>1463</v>
      </c>
      <c r="C1780" t="s">
        <v>958</v>
      </c>
      <c r="D1780" t="s">
        <v>1380</v>
      </c>
      <c r="E1780" t="s">
        <v>1453</v>
      </c>
      <c r="F1780" t="s">
        <v>120</v>
      </c>
      <c r="G1780" t="s">
        <v>4715</v>
      </c>
      <c r="H1780" t="s">
        <v>5499</v>
      </c>
      <c r="I1780" t="s">
        <v>5620</v>
      </c>
      <c r="J1780" t="s">
        <v>5621</v>
      </c>
      <c r="K1780" t="s">
        <v>5622</v>
      </c>
      <c r="L1780" t="s">
        <v>4717</v>
      </c>
    </row>
    <row r="1781">
      <c r="A1781" t="s">
        <v>2640</v>
      </c>
      <c r="B1781" t="s">
        <v>1463</v>
      </c>
      <c r="C1781" t="s">
        <v>958</v>
      </c>
      <c r="D1781" t="s">
        <v>1380</v>
      </c>
      <c r="E1781" t="s">
        <v>1453</v>
      </c>
      <c r="F1781" t="s">
        <v>120</v>
      </c>
      <c r="G1781" t="s">
        <v>4715</v>
      </c>
      <c r="H1781" t="s">
        <v>5623</v>
      </c>
      <c r="I1781" t="s">
        <v>5624</v>
      </c>
      <c r="J1781" t="s">
        <v>5625</v>
      </c>
      <c r="K1781" t="s">
        <v>5626</v>
      </c>
      <c r="L1781" t="s">
        <v>4717</v>
      </c>
    </row>
    <row r="1782">
      <c r="A1782" t="s">
        <v>2640</v>
      </c>
      <c r="B1782" t="s">
        <v>1463</v>
      </c>
      <c r="C1782" t="s">
        <v>958</v>
      </c>
      <c r="D1782" t="s">
        <v>1380</v>
      </c>
      <c r="E1782" t="s">
        <v>1453</v>
      </c>
      <c r="F1782" t="s">
        <v>120</v>
      </c>
      <c r="G1782" t="s">
        <v>4715</v>
      </c>
      <c r="H1782" t="s">
        <v>3904</v>
      </c>
      <c r="I1782" t="s">
        <v>5627</v>
      </c>
      <c r="J1782" t="s">
        <v>5628</v>
      </c>
      <c r="K1782" t="s">
        <v>5629</v>
      </c>
      <c r="L1782" t="s">
        <v>4717</v>
      </c>
    </row>
    <row r="1783">
      <c r="A1783" t="s">
        <v>2640</v>
      </c>
      <c r="B1783" t="s">
        <v>1463</v>
      </c>
      <c r="C1783" t="s">
        <v>958</v>
      </c>
      <c r="D1783" t="s">
        <v>1380</v>
      </c>
      <c r="E1783" t="s">
        <v>1453</v>
      </c>
      <c r="F1783" t="s">
        <v>120</v>
      </c>
      <c r="G1783" t="s">
        <v>4715</v>
      </c>
      <c r="H1783" t="s">
        <v>5630</v>
      </c>
      <c r="I1783" t="s">
        <v>5474</v>
      </c>
      <c r="J1783" t="s">
        <v>5631</v>
      </c>
      <c r="K1783" t="s">
        <v>5632</v>
      </c>
      <c r="L1783" t="s">
        <v>4717</v>
      </c>
    </row>
    <row r="1784">
      <c r="A1784" t="s">
        <v>2640</v>
      </c>
      <c r="B1784" t="s">
        <v>1463</v>
      </c>
      <c r="C1784" t="s">
        <v>958</v>
      </c>
      <c r="D1784" t="s">
        <v>1380</v>
      </c>
      <c r="E1784" t="s">
        <v>1453</v>
      </c>
      <c r="F1784" t="s">
        <v>120</v>
      </c>
      <c r="G1784" t="s">
        <v>4715</v>
      </c>
      <c r="H1784" t="s">
        <v>5170</v>
      </c>
      <c r="I1784" t="s">
        <v>5171</v>
      </c>
      <c r="J1784" t="s">
        <v>5633</v>
      </c>
      <c r="K1784" t="s">
        <v>5634</v>
      </c>
      <c r="L1784" t="s">
        <v>4717</v>
      </c>
    </row>
    <row r="1785">
      <c r="A1785" t="s">
        <v>2640</v>
      </c>
      <c r="B1785" t="s">
        <v>1463</v>
      </c>
      <c r="C1785" t="s">
        <v>958</v>
      </c>
      <c r="D1785" t="s">
        <v>1380</v>
      </c>
      <c r="E1785" t="s">
        <v>1453</v>
      </c>
      <c r="F1785" t="s">
        <v>120</v>
      </c>
      <c r="G1785" t="s">
        <v>4715</v>
      </c>
      <c r="H1785" t="s">
        <v>5157</v>
      </c>
      <c r="I1785" t="s">
        <v>5635</v>
      </c>
      <c r="J1785" t="s">
        <v>5636</v>
      </c>
      <c r="K1785" t="s">
        <v>5637</v>
      </c>
      <c r="L1785" t="s">
        <v>4717</v>
      </c>
    </row>
    <row r="1786">
      <c r="A1786" t="s">
        <v>2640</v>
      </c>
      <c r="B1786" t="s">
        <v>1463</v>
      </c>
      <c r="C1786" t="s">
        <v>958</v>
      </c>
      <c r="D1786" t="s">
        <v>1380</v>
      </c>
      <c r="E1786" t="s">
        <v>1453</v>
      </c>
      <c r="F1786" t="s">
        <v>120</v>
      </c>
      <c r="G1786" t="s">
        <v>4715</v>
      </c>
      <c r="H1786" t="s">
        <v>5689</v>
      </c>
      <c r="I1786" t="s">
        <v>5304</v>
      </c>
      <c r="J1786" t="s">
        <v>5690</v>
      </c>
      <c r="K1786" t="s">
        <v>5691</v>
      </c>
      <c r="L1786" t="s">
        <v>4717</v>
      </c>
    </row>
    <row r="1787">
      <c r="A1787" t="s">
        <v>2640</v>
      </c>
      <c r="B1787" t="s">
        <v>1463</v>
      </c>
      <c r="C1787" t="s">
        <v>958</v>
      </c>
      <c r="D1787" t="s">
        <v>1380</v>
      </c>
      <c r="E1787" t="s">
        <v>1453</v>
      </c>
      <c r="F1787" t="s">
        <v>120</v>
      </c>
      <c r="G1787" t="s">
        <v>4715</v>
      </c>
      <c r="H1787" t="s">
        <v>5692</v>
      </c>
      <c r="I1787" t="s">
        <v>5693</v>
      </c>
      <c r="J1787" t="s">
        <v>5694</v>
      </c>
      <c r="K1787" t="s">
        <v>5695</v>
      </c>
      <c r="L1787" t="s">
        <v>4717</v>
      </c>
    </row>
    <row r="1788">
      <c r="A1788" t="s">
        <v>2640</v>
      </c>
      <c r="B1788" t="s">
        <v>1463</v>
      </c>
      <c r="C1788" t="s">
        <v>958</v>
      </c>
      <c r="D1788" t="s">
        <v>1380</v>
      </c>
      <c r="E1788" t="s">
        <v>1453</v>
      </c>
      <c r="F1788" t="s">
        <v>120</v>
      </c>
      <c r="G1788" t="s">
        <v>4715</v>
      </c>
      <c r="H1788" t="s">
        <v>5696</v>
      </c>
      <c r="I1788" t="s">
        <v>5324</v>
      </c>
      <c r="J1788" t="s">
        <v>5697</v>
      </c>
      <c r="K1788" t="s">
        <v>5698</v>
      </c>
      <c r="L1788" t="s">
        <v>4717</v>
      </c>
    </row>
    <row r="1789">
      <c r="A1789" t="s">
        <v>2640</v>
      </c>
      <c r="B1789" t="s">
        <v>1463</v>
      </c>
      <c r="C1789" t="s">
        <v>958</v>
      </c>
      <c r="D1789" t="s">
        <v>1380</v>
      </c>
      <c r="E1789" t="s">
        <v>1453</v>
      </c>
      <c r="F1789" t="s">
        <v>120</v>
      </c>
      <c r="G1789" t="s">
        <v>4715</v>
      </c>
      <c r="H1789" t="s">
        <v>5699</v>
      </c>
      <c r="I1789" t="s">
        <v>5700</v>
      </c>
      <c r="J1789" t="s">
        <v>5701</v>
      </c>
      <c r="K1789" t="s">
        <v>5702</v>
      </c>
      <c r="L1789" t="s">
        <v>4717</v>
      </c>
    </row>
    <row r="1790">
      <c r="A1790" t="s">
        <v>2640</v>
      </c>
      <c r="B1790" t="s">
        <v>1463</v>
      </c>
      <c r="C1790" t="s">
        <v>958</v>
      </c>
      <c r="D1790" t="s">
        <v>1380</v>
      </c>
      <c r="E1790" t="s">
        <v>1453</v>
      </c>
      <c r="F1790" t="s">
        <v>120</v>
      </c>
      <c r="G1790" t="s">
        <v>4715</v>
      </c>
      <c r="H1790" t="s">
        <v>5522</v>
      </c>
      <c r="I1790" t="s">
        <v>5656</v>
      </c>
      <c r="J1790" t="s">
        <v>5657</v>
      </c>
      <c r="K1790" t="s">
        <v>5658</v>
      </c>
      <c r="L1790" t="s">
        <v>4717</v>
      </c>
    </row>
    <row r="1791">
      <c r="A1791" t="s">
        <v>2643</v>
      </c>
      <c r="B1791" t="s">
        <v>1468</v>
      </c>
      <c r="C1791" t="s">
        <v>958</v>
      </c>
      <c r="D1791" t="s">
        <v>1380</v>
      </c>
      <c r="E1791" t="s">
        <v>1453</v>
      </c>
      <c r="F1791" t="s">
        <v>120</v>
      </c>
      <c r="G1791" t="s">
        <v>4715</v>
      </c>
      <c r="H1791" t="s">
        <v>5041</v>
      </c>
      <c r="I1791" t="s">
        <v>5614</v>
      </c>
      <c r="J1791" t="s">
        <v>5615</v>
      </c>
      <c r="K1791" t="s">
        <v>4169</v>
      </c>
      <c r="L1791" t="s">
        <v>4717</v>
      </c>
    </row>
    <row r="1792">
      <c r="A1792" t="s">
        <v>2643</v>
      </c>
      <c r="B1792" t="s">
        <v>1468</v>
      </c>
      <c r="C1792" t="s">
        <v>958</v>
      </c>
      <c r="D1792" t="s">
        <v>1380</v>
      </c>
      <c r="E1792" t="s">
        <v>1453</v>
      </c>
      <c r="F1792" t="s">
        <v>120</v>
      </c>
      <c r="G1792" t="s">
        <v>4715</v>
      </c>
      <c r="H1792" t="s">
        <v>5616</v>
      </c>
      <c r="I1792" t="s">
        <v>5617</v>
      </c>
      <c r="J1792" t="s">
        <v>5618</v>
      </c>
      <c r="K1792" t="s">
        <v>5619</v>
      </c>
      <c r="L1792" t="s">
        <v>4717</v>
      </c>
    </row>
    <row r="1793">
      <c r="A1793" t="s">
        <v>2643</v>
      </c>
      <c r="B1793" t="s">
        <v>1468</v>
      </c>
      <c r="C1793" t="s">
        <v>958</v>
      </c>
      <c r="D1793" t="s">
        <v>1380</v>
      </c>
      <c r="E1793" t="s">
        <v>1453</v>
      </c>
      <c r="F1793" t="s">
        <v>120</v>
      </c>
      <c r="G1793" t="s">
        <v>4715</v>
      </c>
      <c r="H1793" t="s">
        <v>5499</v>
      </c>
      <c r="I1793" t="s">
        <v>5620</v>
      </c>
      <c r="J1793" t="s">
        <v>5621</v>
      </c>
      <c r="K1793" t="s">
        <v>5622</v>
      </c>
      <c r="L1793" t="s">
        <v>4717</v>
      </c>
    </row>
    <row r="1794">
      <c r="A1794" t="s">
        <v>2643</v>
      </c>
      <c r="B1794" t="s">
        <v>1468</v>
      </c>
      <c r="C1794" t="s">
        <v>958</v>
      </c>
      <c r="D1794" t="s">
        <v>1380</v>
      </c>
      <c r="E1794" t="s">
        <v>1453</v>
      </c>
      <c r="F1794" t="s">
        <v>120</v>
      </c>
      <c r="G1794" t="s">
        <v>4715</v>
      </c>
      <c r="H1794" t="s">
        <v>5623</v>
      </c>
      <c r="I1794" t="s">
        <v>5624</v>
      </c>
      <c r="J1794" t="s">
        <v>5625</v>
      </c>
      <c r="K1794" t="s">
        <v>5626</v>
      </c>
      <c r="L1794" t="s">
        <v>4717</v>
      </c>
    </row>
    <row r="1795">
      <c r="A1795" t="s">
        <v>2643</v>
      </c>
      <c r="B1795" t="s">
        <v>1468</v>
      </c>
      <c r="C1795" t="s">
        <v>958</v>
      </c>
      <c r="D1795" t="s">
        <v>1380</v>
      </c>
      <c r="E1795" t="s">
        <v>1453</v>
      </c>
      <c r="F1795" t="s">
        <v>120</v>
      </c>
      <c r="G1795" t="s">
        <v>4715</v>
      </c>
      <c r="H1795" t="s">
        <v>3904</v>
      </c>
      <c r="I1795" t="s">
        <v>5627</v>
      </c>
      <c r="J1795" t="s">
        <v>5628</v>
      </c>
      <c r="K1795" t="s">
        <v>5629</v>
      </c>
      <c r="L1795" t="s">
        <v>4717</v>
      </c>
    </row>
    <row r="1796">
      <c r="A1796" t="s">
        <v>2643</v>
      </c>
      <c r="B1796" t="s">
        <v>1468</v>
      </c>
      <c r="C1796" t="s">
        <v>958</v>
      </c>
      <c r="D1796" t="s">
        <v>1380</v>
      </c>
      <c r="E1796" t="s">
        <v>1453</v>
      </c>
      <c r="F1796" t="s">
        <v>120</v>
      </c>
      <c r="G1796" t="s">
        <v>4715</v>
      </c>
      <c r="H1796" t="s">
        <v>5630</v>
      </c>
      <c r="I1796" t="s">
        <v>5474</v>
      </c>
      <c r="J1796" t="s">
        <v>5631</v>
      </c>
      <c r="K1796" t="s">
        <v>5632</v>
      </c>
      <c r="L1796" t="s">
        <v>4717</v>
      </c>
    </row>
    <row r="1797">
      <c r="A1797" t="s">
        <v>2643</v>
      </c>
      <c r="B1797" t="s">
        <v>1468</v>
      </c>
      <c r="C1797" t="s">
        <v>958</v>
      </c>
      <c r="D1797" t="s">
        <v>1380</v>
      </c>
      <c r="E1797" t="s">
        <v>1453</v>
      </c>
      <c r="F1797" t="s">
        <v>120</v>
      </c>
      <c r="G1797" t="s">
        <v>4715</v>
      </c>
      <c r="H1797" t="s">
        <v>5170</v>
      </c>
      <c r="I1797" t="s">
        <v>5171</v>
      </c>
      <c r="J1797" t="s">
        <v>5633</v>
      </c>
      <c r="K1797" t="s">
        <v>5634</v>
      </c>
      <c r="L1797" t="s">
        <v>4717</v>
      </c>
    </row>
    <row r="1798">
      <c r="A1798" t="s">
        <v>2643</v>
      </c>
      <c r="B1798" t="s">
        <v>1468</v>
      </c>
      <c r="C1798" t="s">
        <v>958</v>
      </c>
      <c r="D1798" t="s">
        <v>1380</v>
      </c>
      <c r="E1798" t="s">
        <v>1453</v>
      </c>
      <c r="F1798" t="s">
        <v>120</v>
      </c>
      <c r="G1798" t="s">
        <v>4715</v>
      </c>
      <c r="H1798" t="s">
        <v>5157</v>
      </c>
      <c r="I1798" t="s">
        <v>5635</v>
      </c>
      <c r="J1798" t="s">
        <v>5636</v>
      </c>
      <c r="K1798" t="s">
        <v>5637</v>
      </c>
      <c r="L1798" t="s">
        <v>4717</v>
      </c>
    </row>
    <row r="1799">
      <c r="A1799" t="s">
        <v>2643</v>
      </c>
      <c r="B1799" t="s">
        <v>1468</v>
      </c>
      <c r="C1799" t="s">
        <v>958</v>
      </c>
      <c r="D1799" t="s">
        <v>1380</v>
      </c>
      <c r="E1799" t="s">
        <v>1453</v>
      </c>
      <c r="F1799" t="s">
        <v>120</v>
      </c>
      <c r="G1799" t="s">
        <v>4715</v>
      </c>
      <c r="H1799" t="s">
        <v>5689</v>
      </c>
      <c r="I1799" t="s">
        <v>5304</v>
      </c>
      <c r="J1799" t="s">
        <v>5690</v>
      </c>
      <c r="K1799" t="s">
        <v>5691</v>
      </c>
      <c r="L1799" t="s">
        <v>4717</v>
      </c>
    </row>
    <row r="1800">
      <c r="A1800" t="s">
        <v>2643</v>
      </c>
      <c r="B1800" t="s">
        <v>1468</v>
      </c>
      <c r="C1800" t="s">
        <v>958</v>
      </c>
      <c r="D1800" t="s">
        <v>1380</v>
      </c>
      <c r="E1800" t="s">
        <v>1453</v>
      </c>
      <c r="F1800" t="s">
        <v>120</v>
      </c>
      <c r="G1800" t="s">
        <v>4715</v>
      </c>
      <c r="H1800" t="s">
        <v>5692</v>
      </c>
      <c r="I1800" t="s">
        <v>5693</v>
      </c>
      <c r="J1800" t="s">
        <v>5694</v>
      </c>
      <c r="K1800" t="s">
        <v>5695</v>
      </c>
      <c r="L1800" t="s">
        <v>4717</v>
      </c>
    </row>
    <row r="1801">
      <c r="A1801" t="s">
        <v>2643</v>
      </c>
      <c r="B1801" t="s">
        <v>1468</v>
      </c>
      <c r="C1801" t="s">
        <v>958</v>
      </c>
      <c r="D1801" t="s">
        <v>1380</v>
      </c>
      <c r="E1801" t="s">
        <v>1453</v>
      </c>
      <c r="F1801" t="s">
        <v>120</v>
      </c>
      <c r="G1801" t="s">
        <v>4715</v>
      </c>
      <c r="H1801" t="s">
        <v>5696</v>
      </c>
      <c r="I1801" t="s">
        <v>5324</v>
      </c>
      <c r="J1801" t="s">
        <v>5697</v>
      </c>
      <c r="K1801" t="s">
        <v>5698</v>
      </c>
      <c r="L1801" t="s">
        <v>4717</v>
      </c>
    </row>
    <row r="1802">
      <c r="A1802" t="s">
        <v>2643</v>
      </c>
      <c r="B1802" t="s">
        <v>1468</v>
      </c>
      <c r="C1802" t="s">
        <v>958</v>
      </c>
      <c r="D1802" t="s">
        <v>1380</v>
      </c>
      <c r="E1802" t="s">
        <v>1453</v>
      </c>
      <c r="F1802" t="s">
        <v>120</v>
      </c>
      <c r="G1802" t="s">
        <v>4715</v>
      </c>
      <c r="H1802" t="s">
        <v>5699</v>
      </c>
      <c r="I1802" t="s">
        <v>5700</v>
      </c>
      <c r="J1802" t="s">
        <v>5701</v>
      </c>
      <c r="K1802" t="s">
        <v>5702</v>
      </c>
      <c r="L1802" t="s">
        <v>4717</v>
      </c>
    </row>
    <row r="1803">
      <c r="A1803" t="s">
        <v>2643</v>
      </c>
      <c r="B1803" t="s">
        <v>1468</v>
      </c>
      <c r="C1803" t="s">
        <v>958</v>
      </c>
      <c r="D1803" t="s">
        <v>1380</v>
      </c>
      <c r="E1803" t="s">
        <v>1453</v>
      </c>
      <c r="F1803" t="s">
        <v>120</v>
      </c>
      <c r="G1803" t="s">
        <v>4715</v>
      </c>
      <c r="H1803" t="s">
        <v>5522</v>
      </c>
      <c r="I1803" t="s">
        <v>5656</v>
      </c>
      <c r="J1803" t="s">
        <v>5657</v>
      </c>
      <c r="K1803" t="s">
        <v>5658</v>
      </c>
      <c r="L1803" t="s">
        <v>4717</v>
      </c>
    </row>
    <row r="1804">
      <c r="A1804" t="s">
        <v>2646</v>
      </c>
      <c r="B1804" t="s">
        <v>1473</v>
      </c>
      <c r="C1804" t="s">
        <v>958</v>
      </c>
      <c r="D1804" t="s">
        <v>1380</v>
      </c>
      <c r="E1804" t="s">
        <v>1453</v>
      </c>
      <c r="F1804" t="s">
        <v>120</v>
      </c>
      <c r="G1804" t="s">
        <v>4715</v>
      </c>
      <c r="H1804" t="s">
        <v>5041</v>
      </c>
      <c r="I1804" t="s">
        <v>5614</v>
      </c>
      <c r="J1804" t="s">
        <v>5615</v>
      </c>
      <c r="K1804" t="s">
        <v>4169</v>
      </c>
      <c r="L1804" t="s">
        <v>4717</v>
      </c>
    </row>
    <row r="1805">
      <c r="A1805" t="s">
        <v>2646</v>
      </c>
      <c r="B1805" t="s">
        <v>1473</v>
      </c>
      <c r="C1805" t="s">
        <v>958</v>
      </c>
      <c r="D1805" t="s">
        <v>1380</v>
      </c>
      <c r="E1805" t="s">
        <v>1453</v>
      </c>
      <c r="F1805" t="s">
        <v>120</v>
      </c>
      <c r="G1805" t="s">
        <v>4715</v>
      </c>
      <c r="H1805" t="s">
        <v>5616</v>
      </c>
      <c r="I1805" t="s">
        <v>5617</v>
      </c>
      <c r="J1805" t="s">
        <v>5618</v>
      </c>
      <c r="K1805" t="s">
        <v>5619</v>
      </c>
      <c r="L1805" t="s">
        <v>4717</v>
      </c>
    </row>
    <row r="1806">
      <c r="A1806" t="s">
        <v>2646</v>
      </c>
      <c r="B1806" t="s">
        <v>1473</v>
      </c>
      <c r="C1806" t="s">
        <v>958</v>
      </c>
      <c r="D1806" t="s">
        <v>1380</v>
      </c>
      <c r="E1806" t="s">
        <v>1453</v>
      </c>
      <c r="F1806" t="s">
        <v>120</v>
      </c>
      <c r="G1806" t="s">
        <v>4715</v>
      </c>
      <c r="H1806" t="s">
        <v>5499</v>
      </c>
      <c r="I1806" t="s">
        <v>5620</v>
      </c>
      <c r="J1806" t="s">
        <v>5621</v>
      </c>
      <c r="K1806" t="s">
        <v>5622</v>
      </c>
      <c r="L1806" t="s">
        <v>4717</v>
      </c>
    </row>
    <row r="1807">
      <c r="A1807" t="s">
        <v>2646</v>
      </c>
      <c r="B1807" t="s">
        <v>1473</v>
      </c>
      <c r="C1807" t="s">
        <v>958</v>
      </c>
      <c r="D1807" t="s">
        <v>1380</v>
      </c>
      <c r="E1807" t="s">
        <v>1453</v>
      </c>
      <c r="F1807" t="s">
        <v>120</v>
      </c>
      <c r="G1807" t="s">
        <v>4715</v>
      </c>
      <c r="H1807" t="s">
        <v>5623</v>
      </c>
      <c r="I1807" t="s">
        <v>5624</v>
      </c>
      <c r="J1807" t="s">
        <v>5625</v>
      </c>
      <c r="K1807" t="s">
        <v>5626</v>
      </c>
      <c r="L1807" t="s">
        <v>4717</v>
      </c>
    </row>
    <row r="1808">
      <c r="A1808" t="s">
        <v>2646</v>
      </c>
      <c r="B1808" t="s">
        <v>1473</v>
      </c>
      <c r="C1808" t="s">
        <v>958</v>
      </c>
      <c r="D1808" t="s">
        <v>1380</v>
      </c>
      <c r="E1808" t="s">
        <v>1453</v>
      </c>
      <c r="F1808" t="s">
        <v>120</v>
      </c>
      <c r="G1808" t="s">
        <v>4715</v>
      </c>
      <c r="H1808" t="s">
        <v>3904</v>
      </c>
      <c r="I1808" t="s">
        <v>5627</v>
      </c>
      <c r="J1808" t="s">
        <v>5628</v>
      </c>
      <c r="K1808" t="s">
        <v>5629</v>
      </c>
      <c r="L1808" t="s">
        <v>4717</v>
      </c>
    </row>
    <row r="1809">
      <c r="A1809" t="s">
        <v>2646</v>
      </c>
      <c r="B1809" t="s">
        <v>1473</v>
      </c>
      <c r="C1809" t="s">
        <v>958</v>
      </c>
      <c r="D1809" t="s">
        <v>1380</v>
      </c>
      <c r="E1809" t="s">
        <v>1453</v>
      </c>
      <c r="F1809" t="s">
        <v>120</v>
      </c>
      <c r="G1809" t="s">
        <v>4715</v>
      </c>
      <c r="H1809" t="s">
        <v>5630</v>
      </c>
      <c r="I1809" t="s">
        <v>5474</v>
      </c>
      <c r="J1809" t="s">
        <v>5631</v>
      </c>
      <c r="K1809" t="s">
        <v>5632</v>
      </c>
      <c r="L1809" t="s">
        <v>4717</v>
      </c>
    </row>
    <row r="1810">
      <c r="A1810" t="s">
        <v>2646</v>
      </c>
      <c r="B1810" t="s">
        <v>1473</v>
      </c>
      <c r="C1810" t="s">
        <v>958</v>
      </c>
      <c r="D1810" t="s">
        <v>1380</v>
      </c>
      <c r="E1810" t="s">
        <v>1453</v>
      </c>
      <c r="F1810" t="s">
        <v>120</v>
      </c>
      <c r="G1810" t="s">
        <v>4715</v>
      </c>
      <c r="H1810" t="s">
        <v>5170</v>
      </c>
      <c r="I1810" t="s">
        <v>5171</v>
      </c>
      <c r="J1810" t="s">
        <v>5633</v>
      </c>
      <c r="K1810" t="s">
        <v>5634</v>
      </c>
      <c r="L1810" t="s">
        <v>4717</v>
      </c>
    </row>
    <row r="1811">
      <c r="A1811" t="s">
        <v>2646</v>
      </c>
      <c r="B1811" t="s">
        <v>1473</v>
      </c>
      <c r="C1811" t="s">
        <v>958</v>
      </c>
      <c r="D1811" t="s">
        <v>1380</v>
      </c>
      <c r="E1811" t="s">
        <v>1453</v>
      </c>
      <c r="F1811" t="s">
        <v>120</v>
      </c>
      <c r="G1811" t="s">
        <v>4715</v>
      </c>
      <c r="H1811" t="s">
        <v>5157</v>
      </c>
      <c r="I1811" t="s">
        <v>5635</v>
      </c>
      <c r="J1811" t="s">
        <v>5636</v>
      </c>
      <c r="K1811" t="s">
        <v>5637</v>
      </c>
      <c r="L1811" t="s">
        <v>4717</v>
      </c>
    </row>
    <row r="1812">
      <c r="A1812" t="s">
        <v>2646</v>
      </c>
      <c r="B1812" t="s">
        <v>1473</v>
      </c>
      <c r="C1812" t="s">
        <v>958</v>
      </c>
      <c r="D1812" t="s">
        <v>1380</v>
      </c>
      <c r="E1812" t="s">
        <v>1453</v>
      </c>
      <c r="F1812" t="s">
        <v>120</v>
      </c>
      <c r="G1812" t="s">
        <v>4715</v>
      </c>
      <c r="H1812" t="s">
        <v>5689</v>
      </c>
      <c r="I1812" t="s">
        <v>5304</v>
      </c>
      <c r="J1812" t="s">
        <v>5690</v>
      </c>
      <c r="K1812" t="s">
        <v>5691</v>
      </c>
      <c r="L1812" t="s">
        <v>4717</v>
      </c>
    </row>
    <row r="1813">
      <c r="A1813" t="s">
        <v>2646</v>
      </c>
      <c r="B1813" t="s">
        <v>1473</v>
      </c>
      <c r="C1813" t="s">
        <v>958</v>
      </c>
      <c r="D1813" t="s">
        <v>1380</v>
      </c>
      <c r="E1813" t="s">
        <v>1453</v>
      </c>
      <c r="F1813" t="s">
        <v>120</v>
      </c>
      <c r="G1813" t="s">
        <v>4715</v>
      </c>
      <c r="H1813" t="s">
        <v>5692</v>
      </c>
      <c r="I1813" t="s">
        <v>5693</v>
      </c>
      <c r="J1813" t="s">
        <v>5694</v>
      </c>
      <c r="K1813" t="s">
        <v>5695</v>
      </c>
      <c r="L1813" t="s">
        <v>4717</v>
      </c>
    </row>
    <row r="1814">
      <c r="A1814" t="s">
        <v>2646</v>
      </c>
      <c r="B1814" t="s">
        <v>1473</v>
      </c>
      <c r="C1814" t="s">
        <v>958</v>
      </c>
      <c r="D1814" t="s">
        <v>1380</v>
      </c>
      <c r="E1814" t="s">
        <v>1453</v>
      </c>
      <c r="F1814" t="s">
        <v>120</v>
      </c>
      <c r="G1814" t="s">
        <v>4715</v>
      </c>
      <c r="H1814" t="s">
        <v>5696</v>
      </c>
      <c r="I1814" t="s">
        <v>5324</v>
      </c>
      <c r="J1814" t="s">
        <v>5697</v>
      </c>
      <c r="K1814" t="s">
        <v>5698</v>
      </c>
      <c r="L1814" t="s">
        <v>4717</v>
      </c>
    </row>
    <row r="1815">
      <c r="A1815" t="s">
        <v>2646</v>
      </c>
      <c r="B1815" t="s">
        <v>1473</v>
      </c>
      <c r="C1815" t="s">
        <v>958</v>
      </c>
      <c r="D1815" t="s">
        <v>1380</v>
      </c>
      <c r="E1815" t="s">
        <v>1453</v>
      </c>
      <c r="F1815" t="s">
        <v>120</v>
      </c>
      <c r="G1815" t="s">
        <v>4715</v>
      </c>
      <c r="H1815" t="s">
        <v>5699</v>
      </c>
      <c r="I1815" t="s">
        <v>5700</v>
      </c>
      <c r="J1815" t="s">
        <v>5701</v>
      </c>
      <c r="K1815" t="s">
        <v>5702</v>
      </c>
      <c r="L1815" t="s">
        <v>4717</v>
      </c>
    </row>
    <row r="1816">
      <c r="A1816" t="s">
        <v>2646</v>
      </c>
      <c r="B1816" t="s">
        <v>1473</v>
      </c>
      <c r="C1816" t="s">
        <v>958</v>
      </c>
      <c r="D1816" t="s">
        <v>1380</v>
      </c>
      <c r="E1816" t="s">
        <v>1453</v>
      </c>
      <c r="F1816" t="s">
        <v>120</v>
      </c>
      <c r="G1816" t="s">
        <v>4715</v>
      </c>
      <c r="H1816" t="s">
        <v>5522</v>
      </c>
      <c r="I1816" t="s">
        <v>5656</v>
      </c>
      <c r="J1816" t="s">
        <v>5657</v>
      </c>
      <c r="K1816" t="s">
        <v>5658</v>
      </c>
      <c r="L1816" t="s">
        <v>4717</v>
      </c>
    </row>
    <row r="1817">
      <c r="A1817" t="s">
        <v>2649</v>
      </c>
      <c r="B1817" t="s">
        <v>1481</v>
      </c>
      <c r="C1817" t="s">
        <v>958</v>
      </c>
      <c r="D1817" t="s">
        <v>1380</v>
      </c>
      <c r="E1817" t="s">
        <v>1453</v>
      </c>
      <c r="F1817" t="s">
        <v>120</v>
      </c>
      <c r="G1817" t="s">
        <v>4715</v>
      </c>
      <c r="H1817" t="s">
        <v>5041</v>
      </c>
      <c r="I1817" t="s">
        <v>5614</v>
      </c>
      <c r="J1817" t="s">
        <v>5615</v>
      </c>
      <c r="K1817" t="s">
        <v>4169</v>
      </c>
      <c r="L1817" t="s">
        <v>4717</v>
      </c>
    </row>
    <row r="1818">
      <c r="A1818" t="s">
        <v>2649</v>
      </c>
      <c r="B1818" t="s">
        <v>1481</v>
      </c>
      <c r="C1818" t="s">
        <v>958</v>
      </c>
      <c r="D1818" t="s">
        <v>1380</v>
      </c>
      <c r="E1818" t="s">
        <v>1453</v>
      </c>
      <c r="F1818" t="s">
        <v>120</v>
      </c>
      <c r="G1818" t="s">
        <v>4715</v>
      </c>
      <c r="H1818" t="s">
        <v>5616</v>
      </c>
      <c r="I1818" t="s">
        <v>5617</v>
      </c>
      <c r="J1818" t="s">
        <v>5618</v>
      </c>
      <c r="K1818" t="s">
        <v>5619</v>
      </c>
      <c r="L1818" t="s">
        <v>4717</v>
      </c>
    </row>
    <row r="1819">
      <c r="A1819" t="s">
        <v>2649</v>
      </c>
      <c r="B1819" t="s">
        <v>1481</v>
      </c>
      <c r="C1819" t="s">
        <v>958</v>
      </c>
      <c r="D1819" t="s">
        <v>1380</v>
      </c>
      <c r="E1819" t="s">
        <v>1453</v>
      </c>
      <c r="F1819" t="s">
        <v>120</v>
      </c>
      <c r="G1819" t="s">
        <v>4715</v>
      </c>
      <c r="H1819" t="s">
        <v>5499</v>
      </c>
      <c r="I1819" t="s">
        <v>5620</v>
      </c>
      <c r="J1819" t="s">
        <v>5621</v>
      </c>
      <c r="K1819" t="s">
        <v>5622</v>
      </c>
      <c r="L1819" t="s">
        <v>4717</v>
      </c>
    </row>
    <row r="1820">
      <c r="A1820" t="s">
        <v>2649</v>
      </c>
      <c r="B1820" t="s">
        <v>1481</v>
      </c>
      <c r="C1820" t="s">
        <v>958</v>
      </c>
      <c r="D1820" t="s">
        <v>1380</v>
      </c>
      <c r="E1820" t="s">
        <v>1453</v>
      </c>
      <c r="F1820" t="s">
        <v>120</v>
      </c>
      <c r="G1820" t="s">
        <v>4715</v>
      </c>
      <c r="H1820" t="s">
        <v>5623</v>
      </c>
      <c r="I1820" t="s">
        <v>5624</v>
      </c>
      <c r="J1820" t="s">
        <v>5625</v>
      </c>
      <c r="K1820" t="s">
        <v>5626</v>
      </c>
      <c r="L1820" t="s">
        <v>4717</v>
      </c>
    </row>
    <row r="1821">
      <c r="A1821" t="s">
        <v>2649</v>
      </c>
      <c r="B1821" t="s">
        <v>1481</v>
      </c>
      <c r="C1821" t="s">
        <v>958</v>
      </c>
      <c r="D1821" t="s">
        <v>1380</v>
      </c>
      <c r="E1821" t="s">
        <v>1453</v>
      </c>
      <c r="F1821" t="s">
        <v>120</v>
      </c>
      <c r="G1821" t="s">
        <v>4715</v>
      </c>
      <c r="H1821" t="s">
        <v>3904</v>
      </c>
      <c r="I1821" t="s">
        <v>5627</v>
      </c>
      <c r="J1821" t="s">
        <v>5628</v>
      </c>
      <c r="K1821" t="s">
        <v>5629</v>
      </c>
      <c r="L1821" t="s">
        <v>4717</v>
      </c>
    </row>
    <row r="1822">
      <c r="A1822" t="s">
        <v>2649</v>
      </c>
      <c r="B1822" t="s">
        <v>1481</v>
      </c>
      <c r="C1822" t="s">
        <v>958</v>
      </c>
      <c r="D1822" t="s">
        <v>1380</v>
      </c>
      <c r="E1822" t="s">
        <v>1453</v>
      </c>
      <c r="F1822" t="s">
        <v>120</v>
      </c>
      <c r="G1822" t="s">
        <v>4715</v>
      </c>
      <c r="H1822" t="s">
        <v>5630</v>
      </c>
      <c r="I1822" t="s">
        <v>5474</v>
      </c>
      <c r="J1822" t="s">
        <v>5631</v>
      </c>
      <c r="K1822" t="s">
        <v>5632</v>
      </c>
      <c r="L1822" t="s">
        <v>4717</v>
      </c>
    </row>
    <row r="1823">
      <c r="A1823" t="s">
        <v>2649</v>
      </c>
      <c r="B1823" t="s">
        <v>1481</v>
      </c>
      <c r="C1823" t="s">
        <v>958</v>
      </c>
      <c r="D1823" t="s">
        <v>1380</v>
      </c>
      <c r="E1823" t="s">
        <v>1453</v>
      </c>
      <c r="F1823" t="s">
        <v>120</v>
      </c>
      <c r="G1823" t="s">
        <v>4715</v>
      </c>
      <c r="H1823" t="s">
        <v>5170</v>
      </c>
      <c r="I1823" t="s">
        <v>5171</v>
      </c>
      <c r="J1823" t="s">
        <v>5633</v>
      </c>
      <c r="K1823" t="s">
        <v>5634</v>
      </c>
      <c r="L1823" t="s">
        <v>4717</v>
      </c>
    </row>
    <row r="1824">
      <c r="A1824" t="s">
        <v>2649</v>
      </c>
      <c r="B1824" t="s">
        <v>1481</v>
      </c>
      <c r="C1824" t="s">
        <v>958</v>
      </c>
      <c r="D1824" t="s">
        <v>1380</v>
      </c>
      <c r="E1824" t="s">
        <v>1453</v>
      </c>
      <c r="F1824" t="s">
        <v>120</v>
      </c>
      <c r="G1824" t="s">
        <v>4715</v>
      </c>
      <c r="H1824" t="s">
        <v>5157</v>
      </c>
      <c r="I1824" t="s">
        <v>5635</v>
      </c>
      <c r="J1824" t="s">
        <v>5636</v>
      </c>
      <c r="K1824" t="s">
        <v>5637</v>
      </c>
      <c r="L1824" t="s">
        <v>4717</v>
      </c>
    </row>
    <row r="1825">
      <c r="A1825" t="s">
        <v>2649</v>
      </c>
      <c r="B1825" t="s">
        <v>1481</v>
      </c>
      <c r="C1825" t="s">
        <v>958</v>
      </c>
      <c r="D1825" t="s">
        <v>1380</v>
      </c>
      <c r="E1825" t="s">
        <v>1453</v>
      </c>
      <c r="F1825" t="s">
        <v>120</v>
      </c>
      <c r="G1825" t="s">
        <v>4715</v>
      </c>
      <c r="H1825" t="s">
        <v>5689</v>
      </c>
      <c r="I1825" t="s">
        <v>5304</v>
      </c>
      <c r="J1825" t="s">
        <v>5690</v>
      </c>
      <c r="K1825" t="s">
        <v>5691</v>
      </c>
      <c r="L1825" t="s">
        <v>4717</v>
      </c>
    </row>
    <row r="1826">
      <c r="A1826" t="s">
        <v>2649</v>
      </c>
      <c r="B1826" t="s">
        <v>1481</v>
      </c>
      <c r="C1826" t="s">
        <v>958</v>
      </c>
      <c r="D1826" t="s">
        <v>1380</v>
      </c>
      <c r="E1826" t="s">
        <v>1453</v>
      </c>
      <c r="F1826" t="s">
        <v>120</v>
      </c>
      <c r="G1826" t="s">
        <v>4715</v>
      </c>
      <c r="H1826" t="s">
        <v>5692</v>
      </c>
      <c r="I1826" t="s">
        <v>5693</v>
      </c>
      <c r="J1826" t="s">
        <v>5694</v>
      </c>
      <c r="K1826" t="s">
        <v>5695</v>
      </c>
      <c r="L1826" t="s">
        <v>4717</v>
      </c>
    </row>
    <row r="1827">
      <c r="A1827" t="s">
        <v>2649</v>
      </c>
      <c r="B1827" t="s">
        <v>1481</v>
      </c>
      <c r="C1827" t="s">
        <v>958</v>
      </c>
      <c r="D1827" t="s">
        <v>1380</v>
      </c>
      <c r="E1827" t="s">
        <v>1453</v>
      </c>
      <c r="F1827" t="s">
        <v>120</v>
      </c>
      <c r="G1827" t="s">
        <v>4715</v>
      </c>
      <c r="H1827" t="s">
        <v>5696</v>
      </c>
      <c r="I1827" t="s">
        <v>5324</v>
      </c>
      <c r="J1827" t="s">
        <v>5697</v>
      </c>
      <c r="K1827" t="s">
        <v>5698</v>
      </c>
      <c r="L1827" t="s">
        <v>4717</v>
      </c>
    </row>
    <row r="1828">
      <c r="A1828" t="s">
        <v>2649</v>
      </c>
      <c r="B1828" t="s">
        <v>1481</v>
      </c>
      <c r="C1828" t="s">
        <v>958</v>
      </c>
      <c r="D1828" t="s">
        <v>1380</v>
      </c>
      <c r="E1828" t="s">
        <v>1453</v>
      </c>
      <c r="F1828" t="s">
        <v>120</v>
      </c>
      <c r="G1828" t="s">
        <v>4715</v>
      </c>
      <c r="H1828" t="s">
        <v>5699</v>
      </c>
      <c r="I1828" t="s">
        <v>5700</v>
      </c>
      <c r="J1828" t="s">
        <v>5701</v>
      </c>
      <c r="K1828" t="s">
        <v>5702</v>
      </c>
      <c r="L1828" t="s">
        <v>4717</v>
      </c>
    </row>
    <row r="1829">
      <c r="A1829" t="s">
        <v>2649</v>
      </c>
      <c r="B1829" t="s">
        <v>1481</v>
      </c>
      <c r="C1829" t="s">
        <v>958</v>
      </c>
      <c r="D1829" t="s">
        <v>1380</v>
      </c>
      <c r="E1829" t="s">
        <v>1453</v>
      </c>
      <c r="F1829" t="s">
        <v>120</v>
      </c>
      <c r="G1829" t="s">
        <v>4715</v>
      </c>
      <c r="H1829" t="s">
        <v>5522</v>
      </c>
      <c r="I1829" t="s">
        <v>5656</v>
      </c>
      <c r="J1829" t="s">
        <v>5657</v>
      </c>
      <c r="K1829" t="s">
        <v>5658</v>
      </c>
      <c r="L1829" t="s">
        <v>4717</v>
      </c>
    </row>
    <row r="1830">
      <c r="A1830" t="s">
        <v>2652</v>
      </c>
      <c r="B1830" t="s">
        <v>1489</v>
      </c>
      <c r="C1830" t="s">
        <v>958</v>
      </c>
      <c r="D1830" t="s">
        <v>1486</v>
      </c>
      <c r="E1830" t="s">
        <v>1487</v>
      </c>
      <c r="F1830" t="s">
        <v>120</v>
      </c>
      <c r="G1830" t="s">
        <v>4715</v>
      </c>
      <c r="H1830" t="s">
        <v>5041</v>
      </c>
      <c r="I1830" t="s">
        <v>5614</v>
      </c>
      <c r="J1830" t="s">
        <v>5615</v>
      </c>
      <c r="K1830" t="s">
        <v>4169</v>
      </c>
      <c r="L1830" t="s">
        <v>4717</v>
      </c>
    </row>
    <row r="1831">
      <c r="A1831" t="s">
        <v>2652</v>
      </c>
      <c r="B1831" t="s">
        <v>1489</v>
      </c>
      <c r="C1831" t="s">
        <v>958</v>
      </c>
      <c r="D1831" t="s">
        <v>1486</v>
      </c>
      <c r="E1831" t="s">
        <v>1487</v>
      </c>
      <c r="F1831" t="s">
        <v>120</v>
      </c>
      <c r="G1831" t="s">
        <v>4715</v>
      </c>
      <c r="H1831" t="s">
        <v>5616</v>
      </c>
      <c r="I1831" t="s">
        <v>5617</v>
      </c>
      <c r="J1831" t="s">
        <v>5618</v>
      </c>
      <c r="K1831" t="s">
        <v>5619</v>
      </c>
      <c r="L1831" t="s">
        <v>4717</v>
      </c>
    </row>
    <row r="1832">
      <c r="A1832" t="s">
        <v>2652</v>
      </c>
      <c r="B1832" t="s">
        <v>1489</v>
      </c>
      <c r="C1832" t="s">
        <v>958</v>
      </c>
      <c r="D1832" t="s">
        <v>1486</v>
      </c>
      <c r="E1832" t="s">
        <v>1487</v>
      </c>
      <c r="F1832" t="s">
        <v>120</v>
      </c>
      <c r="G1832" t="s">
        <v>4715</v>
      </c>
      <c r="H1832" t="s">
        <v>5499</v>
      </c>
      <c r="I1832" t="s">
        <v>5620</v>
      </c>
      <c r="J1832" t="s">
        <v>5621</v>
      </c>
      <c r="K1832" t="s">
        <v>5622</v>
      </c>
      <c r="L1832" t="s">
        <v>4717</v>
      </c>
    </row>
    <row r="1833">
      <c r="A1833" t="s">
        <v>2652</v>
      </c>
      <c r="B1833" t="s">
        <v>1489</v>
      </c>
      <c r="C1833" t="s">
        <v>958</v>
      </c>
      <c r="D1833" t="s">
        <v>1486</v>
      </c>
      <c r="E1833" t="s">
        <v>1487</v>
      </c>
      <c r="F1833" t="s">
        <v>120</v>
      </c>
      <c r="G1833" t="s">
        <v>4715</v>
      </c>
      <c r="H1833" t="s">
        <v>5623</v>
      </c>
      <c r="I1833" t="s">
        <v>5624</v>
      </c>
      <c r="J1833" t="s">
        <v>5625</v>
      </c>
      <c r="K1833" t="s">
        <v>5626</v>
      </c>
      <c r="L1833" t="s">
        <v>4717</v>
      </c>
    </row>
    <row r="1834">
      <c r="A1834" t="s">
        <v>2652</v>
      </c>
      <c r="B1834" t="s">
        <v>1489</v>
      </c>
      <c r="C1834" t="s">
        <v>958</v>
      </c>
      <c r="D1834" t="s">
        <v>1486</v>
      </c>
      <c r="E1834" t="s">
        <v>1487</v>
      </c>
      <c r="F1834" t="s">
        <v>120</v>
      </c>
      <c r="G1834" t="s">
        <v>4715</v>
      </c>
      <c r="H1834" t="s">
        <v>3904</v>
      </c>
      <c r="I1834" t="s">
        <v>5627</v>
      </c>
      <c r="J1834" t="s">
        <v>5628</v>
      </c>
      <c r="K1834" t="s">
        <v>5629</v>
      </c>
      <c r="L1834" t="s">
        <v>4717</v>
      </c>
    </row>
    <row r="1835">
      <c r="A1835" t="s">
        <v>2652</v>
      </c>
      <c r="B1835" t="s">
        <v>1489</v>
      </c>
      <c r="C1835" t="s">
        <v>958</v>
      </c>
      <c r="D1835" t="s">
        <v>1486</v>
      </c>
      <c r="E1835" t="s">
        <v>1487</v>
      </c>
      <c r="F1835" t="s">
        <v>120</v>
      </c>
      <c r="G1835" t="s">
        <v>4715</v>
      </c>
      <c r="H1835" t="s">
        <v>5630</v>
      </c>
      <c r="I1835" t="s">
        <v>5474</v>
      </c>
      <c r="J1835" t="s">
        <v>5631</v>
      </c>
      <c r="K1835" t="s">
        <v>5632</v>
      </c>
      <c r="L1835" t="s">
        <v>4717</v>
      </c>
    </row>
    <row r="1836">
      <c r="A1836" t="s">
        <v>2652</v>
      </c>
      <c r="B1836" t="s">
        <v>1489</v>
      </c>
      <c r="C1836" t="s">
        <v>958</v>
      </c>
      <c r="D1836" t="s">
        <v>1486</v>
      </c>
      <c r="E1836" t="s">
        <v>1487</v>
      </c>
      <c r="F1836" t="s">
        <v>120</v>
      </c>
      <c r="G1836" t="s">
        <v>4715</v>
      </c>
      <c r="H1836" t="s">
        <v>5170</v>
      </c>
      <c r="I1836" t="s">
        <v>5171</v>
      </c>
      <c r="J1836" t="s">
        <v>5633</v>
      </c>
      <c r="K1836" t="s">
        <v>5634</v>
      </c>
      <c r="L1836" t="s">
        <v>4717</v>
      </c>
    </row>
    <row r="1837">
      <c r="A1837" t="s">
        <v>2652</v>
      </c>
      <c r="B1837" t="s">
        <v>1489</v>
      </c>
      <c r="C1837" t="s">
        <v>958</v>
      </c>
      <c r="D1837" t="s">
        <v>1486</v>
      </c>
      <c r="E1837" t="s">
        <v>1487</v>
      </c>
      <c r="F1837" t="s">
        <v>120</v>
      </c>
      <c r="G1837" t="s">
        <v>4715</v>
      </c>
      <c r="H1837" t="s">
        <v>5157</v>
      </c>
      <c r="I1837" t="s">
        <v>5635</v>
      </c>
      <c r="J1837" t="s">
        <v>5636</v>
      </c>
      <c r="K1837" t="s">
        <v>5637</v>
      </c>
      <c r="L1837" t="s">
        <v>4717</v>
      </c>
    </row>
    <row r="1838">
      <c r="A1838" t="s">
        <v>2652</v>
      </c>
      <c r="B1838" t="s">
        <v>1489</v>
      </c>
      <c r="C1838" t="s">
        <v>958</v>
      </c>
      <c r="D1838" t="s">
        <v>1486</v>
      </c>
      <c r="E1838" t="s">
        <v>1487</v>
      </c>
      <c r="F1838" t="s">
        <v>120</v>
      </c>
      <c r="G1838" t="s">
        <v>4715</v>
      </c>
      <c r="H1838" t="s">
        <v>5689</v>
      </c>
      <c r="I1838" t="s">
        <v>5304</v>
      </c>
      <c r="J1838" t="s">
        <v>5690</v>
      </c>
      <c r="K1838" t="s">
        <v>5691</v>
      </c>
      <c r="L1838" t="s">
        <v>4717</v>
      </c>
    </row>
    <row r="1839">
      <c r="A1839" t="s">
        <v>2652</v>
      </c>
      <c r="B1839" t="s">
        <v>1489</v>
      </c>
      <c r="C1839" t="s">
        <v>958</v>
      </c>
      <c r="D1839" t="s">
        <v>1486</v>
      </c>
      <c r="E1839" t="s">
        <v>1487</v>
      </c>
      <c r="F1839" t="s">
        <v>120</v>
      </c>
      <c r="G1839" t="s">
        <v>4715</v>
      </c>
      <c r="H1839" t="s">
        <v>5692</v>
      </c>
      <c r="I1839" t="s">
        <v>5693</v>
      </c>
      <c r="J1839" t="s">
        <v>5694</v>
      </c>
      <c r="K1839" t="s">
        <v>5695</v>
      </c>
      <c r="L1839" t="s">
        <v>4717</v>
      </c>
    </row>
    <row r="1840">
      <c r="A1840" t="s">
        <v>2652</v>
      </c>
      <c r="B1840" t="s">
        <v>1489</v>
      </c>
      <c r="C1840" t="s">
        <v>958</v>
      </c>
      <c r="D1840" t="s">
        <v>1486</v>
      </c>
      <c r="E1840" t="s">
        <v>1487</v>
      </c>
      <c r="F1840" t="s">
        <v>120</v>
      </c>
      <c r="G1840" t="s">
        <v>4715</v>
      </c>
      <c r="H1840" t="s">
        <v>5696</v>
      </c>
      <c r="I1840" t="s">
        <v>5324</v>
      </c>
      <c r="J1840" t="s">
        <v>5697</v>
      </c>
      <c r="K1840" t="s">
        <v>5698</v>
      </c>
      <c r="L1840" t="s">
        <v>4717</v>
      </c>
    </row>
    <row r="1841">
      <c r="A1841" t="s">
        <v>2652</v>
      </c>
      <c r="B1841" t="s">
        <v>1489</v>
      </c>
      <c r="C1841" t="s">
        <v>958</v>
      </c>
      <c r="D1841" t="s">
        <v>1486</v>
      </c>
      <c r="E1841" t="s">
        <v>1487</v>
      </c>
      <c r="F1841" t="s">
        <v>120</v>
      </c>
      <c r="G1841" t="s">
        <v>4715</v>
      </c>
      <c r="H1841" t="s">
        <v>5699</v>
      </c>
      <c r="I1841" t="s">
        <v>5700</v>
      </c>
      <c r="J1841" t="s">
        <v>5701</v>
      </c>
      <c r="K1841" t="s">
        <v>5702</v>
      </c>
      <c r="L1841" t="s">
        <v>4717</v>
      </c>
    </row>
    <row r="1842">
      <c r="A1842" t="s">
        <v>2652</v>
      </c>
      <c r="B1842" t="s">
        <v>1489</v>
      </c>
      <c r="C1842" t="s">
        <v>958</v>
      </c>
      <c r="D1842" t="s">
        <v>1486</v>
      </c>
      <c r="E1842" t="s">
        <v>1487</v>
      </c>
      <c r="F1842" t="s">
        <v>120</v>
      </c>
      <c r="G1842" t="s">
        <v>4715</v>
      </c>
      <c r="H1842" t="s">
        <v>5522</v>
      </c>
      <c r="I1842" t="s">
        <v>5656</v>
      </c>
      <c r="J1842" t="s">
        <v>5657</v>
      </c>
      <c r="K1842" t="s">
        <v>5658</v>
      </c>
      <c r="L1842" t="s">
        <v>4717</v>
      </c>
    </row>
    <row r="1843">
      <c r="A1843" t="s">
        <v>2655</v>
      </c>
      <c r="B1843" t="s">
        <v>1497</v>
      </c>
      <c r="C1843" t="s">
        <v>958</v>
      </c>
      <c r="D1843" t="s">
        <v>1486</v>
      </c>
      <c r="E1843" t="s">
        <v>1487</v>
      </c>
      <c r="F1843" t="s">
        <v>120</v>
      </c>
      <c r="G1843" t="s">
        <v>4715</v>
      </c>
      <c r="H1843" t="s">
        <v>5041</v>
      </c>
      <c r="I1843" t="s">
        <v>5614</v>
      </c>
      <c r="J1843" t="s">
        <v>5615</v>
      </c>
      <c r="K1843" t="s">
        <v>4169</v>
      </c>
      <c r="L1843" t="s">
        <v>4717</v>
      </c>
    </row>
    <row r="1844">
      <c r="A1844" t="s">
        <v>2655</v>
      </c>
      <c r="B1844" t="s">
        <v>1497</v>
      </c>
      <c r="C1844" t="s">
        <v>958</v>
      </c>
      <c r="D1844" t="s">
        <v>1486</v>
      </c>
      <c r="E1844" t="s">
        <v>1487</v>
      </c>
      <c r="F1844" t="s">
        <v>120</v>
      </c>
      <c r="G1844" t="s">
        <v>4715</v>
      </c>
      <c r="H1844" t="s">
        <v>5616</v>
      </c>
      <c r="I1844" t="s">
        <v>5617</v>
      </c>
      <c r="J1844" t="s">
        <v>5618</v>
      </c>
      <c r="K1844" t="s">
        <v>5619</v>
      </c>
      <c r="L1844" t="s">
        <v>4717</v>
      </c>
    </row>
    <row r="1845">
      <c r="A1845" t="s">
        <v>2655</v>
      </c>
      <c r="B1845" t="s">
        <v>1497</v>
      </c>
      <c r="C1845" t="s">
        <v>958</v>
      </c>
      <c r="D1845" t="s">
        <v>1486</v>
      </c>
      <c r="E1845" t="s">
        <v>1487</v>
      </c>
      <c r="F1845" t="s">
        <v>120</v>
      </c>
      <c r="G1845" t="s">
        <v>4715</v>
      </c>
      <c r="H1845" t="s">
        <v>5499</v>
      </c>
      <c r="I1845" t="s">
        <v>5620</v>
      </c>
      <c r="J1845" t="s">
        <v>5621</v>
      </c>
      <c r="K1845" t="s">
        <v>5622</v>
      </c>
      <c r="L1845" t="s">
        <v>4717</v>
      </c>
    </row>
    <row r="1846">
      <c r="A1846" t="s">
        <v>2655</v>
      </c>
      <c r="B1846" t="s">
        <v>1497</v>
      </c>
      <c r="C1846" t="s">
        <v>958</v>
      </c>
      <c r="D1846" t="s">
        <v>1486</v>
      </c>
      <c r="E1846" t="s">
        <v>1487</v>
      </c>
      <c r="F1846" t="s">
        <v>120</v>
      </c>
      <c r="G1846" t="s">
        <v>4715</v>
      </c>
      <c r="H1846" t="s">
        <v>5623</v>
      </c>
      <c r="I1846" t="s">
        <v>5624</v>
      </c>
      <c r="J1846" t="s">
        <v>5625</v>
      </c>
      <c r="K1846" t="s">
        <v>5626</v>
      </c>
      <c r="L1846" t="s">
        <v>4717</v>
      </c>
    </row>
    <row r="1847">
      <c r="A1847" t="s">
        <v>2655</v>
      </c>
      <c r="B1847" t="s">
        <v>1497</v>
      </c>
      <c r="C1847" t="s">
        <v>958</v>
      </c>
      <c r="D1847" t="s">
        <v>1486</v>
      </c>
      <c r="E1847" t="s">
        <v>1487</v>
      </c>
      <c r="F1847" t="s">
        <v>120</v>
      </c>
      <c r="G1847" t="s">
        <v>4715</v>
      </c>
      <c r="H1847" t="s">
        <v>3904</v>
      </c>
      <c r="I1847" t="s">
        <v>5627</v>
      </c>
      <c r="J1847" t="s">
        <v>5628</v>
      </c>
      <c r="K1847" t="s">
        <v>5629</v>
      </c>
      <c r="L1847" t="s">
        <v>4717</v>
      </c>
    </row>
    <row r="1848">
      <c r="A1848" t="s">
        <v>2655</v>
      </c>
      <c r="B1848" t="s">
        <v>1497</v>
      </c>
      <c r="C1848" t="s">
        <v>958</v>
      </c>
      <c r="D1848" t="s">
        <v>1486</v>
      </c>
      <c r="E1848" t="s">
        <v>1487</v>
      </c>
      <c r="F1848" t="s">
        <v>120</v>
      </c>
      <c r="G1848" t="s">
        <v>4715</v>
      </c>
      <c r="H1848" t="s">
        <v>5630</v>
      </c>
      <c r="I1848" t="s">
        <v>5474</v>
      </c>
      <c r="J1848" t="s">
        <v>5631</v>
      </c>
      <c r="K1848" t="s">
        <v>5632</v>
      </c>
      <c r="L1848" t="s">
        <v>4717</v>
      </c>
    </row>
    <row r="1849">
      <c r="A1849" t="s">
        <v>2655</v>
      </c>
      <c r="B1849" t="s">
        <v>1497</v>
      </c>
      <c r="C1849" t="s">
        <v>958</v>
      </c>
      <c r="D1849" t="s">
        <v>1486</v>
      </c>
      <c r="E1849" t="s">
        <v>1487</v>
      </c>
      <c r="F1849" t="s">
        <v>120</v>
      </c>
      <c r="G1849" t="s">
        <v>4715</v>
      </c>
      <c r="H1849" t="s">
        <v>5170</v>
      </c>
      <c r="I1849" t="s">
        <v>5171</v>
      </c>
      <c r="J1849" t="s">
        <v>5633</v>
      </c>
      <c r="K1849" t="s">
        <v>5634</v>
      </c>
      <c r="L1849" t="s">
        <v>4717</v>
      </c>
    </row>
    <row r="1850">
      <c r="A1850" t="s">
        <v>2655</v>
      </c>
      <c r="B1850" t="s">
        <v>1497</v>
      </c>
      <c r="C1850" t="s">
        <v>958</v>
      </c>
      <c r="D1850" t="s">
        <v>1486</v>
      </c>
      <c r="E1850" t="s">
        <v>1487</v>
      </c>
      <c r="F1850" t="s">
        <v>120</v>
      </c>
      <c r="G1850" t="s">
        <v>4715</v>
      </c>
      <c r="H1850" t="s">
        <v>5157</v>
      </c>
      <c r="I1850" t="s">
        <v>5635</v>
      </c>
      <c r="J1850" t="s">
        <v>5636</v>
      </c>
      <c r="K1850" t="s">
        <v>5637</v>
      </c>
      <c r="L1850" t="s">
        <v>4717</v>
      </c>
    </row>
    <row r="1851">
      <c r="A1851" t="s">
        <v>2655</v>
      </c>
      <c r="B1851" t="s">
        <v>1497</v>
      </c>
      <c r="C1851" t="s">
        <v>958</v>
      </c>
      <c r="D1851" t="s">
        <v>1486</v>
      </c>
      <c r="E1851" t="s">
        <v>1487</v>
      </c>
      <c r="F1851" t="s">
        <v>120</v>
      </c>
      <c r="G1851" t="s">
        <v>4715</v>
      </c>
      <c r="H1851" t="s">
        <v>5689</v>
      </c>
      <c r="I1851" t="s">
        <v>5304</v>
      </c>
      <c r="J1851" t="s">
        <v>5690</v>
      </c>
      <c r="K1851" t="s">
        <v>5691</v>
      </c>
      <c r="L1851" t="s">
        <v>4717</v>
      </c>
    </row>
    <row r="1852">
      <c r="A1852" t="s">
        <v>2655</v>
      </c>
      <c r="B1852" t="s">
        <v>1497</v>
      </c>
      <c r="C1852" t="s">
        <v>958</v>
      </c>
      <c r="D1852" t="s">
        <v>1486</v>
      </c>
      <c r="E1852" t="s">
        <v>1487</v>
      </c>
      <c r="F1852" t="s">
        <v>120</v>
      </c>
      <c r="G1852" t="s">
        <v>4715</v>
      </c>
      <c r="H1852" t="s">
        <v>5692</v>
      </c>
      <c r="I1852" t="s">
        <v>5693</v>
      </c>
      <c r="J1852" t="s">
        <v>5694</v>
      </c>
      <c r="K1852" t="s">
        <v>5695</v>
      </c>
      <c r="L1852" t="s">
        <v>4717</v>
      </c>
    </row>
    <row r="1853">
      <c r="A1853" t="s">
        <v>2655</v>
      </c>
      <c r="B1853" t="s">
        <v>1497</v>
      </c>
      <c r="C1853" t="s">
        <v>958</v>
      </c>
      <c r="D1853" t="s">
        <v>1486</v>
      </c>
      <c r="E1853" t="s">
        <v>1487</v>
      </c>
      <c r="F1853" t="s">
        <v>120</v>
      </c>
      <c r="G1853" t="s">
        <v>4715</v>
      </c>
      <c r="H1853" t="s">
        <v>5696</v>
      </c>
      <c r="I1853" t="s">
        <v>5324</v>
      </c>
      <c r="J1853" t="s">
        <v>5697</v>
      </c>
      <c r="K1853" t="s">
        <v>5698</v>
      </c>
      <c r="L1853" t="s">
        <v>4717</v>
      </c>
    </row>
    <row r="1854">
      <c r="A1854" t="s">
        <v>2655</v>
      </c>
      <c r="B1854" t="s">
        <v>1497</v>
      </c>
      <c r="C1854" t="s">
        <v>958</v>
      </c>
      <c r="D1854" t="s">
        <v>1486</v>
      </c>
      <c r="E1854" t="s">
        <v>1487</v>
      </c>
      <c r="F1854" t="s">
        <v>120</v>
      </c>
      <c r="G1854" t="s">
        <v>4715</v>
      </c>
      <c r="H1854" t="s">
        <v>5699</v>
      </c>
      <c r="I1854" t="s">
        <v>5700</v>
      </c>
      <c r="J1854" t="s">
        <v>5701</v>
      </c>
      <c r="K1854" t="s">
        <v>5702</v>
      </c>
      <c r="L1854" t="s">
        <v>4717</v>
      </c>
    </row>
    <row r="1855">
      <c r="A1855" t="s">
        <v>2655</v>
      </c>
      <c r="B1855" t="s">
        <v>1497</v>
      </c>
      <c r="C1855" t="s">
        <v>958</v>
      </c>
      <c r="D1855" t="s">
        <v>1486</v>
      </c>
      <c r="E1855" t="s">
        <v>1487</v>
      </c>
      <c r="F1855" t="s">
        <v>120</v>
      </c>
      <c r="G1855" t="s">
        <v>4715</v>
      </c>
      <c r="H1855" t="s">
        <v>5522</v>
      </c>
      <c r="I1855" t="s">
        <v>5656</v>
      </c>
      <c r="J1855" t="s">
        <v>5657</v>
      </c>
      <c r="K1855" t="s">
        <v>5658</v>
      </c>
      <c r="L1855" t="s">
        <v>4717</v>
      </c>
    </row>
    <row r="1856">
      <c r="A1856" t="s">
        <v>2658</v>
      </c>
      <c r="B1856" t="s">
        <v>1502</v>
      </c>
      <c r="C1856" t="s">
        <v>958</v>
      </c>
      <c r="D1856" t="s">
        <v>1486</v>
      </c>
      <c r="E1856" t="s">
        <v>1487</v>
      </c>
      <c r="F1856" t="s">
        <v>120</v>
      </c>
      <c r="G1856" t="s">
        <v>4715</v>
      </c>
      <c r="H1856" t="s">
        <v>5041</v>
      </c>
      <c r="I1856" t="s">
        <v>5614</v>
      </c>
      <c r="J1856" t="s">
        <v>5615</v>
      </c>
      <c r="K1856" t="s">
        <v>4169</v>
      </c>
      <c r="L1856" t="s">
        <v>4717</v>
      </c>
    </row>
    <row r="1857">
      <c r="A1857" t="s">
        <v>2658</v>
      </c>
      <c r="B1857" t="s">
        <v>1502</v>
      </c>
      <c r="C1857" t="s">
        <v>958</v>
      </c>
      <c r="D1857" t="s">
        <v>1486</v>
      </c>
      <c r="E1857" t="s">
        <v>1487</v>
      </c>
      <c r="F1857" t="s">
        <v>120</v>
      </c>
      <c r="G1857" t="s">
        <v>4715</v>
      </c>
      <c r="H1857" t="s">
        <v>5616</v>
      </c>
      <c r="I1857" t="s">
        <v>5617</v>
      </c>
      <c r="J1857" t="s">
        <v>5618</v>
      </c>
      <c r="K1857" t="s">
        <v>5619</v>
      </c>
      <c r="L1857" t="s">
        <v>4717</v>
      </c>
    </row>
    <row r="1858">
      <c r="A1858" t="s">
        <v>2658</v>
      </c>
      <c r="B1858" t="s">
        <v>1502</v>
      </c>
      <c r="C1858" t="s">
        <v>958</v>
      </c>
      <c r="D1858" t="s">
        <v>1486</v>
      </c>
      <c r="E1858" t="s">
        <v>1487</v>
      </c>
      <c r="F1858" t="s">
        <v>120</v>
      </c>
      <c r="G1858" t="s">
        <v>4715</v>
      </c>
      <c r="H1858" t="s">
        <v>5499</v>
      </c>
      <c r="I1858" t="s">
        <v>5620</v>
      </c>
      <c r="J1858" t="s">
        <v>5621</v>
      </c>
      <c r="K1858" t="s">
        <v>5622</v>
      </c>
      <c r="L1858" t="s">
        <v>4717</v>
      </c>
    </row>
    <row r="1859">
      <c r="A1859" t="s">
        <v>2658</v>
      </c>
      <c r="B1859" t="s">
        <v>1502</v>
      </c>
      <c r="C1859" t="s">
        <v>958</v>
      </c>
      <c r="D1859" t="s">
        <v>1486</v>
      </c>
      <c r="E1859" t="s">
        <v>1487</v>
      </c>
      <c r="F1859" t="s">
        <v>120</v>
      </c>
      <c r="G1859" t="s">
        <v>4715</v>
      </c>
      <c r="H1859" t="s">
        <v>5623</v>
      </c>
      <c r="I1859" t="s">
        <v>5624</v>
      </c>
      <c r="J1859" t="s">
        <v>5625</v>
      </c>
      <c r="K1859" t="s">
        <v>5626</v>
      </c>
      <c r="L1859" t="s">
        <v>4717</v>
      </c>
    </row>
    <row r="1860">
      <c r="A1860" t="s">
        <v>2658</v>
      </c>
      <c r="B1860" t="s">
        <v>1502</v>
      </c>
      <c r="C1860" t="s">
        <v>958</v>
      </c>
      <c r="D1860" t="s">
        <v>1486</v>
      </c>
      <c r="E1860" t="s">
        <v>1487</v>
      </c>
      <c r="F1860" t="s">
        <v>120</v>
      </c>
      <c r="G1860" t="s">
        <v>4715</v>
      </c>
      <c r="H1860" t="s">
        <v>3904</v>
      </c>
      <c r="I1860" t="s">
        <v>5627</v>
      </c>
      <c r="J1860" t="s">
        <v>5628</v>
      </c>
      <c r="K1860" t="s">
        <v>5629</v>
      </c>
      <c r="L1860" t="s">
        <v>4717</v>
      </c>
    </row>
    <row r="1861">
      <c r="A1861" t="s">
        <v>2658</v>
      </c>
      <c r="B1861" t="s">
        <v>1502</v>
      </c>
      <c r="C1861" t="s">
        <v>958</v>
      </c>
      <c r="D1861" t="s">
        <v>1486</v>
      </c>
      <c r="E1861" t="s">
        <v>1487</v>
      </c>
      <c r="F1861" t="s">
        <v>120</v>
      </c>
      <c r="G1861" t="s">
        <v>4715</v>
      </c>
      <c r="H1861" t="s">
        <v>5630</v>
      </c>
      <c r="I1861" t="s">
        <v>5474</v>
      </c>
      <c r="J1861" t="s">
        <v>5631</v>
      </c>
      <c r="K1861" t="s">
        <v>5632</v>
      </c>
      <c r="L1861" t="s">
        <v>4717</v>
      </c>
    </row>
    <row r="1862">
      <c r="A1862" t="s">
        <v>2658</v>
      </c>
      <c r="B1862" t="s">
        <v>1502</v>
      </c>
      <c r="C1862" t="s">
        <v>958</v>
      </c>
      <c r="D1862" t="s">
        <v>1486</v>
      </c>
      <c r="E1862" t="s">
        <v>1487</v>
      </c>
      <c r="F1862" t="s">
        <v>120</v>
      </c>
      <c r="G1862" t="s">
        <v>4715</v>
      </c>
      <c r="H1862" t="s">
        <v>5170</v>
      </c>
      <c r="I1862" t="s">
        <v>5171</v>
      </c>
      <c r="J1862" t="s">
        <v>5633</v>
      </c>
      <c r="K1862" t="s">
        <v>5634</v>
      </c>
      <c r="L1862" t="s">
        <v>4717</v>
      </c>
    </row>
    <row r="1863">
      <c r="A1863" t="s">
        <v>2658</v>
      </c>
      <c r="B1863" t="s">
        <v>1502</v>
      </c>
      <c r="C1863" t="s">
        <v>958</v>
      </c>
      <c r="D1863" t="s">
        <v>1486</v>
      </c>
      <c r="E1863" t="s">
        <v>1487</v>
      </c>
      <c r="F1863" t="s">
        <v>120</v>
      </c>
      <c r="G1863" t="s">
        <v>4715</v>
      </c>
      <c r="H1863" t="s">
        <v>5157</v>
      </c>
      <c r="I1863" t="s">
        <v>5635</v>
      </c>
      <c r="J1863" t="s">
        <v>5636</v>
      </c>
      <c r="K1863" t="s">
        <v>5637</v>
      </c>
      <c r="L1863" t="s">
        <v>4717</v>
      </c>
    </row>
    <row r="1864">
      <c r="A1864" t="s">
        <v>2658</v>
      </c>
      <c r="B1864" t="s">
        <v>1502</v>
      </c>
      <c r="C1864" t="s">
        <v>958</v>
      </c>
      <c r="D1864" t="s">
        <v>1486</v>
      </c>
      <c r="E1864" t="s">
        <v>1487</v>
      </c>
      <c r="F1864" t="s">
        <v>120</v>
      </c>
      <c r="G1864" t="s">
        <v>4715</v>
      </c>
      <c r="H1864" t="s">
        <v>5689</v>
      </c>
      <c r="I1864" t="s">
        <v>5304</v>
      </c>
      <c r="J1864" t="s">
        <v>5690</v>
      </c>
      <c r="K1864" t="s">
        <v>5691</v>
      </c>
      <c r="L1864" t="s">
        <v>4717</v>
      </c>
    </row>
    <row r="1865">
      <c r="A1865" t="s">
        <v>2658</v>
      </c>
      <c r="B1865" t="s">
        <v>1502</v>
      </c>
      <c r="C1865" t="s">
        <v>958</v>
      </c>
      <c r="D1865" t="s">
        <v>1486</v>
      </c>
      <c r="E1865" t="s">
        <v>1487</v>
      </c>
      <c r="F1865" t="s">
        <v>120</v>
      </c>
      <c r="G1865" t="s">
        <v>4715</v>
      </c>
      <c r="H1865" t="s">
        <v>5692</v>
      </c>
      <c r="I1865" t="s">
        <v>5693</v>
      </c>
      <c r="J1865" t="s">
        <v>5694</v>
      </c>
      <c r="K1865" t="s">
        <v>5695</v>
      </c>
      <c r="L1865" t="s">
        <v>4717</v>
      </c>
    </row>
    <row r="1866">
      <c r="A1866" t="s">
        <v>2658</v>
      </c>
      <c r="B1866" t="s">
        <v>1502</v>
      </c>
      <c r="C1866" t="s">
        <v>958</v>
      </c>
      <c r="D1866" t="s">
        <v>1486</v>
      </c>
      <c r="E1866" t="s">
        <v>1487</v>
      </c>
      <c r="F1866" t="s">
        <v>120</v>
      </c>
      <c r="G1866" t="s">
        <v>4715</v>
      </c>
      <c r="H1866" t="s">
        <v>5696</v>
      </c>
      <c r="I1866" t="s">
        <v>5324</v>
      </c>
      <c r="J1866" t="s">
        <v>5697</v>
      </c>
      <c r="K1866" t="s">
        <v>5698</v>
      </c>
      <c r="L1866" t="s">
        <v>4717</v>
      </c>
    </row>
    <row r="1867">
      <c r="A1867" t="s">
        <v>2658</v>
      </c>
      <c r="B1867" t="s">
        <v>1502</v>
      </c>
      <c r="C1867" t="s">
        <v>958</v>
      </c>
      <c r="D1867" t="s">
        <v>1486</v>
      </c>
      <c r="E1867" t="s">
        <v>1487</v>
      </c>
      <c r="F1867" t="s">
        <v>120</v>
      </c>
      <c r="G1867" t="s">
        <v>4715</v>
      </c>
      <c r="H1867" t="s">
        <v>5699</v>
      </c>
      <c r="I1867" t="s">
        <v>5700</v>
      </c>
      <c r="J1867" t="s">
        <v>5701</v>
      </c>
      <c r="K1867" t="s">
        <v>5702</v>
      </c>
      <c r="L1867" t="s">
        <v>4717</v>
      </c>
    </row>
    <row r="1868">
      <c r="A1868" t="s">
        <v>2658</v>
      </c>
      <c r="B1868" t="s">
        <v>1502</v>
      </c>
      <c r="C1868" t="s">
        <v>958</v>
      </c>
      <c r="D1868" t="s">
        <v>1486</v>
      </c>
      <c r="E1868" t="s">
        <v>1487</v>
      </c>
      <c r="F1868" t="s">
        <v>120</v>
      </c>
      <c r="G1868" t="s">
        <v>4715</v>
      </c>
      <c r="H1868" t="s">
        <v>5522</v>
      </c>
      <c r="I1868" t="s">
        <v>5656</v>
      </c>
      <c r="J1868" t="s">
        <v>5657</v>
      </c>
      <c r="K1868" t="s">
        <v>5658</v>
      </c>
      <c r="L1868" t="s">
        <v>4717</v>
      </c>
    </row>
    <row r="1869">
      <c r="A1869" t="s">
        <v>2661</v>
      </c>
      <c r="B1869" t="s">
        <v>1509</v>
      </c>
      <c r="C1869" t="s">
        <v>958</v>
      </c>
      <c r="D1869" t="s">
        <v>1486</v>
      </c>
      <c r="E1869" t="s">
        <v>1487</v>
      </c>
      <c r="F1869" t="s">
        <v>120</v>
      </c>
      <c r="G1869" t="s">
        <v>4715</v>
      </c>
      <c r="H1869" t="s">
        <v>5041</v>
      </c>
      <c r="I1869" t="s">
        <v>5614</v>
      </c>
      <c r="J1869" t="s">
        <v>5615</v>
      </c>
      <c r="K1869" t="s">
        <v>4169</v>
      </c>
      <c r="L1869" t="s">
        <v>4717</v>
      </c>
    </row>
    <row r="1870">
      <c r="A1870" t="s">
        <v>2661</v>
      </c>
      <c r="B1870" t="s">
        <v>1509</v>
      </c>
      <c r="C1870" t="s">
        <v>958</v>
      </c>
      <c r="D1870" t="s">
        <v>1486</v>
      </c>
      <c r="E1870" t="s">
        <v>1487</v>
      </c>
      <c r="F1870" t="s">
        <v>120</v>
      </c>
      <c r="G1870" t="s">
        <v>4715</v>
      </c>
      <c r="H1870" t="s">
        <v>5616</v>
      </c>
      <c r="I1870" t="s">
        <v>5617</v>
      </c>
      <c r="J1870" t="s">
        <v>5618</v>
      </c>
      <c r="K1870" t="s">
        <v>5619</v>
      </c>
      <c r="L1870" t="s">
        <v>4717</v>
      </c>
    </row>
    <row r="1871">
      <c r="A1871" t="s">
        <v>2661</v>
      </c>
      <c r="B1871" t="s">
        <v>1509</v>
      </c>
      <c r="C1871" t="s">
        <v>958</v>
      </c>
      <c r="D1871" t="s">
        <v>1486</v>
      </c>
      <c r="E1871" t="s">
        <v>1487</v>
      </c>
      <c r="F1871" t="s">
        <v>120</v>
      </c>
      <c r="G1871" t="s">
        <v>4715</v>
      </c>
      <c r="H1871" t="s">
        <v>5499</v>
      </c>
      <c r="I1871" t="s">
        <v>5620</v>
      </c>
      <c r="J1871" t="s">
        <v>5621</v>
      </c>
      <c r="K1871" t="s">
        <v>5622</v>
      </c>
      <c r="L1871" t="s">
        <v>4717</v>
      </c>
    </row>
    <row r="1872">
      <c r="A1872" t="s">
        <v>2661</v>
      </c>
      <c r="B1872" t="s">
        <v>1509</v>
      </c>
      <c r="C1872" t="s">
        <v>958</v>
      </c>
      <c r="D1872" t="s">
        <v>1486</v>
      </c>
      <c r="E1872" t="s">
        <v>1487</v>
      </c>
      <c r="F1872" t="s">
        <v>120</v>
      </c>
      <c r="G1872" t="s">
        <v>4715</v>
      </c>
      <c r="H1872" t="s">
        <v>5623</v>
      </c>
      <c r="I1872" t="s">
        <v>5624</v>
      </c>
      <c r="J1872" t="s">
        <v>5625</v>
      </c>
      <c r="K1872" t="s">
        <v>5626</v>
      </c>
      <c r="L1872" t="s">
        <v>4717</v>
      </c>
    </row>
    <row r="1873">
      <c r="A1873" t="s">
        <v>2661</v>
      </c>
      <c r="B1873" t="s">
        <v>1509</v>
      </c>
      <c r="C1873" t="s">
        <v>958</v>
      </c>
      <c r="D1873" t="s">
        <v>1486</v>
      </c>
      <c r="E1873" t="s">
        <v>1487</v>
      </c>
      <c r="F1873" t="s">
        <v>120</v>
      </c>
      <c r="G1873" t="s">
        <v>4715</v>
      </c>
      <c r="H1873" t="s">
        <v>3904</v>
      </c>
      <c r="I1873" t="s">
        <v>5627</v>
      </c>
      <c r="J1873" t="s">
        <v>5628</v>
      </c>
      <c r="K1873" t="s">
        <v>5629</v>
      </c>
      <c r="L1873" t="s">
        <v>4717</v>
      </c>
    </row>
    <row r="1874">
      <c r="A1874" t="s">
        <v>2661</v>
      </c>
      <c r="B1874" t="s">
        <v>1509</v>
      </c>
      <c r="C1874" t="s">
        <v>958</v>
      </c>
      <c r="D1874" t="s">
        <v>1486</v>
      </c>
      <c r="E1874" t="s">
        <v>1487</v>
      </c>
      <c r="F1874" t="s">
        <v>120</v>
      </c>
      <c r="G1874" t="s">
        <v>4715</v>
      </c>
      <c r="H1874" t="s">
        <v>5630</v>
      </c>
      <c r="I1874" t="s">
        <v>5474</v>
      </c>
      <c r="J1874" t="s">
        <v>5631</v>
      </c>
      <c r="K1874" t="s">
        <v>5632</v>
      </c>
      <c r="L1874" t="s">
        <v>4717</v>
      </c>
    </row>
    <row r="1875">
      <c r="A1875" t="s">
        <v>2661</v>
      </c>
      <c r="B1875" t="s">
        <v>1509</v>
      </c>
      <c r="C1875" t="s">
        <v>958</v>
      </c>
      <c r="D1875" t="s">
        <v>1486</v>
      </c>
      <c r="E1875" t="s">
        <v>1487</v>
      </c>
      <c r="F1875" t="s">
        <v>120</v>
      </c>
      <c r="G1875" t="s">
        <v>4715</v>
      </c>
      <c r="H1875" t="s">
        <v>5170</v>
      </c>
      <c r="I1875" t="s">
        <v>5171</v>
      </c>
      <c r="J1875" t="s">
        <v>5633</v>
      </c>
      <c r="K1875" t="s">
        <v>5634</v>
      </c>
      <c r="L1875" t="s">
        <v>4717</v>
      </c>
    </row>
    <row r="1876">
      <c r="A1876" t="s">
        <v>2661</v>
      </c>
      <c r="B1876" t="s">
        <v>1509</v>
      </c>
      <c r="C1876" t="s">
        <v>958</v>
      </c>
      <c r="D1876" t="s">
        <v>1486</v>
      </c>
      <c r="E1876" t="s">
        <v>1487</v>
      </c>
      <c r="F1876" t="s">
        <v>120</v>
      </c>
      <c r="G1876" t="s">
        <v>4715</v>
      </c>
      <c r="H1876" t="s">
        <v>5157</v>
      </c>
      <c r="I1876" t="s">
        <v>5635</v>
      </c>
      <c r="J1876" t="s">
        <v>5636</v>
      </c>
      <c r="K1876" t="s">
        <v>5637</v>
      </c>
      <c r="L1876" t="s">
        <v>4717</v>
      </c>
    </row>
    <row r="1877">
      <c r="A1877" t="s">
        <v>2661</v>
      </c>
      <c r="B1877" t="s">
        <v>1509</v>
      </c>
      <c r="C1877" t="s">
        <v>958</v>
      </c>
      <c r="D1877" t="s">
        <v>1486</v>
      </c>
      <c r="E1877" t="s">
        <v>1487</v>
      </c>
      <c r="F1877" t="s">
        <v>120</v>
      </c>
      <c r="G1877" t="s">
        <v>4715</v>
      </c>
      <c r="H1877" t="s">
        <v>5689</v>
      </c>
      <c r="I1877" t="s">
        <v>5304</v>
      </c>
      <c r="J1877" t="s">
        <v>5690</v>
      </c>
      <c r="K1877" t="s">
        <v>5691</v>
      </c>
      <c r="L1877" t="s">
        <v>4717</v>
      </c>
    </row>
    <row r="1878">
      <c r="A1878" t="s">
        <v>2661</v>
      </c>
      <c r="B1878" t="s">
        <v>1509</v>
      </c>
      <c r="C1878" t="s">
        <v>958</v>
      </c>
      <c r="D1878" t="s">
        <v>1486</v>
      </c>
      <c r="E1878" t="s">
        <v>1487</v>
      </c>
      <c r="F1878" t="s">
        <v>120</v>
      </c>
      <c r="G1878" t="s">
        <v>4715</v>
      </c>
      <c r="H1878" t="s">
        <v>5692</v>
      </c>
      <c r="I1878" t="s">
        <v>5693</v>
      </c>
      <c r="J1878" t="s">
        <v>5694</v>
      </c>
      <c r="K1878" t="s">
        <v>5695</v>
      </c>
      <c r="L1878" t="s">
        <v>4717</v>
      </c>
    </row>
    <row r="1879">
      <c r="A1879" t="s">
        <v>2661</v>
      </c>
      <c r="B1879" t="s">
        <v>1509</v>
      </c>
      <c r="C1879" t="s">
        <v>958</v>
      </c>
      <c r="D1879" t="s">
        <v>1486</v>
      </c>
      <c r="E1879" t="s">
        <v>1487</v>
      </c>
      <c r="F1879" t="s">
        <v>120</v>
      </c>
      <c r="G1879" t="s">
        <v>4715</v>
      </c>
      <c r="H1879" t="s">
        <v>5696</v>
      </c>
      <c r="I1879" t="s">
        <v>5324</v>
      </c>
      <c r="J1879" t="s">
        <v>5697</v>
      </c>
      <c r="K1879" t="s">
        <v>5698</v>
      </c>
      <c r="L1879" t="s">
        <v>4717</v>
      </c>
    </row>
    <row r="1880">
      <c r="A1880" t="s">
        <v>2661</v>
      </c>
      <c r="B1880" t="s">
        <v>1509</v>
      </c>
      <c r="C1880" t="s">
        <v>958</v>
      </c>
      <c r="D1880" t="s">
        <v>1486</v>
      </c>
      <c r="E1880" t="s">
        <v>1487</v>
      </c>
      <c r="F1880" t="s">
        <v>120</v>
      </c>
      <c r="G1880" t="s">
        <v>4715</v>
      </c>
      <c r="H1880" t="s">
        <v>5699</v>
      </c>
      <c r="I1880" t="s">
        <v>5700</v>
      </c>
      <c r="J1880" t="s">
        <v>5701</v>
      </c>
      <c r="K1880" t="s">
        <v>5702</v>
      </c>
      <c r="L1880" t="s">
        <v>4717</v>
      </c>
    </row>
    <row r="1881">
      <c r="A1881" t="s">
        <v>2661</v>
      </c>
      <c r="B1881" t="s">
        <v>1509</v>
      </c>
      <c r="C1881" t="s">
        <v>958</v>
      </c>
      <c r="D1881" t="s">
        <v>1486</v>
      </c>
      <c r="E1881" t="s">
        <v>1487</v>
      </c>
      <c r="F1881" t="s">
        <v>120</v>
      </c>
      <c r="G1881" t="s">
        <v>4715</v>
      </c>
      <c r="H1881" t="s">
        <v>5522</v>
      </c>
      <c r="I1881" t="s">
        <v>5656</v>
      </c>
      <c r="J1881" t="s">
        <v>5657</v>
      </c>
      <c r="K1881" t="s">
        <v>5658</v>
      </c>
      <c r="L1881" t="s">
        <v>4717</v>
      </c>
    </row>
    <row r="1882">
      <c r="A1882" t="s">
        <v>2664</v>
      </c>
      <c r="B1882" t="s">
        <v>1515</v>
      </c>
      <c r="C1882" t="s">
        <v>958</v>
      </c>
      <c r="D1882" t="s">
        <v>1486</v>
      </c>
      <c r="E1882" t="s">
        <v>1487</v>
      </c>
      <c r="F1882" t="s">
        <v>120</v>
      </c>
      <c r="G1882" t="s">
        <v>4715</v>
      </c>
      <c r="H1882" t="s">
        <v>5041</v>
      </c>
      <c r="I1882" t="s">
        <v>5614</v>
      </c>
      <c r="J1882" t="s">
        <v>5615</v>
      </c>
      <c r="K1882" t="s">
        <v>4169</v>
      </c>
      <c r="L1882" t="s">
        <v>4717</v>
      </c>
    </row>
    <row r="1883">
      <c r="A1883" t="s">
        <v>2664</v>
      </c>
      <c r="B1883" t="s">
        <v>1515</v>
      </c>
      <c r="C1883" t="s">
        <v>958</v>
      </c>
      <c r="D1883" t="s">
        <v>1486</v>
      </c>
      <c r="E1883" t="s">
        <v>1487</v>
      </c>
      <c r="F1883" t="s">
        <v>120</v>
      </c>
      <c r="G1883" t="s">
        <v>4715</v>
      </c>
      <c r="H1883" t="s">
        <v>5616</v>
      </c>
      <c r="I1883" t="s">
        <v>5617</v>
      </c>
      <c r="J1883" t="s">
        <v>5618</v>
      </c>
      <c r="K1883" t="s">
        <v>5619</v>
      </c>
      <c r="L1883" t="s">
        <v>4717</v>
      </c>
    </row>
    <row r="1884">
      <c r="A1884" t="s">
        <v>2664</v>
      </c>
      <c r="B1884" t="s">
        <v>1515</v>
      </c>
      <c r="C1884" t="s">
        <v>958</v>
      </c>
      <c r="D1884" t="s">
        <v>1486</v>
      </c>
      <c r="E1884" t="s">
        <v>1487</v>
      </c>
      <c r="F1884" t="s">
        <v>120</v>
      </c>
      <c r="G1884" t="s">
        <v>4715</v>
      </c>
      <c r="H1884" t="s">
        <v>5499</v>
      </c>
      <c r="I1884" t="s">
        <v>5620</v>
      </c>
      <c r="J1884" t="s">
        <v>5621</v>
      </c>
      <c r="K1884" t="s">
        <v>5622</v>
      </c>
      <c r="L1884" t="s">
        <v>4717</v>
      </c>
    </row>
    <row r="1885">
      <c r="A1885" t="s">
        <v>2664</v>
      </c>
      <c r="B1885" t="s">
        <v>1515</v>
      </c>
      <c r="C1885" t="s">
        <v>958</v>
      </c>
      <c r="D1885" t="s">
        <v>1486</v>
      </c>
      <c r="E1885" t="s">
        <v>1487</v>
      </c>
      <c r="F1885" t="s">
        <v>120</v>
      </c>
      <c r="G1885" t="s">
        <v>4715</v>
      </c>
      <c r="H1885" t="s">
        <v>5623</v>
      </c>
      <c r="I1885" t="s">
        <v>5624</v>
      </c>
      <c r="J1885" t="s">
        <v>5625</v>
      </c>
      <c r="K1885" t="s">
        <v>5626</v>
      </c>
      <c r="L1885" t="s">
        <v>4717</v>
      </c>
    </row>
    <row r="1886">
      <c r="A1886" t="s">
        <v>2664</v>
      </c>
      <c r="B1886" t="s">
        <v>1515</v>
      </c>
      <c r="C1886" t="s">
        <v>958</v>
      </c>
      <c r="D1886" t="s">
        <v>1486</v>
      </c>
      <c r="E1886" t="s">
        <v>1487</v>
      </c>
      <c r="F1886" t="s">
        <v>120</v>
      </c>
      <c r="G1886" t="s">
        <v>4715</v>
      </c>
      <c r="H1886" t="s">
        <v>3904</v>
      </c>
      <c r="I1886" t="s">
        <v>5627</v>
      </c>
      <c r="J1886" t="s">
        <v>5628</v>
      </c>
      <c r="K1886" t="s">
        <v>5629</v>
      </c>
      <c r="L1886" t="s">
        <v>4717</v>
      </c>
    </row>
    <row r="1887">
      <c r="A1887" t="s">
        <v>2664</v>
      </c>
      <c r="B1887" t="s">
        <v>1515</v>
      </c>
      <c r="C1887" t="s">
        <v>958</v>
      </c>
      <c r="D1887" t="s">
        <v>1486</v>
      </c>
      <c r="E1887" t="s">
        <v>1487</v>
      </c>
      <c r="F1887" t="s">
        <v>120</v>
      </c>
      <c r="G1887" t="s">
        <v>4715</v>
      </c>
      <c r="H1887" t="s">
        <v>5630</v>
      </c>
      <c r="I1887" t="s">
        <v>5474</v>
      </c>
      <c r="J1887" t="s">
        <v>5631</v>
      </c>
      <c r="K1887" t="s">
        <v>5632</v>
      </c>
      <c r="L1887" t="s">
        <v>4717</v>
      </c>
    </row>
    <row r="1888">
      <c r="A1888" t="s">
        <v>2664</v>
      </c>
      <c r="B1888" t="s">
        <v>1515</v>
      </c>
      <c r="C1888" t="s">
        <v>958</v>
      </c>
      <c r="D1888" t="s">
        <v>1486</v>
      </c>
      <c r="E1888" t="s">
        <v>1487</v>
      </c>
      <c r="F1888" t="s">
        <v>120</v>
      </c>
      <c r="G1888" t="s">
        <v>4715</v>
      </c>
      <c r="H1888" t="s">
        <v>5170</v>
      </c>
      <c r="I1888" t="s">
        <v>5171</v>
      </c>
      <c r="J1888" t="s">
        <v>5633</v>
      </c>
      <c r="K1888" t="s">
        <v>5634</v>
      </c>
      <c r="L1888" t="s">
        <v>4717</v>
      </c>
    </row>
    <row r="1889">
      <c r="A1889" t="s">
        <v>2664</v>
      </c>
      <c r="B1889" t="s">
        <v>1515</v>
      </c>
      <c r="C1889" t="s">
        <v>958</v>
      </c>
      <c r="D1889" t="s">
        <v>1486</v>
      </c>
      <c r="E1889" t="s">
        <v>1487</v>
      </c>
      <c r="F1889" t="s">
        <v>120</v>
      </c>
      <c r="G1889" t="s">
        <v>4715</v>
      </c>
      <c r="H1889" t="s">
        <v>5157</v>
      </c>
      <c r="I1889" t="s">
        <v>5635</v>
      </c>
      <c r="J1889" t="s">
        <v>5636</v>
      </c>
      <c r="K1889" t="s">
        <v>5637</v>
      </c>
      <c r="L1889" t="s">
        <v>4717</v>
      </c>
    </row>
    <row r="1890">
      <c r="A1890" t="s">
        <v>2664</v>
      </c>
      <c r="B1890" t="s">
        <v>1515</v>
      </c>
      <c r="C1890" t="s">
        <v>958</v>
      </c>
      <c r="D1890" t="s">
        <v>1486</v>
      </c>
      <c r="E1890" t="s">
        <v>1487</v>
      </c>
      <c r="F1890" t="s">
        <v>120</v>
      </c>
      <c r="G1890" t="s">
        <v>4715</v>
      </c>
      <c r="H1890" t="s">
        <v>5689</v>
      </c>
      <c r="I1890" t="s">
        <v>5304</v>
      </c>
      <c r="J1890" t="s">
        <v>5690</v>
      </c>
      <c r="K1890" t="s">
        <v>5691</v>
      </c>
      <c r="L1890" t="s">
        <v>4717</v>
      </c>
    </row>
    <row r="1891">
      <c r="A1891" t="s">
        <v>2664</v>
      </c>
      <c r="B1891" t="s">
        <v>1515</v>
      </c>
      <c r="C1891" t="s">
        <v>958</v>
      </c>
      <c r="D1891" t="s">
        <v>1486</v>
      </c>
      <c r="E1891" t="s">
        <v>1487</v>
      </c>
      <c r="F1891" t="s">
        <v>120</v>
      </c>
      <c r="G1891" t="s">
        <v>4715</v>
      </c>
      <c r="H1891" t="s">
        <v>5692</v>
      </c>
      <c r="I1891" t="s">
        <v>5693</v>
      </c>
      <c r="J1891" t="s">
        <v>5694</v>
      </c>
      <c r="K1891" t="s">
        <v>5695</v>
      </c>
      <c r="L1891" t="s">
        <v>4717</v>
      </c>
    </row>
    <row r="1892">
      <c r="A1892" t="s">
        <v>2664</v>
      </c>
      <c r="B1892" t="s">
        <v>1515</v>
      </c>
      <c r="C1892" t="s">
        <v>958</v>
      </c>
      <c r="D1892" t="s">
        <v>1486</v>
      </c>
      <c r="E1892" t="s">
        <v>1487</v>
      </c>
      <c r="F1892" t="s">
        <v>120</v>
      </c>
      <c r="G1892" t="s">
        <v>4715</v>
      </c>
      <c r="H1892" t="s">
        <v>5696</v>
      </c>
      <c r="I1892" t="s">
        <v>5324</v>
      </c>
      <c r="J1892" t="s">
        <v>5697</v>
      </c>
      <c r="K1892" t="s">
        <v>5698</v>
      </c>
      <c r="L1892" t="s">
        <v>4717</v>
      </c>
    </row>
    <row r="1893">
      <c r="A1893" t="s">
        <v>2664</v>
      </c>
      <c r="B1893" t="s">
        <v>1515</v>
      </c>
      <c r="C1893" t="s">
        <v>958</v>
      </c>
      <c r="D1893" t="s">
        <v>1486</v>
      </c>
      <c r="E1893" t="s">
        <v>1487</v>
      </c>
      <c r="F1893" t="s">
        <v>120</v>
      </c>
      <c r="G1893" t="s">
        <v>4715</v>
      </c>
      <c r="H1893" t="s">
        <v>5699</v>
      </c>
      <c r="I1893" t="s">
        <v>5700</v>
      </c>
      <c r="J1893" t="s">
        <v>5701</v>
      </c>
      <c r="K1893" t="s">
        <v>5702</v>
      </c>
      <c r="L1893" t="s">
        <v>4717</v>
      </c>
    </row>
    <row r="1894">
      <c r="A1894" t="s">
        <v>2664</v>
      </c>
      <c r="B1894" t="s">
        <v>1515</v>
      </c>
      <c r="C1894" t="s">
        <v>958</v>
      </c>
      <c r="D1894" t="s">
        <v>1486</v>
      </c>
      <c r="E1894" t="s">
        <v>1487</v>
      </c>
      <c r="F1894" t="s">
        <v>120</v>
      </c>
      <c r="G1894" t="s">
        <v>4715</v>
      </c>
      <c r="H1894" t="s">
        <v>5522</v>
      </c>
      <c r="I1894" t="s">
        <v>5656</v>
      </c>
      <c r="J1894" t="s">
        <v>5657</v>
      </c>
      <c r="K1894" t="s">
        <v>5658</v>
      </c>
      <c r="L1894" t="s">
        <v>4717</v>
      </c>
    </row>
    <row r="1895">
      <c r="A1895" t="s">
        <v>2667</v>
      </c>
      <c r="B1895" t="s">
        <v>1524</v>
      </c>
      <c r="C1895" t="s">
        <v>958</v>
      </c>
      <c r="D1895" t="s">
        <v>1521</v>
      </c>
      <c r="E1895" t="s">
        <v>1522</v>
      </c>
      <c r="F1895" t="s">
        <v>120</v>
      </c>
      <c r="G1895" t="s">
        <v>4715</v>
      </c>
      <c r="H1895" t="s">
        <v>5041</v>
      </c>
      <c r="I1895" t="s">
        <v>5614</v>
      </c>
      <c r="J1895" t="s">
        <v>5615</v>
      </c>
      <c r="K1895" t="s">
        <v>4169</v>
      </c>
      <c r="L1895" t="s">
        <v>4717</v>
      </c>
    </row>
    <row r="1896">
      <c r="A1896" t="s">
        <v>2667</v>
      </c>
      <c r="B1896" t="s">
        <v>1524</v>
      </c>
      <c r="C1896" t="s">
        <v>958</v>
      </c>
      <c r="D1896" t="s">
        <v>1521</v>
      </c>
      <c r="E1896" t="s">
        <v>1522</v>
      </c>
      <c r="F1896" t="s">
        <v>120</v>
      </c>
      <c r="G1896" t="s">
        <v>4715</v>
      </c>
      <c r="H1896" t="s">
        <v>5616</v>
      </c>
      <c r="I1896" t="s">
        <v>5617</v>
      </c>
      <c r="J1896" t="s">
        <v>5618</v>
      </c>
      <c r="K1896" t="s">
        <v>5619</v>
      </c>
      <c r="L1896" t="s">
        <v>4717</v>
      </c>
    </row>
    <row r="1897">
      <c r="A1897" t="s">
        <v>2667</v>
      </c>
      <c r="B1897" t="s">
        <v>1524</v>
      </c>
      <c r="C1897" t="s">
        <v>958</v>
      </c>
      <c r="D1897" t="s">
        <v>1521</v>
      </c>
      <c r="E1897" t="s">
        <v>1522</v>
      </c>
      <c r="F1897" t="s">
        <v>120</v>
      </c>
      <c r="G1897" t="s">
        <v>4715</v>
      </c>
      <c r="H1897" t="s">
        <v>5499</v>
      </c>
      <c r="I1897" t="s">
        <v>5620</v>
      </c>
      <c r="J1897" t="s">
        <v>5621</v>
      </c>
      <c r="K1897" t="s">
        <v>5622</v>
      </c>
      <c r="L1897" t="s">
        <v>4717</v>
      </c>
    </row>
    <row r="1898">
      <c r="A1898" t="s">
        <v>2667</v>
      </c>
      <c r="B1898" t="s">
        <v>1524</v>
      </c>
      <c r="C1898" t="s">
        <v>958</v>
      </c>
      <c r="D1898" t="s">
        <v>1521</v>
      </c>
      <c r="E1898" t="s">
        <v>1522</v>
      </c>
      <c r="F1898" t="s">
        <v>120</v>
      </c>
      <c r="G1898" t="s">
        <v>4715</v>
      </c>
      <c r="H1898" t="s">
        <v>5623</v>
      </c>
      <c r="I1898" t="s">
        <v>5624</v>
      </c>
      <c r="J1898" t="s">
        <v>5625</v>
      </c>
      <c r="K1898" t="s">
        <v>5626</v>
      </c>
      <c r="L1898" t="s">
        <v>4717</v>
      </c>
    </row>
    <row r="1899">
      <c r="A1899" t="s">
        <v>2667</v>
      </c>
      <c r="B1899" t="s">
        <v>1524</v>
      </c>
      <c r="C1899" t="s">
        <v>958</v>
      </c>
      <c r="D1899" t="s">
        <v>1521</v>
      </c>
      <c r="E1899" t="s">
        <v>1522</v>
      </c>
      <c r="F1899" t="s">
        <v>120</v>
      </c>
      <c r="G1899" t="s">
        <v>4715</v>
      </c>
      <c r="H1899" t="s">
        <v>3904</v>
      </c>
      <c r="I1899" t="s">
        <v>5627</v>
      </c>
      <c r="J1899" t="s">
        <v>5628</v>
      </c>
      <c r="K1899" t="s">
        <v>5629</v>
      </c>
      <c r="L1899" t="s">
        <v>4717</v>
      </c>
    </row>
    <row r="1900">
      <c r="A1900" t="s">
        <v>2667</v>
      </c>
      <c r="B1900" t="s">
        <v>1524</v>
      </c>
      <c r="C1900" t="s">
        <v>958</v>
      </c>
      <c r="D1900" t="s">
        <v>1521</v>
      </c>
      <c r="E1900" t="s">
        <v>1522</v>
      </c>
      <c r="F1900" t="s">
        <v>120</v>
      </c>
      <c r="G1900" t="s">
        <v>4715</v>
      </c>
      <c r="H1900" t="s">
        <v>5630</v>
      </c>
      <c r="I1900" t="s">
        <v>5474</v>
      </c>
      <c r="J1900" t="s">
        <v>5631</v>
      </c>
      <c r="K1900" t="s">
        <v>5632</v>
      </c>
      <c r="L1900" t="s">
        <v>4717</v>
      </c>
    </row>
    <row r="1901">
      <c r="A1901" t="s">
        <v>2667</v>
      </c>
      <c r="B1901" t="s">
        <v>1524</v>
      </c>
      <c r="C1901" t="s">
        <v>958</v>
      </c>
      <c r="D1901" t="s">
        <v>1521</v>
      </c>
      <c r="E1901" t="s">
        <v>1522</v>
      </c>
      <c r="F1901" t="s">
        <v>120</v>
      </c>
      <c r="G1901" t="s">
        <v>4715</v>
      </c>
      <c r="H1901" t="s">
        <v>5170</v>
      </c>
      <c r="I1901" t="s">
        <v>5171</v>
      </c>
      <c r="J1901" t="s">
        <v>5633</v>
      </c>
      <c r="K1901" t="s">
        <v>5634</v>
      </c>
      <c r="L1901" t="s">
        <v>4717</v>
      </c>
    </row>
    <row r="1902">
      <c r="A1902" t="s">
        <v>2667</v>
      </c>
      <c r="B1902" t="s">
        <v>1524</v>
      </c>
      <c r="C1902" t="s">
        <v>958</v>
      </c>
      <c r="D1902" t="s">
        <v>1521</v>
      </c>
      <c r="E1902" t="s">
        <v>1522</v>
      </c>
      <c r="F1902" t="s">
        <v>120</v>
      </c>
      <c r="G1902" t="s">
        <v>4715</v>
      </c>
      <c r="H1902" t="s">
        <v>5157</v>
      </c>
      <c r="I1902" t="s">
        <v>5635</v>
      </c>
      <c r="J1902" t="s">
        <v>5636</v>
      </c>
      <c r="K1902" t="s">
        <v>5637</v>
      </c>
      <c r="L1902" t="s">
        <v>4717</v>
      </c>
    </row>
    <row r="1903">
      <c r="A1903" t="s">
        <v>2667</v>
      </c>
      <c r="B1903" t="s">
        <v>1524</v>
      </c>
      <c r="C1903" t="s">
        <v>958</v>
      </c>
      <c r="D1903" t="s">
        <v>1521</v>
      </c>
      <c r="E1903" t="s">
        <v>1522</v>
      </c>
      <c r="F1903" t="s">
        <v>120</v>
      </c>
      <c r="G1903" t="s">
        <v>4715</v>
      </c>
      <c r="H1903" t="s">
        <v>5522</v>
      </c>
      <c r="I1903" t="s">
        <v>5656</v>
      </c>
      <c r="J1903" t="s">
        <v>5657</v>
      </c>
      <c r="K1903" t="s">
        <v>5658</v>
      </c>
      <c r="L1903" t="s">
        <v>4717</v>
      </c>
    </row>
    <row r="1904">
      <c r="A1904" t="s">
        <v>2671</v>
      </c>
      <c r="B1904" t="s">
        <v>1532</v>
      </c>
      <c r="C1904" t="s">
        <v>958</v>
      </c>
      <c r="D1904" t="s">
        <v>1521</v>
      </c>
      <c r="E1904" t="s">
        <v>1522</v>
      </c>
      <c r="F1904" t="s">
        <v>120</v>
      </c>
      <c r="G1904" t="s">
        <v>4715</v>
      </c>
      <c r="H1904" t="s">
        <v>5041</v>
      </c>
      <c r="I1904" t="s">
        <v>5614</v>
      </c>
      <c r="J1904" t="s">
        <v>5615</v>
      </c>
      <c r="K1904" t="s">
        <v>4169</v>
      </c>
      <c r="L1904" t="s">
        <v>4717</v>
      </c>
    </row>
    <row r="1905">
      <c r="A1905" t="s">
        <v>2671</v>
      </c>
      <c r="B1905" t="s">
        <v>1532</v>
      </c>
      <c r="C1905" t="s">
        <v>958</v>
      </c>
      <c r="D1905" t="s">
        <v>1521</v>
      </c>
      <c r="E1905" t="s">
        <v>1522</v>
      </c>
      <c r="F1905" t="s">
        <v>120</v>
      </c>
      <c r="G1905" t="s">
        <v>4715</v>
      </c>
      <c r="H1905" t="s">
        <v>5616</v>
      </c>
      <c r="I1905" t="s">
        <v>5617</v>
      </c>
      <c r="J1905" t="s">
        <v>5618</v>
      </c>
      <c r="K1905" t="s">
        <v>5619</v>
      </c>
      <c r="L1905" t="s">
        <v>4717</v>
      </c>
    </row>
    <row r="1906">
      <c r="A1906" t="s">
        <v>2671</v>
      </c>
      <c r="B1906" t="s">
        <v>1532</v>
      </c>
      <c r="C1906" t="s">
        <v>958</v>
      </c>
      <c r="D1906" t="s">
        <v>1521</v>
      </c>
      <c r="E1906" t="s">
        <v>1522</v>
      </c>
      <c r="F1906" t="s">
        <v>120</v>
      </c>
      <c r="G1906" t="s">
        <v>4715</v>
      </c>
      <c r="H1906" t="s">
        <v>5499</v>
      </c>
      <c r="I1906" t="s">
        <v>5620</v>
      </c>
      <c r="J1906" t="s">
        <v>5621</v>
      </c>
      <c r="K1906" t="s">
        <v>5622</v>
      </c>
      <c r="L1906" t="s">
        <v>4717</v>
      </c>
    </row>
    <row r="1907">
      <c r="A1907" t="s">
        <v>2671</v>
      </c>
      <c r="B1907" t="s">
        <v>1532</v>
      </c>
      <c r="C1907" t="s">
        <v>958</v>
      </c>
      <c r="D1907" t="s">
        <v>1521</v>
      </c>
      <c r="E1907" t="s">
        <v>1522</v>
      </c>
      <c r="F1907" t="s">
        <v>120</v>
      </c>
      <c r="G1907" t="s">
        <v>4715</v>
      </c>
      <c r="H1907" t="s">
        <v>5623</v>
      </c>
      <c r="I1907" t="s">
        <v>5624</v>
      </c>
      <c r="J1907" t="s">
        <v>5625</v>
      </c>
      <c r="K1907" t="s">
        <v>5626</v>
      </c>
      <c r="L1907" t="s">
        <v>4717</v>
      </c>
    </row>
    <row r="1908">
      <c r="A1908" t="s">
        <v>2671</v>
      </c>
      <c r="B1908" t="s">
        <v>1532</v>
      </c>
      <c r="C1908" t="s">
        <v>958</v>
      </c>
      <c r="D1908" t="s">
        <v>1521</v>
      </c>
      <c r="E1908" t="s">
        <v>1522</v>
      </c>
      <c r="F1908" t="s">
        <v>120</v>
      </c>
      <c r="G1908" t="s">
        <v>4715</v>
      </c>
      <c r="H1908" t="s">
        <v>3904</v>
      </c>
      <c r="I1908" t="s">
        <v>5627</v>
      </c>
      <c r="J1908" t="s">
        <v>5628</v>
      </c>
      <c r="K1908" t="s">
        <v>5629</v>
      </c>
      <c r="L1908" t="s">
        <v>4717</v>
      </c>
    </row>
    <row r="1909">
      <c r="A1909" t="s">
        <v>2671</v>
      </c>
      <c r="B1909" t="s">
        <v>1532</v>
      </c>
      <c r="C1909" t="s">
        <v>958</v>
      </c>
      <c r="D1909" t="s">
        <v>1521</v>
      </c>
      <c r="E1909" t="s">
        <v>1522</v>
      </c>
      <c r="F1909" t="s">
        <v>120</v>
      </c>
      <c r="G1909" t="s">
        <v>4715</v>
      </c>
      <c r="H1909" t="s">
        <v>5630</v>
      </c>
      <c r="I1909" t="s">
        <v>5474</v>
      </c>
      <c r="J1909" t="s">
        <v>5631</v>
      </c>
      <c r="K1909" t="s">
        <v>5632</v>
      </c>
      <c r="L1909" t="s">
        <v>4717</v>
      </c>
    </row>
    <row r="1910">
      <c r="A1910" t="s">
        <v>2671</v>
      </c>
      <c r="B1910" t="s">
        <v>1532</v>
      </c>
      <c r="C1910" t="s">
        <v>958</v>
      </c>
      <c r="D1910" t="s">
        <v>1521</v>
      </c>
      <c r="E1910" t="s">
        <v>1522</v>
      </c>
      <c r="F1910" t="s">
        <v>120</v>
      </c>
      <c r="G1910" t="s">
        <v>4715</v>
      </c>
      <c r="H1910" t="s">
        <v>5170</v>
      </c>
      <c r="I1910" t="s">
        <v>5171</v>
      </c>
      <c r="J1910" t="s">
        <v>5633</v>
      </c>
      <c r="K1910" t="s">
        <v>5634</v>
      </c>
      <c r="L1910" t="s">
        <v>4717</v>
      </c>
    </row>
    <row r="1911">
      <c r="A1911" t="s">
        <v>2671</v>
      </c>
      <c r="B1911" t="s">
        <v>1532</v>
      </c>
      <c r="C1911" t="s">
        <v>958</v>
      </c>
      <c r="D1911" t="s">
        <v>1521</v>
      </c>
      <c r="E1911" t="s">
        <v>1522</v>
      </c>
      <c r="F1911" t="s">
        <v>120</v>
      </c>
      <c r="G1911" t="s">
        <v>4715</v>
      </c>
      <c r="H1911" t="s">
        <v>5157</v>
      </c>
      <c r="I1911" t="s">
        <v>5635</v>
      </c>
      <c r="J1911" t="s">
        <v>5636</v>
      </c>
      <c r="K1911" t="s">
        <v>5637</v>
      </c>
      <c r="L1911" t="s">
        <v>4717</v>
      </c>
    </row>
    <row r="1912">
      <c r="A1912" t="s">
        <v>2671</v>
      </c>
      <c r="B1912" t="s">
        <v>1532</v>
      </c>
      <c r="C1912" t="s">
        <v>958</v>
      </c>
      <c r="D1912" t="s">
        <v>1521</v>
      </c>
      <c r="E1912" t="s">
        <v>1522</v>
      </c>
      <c r="F1912" t="s">
        <v>120</v>
      </c>
      <c r="G1912" t="s">
        <v>4715</v>
      </c>
      <c r="H1912" t="s">
        <v>5522</v>
      </c>
      <c r="I1912" t="s">
        <v>5656</v>
      </c>
      <c r="J1912" t="s">
        <v>5657</v>
      </c>
      <c r="K1912" t="s">
        <v>5658</v>
      </c>
      <c r="L1912" t="s">
        <v>4717</v>
      </c>
    </row>
    <row r="1913">
      <c r="A1913" t="s">
        <v>2674</v>
      </c>
      <c r="B1913" t="s">
        <v>1539</v>
      </c>
      <c r="C1913" t="s">
        <v>958</v>
      </c>
      <c r="D1913" t="s">
        <v>1521</v>
      </c>
      <c r="E1913" t="s">
        <v>1522</v>
      </c>
      <c r="F1913" t="s">
        <v>120</v>
      </c>
      <c r="G1913" t="s">
        <v>4715</v>
      </c>
      <c r="H1913" t="s">
        <v>5041</v>
      </c>
      <c r="I1913" t="s">
        <v>5614</v>
      </c>
      <c r="J1913" t="s">
        <v>5615</v>
      </c>
      <c r="K1913" t="s">
        <v>4169</v>
      </c>
      <c r="L1913" t="s">
        <v>4717</v>
      </c>
    </row>
    <row r="1914">
      <c r="A1914" t="s">
        <v>2674</v>
      </c>
      <c r="B1914" t="s">
        <v>1539</v>
      </c>
      <c r="C1914" t="s">
        <v>958</v>
      </c>
      <c r="D1914" t="s">
        <v>1521</v>
      </c>
      <c r="E1914" t="s">
        <v>1522</v>
      </c>
      <c r="F1914" t="s">
        <v>120</v>
      </c>
      <c r="G1914" t="s">
        <v>4715</v>
      </c>
      <c r="H1914" t="s">
        <v>5616</v>
      </c>
      <c r="I1914" t="s">
        <v>5617</v>
      </c>
      <c r="J1914" t="s">
        <v>5618</v>
      </c>
      <c r="K1914" t="s">
        <v>5619</v>
      </c>
      <c r="L1914" t="s">
        <v>4717</v>
      </c>
    </row>
    <row r="1915">
      <c r="A1915" t="s">
        <v>2674</v>
      </c>
      <c r="B1915" t="s">
        <v>1539</v>
      </c>
      <c r="C1915" t="s">
        <v>958</v>
      </c>
      <c r="D1915" t="s">
        <v>1521</v>
      </c>
      <c r="E1915" t="s">
        <v>1522</v>
      </c>
      <c r="F1915" t="s">
        <v>120</v>
      </c>
      <c r="G1915" t="s">
        <v>4715</v>
      </c>
      <c r="H1915" t="s">
        <v>5499</v>
      </c>
      <c r="I1915" t="s">
        <v>5620</v>
      </c>
      <c r="J1915" t="s">
        <v>5621</v>
      </c>
      <c r="K1915" t="s">
        <v>5622</v>
      </c>
      <c r="L1915" t="s">
        <v>4717</v>
      </c>
    </row>
    <row r="1916">
      <c r="A1916" t="s">
        <v>2674</v>
      </c>
      <c r="B1916" t="s">
        <v>1539</v>
      </c>
      <c r="C1916" t="s">
        <v>958</v>
      </c>
      <c r="D1916" t="s">
        <v>1521</v>
      </c>
      <c r="E1916" t="s">
        <v>1522</v>
      </c>
      <c r="F1916" t="s">
        <v>120</v>
      </c>
      <c r="G1916" t="s">
        <v>4715</v>
      </c>
      <c r="H1916" t="s">
        <v>5623</v>
      </c>
      <c r="I1916" t="s">
        <v>5624</v>
      </c>
      <c r="J1916" t="s">
        <v>5625</v>
      </c>
      <c r="K1916" t="s">
        <v>5626</v>
      </c>
      <c r="L1916" t="s">
        <v>4717</v>
      </c>
    </row>
    <row r="1917">
      <c r="A1917" t="s">
        <v>2674</v>
      </c>
      <c r="B1917" t="s">
        <v>1539</v>
      </c>
      <c r="C1917" t="s">
        <v>958</v>
      </c>
      <c r="D1917" t="s">
        <v>1521</v>
      </c>
      <c r="E1917" t="s">
        <v>1522</v>
      </c>
      <c r="F1917" t="s">
        <v>120</v>
      </c>
      <c r="G1917" t="s">
        <v>4715</v>
      </c>
      <c r="H1917" t="s">
        <v>3904</v>
      </c>
      <c r="I1917" t="s">
        <v>5627</v>
      </c>
      <c r="J1917" t="s">
        <v>5628</v>
      </c>
      <c r="K1917" t="s">
        <v>5629</v>
      </c>
      <c r="L1917" t="s">
        <v>4717</v>
      </c>
    </row>
    <row r="1918">
      <c r="A1918" t="s">
        <v>2674</v>
      </c>
      <c r="B1918" t="s">
        <v>1539</v>
      </c>
      <c r="C1918" t="s">
        <v>958</v>
      </c>
      <c r="D1918" t="s">
        <v>1521</v>
      </c>
      <c r="E1918" t="s">
        <v>1522</v>
      </c>
      <c r="F1918" t="s">
        <v>120</v>
      </c>
      <c r="G1918" t="s">
        <v>4715</v>
      </c>
      <c r="H1918" t="s">
        <v>5630</v>
      </c>
      <c r="I1918" t="s">
        <v>5474</v>
      </c>
      <c r="J1918" t="s">
        <v>5631</v>
      </c>
      <c r="K1918" t="s">
        <v>5632</v>
      </c>
      <c r="L1918" t="s">
        <v>4717</v>
      </c>
    </row>
    <row r="1919">
      <c r="A1919" t="s">
        <v>2674</v>
      </c>
      <c r="B1919" t="s">
        <v>1539</v>
      </c>
      <c r="C1919" t="s">
        <v>958</v>
      </c>
      <c r="D1919" t="s">
        <v>1521</v>
      </c>
      <c r="E1919" t="s">
        <v>1522</v>
      </c>
      <c r="F1919" t="s">
        <v>120</v>
      </c>
      <c r="G1919" t="s">
        <v>4715</v>
      </c>
      <c r="H1919" t="s">
        <v>5170</v>
      </c>
      <c r="I1919" t="s">
        <v>5171</v>
      </c>
      <c r="J1919" t="s">
        <v>5633</v>
      </c>
      <c r="K1919" t="s">
        <v>5634</v>
      </c>
      <c r="L1919" t="s">
        <v>4717</v>
      </c>
    </row>
    <row r="1920">
      <c r="A1920" t="s">
        <v>2674</v>
      </c>
      <c r="B1920" t="s">
        <v>1539</v>
      </c>
      <c r="C1920" t="s">
        <v>958</v>
      </c>
      <c r="D1920" t="s">
        <v>1521</v>
      </c>
      <c r="E1920" t="s">
        <v>1522</v>
      </c>
      <c r="F1920" t="s">
        <v>120</v>
      </c>
      <c r="G1920" t="s">
        <v>4715</v>
      </c>
      <c r="H1920" t="s">
        <v>5157</v>
      </c>
      <c r="I1920" t="s">
        <v>5635</v>
      </c>
      <c r="J1920" t="s">
        <v>5636</v>
      </c>
      <c r="K1920" t="s">
        <v>5637</v>
      </c>
      <c r="L1920" t="s">
        <v>4717</v>
      </c>
    </row>
    <row r="1921">
      <c r="A1921" t="s">
        <v>2674</v>
      </c>
      <c r="B1921" t="s">
        <v>1539</v>
      </c>
      <c r="C1921" t="s">
        <v>958</v>
      </c>
      <c r="D1921" t="s">
        <v>1521</v>
      </c>
      <c r="E1921" t="s">
        <v>1522</v>
      </c>
      <c r="F1921" t="s">
        <v>120</v>
      </c>
      <c r="G1921" t="s">
        <v>4715</v>
      </c>
      <c r="H1921" t="s">
        <v>5522</v>
      </c>
      <c r="I1921" t="s">
        <v>5656</v>
      </c>
      <c r="J1921" t="s">
        <v>5657</v>
      </c>
      <c r="K1921" t="s">
        <v>5658</v>
      </c>
      <c r="L1921" t="s">
        <v>4717</v>
      </c>
    </row>
    <row r="1922">
      <c r="A1922" t="s">
        <v>2677</v>
      </c>
      <c r="B1922" t="s">
        <v>1547</v>
      </c>
      <c r="C1922" t="s">
        <v>958</v>
      </c>
      <c r="D1922" t="s">
        <v>1521</v>
      </c>
      <c r="E1922" t="s">
        <v>1522</v>
      </c>
      <c r="F1922" t="s">
        <v>120</v>
      </c>
      <c r="G1922" t="s">
        <v>4715</v>
      </c>
      <c r="H1922" t="s">
        <v>5041</v>
      </c>
      <c r="I1922" t="s">
        <v>5614</v>
      </c>
      <c r="J1922" t="s">
        <v>5615</v>
      </c>
      <c r="K1922" t="s">
        <v>4169</v>
      </c>
      <c r="L1922" t="s">
        <v>4717</v>
      </c>
    </row>
    <row r="1923">
      <c r="A1923" t="s">
        <v>2677</v>
      </c>
      <c r="B1923" t="s">
        <v>1547</v>
      </c>
      <c r="C1923" t="s">
        <v>958</v>
      </c>
      <c r="D1923" t="s">
        <v>1521</v>
      </c>
      <c r="E1923" t="s">
        <v>1522</v>
      </c>
      <c r="F1923" t="s">
        <v>120</v>
      </c>
      <c r="G1923" t="s">
        <v>4715</v>
      </c>
      <c r="H1923" t="s">
        <v>5616</v>
      </c>
      <c r="I1923" t="s">
        <v>5617</v>
      </c>
      <c r="J1923" t="s">
        <v>5618</v>
      </c>
      <c r="K1923" t="s">
        <v>5619</v>
      </c>
      <c r="L1923" t="s">
        <v>4717</v>
      </c>
    </row>
    <row r="1924">
      <c r="A1924" t="s">
        <v>2677</v>
      </c>
      <c r="B1924" t="s">
        <v>1547</v>
      </c>
      <c r="C1924" t="s">
        <v>958</v>
      </c>
      <c r="D1924" t="s">
        <v>1521</v>
      </c>
      <c r="E1924" t="s">
        <v>1522</v>
      </c>
      <c r="F1924" t="s">
        <v>120</v>
      </c>
      <c r="G1924" t="s">
        <v>4715</v>
      </c>
      <c r="H1924" t="s">
        <v>5499</v>
      </c>
      <c r="I1924" t="s">
        <v>5620</v>
      </c>
      <c r="J1924" t="s">
        <v>5621</v>
      </c>
      <c r="K1924" t="s">
        <v>5622</v>
      </c>
      <c r="L1924" t="s">
        <v>4717</v>
      </c>
    </row>
    <row r="1925">
      <c r="A1925" t="s">
        <v>2677</v>
      </c>
      <c r="B1925" t="s">
        <v>1547</v>
      </c>
      <c r="C1925" t="s">
        <v>958</v>
      </c>
      <c r="D1925" t="s">
        <v>1521</v>
      </c>
      <c r="E1925" t="s">
        <v>1522</v>
      </c>
      <c r="F1925" t="s">
        <v>120</v>
      </c>
      <c r="G1925" t="s">
        <v>4715</v>
      </c>
      <c r="H1925" t="s">
        <v>5623</v>
      </c>
      <c r="I1925" t="s">
        <v>5624</v>
      </c>
      <c r="J1925" t="s">
        <v>5625</v>
      </c>
      <c r="K1925" t="s">
        <v>5626</v>
      </c>
      <c r="L1925" t="s">
        <v>4717</v>
      </c>
    </row>
    <row r="1926">
      <c r="A1926" t="s">
        <v>2677</v>
      </c>
      <c r="B1926" t="s">
        <v>1547</v>
      </c>
      <c r="C1926" t="s">
        <v>958</v>
      </c>
      <c r="D1926" t="s">
        <v>1521</v>
      </c>
      <c r="E1926" t="s">
        <v>1522</v>
      </c>
      <c r="F1926" t="s">
        <v>120</v>
      </c>
      <c r="G1926" t="s">
        <v>4715</v>
      </c>
      <c r="H1926" t="s">
        <v>3904</v>
      </c>
      <c r="I1926" t="s">
        <v>5627</v>
      </c>
      <c r="J1926" t="s">
        <v>5628</v>
      </c>
      <c r="K1926" t="s">
        <v>5629</v>
      </c>
      <c r="L1926" t="s">
        <v>4717</v>
      </c>
    </row>
    <row r="1927">
      <c r="A1927" t="s">
        <v>2677</v>
      </c>
      <c r="B1927" t="s">
        <v>1547</v>
      </c>
      <c r="C1927" t="s">
        <v>958</v>
      </c>
      <c r="D1927" t="s">
        <v>1521</v>
      </c>
      <c r="E1927" t="s">
        <v>1522</v>
      </c>
      <c r="F1927" t="s">
        <v>120</v>
      </c>
      <c r="G1927" t="s">
        <v>4715</v>
      </c>
      <c r="H1927" t="s">
        <v>5630</v>
      </c>
      <c r="I1927" t="s">
        <v>5474</v>
      </c>
      <c r="J1927" t="s">
        <v>5631</v>
      </c>
      <c r="K1927" t="s">
        <v>5632</v>
      </c>
      <c r="L1927" t="s">
        <v>4717</v>
      </c>
    </row>
    <row r="1928">
      <c r="A1928" t="s">
        <v>2677</v>
      </c>
      <c r="B1928" t="s">
        <v>1547</v>
      </c>
      <c r="C1928" t="s">
        <v>958</v>
      </c>
      <c r="D1928" t="s">
        <v>1521</v>
      </c>
      <c r="E1928" t="s">
        <v>1522</v>
      </c>
      <c r="F1928" t="s">
        <v>120</v>
      </c>
      <c r="G1928" t="s">
        <v>4715</v>
      </c>
      <c r="H1928" t="s">
        <v>5170</v>
      </c>
      <c r="I1928" t="s">
        <v>5171</v>
      </c>
      <c r="J1928" t="s">
        <v>5633</v>
      </c>
      <c r="K1928" t="s">
        <v>5634</v>
      </c>
      <c r="L1928" t="s">
        <v>4717</v>
      </c>
    </row>
    <row r="1929">
      <c r="A1929" t="s">
        <v>2677</v>
      </c>
      <c r="B1929" t="s">
        <v>1547</v>
      </c>
      <c r="C1929" t="s">
        <v>958</v>
      </c>
      <c r="D1929" t="s">
        <v>1521</v>
      </c>
      <c r="E1929" t="s">
        <v>1522</v>
      </c>
      <c r="F1929" t="s">
        <v>120</v>
      </c>
      <c r="G1929" t="s">
        <v>4715</v>
      </c>
      <c r="H1929" t="s">
        <v>5157</v>
      </c>
      <c r="I1929" t="s">
        <v>5635</v>
      </c>
      <c r="J1929" t="s">
        <v>5636</v>
      </c>
      <c r="K1929" t="s">
        <v>5637</v>
      </c>
      <c r="L1929" t="s">
        <v>4717</v>
      </c>
    </row>
    <row r="1930">
      <c r="A1930" t="s">
        <v>2677</v>
      </c>
      <c r="B1930" t="s">
        <v>1547</v>
      </c>
      <c r="C1930" t="s">
        <v>958</v>
      </c>
      <c r="D1930" t="s">
        <v>1521</v>
      </c>
      <c r="E1930" t="s">
        <v>1522</v>
      </c>
      <c r="F1930" t="s">
        <v>120</v>
      </c>
      <c r="G1930" t="s">
        <v>4715</v>
      </c>
      <c r="H1930" t="s">
        <v>5522</v>
      </c>
      <c r="I1930" t="s">
        <v>5656</v>
      </c>
      <c r="J1930" t="s">
        <v>5657</v>
      </c>
      <c r="K1930" t="s">
        <v>5658</v>
      </c>
      <c r="L1930" t="s">
        <v>4717</v>
      </c>
    </row>
    <row r="1931">
      <c r="A1931" t="s">
        <v>2680</v>
      </c>
      <c r="B1931" t="s">
        <v>1555</v>
      </c>
      <c r="C1931" t="s">
        <v>958</v>
      </c>
      <c r="D1931" t="s">
        <v>1521</v>
      </c>
      <c r="E1931" t="s">
        <v>1522</v>
      </c>
      <c r="F1931" t="s">
        <v>120</v>
      </c>
      <c r="G1931" t="s">
        <v>4715</v>
      </c>
      <c r="H1931" t="s">
        <v>5041</v>
      </c>
      <c r="I1931" t="s">
        <v>5614</v>
      </c>
      <c r="J1931" t="s">
        <v>5615</v>
      </c>
      <c r="K1931" t="s">
        <v>4169</v>
      </c>
      <c r="L1931" t="s">
        <v>4717</v>
      </c>
    </row>
    <row r="1932">
      <c r="A1932" t="s">
        <v>2680</v>
      </c>
      <c r="B1932" t="s">
        <v>1555</v>
      </c>
      <c r="C1932" t="s">
        <v>958</v>
      </c>
      <c r="D1932" t="s">
        <v>1521</v>
      </c>
      <c r="E1932" t="s">
        <v>1522</v>
      </c>
      <c r="F1932" t="s">
        <v>120</v>
      </c>
      <c r="G1932" t="s">
        <v>4715</v>
      </c>
      <c r="H1932" t="s">
        <v>5616</v>
      </c>
      <c r="I1932" t="s">
        <v>5617</v>
      </c>
      <c r="J1932" t="s">
        <v>5618</v>
      </c>
      <c r="K1932" t="s">
        <v>5619</v>
      </c>
      <c r="L1932" t="s">
        <v>4717</v>
      </c>
    </row>
    <row r="1933">
      <c r="A1933" t="s">
        <v>2680</v>
      </c>
      <c r="B1933" t="s">
        <v>1555</v>
      </c>
      <c r="C1933" t="s">
        <v>958</v>
      </c>
      <c r="D1933" t="s">
        <v>1521</v>
      </c>
      <c r="E1933" t="s">
        <v>1522</v>
      </c>
      <c r="F1933" t="s">
        <v>120</v>
      </c>
      <c r="G1933" t="s">
        <v>4715</v>
      </c>
      <c r="H1933" t="s">
        <v>5499</v>
      </c>
      <c r="I1933" t="s">
        <v>5620</v>
      </c>
      <c r="J1933" t="s">
        <v>5621</v>
      </c>
      <c r="K1933" t="s">
        <v>5622</v>
      </c>
      <c r="L1933" t="s">
        <v>4717</v>
      </c>
    </row>
    <row r="1934">
      <c r="A1934" t="s">
        <v>2680</v>
      </c>
      <c r="B1934" t="s">
        <v>1555</v>
      </c>
      <c r="C1934" t="s">
        <v>958</v>
      </c>
      <c r="D1934" t="s">
        <v>1521</v>
      </c>
      <c r="E1934" t="s">
        <v>1522</v>
      </c>
      <c r="F1934" t="s">
        <v>120</v>
      </c>
      <c r="G1934" t="s">
        <v>4715</v>
      </c>
      <c r="H1934" t="s">
        <v>5623</v>
      </c>
      <c r="I1934" t="s">
        <v>5624</v>
      </c>
      <c r="J1934" t="s">
        <v>5625</v>
      </c>
      <c r="K1934" t="s">
        <v>5626</v>
      </c>
      <c r="L1934" t="s">
        <v>4717</v>
      </c>
    </row>
    <row r="1935">
      <c r="A1935" t="s">
        <v>2680</v>
      </c>
      <c r="B1935" t="s">
        <v>1555</v>
      </c>
      <c r="C1935" t="s">
        <v>958</v>
      </c>
      <c r="D1935" t="s">
        <v>1521</v>
      </c>
      <c r="E1935" t="s">
        <v>1522</v>
      </c>
      <c r="F1935" t="s">
        <v>120</v>
      </c>
      <c r="G1935" t="s">
        <v>4715</v>
      </c>
      <c r="H1935" t="s">
        <v>3904</v>
      </c>
      <c r="I1935" t="s">
        <v>5627</v>
      </c>
      <c r="J1935" t="s">
        <v>5628</v>
      </c>
      <c r="K1935" t="s">
        <v>5629</v>
      </c>
      <c r="L1935" t="s">
        <v>4717</v>
      </c>
    </row>
    <row r="1936">
      <c r="A1936" t="s">
        <v>2680</v>
      </c>
      <c r="B1936" t="s">
        <v>1555</v>
      </c>
      <c r="C1936" t="s">
        <v>958</v>
      </c>
      <c r="D1936" t="s">
        <v>1521</v>
      </c>
      <c r="E1936" t="s">
        <v>1522</v>
      </c>
      <c r="F1936" t="s">
        <v>120</v>
      </c>
      <c r="G1936" t="s">
        <v>4715</v>
      </c>
      <c r="H1936" t="s">
        <v>5630</v>
      </c>
      <c r="I1936" t="s">
        <v>5474</v>
      </c>
      <c r="J1936" t="s">
        <v>5631</v>
      </c>
      <c r="K1936" t="s">
        <v>5632</v>
      </c>
      <c r="L1936" t="s">
        <v>4717</v>
      </c>
    </row>
    <row r="1937">
      <c r="A1937" t="s">
        <v>2680</v>
      </c>
      <c r="B1937" t="s">
        <v>1555</v>
      </c>
      <c r="C1937" t="s">
        <v>958</v>
      </c>
      <c r="D1937" t="s">
        <v>1521</v>
      </c>
      <c r="E1937" t="s">
        <v>1522</v>
      </c>
      <c r="F1937" t="s">
        <v>120</v>
      </c>
      <c r="G1937" t="s">
        <v>4715</v>
      </c>
      <c r="H1937" t="s">
        <v>5170</v>
      </c>
      <c r="I1937" t="s">
        <v>5171</v>
      </c>
      <c r="J1937" t="s">
        <v>5633</v>
      </c>
      <c r="K1937" t="s">
        <v>5634</v>
      </c>
      <c r="L1937" t="s">
        <v>4717</v>
      </c>
    </row>
    <row r="1938">
      <c r="A1938" t="s">
        <v>2680</v>
      </c>
      <c r="B1938" t="s">
        <v>1555</v>
      </c>
      <c r="C1938" t="s">
        <v>958</v>
      </c>
      <c r="D1938" t="s">
        <v>1521</v>
      </c>
      <c r="E1938" t="s">
        <v>1522</v>
      </c>
      <c r="F1938" t="s">
        <v>120</v>
      </c>
      <c r="G1938" t="s">
        <v>4715</v>
      </c>
      <c r="H1938" t="s">
        <v>5157</v>
      </c>
      <c r="I1938" t="s">
        <v>5635</v>
      </c>
      <c r="J1938" t="s">
        <v>5636</v>
      </c>
      <c r="K1938" t="s">
        <v>5637</v>
      </c>
      <c r="L1938" t="s">
        <v>4717</v>
      </c>
    </row>
    <row r="1939">
      <c r="A1939" t="s">
        <v>2680</v>
      </c>
      <c r="B1939" t="s">
        <v>1555</v>
      </c>
      <c r="C1939" t="s">
        <v>958</v>
      </c>
      <c r="D1939" t="s">
        <v>1521</v>
      </c>
      <c r="E1939" t="s">
        <v>1522</v>
      </c>
      <c r="F1939" t="s">
        <v>120</v>
      </c>
      <c r="G1939" t="s">
        <v>4715</v>
      </c>
      <c r="H1939" t="s">
        <v>5522</v>
      </c>
      <c r="I1939" t="s">
        <v>5656</v>
      </c>
      <c r="J1939" t="s">
        <v>5657</v>
      </c>
      <c r="K1939" t="s">
        <v>5658</v>
      </c>
      <c r="L1939" t="s">
        <v>4717</v>
      </c>
    </row>
    <row r="1940">
      <c r="A1940" t="s">
        <v>2683</v>
      </c>
      <c r="B1940" t="s">
        <v>1566</v>
      </c>
      <c r="C1940" t="s">
        <v>958</v>
      </c>
      <c r="D1940" t="s">
        <v>1563</v>
      </c>
      <c r="E1940" t="s">
        <v>1564</v>
      </c>
      <c r="F1940" t="s">
        <v>120</v>
      </c>
      <c r="G1940" t="s">
        <v>4715</v>
      </c>
      <c r="H1940" t="s">
        <v>5041</v>
      </c>
      <c r="I1940" t="s">
        <v>5614</v>
      </c>
      <c r="J1940" t="s">
        <v>5615</v>
      </c>
      <c r="K1940" t="s">
        <v>4169</v>
      </c>
      <c r="L1940" t="s">
        <v>4717</v>
      </c>
    </row>
    <row r="1941">
      <c r="A1941" t="s">
        <v>2683</v>
      </c>
      <c r="B1941" t="s">
        <v>1566</v>
      </c>
      <c r="C1941" t="s">
        <v>958</v>
      </c>
      <c r="D1941" t="s">
        <v>1563</v>
      </c>
      <c r="E1941" t="s">
        <v>1564</v>
      </c>
      <c r="F1941" t="s">
        <v>120</v>
      </c>
      <c r="G1941" t="s">
        <v>4715</v>
      </c>
      <c r="H1941" t="s">
        <v>5616</v>
      </c>
      <c r="I1941" t="s">
        <v>5617</v>
      </c>
      <c r="J1941" t="s">
        <v>5618</v>
      </c>
      <c r="K1941" t="s">
        <v>5619</v>
      </c>
      <c r="L1941" t="s">
        <v>4717</v>
      </c>
    </row>
    <row r="1942">
      <c r="A1942" t="s">
        <v>2683</v>
      </c>
      <c r="B1942" t="s">
        <v>1566</v>
      </c>
      <c r="C1942" t="s">
        <v>958</v>
      </c>
      <c r="D1942" t="s">
        <v>1563</v>
      </c>
      <c r="E1942" t="s">
        <v>1564</v>
      </c>
      <c r="F1942" t="s">
        <v>120</v>
      </c>
      <c r="G1942" t="s">
        <v>4715</v>
      </c>
      <c r="H1942" t="s">
        <v>5499</v>
      </c>
      <c r="I1942" t="s">
        <v>5620</v>
      </c>
      <c r="J1942" t="s">
        <v>5621</v>
      </c>
      <c r="K1942" t="s">
        <v>5622</v>
      </c>
      <c r="L1942" t="s">
        <v>4717</v>
      </c>
    </row>
    <row r="1943">
      <c r="A1943" t="s">
        <v>2683</v>
      </c>
      <c r="B1943" t="s">
        <v>1566</v>
      </c>
      <c r="C1943" t="s">
        <v>958</v>
      </c>
      <c r="D1943" t="s">
        <v>1563</v>
      </c>
      <c r="E1943" t="s">
        <v>1564</v>
      </c>
      <c r="F1943" t="s">
        <v>120</v>
      </c>
      <c r="G1943" t="s">
        <v>4715</v>
      </c>
      <c r="H1943" t="s">
        <v>5623</v>
      </c>
      <c r="I1943" t="s">
        <v>5624</v>
      </c>
      <c r="J1943" t="s">
        <v>5625</v>
      </c>
      <c r="K1943" t="s">
        <v>5626</v>
      </c>
      <c r="L1943" t="s">
        <v>4717</v>
      </c>
    </row>
    <row r="1944">
      <c r="A1944" t="s">
        <v>2683</v>
      </c>
      <c r="B1944" t="s">
        <v>1566</v>
      </c>
      <c r="C1944" t="s">
        <v>958</v>
      </c>
      <c r="D1944" t="s">
        <v>1563</v>
      </c>
      <c r="E1944" t="s">
        <v>1564</v>
      </c>
      <c r="F1944" t="s">
        <v>120</v>
      </c>
      <c r="G1944" t="s">
        <v>4715</v>
      </c>
      <c r="H1944" t="s">
        <v>3904</v>
      </c>
      <c r="I1944" t="s">
        <v>5627</v>
      </c>
      <c r="J1944" t="s">
        <v>5628</v>
      </c>
      <c r="K1944" t="s">
        <v>5629</v>
      </c>
      <c r="L1944" t="s">
        <v>4717</v>
      </c>
    </row>
    <row r="1945">
      <c r="A1945" t="s">
        <v>2683</v>
      </c>
      <c r="B1945" t="s">
        <v>1566</v>
      </c>
      <c r="C1945" t="s">
        <v>958</v>
      </c>
      <c r="D1945" t="s">
        <v>1563</v>
      </c>
      <c r="E1945" t="s">
        <v>1564</v>
      </c>
      <c r="F1945" t="s">
        <v>120</v>
      </c>
      <c r="G1945" t="s">
        <v>4715</v>
      </c>
      <c r="H1945" t="s">
        <v>5630</v>
      </c>
      <c r="I1945" t="s">
        <v>5474</v>
      </c>
      <c r="J1945" t="s">
        <v>5631</v>
      </c>
      <c r="K1945" t="s">
        <v>5632</v>
      </c>
      <c r="L1945" t="s">
        <v>4717</v>
      </c>
    </row>
    <row r="1946">
      <c r="A1946" t="s">
        <v>2683</v>
      </c>
      <c r="B1946" t="s">
        <v>1566</v>
      </c>
      <c r="C1946" t="s">
        <v>958</v>
      </c>
      <c r="D1946" t="s">
        <v>1563</v>
      </c>
      <c r="E1946" t="s">
        <v>1564</v>
      </c>
      <c r="F1946" t="s">
        <v>120</v>
      </c>
      <c r="G1946" t="s">
        <v>4715</v>
      </c>
      <c r="H1946" t="s">
        <v>5170</v>
      </c>
      <c r="I1946" t="s">
        <v>5171</v>
      </c>
      <c r="J1946" t="s">
        <v>5633</v>
      </c>
      <c r="K1946" t="s">
        <v>5634</v>
      </c>
      <c r="L1946" t="s">
        <v>4717</v>
      </c>
    </row>
    <row r="1947">
      <c r="A1947" t="s">
        <v>2683</v>
      </c>
      <c r="B1947" t="s">
        <v>1566</v>
      </c>
      <c r="C1947" t="s">
        <v>958</v>
      </c>
      <c r="D1947" t="s">
        <v>1563</v>
      </c>
      <c r="E1947" t="s">
        <v>1564</v>
      </c>
      <c r="F1947" t="s">
        <v>120</v>
      </c>
      <c r="G1947" t="s">
        <v>4715</v>
      </c>
      <c r="H1947" t="s">
        <v>5157</v>
      </c>
      <c r="I1947" t="s">
        <v>5635</v>
      </c>
      <c r="J1947" t="s">
        <v>5636</v>
      </c>
      <c r="K1947" t="s">
        <v>5637</v>
      </c>
      <c r="L1947" t="s">
        <v>4717</v>
      </c>
    </row>
    <row r="1948">
      <c r="A1948" t="s">
        <v>2683</v>
      </c>
      <c r="B1948" t="s">
        <v>1566</v>
      </c>
      <c r="C1948" t="s">
        <v>958</v>
      </c>
      <c r="D1948" t="s">
        <v>1563</v>
      </c>
      <c r="E1948" t="s">
        <v>1564</v>
      </c>
      <c r="F1948" t="s">
        <v>120</v>
      </c>
      <c r="G1948" t="s">
        <v>4715</v>
      </c>
      <c r="H1948" t="s">
        <v>5522</v>
      </c>
      <c r="I1948" t="s">
        <v>5656</v>
      </c>
      <c r="J1948" t="s">
        <v>5657</v>
      </c>
      <c r="K1948" t="s">
        <v>5658</v>
      </c>
      <c r="L1948" t="s">
        <v>4717</v>
      </c>
    </row>
    <row r="1949">
      <c r="A1949" t="s">
        <v>2686</v>
      </c>
      <c r="B1949" t="s">
        <v>1532</v>
      </c>
      <c r="C1949" t="s">
        <v>958</v>
      </c>
      <c r="D1949" t="s">
        <v>1563</v>
      </c>
      <c r="E1949" t="s">
        <v>1564</v>
      </c>
      <c r="F1949" t="s">
        <v>120</v>
      </c>
      <c r="G1949" t="s">
        <v>4715</v>
      </c>
      <c r="H1949" t="s">
        <v>5041</v>
      </c>
      <c r="I1949" t="s">
        <v>5614</v>
      </c>
      <c r="J1949" t="s">
        <v>5615</v>
      </c>
      <c r="K1949" t="s">
        <v>4169</v>
      </c>
      <c r="L1949" t="s">
        <v>4717</v>
      </c>
    </row>
    <row r="1950">
      <c r="A1950" t="s">
        <v>2686</v>
      </c>
      <c r="B1950" t="s">
        <v>1532</v>
      </c>
      <c r="C1950" t="s">
        <v>958</v>
      </c>
      <c r="D1950" t="s">
        <v>1563</v>
      </c>
      <c r="E1950" t="s">
        <v>1564</v>
      </c>
      <c r="F1950" t="s">
        <v>120</v>
      </c>
      <c r="G1950" t="s">
        <v>4715</v>
      </c>
      <c r="H1950" t="s">
        <v>5616</v>
      </c>
      <c r="I1950" t="s">
        <v>5617</v>
      </c>
      <c r="J1950" t="s">
        <v>5618</v>
      </c>
      <c r="K1950" t="s">
        <v>5619</v>
      </c>
      <c r="L1950" t="s">
        <v>4717</v>
      </c>
    </row>
    <row r="1951">
      <c r="A1951" t="s">
        <v>2686</v>
      </c>
      <c r="B1951" t="s">
        <v>1532</v>
      </c>
      <c r="C1951" t="s">
        <v>958</v>
      </c>
      <c r="D1951" t="s">
        <v>1563</v>
      </c>
      <c r="E1951" t="s">
        <v>1564</v>
      </c>
      <c r="F1951" t="s">
        <v>120</v>
      </c>
      <c r="G1951" t="s">
        <v>4715</v>
      </c>
      <c r="H1951" t="s">
        <v>5499</v>
      </c>
      <c r="I1951" t="s">
        <v>5620</v>
      </c>
      <c r="J1951" t="s">
        <v>5621</v>
      </c>
      <c r="K1951" t="s">
        <v>5622</v>
      </c>
      <c r="L1951" t="s">
        <v>4717</v>
      </c>
    </row>
    <row r="1952">
      <c r="A1952" t="s">
        <v>2686</v>
      </c>
      <c r="B1952" t="s">
        <v>1532</v>
      </c>
      <c r="C1952" t="s">
        <v>958</v>
      </c>
      <c r="D1952" t="s">
        <v>1563</v>
      </c>
      <c r="E1952" t="s">
        <v>1564</v>
      </c>
      <c r="F1952" t="s">
        <v>120</v>
      </c>
      <c r="G1952" t="s">
        <v>4715</v>
      </c>
      <c r="H1952" t="s">
        <v>5623</v>
      </c>
      <c r="I1952" t="s">
        <v>5624</v>
      </c>
      <c r="J1952" t="s">
        <v>5625</v>
      </c>
      <c r="K1952" t="s">
        <v>5626</v>
      </c>
      <c r="L1952" t="s">
        <v>4717</v>
      </c>
    </row>
    <row r="1953">
      <c r="A1953" t="s">
        <v>2686</v>
      </c>
      <c r="B1953" t="s">
        <v>1532</v>
      </c>
      <c r="C1953" t="s">
        <v>958</v>
      </c>
      <c r="D1953" t="s">
        <v>1563</v>
      </c>
      <c r="E1953" t="s">
        <v>1564</v>
      </c>
      <c r="F1953" t="s">
        <v>120</v>
      </c>
      <c r="G1953" t="s">
        <v>4715</v>
      </c>
      <c r="H1953" t="s">
        <v>3904</v>
      </c>
      <c r="I1953" t="s">
        <v>5627</v>
      </c>
      <c r="J1953" t="s">
        <v>5628</v>
      </c>
      <c r="K1953" t="s">
        <v>5629</v>
      </c>
      <c r="L1953" t="s">
        <v>4717</v>
      </c>
    </row>
    <row r="1954">
      <c r="A1954" t="s">
        <v>2686</v>
      </c>
      <c r="B1954" t="s">
        <v>1532</v>
      </c>
      <c r="C1954" t="s">
        <v>958</v>
      </c>
      <c r="D1954" t="s">
        <v>1563</v>
      </c>
      <c r="E1954" t="s">
        <v>1564</v>
      </c>
      <c r="F1954" t="s">
        <v>120</v>
      </c>
      <c r="G1954" t="s">
        <v>4715</v>
      </c>
      <c r="H1954" t="s">
        <v>5630</v>
      </c>
      <c r="I1954" t="s">
        <v>5474</v>
      </c>
      <c r="J1954" t="s">
        <v>5631</v>
      </c>
      <c r="K1954" t="s">
        <v>5632</v>
      </c>
      <c r="L1954" t="s">
        <v>4717</v>
      </c>
    </row>
    <row r="1955">
      <c r="A1955" t="s">
        <v>2686</v>
      </c>
      <c r="B1955" t="s">
        <v>1532</v>
      </c>
      <c r="C1955" t="s">
        <v>958</v>
      </c>
      <c r="D1955" t="s">
        <v>1563</v>
      </c>
      <c r="E1955" t="s">
        <v>1564</v>
      </c>
      <c r="F1955" t="s">
        <v>120</v>
      </c>
      <c r="G1955" t="s">
        <v>4715</v>
      </c>
      <c r="H1955" t="s">
        <v>5170</v>
      </c>
      <c r="I1955" t="s">
        <v>5171</v>
      </c>
      <c r="J1955" t="s">
        <v>5633</v>
      </c>
      <c r="K1955" t="s">
        <v>5634</v>
      </c>
      <c r="L1955" t="s">
        <v>4717</v>
      </c>
    </row>
    <row r="1956">
      <c r="A1956" t="s">
        <v>2686</v>
      </c>
      <c r="B1956" t="s">
        <v>1532</v>
      </c>
      <c r="C1956" t="s">
        <v>958</v>
      </c>
      <c r="D1956" t="s">
        <v>1563</v>
      </c>
      <c r="E1956" t="s">
        <v>1564</v>
      </c>
      <c r="F1956" t="s">
        <v>120</v>
      </c>
      <c r="G1956" t="s">
        <v>4715</v>
      </c>
      <c r="H1956" t="s">
        <v>5157</v>
      </c>
      <c r="I1956" t="s">
        <v>5635</v>
      </c>
      <c r="J1956" t="s">
        <v>5636</v>
      </c>
      <c r="K1956" t="s">
        <v>5637</v>
      </c>
      <c r="L1956" t="s">
        <v>4717</v>
      </c>
    </row>
    <row r="1957">
      <c r="A1957" t="s">
        <v>2686</v>
      </c>
      <c r="B1957" t="s">
        <v>1532</v>
      </c>
      <c r="C1957" t="s">
        <v>958</v>
      </c>
      <c r="D1957" t="s">
        <v>1563</v>
      </c>
      <c r="E1957" t="s">
        <v>1564</v>
      </c>
      <c r="F1957" t="s">
        <v>120</v>
      </c>
      <c r="G1957" t="s">
        <v>4715</v>
      </c>
      <c r="H1957" t="s">
        <v>5522</v>
      </c>
      <c r="I1957" t="s">
        <v>5656</v>
      </c>
      <c r="J1957" t="s">
        <v>5657</v>
      </c>
      <c r="K1957" t="s">
        <v>5658</v>
      </c>
      <c r="L1957" t="s">
        <v>4717</v>
      </c>
    </row>
    <row r="1958">
      <c r="A1958" t="s">
        <v>2689</v>
      </c>
      <c r="B1958" t="s">
        <v>1578</v>
      </c>
      <c r="C1958" t="s">
        <v>958</v>
      </c>
      <c r="D1958" t="s">
        <v>1563</v>
      </c>
      <c r="E1958" t="s">
        <v>1564</v>
      </c>
      <c r="F1958" t="s">
        <v>120</v>
      </c>
      <c r="G1958" t="s">
        <v>4715</v>
      </c>
      <c r="H1958" t="s">
        <v>5041</v>
      </c>
      <c r="I1958" t="s">
        <v>5614</v>
      </c>
      <c r="J1958" t="s">
        <v>5615</v>
      </c>
      <c r="K1958" t="s">
        <v>4169</v>
      </c>
      <c r="L1958" t="s">
        <v>4717</v>
      </c>
    </row>
    <row r="1959">
      <c r="A1959" t="s">
        <v>2689</v>
      </c>
      <c r="B1959" t="s">
        <v>1578</v>
      </c>
      <c r="C1959" t="s">
        <v>958</v>
      </c>
      <c r="D1959" t="s">
        <v>1563</v>
      </c>
      <c r="E1959" t="s">
        <v>1564</v>
      </c>
      <c r="F1959" t="s">
        <v>120</v>
      </c>
      <c r="G1959" t="s">
        <v>4715</v>
      </c>
      <c r="H1959" t="s">
        <v>5616</v>
      </c>
      <c r="I1959" t="s">
        <v>5617</v>
      </c>
      <c r="J1959" t="s">
        <v>5618</v>
      </c>
      <c r="K1959" t="s">
        <v>5619</v>
      </c>
      <c r="L1959" t="s">
        <v>4717</v>
      </c>
    </row>
    <row r="1960">
      <c r="A1960" t="s">
        <v>2689</v>
      </c>
      <c r="B1960" t="s">
        <v>1578</v>
      </c>
      <c r="C1960" t="s">
        <v>958</v>
      </c>
      <c r="D1960" t="s">
        <v>1563</v>
      </c>
      <c r="E1960" t="s">
        <v>1564</v>
      </c>
      <c r="F1960" t="s">
        <v>120</v>
      </c>
      <c r="G1960" t="s">
        <v>4715</v>
      </c>
      <c r="H1960" t="s">
        <v>5499</v>
      </c>
      <c r="I1960" t="s">
        <v>5620</v>
      </c>
      <c r="J1960" t="s">
        <v>5621</v>
      </c>
      <c r="K1960" t="s">
        <v>5622</v>
      </c>
      <c r="L1960" t="s">
        <v>4717</v>
      </c>
    </row>
    <row r="1961">
      <c r="A1961" t="s">
        <v>2689</v>
      </c>
      <c r="B1961" t="s">
        <v>1578</v>
      </c>
      <c r="C1961" t="s">
        <v>958</v>
      </c>
      <c r="D1961" t="s">
        <v>1563</v>
      </c>
      <c r="E1961" t="s">
        <v>1564</v>
      </c>
      <c r="F1961" t="s">
        <v>120</v>
      </c>
      <c r="G1961" t="s">
        <v>4715</v>
      </c>
      <c r="H1961" t="s">
        <v>5623</v>
      </c>
      <c r="I1961" t="s">
        <v>5624</v>
      </c>
      <c r="J1961" t="s">
        <v>5625</v>
      </c>
      <c r="K1961" t="s">
        <v>5626</v>
      </c>
      <c r="L1961" t="s">
        <v>4717</v>
      </c>
    </row>
    <row r="1962">
      <c r="A1962" t="s">
        <v>2689</v>
      </c>
      <c r="B1962" t="s">
        <v>1578</v>
      </c>
      <c r="C1962" t="s">
        <v>958</v>
      </c>
      <c r="D1962" t="s">
        <v>1563</v>
      </c>
      <c r="E1962" t="s">
        <v>1564</v>
      </c>
      <c r="F1962" t="s">
        <v>120</v>
      </c>
      <c r="G1962" t="s">
        <v>4715</v>
      </c>
      <c r="H1962" t="s">
        <v>3904</v>
      </c>
      <c r="I1962" t="s">
        <v>5627</v>
      </c>
      <c r="J1962" t="s">
        <v>5628</v>
      </c>
      <c r="K1962" t="s">
        <v>5629</v>
      </c>
      <c r="L1962" t="s">
        <v>4717</v>
      </c>
    </row>
    <row r="1963">
      <c r="A1963" t="s">
        <v>2689</v>
      </c>
      <c r="B1963" t="s">
        <v>1578</v>
      </c>
      <c r="C1963" t="s">
        <v>958</v>
      </c>
      <c r="D1963" t="s">
        <v>1563</v>
      </c>
      <c r="E1963" t="s">
        <v>1564</v>
      </c>
      <c r="F1963" t="s">
        <v>120</v>
      </c>
      <c r="G1963" t="s">
        <v>4715</v>
      </c>
      <c r="H1963" t="s">
        <v>5630</v>
      </c>
      <c r="I1963" t="s">
        <v>5474</v>
      </c>
      <c r="J1963" t="s">
        <v>5631</v>
      </c>
      <c r="K1963" t="s">
        <v>5632</v>
      </c>
      <c r="L1963" t="s">
        <v>4717</v>
      </c>
    </row>
    <row r="1964">
      <c r="A1964" t="s">
        <v>2689</v>
      </c>
      <c r="B1964" t="s">
        <v>1578</v>
      </c>
      <c r="C1964" t="s">
        <v>958</v>
      </c>
      <c r="D1964" t="s">
        <v>1563</v>
      </c>
      <c r="E1964" t="s">
        <v>1564</v>
      </c>
      <c r="F1964" t="s">
        <v>120</v>
      </c>
      <c r="G1964" t="s">
        <v>4715</v>
      </c>
      <c r="H1964" t="s">
        <v>5170</v>
      </c>
      <c r="I1964" t="s">
        <v>5171</v>
      </c>
      <c r="J1964" t="s">
        <v>5633</v>
      </c>
      <c r="K1964" t="s">
        <v>5634</v>
      </c>
      <c r="L1964" t="s">
        <v>4717</v>
      </c>
    </row>
    <row r="1965">
      <c r="A1965" t="s">
        <v>2689</v>
      </c>
      <c r="B1965" t="s">
        <v>1578</v>
      </c>
      <c r="C1965" t="s">
        <v>958</v>
      </c>
      <c r="D1965" t="s">
        <v>1563</v>
      </c>
      <c r="E1965" t="s">
        <v>1564</v>
      </c>
      <c r="F1965" t="s">
        <v>120</v>
      </c>
      <c r="G1965" t="s">
        <v>4715</v>
      </c>
      <c r="H1965" t="s">
        <v>5157</v>
      </c>
      <c r="I1965" t="s">
        <v>5635</v>
      </c>
      <c r="J1965" t="s">
        <v>5636</v>
      </c>
      <c r="K1965" t="s">
        <v>5637</v>
      </c>
      <c r="L1965" t="s">
        <v>4717</v>
      </c>
    </row>
    <row r="1966">
      <c r="A1966" t="s">
        <v>2689</v>
      </c>
      <c r="B1966" t="s">
        <v>1578</v>
      </c>
      <c r="C1966" t="s">
        <v>958</v>
      </c>
      <c r="D1966" t="s">
        <v>1563</v>
      </c>
      <c r="E1966" t="s">
        <v>1564</v>
      </c>
      <c r="F1966" t="s">
        <v>120</v>
      </c>
      <c r="G1966" t="s">
        <v>4715</v>
      </c>
      <c r="H1966" t="s">
        <v>5522</v>
      </c>
      <c r="I1966" t="s">
        <v>5656</v>
      </c>
      <c r="J1966" t="s">
        <v>5657</v>
      </c>
      <c r="K1966" t="s">
        <v>5658</v>
      </c>
      <c r="L1966" t="s">
        <v>4717</v>
      </c>
    </row>
    <row r="1967">
      <c r="A1967" t="s">
        <v>2692</v>
      </c>
      <c r="B1967" t="s">
        <v>1586</v>
      </c>
      <c r="C1967" t="s">
        <v>958</v>
      </c>
      <c r="D1967" t="s">
        <v>1563</v>
      </c>
      <c r="E1967" t="s">
        <v>1564</v>
      </c>
      <c r="F1967" t="s">
        <v>120</v>
      </c>
      <c r="G1967" t="s">
        <v>4715</v>
      </c>
      <c r="H1967" t="s">
        <v>5041</v>
      </c>
      <c r="I1967" t="s">
        <v>5614</v>
      </c>
      <c r="J1967" t="s">
        <v>5615</v>
      </c>
      <c r="K1967" t="s">
        <v>4169</v>
      </c>
      <c r="L1967" t="s">
        <v>4717</v>
      </c>
    </row>
    <row r="1968">
      <c r="A1968" t="s">
        <v>2692</v>
      </c>
      <c r="B1968" t="s">
        <v>1586</v>
      </c>
      <c r="C1968" t="s">
        <v>958</v>
      </c>
      <c r="D1968" t="s">
        <v>1563</v>
      </c>
      <c r="E1968" t="s">
        <v>1564</v>
      </c>
      <c r="F1968" t="s">
        <v>120</v>
      </c>
      <c r="G1968" t="s">
        <v>4715</v>
      </c>
      <c r="H1968" t="s">
        <v>5616</v>
      </c>
      <c r="I1968" t="s">
        <v>5617</v>
      </c>
      <c r="J1968" t="s">
        <v>5618</v>
      </c>
      <c r="K1968" t="s">
        <v>5619</v>
      </c>
      <c r="L1968" t="s">
        <v>4717</v>
      </c>
    </row>
    <row r="1969">
      <c r="A1969" t="s">
        <v>2692</v>
      </c>
      <c r="B1969" t="s">
        <v>1586</v>
      </c>
      <c r="C1969" t="s">
        <v>958</v>
      </c>
      <c r="D1969" t="s">
        <v>1563</v>
      </c>
      <c r="E1969" t="s">
        <v>1564</v>
      </c>
      <c r="F1969" t="s">
        <v>120</v>
      </c>
      <c r="G1969" t="s">
        <v>4715</v>
      </c>
      <c r="H1969" t="s">
        <v>5499</v>
      </c>
      <c r="I1969" t="s">
        <v>5620</v>
      </c>
      <c r="J1969" t="s">
        <v>5621</v>
      </c>
      <c r="K1969" t="s">
        <v>5622</v>
      </c>
      <c r="L1969" t="s">
        <v>4717</v>
      </c>
    </row>
    <row r="1970">
      <c r="A1970" t="s">
        <v>2692</v>
      </c>
      <c r="B1970" t="s">
        <v>1586</v>
      </c>
      <c r="C1970" t="s">
        <v>958</v>
      </c>
      <c r="D1970" t="s">
        <v>1563</v>
      </c>
      <c r="E1970" t="s">
        <v>1564</v>
      </c>
      <c r="F1970" t="s">
        <v>120</v>
      </c>
      <c r="G1970" t="s">
        <v>4715</v>
      </c>
      <c r="H1970" t="s">
        <v>5623</v>
      </c>
      <c r="I1970" t="s">
        <v>5624</v>
      </c>
      <c r="J1970" t="s">
        <v>5625</v>
      </c>
      <c r="K1970" t="s">
        <v>5626</v>
      </c>
      <c r="L1970" t="s">
        <v>4717</v>
      </c>
    </row>
    <row r="1971">
      <c r="A1971" t="s">
        <v>2692</v>
      </c>
      <c r="B1971" t="s">
        <v>1586</v>
      </c>
      <c r="C1971" t="s">
        <v>958</v>
      </c>
      <c r="D1971" t="s">
        <v>1563</v>
      </c>
      <c r="E1971" t="s">
        <v>1564</v>
      </c>
      <c r="F1971" t="s">
        <v>120</v>
      </c>
      <c r="G1971" t="s">
        <v>4715</v>
      </c>
      <c r="H1971" t="s">
        <v>3904</v>
      </c>
      <c r="I1971" t="s">
        <v>5627</v>
      </c>
      <c r="J1971" t="s">
        <v>5628</v>
      </c>
      <c r="K1971" t="s">
        <v>5629</v>
      </c>
      <c r="L1971" t="s">
        <v>4717</v>
      </c>
    </row>
    <row r="1972">
      <c r="A1972" t="s">
        <v>2692</v>
      </c>
      <c r="B1972" t="s">
        <v>1586</v>
      </c>
      <c r="C1972" t="s">
        <v>958</v>
      </c>
      <c r="D1972" t="s">
        <v>1563</v>
      </c>
      <c r="E1972" t="s">
        <v>1564</v>
      </c>
      <c r="F1972" t="s">
        <v>120</v>
      </c>
      <c r="G1972" t="s">
        <v>4715</v>
      </c>
      <c r="H1972" t="s">
        <v>5630</v>
      </c>
      <c r="I1972" t="s">
        <v>5474</v>
      </c>
      <c r="J1972" t="s">
        <v>5631</v>
      </c>
      <c r="K1972" t="s">
        <v>5632</v>
      </c>
      <c r="L1972" t="s">
        <v>4717</v>
      </c>
    </row>
    <row r="1973">
      <c r="A1973" t="s">
        <v>2692</v>
      </c>
      <c r="B1973" t="s">
        <v>1586</v>
      </c>
      <c r="C1973" t="s">
        <v>958</v>
      </c>
      <c r="D1973" t="s">
        <v>1563</v>
      </c>
      <c r="E1973" t="s">
        <v>1564</v>
      </c>
      <c r="F1973" t="s">
        <v>120</v>
      </c>
      <c r="G1973" t="s">
        <v>4715</v>
      </c>
      <c r="H1973" t="s">
        <v>5170</v>
      </c>
      <c r="I1973" t="s">
        <v>5171</v>
      </c>
      <c r="J1973" t="s">
        <v>5633</v>
      </c>
      <c r="K1973" t="s">
        <v>5634</v>
      </c>
      <c r="L1973" t="s">
        <v>4717</v>
      </c>
    </row>
    <row r="1974">
      <c r="A1974" t="s">
        <v>2692</v>
      </c>
      <c r="B1974" t="s">
        <v>1586</v>
      </c>
      <c r="C1974" t="s">
        <v>958</v>
      </c>
      <c r="D1974" t="s">
        <v>1563</v>
      </c>
      <c r="E1974" t="s">
        <v>1564</v>
      </c>
      <c r="F1974" t="s">
        <v>120</v>
      </c>
      <c r="G1974" t="s">
        <v>4715</v>
      </c>
      <c r="H1974" t="s">
        <v>5157</v>
      </c>
      <c r="I1974" t="s">
        <v>5635</v>
      </c>
      <c r="J1974" t="s">
        <v>5636</v>
      </c>
      <c r="K1974" t="s">
        <v>5637</v>
      </c>
      <c r="L1974" t="s">
        <v>4717</v>
      </c>
    </row>
    <row r="1975">
      <c r="A1975" t="s">
        <v>2692</v>
      </c>
      <c r="B1975" t="s">
        <v>1586</v>
      </c>
      <c r="C1975" t="s">
        <v>958</v>
      </c>
      <c r="D1975" t="s">
        <v>1563</v>
      </c>
      <c r="E1975" t="s">
        <v>1564</v>
      </c>
      <c r="F1975" t="s">
        <v>120</v>
      </c>
      <c r="G1975" t="s">
        <v>4715</v>
      </c>
      <c r="H1975" t="s">
        <v>5522</v>
      </c>
      <c r="I1975" t="s">
        <v>5656</v>
      </c>
      <c r="J1975" t="s">
        <v>5657</v>
      </c>
      <c r="K1975" t="s">
        <v>5658</v>
      </c>
      <c r="L1975" t="s">
        <v>4717</v>
      </c>
    </row>
    <row r="1976">
      <c r="A1976" t="s">
        <v>2695</v>
      </c>
      <c r="B1976" t="s">
        <v>1596</v>
      </c>
      <c r="C1976" t="s">
        <v>958</v>
      </c>
      <c r="D1976" t="s">
        <v>1593</v>
      </c>
      <c r="E1976" t="s">
        <v>1594</v>
      </c>
      <c r="F1976" t="s">
        <v>120</v>
      </c>
      <c r="G1976" t="s">
        <v>4715</v>
      </c>
      <c r="H1976" t="s">
        <v>5041</v>
      </c>
      <c r="I1976" t="s">
        <v>5614</v>
      </c>
      <c r="J1976" t="s">
        <v>5615</v>
      </c>
      <c r="K1976" t="s">
        <v>4169</v>
      </c>
      <c r="L1976" t="s">
        <v>4717</v>
      </c>
    </row>
    <row r="1977">
      <c r="A1977" t="s">
        <v>2695</v>
      </c>
      <c r="B1977" t="s">
        <v>1596</v>
      </c>
      <c r="C1977" t="s">
        <v>958</v>
      </c>
      <c r="D1977" t="s">
        <v>1593</v>
      </c>
      <c r="E1977" t="s">
        <v>1594</v>
      </c>
      <c r="F1977" t="s">
        <v>120</v>
      </c>
      <c r="G1977" t="s">
        <v>4715</v>
      </c>
      <c r="H1977" t="s">
        <v>5616</v>
      </c>
      <c r="I1977" t="s">
        <v>5617</v>
      </c>
      <c r="J1977" t="s">
        <v>5618</v>
      </c>
      <c r="K1977" t="s">
        <v>5619</v>
      </c>
      <c r="L1977" t="s">
        <v>4717</v>
      </c>
    </row>
    <row r="1978">
      <c r="A1978" t="s">
        <v>2695</v>
      </c>
      <c r="B1978" t="s">
        <v>1596</v>
      </c>
      <c r="C1978" t="s">
        <v>958</v>
      </c>
      <c r="D1978" t="s">
        <v>1593</v>
      </c>
      <c r="E1978" t="s">
        <v>1594</v>
      </c>
      <c r="F1978" t="s">
        <v>120</v>
      </c>
      <c r="G1978" t="s">
        <v>4715</v>
      </c>
      <c r="H1978" t="s">
        <v>5499</v>
      </c>
      <c r="I1978" t="s">
        <v>5620</v>
      </c>
      <c r="J1978" t="s">
        <v>5621</v>
      </c>
      <c r="K1978" t="s">
        <v>5622</v>
      </c>
      <c r="L1978" t="s">
        <v>4717</v>
      </c>
    </row>
    <row r="1979">
      <c r="A1979" t="s">
        <v>2695</v>
      </c>
      <c r="B1979" t="s">
        <v>1596</v>
      </c>
      <c r="C1979" t="s">
        <v>958</v>
      </c>
      <c r="D1979" t="s">
        <v>1593</v>
      </c>
      <c r="E1979" t="s">
        <v>1594</v>
      </c>
      <c r="F1979" t="s">
        <v>120</v>
      </c>
      <c r="G1979" t="s">
        <v>4715</v>
      </c>
      <c r="H1979" t="s">
        <v>5623</v>
      </c>
      <c r="I1979" t="s">
        <v>5624</v>
      </c>
      <c r="J1979" t="s">
        <v>5625</v>
      </c>
      <c r="K1979" t="s">
        <v>5626</v>
      </c>
      <c r="L1979" t="s">
        <v>4717</v>
      </c>
    </row>
    <row r="1980">
      <c r="A1980" t="s">
        <v>2695</v>
      </c>
      <c r="B1980" t="s">
        <v>1596</v>
      </c>
      <c r="C1980" t="s">
        <v>958</v>
      </c>
      <c r="D1980" t="s">
        <v>1593</v>
      </c>
      <c r="E1980" t="s">
        <v>1594</v>
      </c>
      <c r="F1980" t="s">
        <v>120</v>
      </c>
      <c r="G1980" t="s">
        <v>4715</v>
      </c>
      <c r="H1980" t="s">
        <v>3904</v>
      </c>
      <c r="I1980" t="s">
        <v>5627</v>
      </c>
      <c r="J1980" t="s">
        <v>5628</v>
      </c>
      <c r="K1980" t="s">
        <v>5629</v>
      </c>
      <c r="L1980" t="s">
        <v>4717</v>
      </c>
    </row>
    <row r="1981">
      <c r="A1981" t="s">
        <v>2695</v>
      </c>
      <c r="B1981" t="s">
        <v>1596</v>
      </c>
      <c r="C1981" t="s">
        <v>958</v>
      </c>
      <c r="D1981" t="s">
        <v>1593</v>
      </c>
      <c r="E1981" t="s">
        <v>1594</v>
      </c>
      <c r="F1981" t="s">
        <v>120</v>
      </c>
      <c r="G1981" t="s">
        <v>4715</v>
      </c>
      <c r="H1981" t="s">
        <v>5630</v>
      </c>
      <c r="I1981" t="s">
        <v>5474</v>
      </c>
      <c r="J1981" t="s">
        <v>5631</v>
      </c>
      <c r="K1981" t="s">
        <v>5632</v>
      </c>
      <c r="L1981" t="s">
        <v>4717</v>
      </c>
    </row>
    <row r="1982">
      <c r="A1982" t="s">
        <v>2695</v>
      </c>
      <c r="B1982" t="s">
        <v>1596</v>
      </c>
      <c r="C1982" t="s">
        <v>958</v>
      </c>
      <c r="D1982" t="s">
        <v>1593</v>
      </c>
      <c r="E1982" t="s">
        <v>1594</v>
      </c>
      <c r="F1982" t="s">
        <v>120</v>
      </c>
      <c r="G1982" t="s">
        <v>4715</v>
      </c>
      <c r="H1982" t="s">
        <v>5170</v>
      </c>
      <c r="I1982" t="s">
        <v>5171</v>
      </c>
      <c r="J1982" t="s">
        <v>5633</v>
      </c>
      <c r="K1982" t="s">
        <v>5634</v>
      </c>
      <c r="L1982" t="s">
        <v>4717</v>
      </c>
    </row>
    <row r="1983">
      <c r="A1983" t="s">
        <v>2695</v>
      </c>
      <c r="B1983" t="s">
        <v>1596</v>
      </c>
      <c r="C1983" t="s">
        <v>958</v>
      </c>
      <c r="D1983" t="s">
        <v>1593</v>
      </c>
      <c r="E1983" t="s">
        <v>1594</v>
      </c>
      <c r="F1983" t="s">
        <v>120</v>
      </c>
      <c r="G1983" t="s">
        <v>4715</v>
      </c>
      <c r="H1983" t="s">
        <v>5157</v>
      </c>
      <c r="I1983" t="s">
        <v>5635</v>
      </c>
      <c r="J1983" t="s">
        <v>5636</v>
      </c>
      <c r="K1983" t="s">
        <v>5637</v>
      </c>
      <c r="L1983" t="s">
        <v>4717</v>
      </c>
    </row>
    <row r="1984">
      <c r="A1984" t="s">
        <v>2695</v>
      </c>
      <c r="B1984" t="s">
        <v>1596</v>
      </c>
      <c r="C1984" t="s">
        <v>958</v>
      </c>
      <c r="D1984" t="s">
        <v>1593</v>
      </c>
      <c r="E1984" t="s">
        <v>1594</v>
      </c>
      <c r="F1984" t="s">
        <v>120</v>
      </c>
      <c r="G1984" t="s">
        <v>4715</v>
      </c>
      <c r="H1984" t="s">
        <v>5522</v>
      </c>
      <c r="I1984" t="s">
        <v>5656</v>
      </c>
      <c r="J1984" t="s">
        <v>5657</v>
      </c>
      <c r="K1984" t="s">
        <v>5658</v>
      </c>
      <c r="L1984" t="s">
        <v>4717</v>
      </c>
    </row>
    <row r="1985">
      <c r="A1985" t="s">
        <v>2698</v>
      </c>
      <c r="B1985" t="s">
        <v>1604</v>
      </c>
      <c r="C1985" t="s">
        <v>958</v>
      </c>
      <c r="D1985" t="s">
        <v>1593</v>
      </c>
      <c r="E1985" t="s">
        <v>1594</v>
      </c>
      <c r="F1985" t="s">
        <v>120</v>
      </c>
      <c r="G1985" t="s">
        <v>4715</v>
      </c>
      <c r="H1985" t="s">
        <v>5041</v>
      </c>
      <c r="I1985" t="s">
        <v>5614</v>
      </c>
      <c r="J1985" t="s">
        <v>5615</v>
      </c>
      <c r="K1985" t="s">
        <v>4169</v>
      </c>
      <c r="L1985" t="s">
        <v>4717</v>
      </c>
    </row>
    <row r="1986">
      <c r="A1986" t="s">
        <v>2698</v>
      </c>
      <c r="B1986" t="s">
        <v>1604</v>
      </c>
      <c r="C1986" t="s">
        <v>958</v>
      </c>
      <c r="D1986" t="s">
        <v>1593</v>
      </c>
      <c r="E1986" t="s">
        <v>1594</v>
      </c>
      <c r="F1986" t="s">
        <v>120</v>
      </c>
      <c r="G1986" t="s">
        <v>4715</v>
      </c>
      <c r="H1986" t="s">
        <v>5616</v>
      </c>
      <c r="I1986" t="s">
        <v>5617</v>
      </c>
      <c r="J1986" t="s">
        <v>5618</v>
      </c>
      <c r="K1986" t="s">
        <v>5619</v>
      </c>
      <c r="L1986" t="s">
        <v>4717</v>
      </c>
    </row>
    <row r="1987">
      <c r="A1987" t="s">
        <v>2698</v>
      </c>
      <c r="B1987" t="s">
        <v>1604</v>
      </c>
      <c r="C1987" t="s">
        <v>958</v>
      </c>
      <c r="D1987" t="s">
        <v>1593</v>
      </c>
      <c r="E1987" t="s">
        <v>1594</v>
      </c>
      <c r="F1987" t="s">
        <v>120</v>
      </c>
      <c r="G1987" t="s">
        <v>4715</v>
      </c>
      <c r="H1987" t="s">
        <v>5499</v>
      </c>
      <c r="I1987" t="s">
        <v>5620</v>
      </c>
      <c r="J1987" t="s">
        <v>5621</v>
      </c>
      <c r="K1987" t="s">
        <v>5622</v>
      </c>
      <c r="L1987" t="s">
        <v>4717</v>
      </c>
    </row>
    <row r="1988">
      <c r="A1988" t="s">
        <v>2698</v>
      </c>
      <c r="B1988" t="s">
        <v>1604</v>
      </c>
      <c r="C1988" t="s">
        <v>958</v>
      </c>
      <c r="D1988" t="s">
        <v>1593</v>
      </c>
      <c r="E1988" t="s">
        <v>1594</v>
      </c>
      <c r="F1988" t="s">
        <v>120</v>
      </c>
      <c r="G1988" t="s">
        <v>4715</v>
      </c>
      <c r="H1988" t="s">
        <v>5623</v>
      </c>
      <c r="I1988" t="s">
        <v>5624</v>
      </c>
      <c r="J1988" t="s">
        <v>5625</v>
      </c>
      <c r="K1988" t="s">
        <v>5626</v>
      </c>
      <c r="L1988" t="s">
        <v>4717</v>
      </c>
    </row>
    <row r="1989">
      <c r="A1989" t="s">
        <v>2698</v>
      </c>
      <c r="B1989" t="s">
        <v>1604</v>
      </c>
      <c r="C1989" t="s">
        <v>958</v>
      </c>
      <c r="D1989" t="s">
        <v>1593</v>
      </c>
      <c r="E1989" t="s">
        <v>1594</v>
      </c>
      <c r="F1989" t="s">
        <v>120</v>
      </c>
      <c r="G1989" t="s">
        <v>4715</v>
      </c>
      <c r="H1989" t="s">
        <v>3904</v>
      </c>
      <c r="I1989" t="s">
        <v>5627</v>
      </c>
      <c r="J1989" t="s">
        <v>5628</v>
      </c>
      <c r="K1989" t="s">
        <v>5629</v>
      </c>
      <c r="L1989" t="s">
        <v>4717</v>
      </c>
    </row>
    <row r="1990">
      <c r="A1990" t="s">
        <v>2698</v>
      </c>
      <c r="B1990" t="s">
        <v>1604</v>
      </c>
      <c r="C1990" t="s">
        <v>958</v>
      </c>
      <c r="D1990" t="s">
        <v>1593</v>
      </c>
      <c r="E1990" t="s">
        <v>1594</v>
      </c>
      <c r="F1990" t="s">
        <v>120</v>
      </c>
      <c r="G1990" t="s">
        <v>4715</v>
      </c>
      <c r="H1990" t="s">
        <v>5630</v>
      </c>
      <c r="I1990" t="s">
        <v>5474</v>
      </c>
      <c r="J1990" t="s">
        <v>5631</v>
      </c>
      <c r="K1990" t="s">
        <v>5632</v>
      </c>
      <c r="L1990" t="s">
        <v>4717</v>
      </c>
    </row>
    <row r="1991">
      <c r="A1991" t="s">
        <v>2698</v>
      </c>
      <c r="B1991" t="s">
        <v>1604</v>
      </c>
      <c r="C1991" t="s">
        <v>958</v>
      </c>
      <c r="D1991" t="s">
        <v>1593</v>
      </c>
      <c r="E1991" t="s">
        <v>1594</v>
      </c>
      <c r="F1991" t="s">
        <v>120</v>
      </c>
      <c r="G1991" t="s">
        <v>4715</v>
      </c>
      <c r="H1991" t="s">
        <v>5170</v>
      </c>
      <c r="I1991" t="s">
        <v>5171</v>
      </c>
      <c r="J1991" t="s">
        <v>5633</v>
      </c>
      <c r="K1991" t="s">
        <v>5634</v>
      </c>
      <c r="L1991" t="s">
        <v>4717</v>
      </c>
    </row>
    <row r="1992">
      <c r="A1992" t="s">
        <v>2698</v>
      </c>
      <c r="B1992" t="s">
        <v>1604</v>
      </c>
      <c r="C1992" t="s">
        <v>958</v>
      </c>
      <c r="D1992" t="s">
        <v>1593</v>
      </c>
      <c r="E1992" t="s">
        <v>1594</v>
      </c>
      <c r="F1992" t="s">
        <v>120</v>
      </c>
      <c r="G1992" t="s">
        <v>4715</v>
      </c>
      <c r="H1992" t="s">
        <v>5157</v>
      </c>
      <c r="I1992" t="s">
        <v>5635</v>
      </c>
      <c r="J1992" t="s">
        <v>5636</v>
      </c>
      <c r="K1992" t="s">
        <v>5637</v>
      </c>
      <c r="L1992" t="s">
        <v>4717</v>
      </c>
    </row>
    <row r="1993">
      <c r="A1993" t="s">
        <v>2698</v>
      </c>
      <c r="B1993" t="s">
        <v>1604</v>
      </c>
      <c r="C1993" t="s">
        <v>958</v>
      </c>
      <c r="D1993" t="s">
        <v>1593</v>
      </c>
      <c r="E1993" t="s">
        <v>1594</v>
      </c>
      <c r="F1993" t="s">
        <v>120</v>
      </c>
      <c r="G1993" t="s">
        <v>4715</v>
      </c>
      <c r="H1993" t="s">
        <v>5522</v>
      </c>
      <c r="I1993" t="s">
        <v>5656</v>
      </c>
      <c r="J1993" t="s">
        <v>5657</v>
      </c>
      <c r="K1993" t="s">
        <v>5658</v>
      </c>
      <c r="L1993" t="s">
        <v>4717</v>
      </c>
    </row>
    <row r="1994">
      <c r="A1994" t="s">
        <v>2701</v>
      </c>
      <c r="B1994" t="s">
        <v>1612</v>
      </c>
      <c r="C1994" t="s">
        <v>958</v>
      </c>
      <c r="D1994" t="s">
        <v>1593</v>
      </c>
      <c r="E1994" t="s">
        <v>1594</v>
      </c>
      <c r="F1994" t="s">
        <v>120</v>
      </c>
      <c r="G1994" t="s">
        <v>4715</v>
      </c>
      <c r="H1994" t="s">
        <v>5041</v>
      </c>
      <c r="I1994" t="s">
        <v>5614</v>
      </c>
      <c r="J1994" t="s">
        <v>5615</v>
      </c>
      <c r="K1994" t="s">
        <v>4169</v>
      </c>
      <c r="L1994" t="s">
        <v>4717</v>
      </c>
    </row>
    <row r="1995">
      <c r="A1995" t="s">
        <v>2701</v>
      </c>
      <c r="B1995" t="s">
        <v>1612</v>
      </c>
      <c r="C1995" t="s">
        <v>958</v>
      </c>
      <c r="D1995" t="s">
        <v>1593</v>
      </c>
      <c r="E1995" t="s">
        <v>1594</v>
      </c>
      <c r="F1995" t="s">
        <v>120</v>
      </c>
      <c r="G1995" t="s">
        <v>4715</v>
      </c>
      <c r="H1995" t="s">
        <v>5616</v>
      </c>
      <c r="I1995" t="s">
        <v>5617</v>
      </c>
      <c r="J1995" t="s">
        <v>5618</v>
      </c>
      <c r="K1995" t="s">
        <v>5619</v>
      </c>
      <c r="L1995" t="s">
        <v>4717</v>
      </c>
    </row>
    <row r="1996">
      <c r="A1996" t="s">
        <v>2701</v>
      </c>
      <c r="B1996" t="s">
        <v>1612</v>
      </c>
      <c r="C1996" t="s">
        <v>958</v>
      </c>
      <c r="D1996" t="s">
        <v>1593</v>
      </c>
      <c r="E1996" t="s">
        <v>1594</v>
      </c>
      <c r="F1996" t="s">
        <v>120</v>
      </c>
      <c r="G1996" t="s">
        <v>4715</v>
      </c>
      <c r="H1996" t="s">
        <v>5499</v>
      </c>
      <c r="I1996" t="s">
        <v>5620</v>
      </c>
      <c r="J1996" t="s">
        <v>5621</v>
      </c>
      <c r="K1996" t="s">
        <v>5622</v>
      </c>
      <c r="L1996" t="s">
        <v>4717</v>
      </c>
    </row>
    <row r="1997">
      <c r="A1997" t="s">
        <v>2701</v>
      </c>
      <c r="B1997" t="s">
        <v>1612</v>
      </c>
      <c r="C1997" t="s">
        <v>958</v>
      </c>
      <c r="D1997" t="s">
        <v>1593</v>
      </c>
      <c r="E1997" t="s">
        <v>1594</v>
      </c>
      <c r="F1997" t="s">
        <v>120</v>
      </c>
      <c r="G1997" t="s">
        <v>4715</v>
      </c>
      <c r="H1997" t="s">
        <v>5623</v>
      </c>
      <c r="I1997" t="s">
        <v>5624</v>
      </c>
      <c r="J1997" t="s">
        <v>5625</v>
      </c>
      <c r="K1997" t="s">
        <v>5626</v>
      </c>
      <c r="L1997" t="s">
        <v>4717</v>
      </c>
    </row>
    <row r="1998">
      <c r="A1998" t="s">
        <v>2701</v>
      </c>
      <c r="B1998" t="s">
        <v>1612</v>
      </c>
      <c r="C1998" t="s">
        <v>958</v>
      </c>
      <c r="D1998" t="s">
        <v>1593</v>
      </c>
      <c r="E1998" t="s">
        <v>1594</v>
      </c>
      <c r="F1998" t="s">
        <v>120</v>
      </c>
      <c r="G1998" t="s">
        <v>4715</v>
      </c>
      <c r="H1998" t="s">
        <v>3904</v>
      </c>
      <c r="I1998" t="s">
        <v>5627</v>
      </c>
      <c r="J1998" t="s">
        <v>5628</v>
      </c>
      <c r="K1998" t="s">
        <v>5629</v>
      </c>
      <c r="L1998" t="s">
        <v>4717</v>
      </c>
    </row>
    <row r="1999">
      <c r="A1999" t="s">
        <v>2701</v>
      </c>
      <c r="B1999" t="s">
        <v>1612</v>
      </c>
      <c r="C1999" t="s">
        <v>958</v>
      </c>
      <c r="D1999" t="s">
        <v>1593</v>
      </c>
      <c r="E1999" t="s">
        <v>1594</v>
      </c>
      <c r="F1999" t="s">
        <v>120</v>
      </c>
      <c r="G1999" t="s">
        <v>4715</v>
      </c>
      <c r="H1999" t="s">
        <v>5630</v>
      </c>
      <c r="I1999" t="s">
        <v>5474</v>
      </c>
      <c r="J1999" t="s">
        <v>5631</v>
      </c>
      <c r="K1999" t="s">
        <v>5632</v>
      </c>
      <c r="L1999" t="s">
        <v>4717</v>
      </c>
    </row>
    <row r="2000">
      <c r="A2000" t="s">
        <v>2701</v>
      </c>
      <c r="B2000" t="s">
        <v>1612</v>
      </c>
      <c r="C2000" t="s">
        <v>958</v>
      </c>
      <c r="D2000" t="s">
        <v>1593</v>
      </c>
      <c r="E2000" t="s">
        <v>1594</v>
      </c>
      <c r="F2000" t="s">
        <v>120</v>
      </c>
      <c r="G2000" t="s">
        <v>4715</v>
      </c>
      <c r="H2000" t="s">
        <v>5170</v>
      </c>
      <c r="I2000" t="s">
        <v>5171</v>
      </c>
      <c r="J2000" t="s">
        <v>5633</v>
      </c>
      <c r="K2000" t="s">
        <v>5634</v>
      </c>
      <c r="L2000" t="s">
        <v>4717</v>
      </c>
    </row>
    <row r="2001">
      <c r="A2001" t="s">
        <v>2701</v>
      </c>
      <c r="B2001" t="s">
        <v>1612</v>
      </c>
      <c r="C2001" t="s">
        <v>958</v>
      </c>
      <c r="D2001" t="s">
        <v>1593</v>
      </c>
      <c r="E2001" t="s">
        <v>1594</v>
      </c>
      <c r="F2001" t="s">
        <v>120</v>
      </c>
      <c r="G2001" t="s">
        <v>4715</v>
      </c>
      <c r="H2001" t="s">
        <v>5157</v>
      </c>
      <c r="I2001" t="s">
        <v>5635</v>
      </c>
      <c r="J2001" t="s">
        <v>5636</v>
      </c>
      <c r="K2001" t="s">
        <v>5637</v>
      </c>
      <c r="L2001" t="s">
        <v>4717</v>
      </c>
    </row>
    <row r="2002">
      <c r="A2002" t="s">
        <v>2701</v>
      </c>
      <c r="B2002" t="s">
        <v>1612</v>
      </c>
      <c r="C2002" t="s">
        <v>958</v>
      </c>
      <c r="D2002" t="s">
        <v>1593</v>
      </c>
      <c r="E2002" t="s">
        <v>1594</v>
      </c>
      <c r="F2002" t="s">
        <v>120</v>
      </c>
      <c r="G2002" t="s">
        <v>4715</v>
      </c>
      <c r="H2002" t="s">
        <v>5522</v>
      </c>
      <c r="I2002" t="s">
        <v>5656</v>
      </c>
      <c r="J2002" t="s">
        <v>5657</v>
      </c>
      <c r="K2002" t="s">
        <v>5658</v>
      </c>
      <c r="L2002" t="s">
        <v>4717</v>
      </c>
    </row>
    <row r="2003">
      <c r="A2003" t="s">
        <v>2704</v>
      </c>
      <c r="B2003" t="s">
        <v>1620</v>
      </c>
      <c r="C2003" t="s">
        <v>958</v>
      </c>
      <c r="D2003" t="s">
        <v>1593</v>
      </c>
      <c r="E2003" t="s">
        <v>1594</v>
      </c>
      <c r="F2003" t="s">
        <v>120</v>
      </c>
      <c r="G2003" t="s">
        <v>4715</v>
      </c>
      <c r="H2003" t="s">
        <v>5041</v>
      </c>
      <c r="I2003" t="s">
        <v>5614</v>
      </c>
      <c r="J2003" t="s">
        <v>5615</v>
      </c>
      <c r="K2003" t="s">
        <v>4169</v>
      </c>
      <c r="L2003" t="s">
        <v>4717</v>
      </c>
    </row>
    <row r="2004">
      <c r="A2004" t="s">
        <v>2704</v>
      </c>
      <c r="B2004" t="s">
        <v>1620</v>
      </c>
      <c r="C2004" t="s">
        <v>958</v>
      </c>
      <c r="D2004" t="s">
        <v>1593</v>
      </c>
      <c r="E2004" t="s">
        <v>1594</v>
      </c>
      <c r="F2004" t="s">
        <v>120</v>
      </c>
      <c r="G2004" t="s">
        <v>4715</v>
      </c>
      <c r="H2004" t="s">
        <v>5616</v>
      </c>
      <c r="I2004" t="s">
        <v>5617</v>
      </c>
      <c r="J2004" t="s">
        <v>5618</v>
      </c>
      <c r="K2004" t="s">
        <v>5619</v>
      </c>
      <c r="L2004" t="s">
        <v>4717</v>
      </c>
    </row>
    <row r="2005">
      <c r="A2005" t="s">
        <v>2704</v>
      </c>
      <c r="B2005" t="s">
        <v>1620</v>
      </c>
      <c r="C2005" t="s">
        <v>958</v>
      </c>
      <c r="D2005" t="s">
        <v>1593</v>
      </c>
      <c r="E2005" t="s">
        <v>1594</v>
      </c>
      <c r="F2005" t="s">
        <v>120</v>
      </c>
      <c r="G2005" t="s">
        <v>4715</v>
      </c>
      <c r="H2005" t="s">
        <v>5499</v>
      </c>
      <c r="I2005" t="s">
        <v>5620</v>
      </c>
      <c r="J2005" t="s">
        <v>5621</v>
      </c>
      <c r="K2005" t="s">
        <v>5622</v>
      </c>
      <c r="L2005" t="s">
        <v>4717</v>
      </c>
    </row>
    <row r="2006">
      <c r="A2006" t="s">
        <v>2704</v>
      </c>
      <c r="B2006" t="s">
        <v>1620</v>
      </c>
      <c r="C2006" t="s">
        <v>958</v>
      </c>
      <c r="D2006" t="s">
        <v>1593</v>
      </c>
      <c r="E2006" t="s">
        <v>1594</v>
      </c>
      <c r="F2006" t="s">
        <v>120</v>
      </c>
      <c r="G2006" t="s">
        <v>4715</v>
      </c>
      <c r="H2006" t="s">
        <v>5623</v>
      </c>
      <c r="I2006" t="s">
        <v>5624</v>
      </c>
      <c r="J2006" t="s">
        <v>5625</v>
      </c>
      <c r="K2006" t="s">
        <v>5626</v>
      </c>
      <c r="L2006" t="s">
        <v>4717</v>
      </c>
    </row>
    <row r="2007">
      <c r="A2007" t="s">
        <v>2704</v>
      </c>
      <c r="B2007" t="s">
        <v>1620</v>
      </c>
      <c r="C2007" t="s">
        <v>958</v>
      </c>
      <c r="D2007" t="s">
        <v>1593</v>
      </c>
      <c r="E2007" t="s">
        <v>1594</v>
      </c>
      <c r="F2007" t="s">
        <v>120</v>
      </c>
      <c r="G2007" t="s">
        <v>4715</v>
      </c>
      <c r="H2007" t="s">
        <v>3904</v>
      </c>
      <c r="I2007" t="s">
        <v>5627</v>
      </c>
      <c r="J2007" t="s">
        <v>5628</v>
      </c>
      <c r="K2007" t="s">
        <v>5629</v>
      </c>
      <c r="L2007" t="s">
        <v>4717</v>
      </c>
    </row>
    <row r="2008">
      <c r="A2008" t="s">
        <v>2704</v>
      </c>
      <c r="B2008" t="s">
        <v>1620</v>
      </c>
      <c r="C2008" t="s">
        <v>958</v>
      </c>
      <c r="D2008" t="s">
        <v>1593</v>
      </c>
      <c r="E2008" t="s">
        <v>1594</v>
      </c>
      <c r="F2008" t="s">
        <v>120</v>
      </c>
      <c r="G2008" t="s">
        <v>4715</v>
      </c>
      <c r="H2008" t="s">
        <v>5630</v>
      </c>
      <c r="I2008" t="s">
        <v>5474</v>
      </c>
      <c r="J2008" t="s">
        <v>5631</v>
      </c>
      <c r="K2008" t="s">
        <v>5632</v>
      </c>
      <c r="L2008" t="s">
        <v>4717</v>
      </c>
    </row>
    <row r="2009">
      <c r="A2009" t="s">
        <v>2704</v>
      </c>
      <c r="B2009" t="s">
        <v>1620</v>
      </c>
      <c r="C2009" t="s">
        <v>958</v>
      </c>
      <c r="D2009" t="s">
        <v>1593</v>
      </c>
      <c r="E2009" t="s">
        <v>1594</v>
      </c>
      <c r="F2009" t="s">
        <v>120</v>
      </c>
      <c r="G2009" t="s">
        <v>4715</v>
      </c>
      <c r="H2009" t="s">
        <v>5170</v>
      </c>
      <c r="I2009" t="s">
        <v>5171</v>
      </c>
      <c r="J2009" t="s">
        <v>5633</v>
      </c>
      <c r="K2009" t="s">
        <v>5634</v>
      </c>
      <c r="L2009" t="s">
        <v>4717</v>
      </c>
    </row>
    <row r="2010">
      <c r="A2010" t="s">
        <v>2704</v>
      </c>
      <c r="B2010" t="s">
        <v>1620</v>
      </c>
      <c r="C2010" t="s">
        <v>958</v>
      </c>
      <c r="D2010" t="s">
        <v>1593</v>
      </c>
      <c r="E2010" t="s">
        <v>1594</v>
      </c>
      <c r="F2010" t="s">
        <v>120</v>
      </c>
      <c r="G2010" t="s">
        <v>4715</v>
      </c>
      <c r="H2010" t="s">
        <v>5157</v>
      </c>
      <c r="I2010" t="s">
        <v>5635</v>
      </c>
      <c r="J2010" t="s">
        <v>5636</v>
      </c>
      <c r="K2010" t="s">
        <v>5637</v>
      </c>
      <c r="L2010" t="s">
        <v>4717</v>
      </c>
    </row>
    <row r="2011">
      <c r="A2011" t="s">
        <v>2704</v>
      </c>
      <c r="B2011" t="s">
        <v>1620</v>
      </c>
      <c r="C2011" t="s">
        <v>958</v>
      </c>
      <c r="D2011" t="s">
        <v>1593</v>
      </c>
      <c r="E2011" t="s">
        <v>1594</v>
      </c>
      <c r="F2011" t="s">
        <v>120</v>
      </c>
      <c r="G2011" t="s">
        <v>4715</v>
      </c>
      <c r="H2011" t="s">
        <v>5522</v>
      </c>
      <c r="I2011" t="s">
        <v>5656</v>
      </c>
      <c r="J2011" t="s">
        <v>5657</v>
      </c>
      <c r="K2011" t="s">
        <v>5658</v>
      </c>
      <c r="L2011" t="s">
        <v>4717</v>
      </c>
    </row>
    <row r="2012">
      <c r="A2012" t="s">
        <v>2707</v>
      </c>
      <c r="B2012" t="s">
        <v>1632</v>
      </c>
      <c r="C2012" t="s">
        <v>1628</v>
      </c>
      <c r="D2012" t="s">
        <v>1629</v>
      </c>
      <c r="E2012" t="s">
        <v>1630</v>
      </c>
      <c r="F2012" t="s">
        <v>129</v>
      </c>
      <c r="G2012" t="s">
        <v>4715</v>
      </c>
      <c r="H2012" t="s">
        <v>5041</v>
      </c>
      <c r="I2012" t="s">
        <v>5614</v>
      </c>
      <c r="J2012" t="s">
        <v>5615</v>
      </c>
      <c r="K2012" t="s">
        <v>4169</v>
      </c>
      <c r="L2012" t="s">
        <v>4717</v>
      </c>
    </row>
    <row r="2013">
      <c r="A2013" t="s">
        <v>2707</v>
      </c>
      <c r="B2013" t="s">
        <v>1632</v>
      </c>
      <c r="C2013" t="s">
        <v>1628</v>
      </c>
      <c r="D2013" t="s">
        <v>1629</v>
      </c>
      <c r="E2013" t="s">
        <v>1630</v>
      </c>
      <c r="F2013" t="s">
        <v>129</v>
      </c>
      <c r="G2013" t="s">
        <v>4715</v>
      </c>
      <c r="H2013" t="s">
        <v>5616</v>
      </c>
      <c r="I2013" t="s">
        <v>5617</v>
      </c>
      <c r="J2013" t="s">
        <v>5618</v>
      </c>
      <c r="K2013" t="s">
        <v>5619</v>
      </c>
      <c r="L2013" t="s">
        <v>4717</v>
      </c>
    </row>
    <row r="2014">
      <c r="A2014" t="s">
        <v>2707</v>
      </c>
      <c r="B2014" t="s">
        <v>1632</v>
      </c>
      <c r="C2014" t="s">
        <v>1628</v>
      </c>
      <c r="D2014" t="s">
        <v>1629</v>
      </c>
      <c r="E2014" t="s">
        <v>1630</v>
      </c>
      <c r="F2014" t="s">
        <v>129</v>
      </c>
      <c r="G2014" t="s">
        <v>4715</v>
      </c>
      <c r="H2014" t="s">
        <v>5499</v>
      </c>
      <c r="I2014" t="s">
        <v>5620</v>
      </c>
      <c r="J2014" t="s">
        <v>5621</v>
      </c>
      <c r="K2014" t="s">
        <v>5622</v>
      </c>
      <c r="L2014" t="s">
        <v>4717</v>
      </c>
    </row>
    <row r="2015">
      <c r="A2015" t="s">
        <v>2707</v>
      </c>
      <c r="B2015" t="s">
        <v>1632</v>
      </c>
      <c r="C2015" t="s">
        <v>1628</v>
      </c>
      <c r="D2015" t="s">
        <v>1629</v>
      </c>
      <c r="E2015" t="s">
        <v>1630</v>
      </c>
      <c r="F2015" t="s">
        <v>129</v>
      </c>
      <c r="G2015" t="s">
        <v>4715</v>
      </c>
      <c r="H2015" t="s">
        <v>5623</v>
      </c>
      <c r="I2015" t="s">
        <v>5624</v>
      </c>
      <c r="J2015" t="s">
        <v>5625</v>
      </c>
      <c r="K2015" t="s">
        <v>5626</v>
      </c>
      <c r="L2015" t="s">
        <v>4717</v>
      </c>
    </row>
    <row r="2016">
      <c r="A2016" t="s">
        <v>2707</v>
      </c>
      <c r="B2016" t="s">
        <v>1632</v>
      </c>
      <c r="C2016" t="s">
        <v>1628</v>
      </c>
      <c r="D2016" t="s">
        <v>1629</v>
      </c>
      <c r="E2016" t="s">
        <v>1630</v>
      </c>
      <c r="F2016" t="s">
        <v>129</v>
      </c>
      <c r="G2016" t="s">
        <v>4715</v>
      </c>
      <c r="H2016" t="s">
        <v>3904</v>
      </c>
      <c r="I2016" t="s">
        <v>5627</v>
      </c>
      <c r="J2016" t="s">
        <v>5628</v>
      </c>
      <c r="K2016" t="s">
        <v>5629</v>
      </c>
      <c r="L2016" t="s">
        <v>4717</v>
      </c>
    </row>
    <row r="2017">
      <c r="A2017" t="s">
        <v>2707</v>
      </c>
      <c r="B2017" t="s">
        <v>1632</v>
      </c>
      <c r="C2017" t="s">
        <v>1628</v>
      </c>
      <c r="D2017" t="s">
        <v>1629</v>
      </c>
      <c r="E2017" t="s">
        <v>1630</v>
      </c>
      <c r="F2017" t="s">
        <v>129</v>
      </c>
      <c r="G2017" t="s">
        <v>4715</v>
      </c>
      <c r="H2017" t="s">
        <v>5630</v>
      </c>
      <c r="I2017" t="s">
        <v>5474</v>
      </c>
      <c r="J2017" t="s">
        <v>5631</v>
      </c>
      <c r="K2017" t="s">
        <v>5632</v>
      </c>
      <c r="L2017" t="s">
        <v>4717</v>
      </c>
    </row>
    <row r="2018">
      <c r="A2018" t="s">
        <v>2707</v>
      </c>
      <c r="B2018" t="s">
        <v>1632</v>
      </c>
      <c r="C2018" t="s">
        <v>1628</v>
      </c>
      <c r="D2018" t="s">
        <v>1629</v>
      </c>
      <c r="E2018" t="s">
        <v>1630</v>
      </c>
      <c r="F2018" t="s">
        <v>129</v>
      </c>
      <c r="G2018" t="s">
        <v>4715</v>
      </c>
      <c r="H2018" t="s">
        <v>5170</v>
      </c>
      <c r="I2018" t="s">
        <v>5171</v>
      </c>
      <c r="J2018" t="s">
        <v>5633</v>
      </c>
      <c r="K2018" t="s">
        <v>5634</v>
      </c>
      <c r="L2018" t="s">
        <v>4717</v>
      </c>
    </row>
    <row r="2019">
      <c r="A2019" t="s">
        <v>2707</v>
      </c>
      <c r="B2019" t="s">
        <v>1632</v>
      </c>
      <c r="C2019" t="s">
        <v>1628</v>
      </c>
      <c r="D2019" t="s">
        <v>1629</v>
      </c>
      <c r="E2019" t="s">
        <v>1630</v>
      </c>
      <c r="F2019" t="s">
        <v>129</v>
      </c>
      <c r="G2019" t="s">
        <v>4715</v>
      </c>
      <c r="H2019" t="s">
        <v>5157</v>
      </c>
      <c r="I2019" t="s">
        <v>5635</v>
      </c>
      <c r="J2019" t="s">
        <v>5636</v>
      </c>
      <c r="K2019" t="s">
        <v>5637</v>
      </c>
      <c r="L2019" t="s">
        <v>4717</v>
      </c>
    </row>
    <row r="2020">
      <c r="A2020" t="s">
        <v>2707</v>
      </c>
      <c r="B2020" t="s">
        <v>1632</v>
      </c>
      <c r="C2020" t="s">
        <v>1628</v>
      </c>
      <c r="D2020" t="s">
        <v>1629</v>
      </c>
      <c r="E2020" t="s">
        <v>1630</v>
      </c>
      <c r="F2020" t="s">
        <v>129</v>
      </c>
      <c r="G2020" t="s">
        <v>4715</v>
      </c>
      <c r="H2020" t="s">
        <v>5703</v>
      </c>
      <c r="I2020" t="s">
        <v>5375</v>
      </c>
      <c r="J2020" t="s">
        <v>5704</v>
      </c>
      <c r="K2020" t="s">
        <v>5705</v>
      </c>
      <c r="L2020" t="s">
        <v>4717</v>
      </c>
    </row>
    <row r="2021">
      <c r="A2021" t="s">
        <v>2707</v>
      </c>
      <c r="B2021" t="s">
        <v>1632</v>
      </c>
      <c r="C2021" t="s">
        <v>1628</v>
      </c>
      <c r="D2021" t="s">
        <v>1629</v>
      </c>
      <c r="E2021" t="s">
        <v>1630</v>
      </c>
      <c r="F2021" t="s">
        <v>129</v>
      </c>
      <c r="G2021" t="s">
        <v>4715</v>
      </c>
      <c r="H2021" t="s">
        <v>5703</v>
      </c>
      <c r="I2021" t="s">
        <v>5376</v>
      </c>
      <c r="J2021" t="s">
        <v>5706</v>
      </c>
      <c r="K2021" t="s">
        <v>5707</v>
      </c>
      <c r="L2021" t="s">
        <v>4717</v>
      </c>
    </row>
    <row r="2022">
      <c r="A2022" t="s">
        <v>2707</v>
      </c>
      <c r="B2022" t="s">
        <v>1632</v>
      </c>
      <c r="C2022" t="s">
        <v>1628</v>
      </c>
      <c r="D2022" t="s">
        <v>1629</v>
      </c>
      <c r="E2022" t="s">
        <v>1630</v>
      </c>
      <c r="F2022" t="s">
        <v>129</v>
      </c>
      <c r="G2022" t="s">
        <v>4715</v>
      </c>
      <c r="H2022" t="s">
        <v>5703</v>
      </c>
      <c r="I2022" t="s">
        <v>5377</v>
      </c>
      <c r="J2022" t="s">
        <v>5708</v>
      </c>
      <c r="K2022" t="s">
        <v>1645</v>
      </c>
      <c r="L2022" t="s">
        <v>4717</v>
      </c>
    </row>
    <row r="2023">
      <c r="A2023" t="s">
        <v>2707</v>
      </c>
      <c r="B2023" t="s">
        <v>1632</v>
      </c>
      <c r="C2023" t="s">
        <v>1628</v>
      </c>
      <c r="D2023" t="s">
        <v>1629</v>
      </c>
      <c r="E2023" t="s">
        <v>1630</v>
      </c>
      <c r="F2023" t="s">
        <v>129</v>
      </c>
      <c r="G2023" t="s">
        <v>4715</v>
      </c>
      <c r="H2023" t="s">
        <v>5703</v>
      </c>
      <c r="I2023" t="s">
        <v>5709</v>
      </c>
      <c r="J2023" t="s">
        <v>5710</v>
      </c>
      <c r="K2023" t="s">
        <v>5711</v>
      </c>
      <c r="L2023" t="s">
        <v>4717</v>
      </c>
    </row>
    <row r="2024">
      <c r="A2024" t="s">
        <v>2707</v>
      </c>
      <c r="B2024" t="s">
        <v>1632</v>
      </c>
      <c r="C2024" t="s">
        <v>1628</v>
      </c>
      <c r="D2024" t="s">
        <v>1629</v>
      </c>
      <c r="E2024" t="s">
        <v>1630</v>
      </c>
      <c r="F2024" t="s">
        <v>129</v>
      </c>
      <c r="G2024" t="s">
        <v>4715</v>
      </c>
      <c r="H2024" t="s">
        <v>3901</v>
      </c>
      <c r="I2024" t="s">
        <v>5712</v>
      </c>
      <c r="J2024" t="s">
        <v>5713</v>
      </c>
      <c r="K2024" t="s">
        <v>5714</v>
      </c>
      <c r="L2024" t="s">
        <v>4717</v>
      </c>
    </row>
    <row r="2025">
      <c r="A2025" t="s">
        <v>2707</v>
      </c>
      <c r="B2025" t="s">
        <v>1632</v>
      </c>
      <c r="C2025" t="s">
        <v>1628</v>
      </c>
      <c r="D2025" t="s">
        <v>1629</v>
      </c>
      <c r="E2025" t="s">
        <v>1630</v>
      </c>
      <c r="F2025" t="s">
        <v>129</v>
      </c>
      <c r="G2025" t="s">
        <v>4715</v>
      </c>
      <c r="H2025" t="s">
        <v>5522</v>
      </c>
      <c r="I2025" t="s">
        <v>5656</v>
      </c>
      <c r="J2025" t="s">
        <v>5657</v>
      </c>
      <c r="K2025" t="s">
        <v>5658</v>
      </c>
      <c r="L2025" t="s">
        <v>4717</v>
      </c>
    </row>
    <row r="2026">
      <c r="A2026" t="s">
        <v>2707</v>
      </c>
      <c r="B2026" t="s">
        <v>1632</v>
      </c>
      <c r="C2026" t="s">
        <v>1628</v>
      </c>
      <c r="D2026" t="s">
        <v>1629</v>
      </c>
      <c r="E2026" t="s">
        <v>1630</v>
      </c>
      <c r="F2026" t="s">
        <v>129</v>
      </c>
      <c r="G2026" t="s">
        <v>4715</v>
      </c>
      <c r="H2026" t="s">
        <v>5522</v>
      </c>
      <c r="I2026" t="s">
        <v>5715</v>
      </c>
      <c r="J2026" t="s">
        <v>5716</v>
      </c>
      <c r="K2026" t="s">
        <v>5717</v>
      </c>
      <c r="L2026" t="s">
        <v>4717</v>
      </c>
    </row>
    <row r="2027">
      <c r="A2027" t="s">
        <v>2707</v>
      </c>
      <c r="B2027" t="s">
        <v>1632</v>
      </c>
      <c r="C2027" t="s">
        <v>1628</v>
      </c>
      <c r="D2027" t="s">
        <v>1629</v>
      </c>
      <c r="E2027" t="s">
        <v>1630</v>
      </c>
      <c r="F2027" t="s">
        <v>129</v>
      </c>
      <c r="G2027" t="s">
        <v>4715</v>
      </c>
      <c r="H2027" t="s">
        <v>5522</v>
      </c>
      <c r="I2027" t="s">
        <v>5718</v>
      </c>
      <c r="J2027" t="s">
        <v>5719</v>
      </c>
      <c r="K2027" t="s">
        <v>5720</v>
      </c>
      <c r="L2027" t="s">
        <v>4717</v>
      </c>
    </row>
    <row r="2028">
      <c r="A2028" t="s">
        <v>2712</v>
      </c>
      <c r="B2028" t="s">
        <v>1640</v>
      </c>
      <c r="C2028" t="s">
        <v>1628</v>
      </c>
      <c r="D2028" t="s">
        <v>1629</v>
      </c>
      <c r="E2028" t="s">
        <v>1630</v>
      </c>
      <c r="F2028" t="s">
        <v>97</v>
      </c>
      <c r="G2028" t="s">
        <v>4715</v>
      </c>
      <c r="H2028" t="s">
        <v>5041</v>
      </c>
      <c r="I2028" t="s">
        <v>5614</v>
      </c>
      <c r="J2028" t="s">
        <v>5615</v>
      </c>
      <c r="K2028" t="s">
        <v>4169</v>
      </c>
      <c r="L2028" t="s">
        <v>4717</v>
      </c>
    </row>
    <row r="2029">
      <c r="A2029" t="s">
        <v>2712</v>
      </c>
      <c r="B2029" t="s">
        <v>1640</v>
      </c>
      <c r="C2029" t="s">
        <v>1628</v>
      </c>
      <c r="D2029" t="s">
        <v>1629</v>
      </c>
      <c r="E2029" t="s">
        <v>1630</v>
      </c>
      <c r="F2029" t="s">
        <v>97</v>
      </c>
      <c r="G2029" t="s">
        <v>4715</v>
      </c>
      <c r="H2029" t="s">
        <v>5616</v>
      </c>
      <c r="I2029" t="s">
        <v>5617</v>
      </c>
      <c r="J2029" t="s">
        <v>5618</v>
      </c>
      <c r="K2029" t="s">
        <v>5619</v>
      </c>
      <c r="L2029" t="s">
        <v>4717</v>
      </c>
    </row>
    <row r="2030">
      <c r="A2030" t="s">
        <v>2712</v>
      </c>
      <c r="B2030" t="s">
        <v>1640</v>
      </c>
      <c r="C2030" t="s">
        <v>1628</v>
      </c>
      <c r="D2030" t="s">
        <v>1629</v>
      </c>
      <c r="E2030" t="s">
        <v>1630</v>
      </c>
      <c r="F2030" t="s">
        <v>97</v>
      </c>
      <c r="G2030" t="s">
        <v>4715</v>
      </c>
      <c r="H2030" t="s">
        <v>5499</v>
      </c>
      <c r="I2030" t="s">
        <v>5620</v>
      </c>
      <c r="J2030" t="s">
        <v>5621</v>
      </c>
      <c r="K2030" t="s">
        <v>5622</v>
      </c>
      <c r="L2030" t="s">
        <v>4717</v>
      </c>
    </row>
    <row r="2031">
      <c r="A2031" t="s">
        <v>2712</v>
      </c>
      <c r="B2031" t="s">
        <v>1640</v>
      </c>
      <c r="C2031" t="s">
        <v>1628</v>
      </c>
      <c r="D2031" t="s">
        <v>1629</v>
      </c>
      <c r="E2031" t="s">
        <v>1630</v>
      </c>
      <c r="F2031" t="s">
        <v>97</v>
      </c>
      <c r="G2031" t="s">
        <v>4715</v>
      </c>
      <c r="H2031" t="s">
        <v>5623</v>
      </c>
      <c r="I2031" t="s">
        <v>5624</v>
      </c>
      <c r="J2031" t="s">
        <v>5625</v>
      </c>
      <c r="K2031" t="s">
        <v>5626</v>
      </c>
      <c r="L2031" t="s">
        <v>4717</v>
      </c>
    </row>
    <row r="2032">
      <c r="A2032" t="s">
        <v>2712</v>
      </c>
      <c r="B2032" t="s">
        <v>1640</v>
      </c>
      <c r="C2032" t="s">
        <v>1628</v>
      </c>
      <c r="D2032" t="s">
        <v>1629</v>
      </c>
      <c r="E2032" t="s">
        <v>1630</v>
      </c>
      <c r="F2032" t="s">
        <v>97</v>
      </c>
      <c r="G2032" t="s">
        <v>4715</v>
      </c>
      <c r="H2032" t="s">
        <v>3904</v>
      </c>
      <c r="I2032" t="s">
        <v>5627</v>
      </c>
      <c r="J2032" t="s">
        <v>5628</v>
      </c>
      <c r="K2032" t="s">
        <v>5629</v>
      </c>
      <c r="L2032" t="s">
        <v>4717</v>
      </c>
    </row>
    <row r="2033">
      <c r="A2033" t="s">
        <v>2712</v>
      </c>
      <c r="B2033" t="s">
        <v>1640</v>
      </c>
      <c r="C2033" t="s">
        <v>1628</v>
      </c>
      <c r="D2033" t="s">
        <v>1629</v>
      </c>
      <c r="E2033" t="s">
        <v>1630</v>
      </c>
      <c r="F2033" t="s">
        <v>97</v>
      </c>
      <c r="G2033" t="s">
        <v>4715</v>
      </c>
      <c r="H2033" t="s">
        <v>5630</v>
      </c>
      <c r="I2033" t="s">
        <v>5474</v>
      </c>
      <c r="J2033" t="s">
        <v>5631</v>
      </c>
      <c r="K2033" t="s">
        <v>5632</v>
      </c>
      <c r="L2033" t="s">
        <v>4717</v>
      </c>
    </row>
    <row r="2034">
      <c r="A2034" t="s">
        <v>2712</v>
      </c>
      <c r="B2034" t="s">
        <v>1640</v>
      </c>
      <c r="C2034" t="s">
        <v>1628</v>
      </c>
      <c r="D2034" t="s">
        <v>1629</v>
      </c>
      <c r="E2034" t="s">
        <v>1630</v>
      </c>
      <c r="F2034" t="s">
        <v>97</v>
      </c>
      <c r="G2034" t="s">
        <v>4715</v>
      </c>
      <c r="H2034" t="s">
        <v>5170</v>
      </c>
      <c r="I2034" t="s">
        <v>5171</v>
      </c>
      <c r="J2034" t="s">
        <v>5633</v>
      </c>
      <c r="K2034" t="s">
        <v>5634</v>
      </c>
      <c r="L2034" t="s">
        <v>4717</v>
      </c>
    </row>
    <row r="2035">
      <c r="A2035" t="s">
        <v>2712</v>
      </c>
      <c r="B2035" t="s">
        <v>1640</v>
      </c>
      <c r="C2035" t="s">
        <v>1628</v>
      </c>
      <c r="D2035" t="s">
        <v>1629</v>
      </c>
      <c r="E2035" t="s">
        <v>1630</v>
      </c>
      <c r="F2035" t="s">
        <v>97</v>
      </c>
      <c r="G2035" t="s">
        <v>4715</v>
      </c>
      <c r="H2035" t="s">
        <v>5157</v>
      </c>
      <c r="I2035" t="s">
        <v>5635</v>
      </c>
      <c r="J2035" t="s">
        <v>5636</v>
      </c>
      <c r="K2035" t="s">
        <v>5637</v>
      </c>
      <c r="L2035" t="s">
        <v>4717</v>
      </c>
    </row>
    <row r="2036">
      <c r="A2036" t="s">
        <v>2712</v>
      </c>
      <c r="B2036" t="s">
        <v>1640</v>
      </c>
      <c r="C2036" t="s">
        <v>1628</v>
      </c>
      <c r="D2036" t="s">
        <v>1629</v>
      </c>
      <c r="E2036" t="s">
        <v>1630</v>
      </c>
      <c r="F2036" t="s">
        <v>97</v>
      </c>
      <c r="G2036" t="s">
        <v>4715</v>
      </c>
      <c r="H2036" t="s">
        <v>5703</v>
      </c>
      <c r="I2036" t="s">
        <v>5375</v>
      </c>
      <c r="J2036" t="s">
        <v>5704</v>
      </c>
      <c r="K2036" t="s">
        <v>5705</v>
      </c>
      <c r="L2036" t="s">
        <v>4717</v>
      </c>
    </row>
    <row r="2037">
      <c r="A2037" t="s">
        <v>2712</v>
      </c>
      <c r="B2037" t="s">
        <v>1640</v>
      </c>
      <c r="C2037" t="s">
        <v>1628</v>
      </c>
      <c r="D2037" t="s">
        <v>1629</v>
      </c>
      <c r="E2037" t="s">
        <v>1630</v>
      </c>
      <c r="F2037" t="s">
        <v>97</v>
      </c>
      <c r="G2037" t="s">
        <v>4715</v>
      </c>
      <c r="H2037" t="s">
        <v>5703</v>
      </c>
      <c r="I2037" t="s">
        <v>5376</v>
      </c>
      <c r="J2037" t="s">
        <v>5706</v>
      </c>
      <c r="K2037" t="s">
        <v>5707</v>
      </c>
      <c r="L2037" t="s">
        <v>4717</v>
      </c>
    </row>
    <row r="2038">
      <c r="A2038" t="s">
        <v>2712</v>
      </c>
      <c r="B2038" t="s">
        <v>1640</v>
      </c>
      <c r="C2038" t="s">
        <v>1628</v>
      </c>
      <c r="D2038" t="s">
        <v>1629</v>
      </c>
      <c r="E2038" t="s">
        <v>1630</v>
      </c>
      <c r="F2038" t="s">
        <v>97</v>
      </c>
      <c r="G2038" t="s">
        <v>4715</v>
      </c>
      <c r="H2038" t="s">
        <v>5703</v>
      </c>
      <c r="I2038" t="s">
        <v>5377</v>
      </c>
      <c r="J2038" t="s">
        <v>5708</v>
      </c>
      <c r="K2038" t="s">
        <v>1645</v>
      </c>
      <c r="L2038" t="s">
        <v>4717</v>
      </c>
    </row>
    <row r="2039">
      <c r="A2039" t="s">
        <v>2712</v>
      </c>
      <c r="B2039" t="s">
        <v>1640</v>
      </c>
      <c r="C2039" t="s">
        <v>1628</v>
      </c>
      <c r="D2039" t="s">
        <v>1629</v>
      </c>
      <c r="E2039" t="s">
        <v>1630</v>
      </c>
      <c r="F2039" t="s">
        <v>97</v>
      </c>
      <c r="G2039" t="s">
        <v>4715</v>
      </c>
      <c r="H2039" t="s">
        <v>5703</v>
      </c>
      <c r="I2039" t="s">
        <v>5709</v>
      </c>
      <c r="J2039" t="s">
        <v>5710</v>
      </c>
      <c r="K2039" t="s">
        <v>5711</v>
      </c>
      <c r="L2039" t="s">
        <v>4717</v>
      </c>
    </row>
    <row r="2040">
      <c r="A2040" t="s">
        <v>2712</v>
      </c>
      <c r="B2040" t="s">
        <v>1640</v>
      </c>
      <c r="C2040" t="s">
        <v>1628</v>
      </c>
      <c r="D2040" t="s">
        <v>1629</v>
      </c>
      <c r="E2040" t="s">
        <v>1630</v>
      </c>
      <c r="F2040" t="s">
        <v>97</v>
      </c>
      <c r="G2040" t="s">
        <v>4715</v>
      </c>
      <c r="H2040" t="s">
        <v>3901</v>
      </c>
      <c r="I2040" t="s">
        <v>5712</v>
      </c>
      <c r="J2040" t="s">
        <v>5713</v>
      </c>
      <c r="K2040" t="s">
        <v>5714</v>
      </c>
      <c r="L2040" t="s">
        <v>4717</v>
      </c>
    </row>
    <row r="2041">
      <c r="A2041" t="s">
        <v>2712</v>
      </c>
      <c r="B2041" t="s">
        <v>1640</v>
      </c>
      <c r="C2041" t="s">
        <v>1628</v>
      </c>
      <c r="D2041" t="s">
        <v>1629</v>
      </c>
      <c r="E2041" t="s">
        <v>1630</v>
      </c>
      <c r="F2041" t="s">
        <v>97</v>
      </c>
      <c r="G2041" t="s">
        <v>4715</v>
      </c>
      <c r="H2041" t="s">
        <v>5522</v>
      </c>
      <c r="I2041" t="s">
        <v>5656</v>
      </c>
      <c r="J2041" t="s">
        <v>5657</v>
      </c>
      <c r="K2041" t="s">
        <v>5658</v>
      </c>
      <c r="L2041" t="s">
        <v>4717</v>
      </c>
    </row>
    <row r="2042">
      <c r="A2042" t="s">
        <v>2712</v>
      </c>
      <c r="B2042" t="s">
        <v>1640</v>
      </c>
      <c r="C2042" t="s">
        <v>1628</v>
      </c>
      <c r="D2042" t="s">
        <v>1629</v>
      </c>
      <c r="E2042" t="s">
        <v>1630</v>
      </c>
      <c r="F2042" t="s">
        <v>97</v>
      </c>
      <c r="G2042" t="s">
        <v>4715</v>
      </c>
      <c r="H2042" t="s">
        <v>5522</v>
      </c>
      <c r="I2042" t="s">
        <v>5715</v>
      </c>
      <c r="J2042" t="s">
        <v>5716</v>
      </c>
      <c r="K2042" t="s">
        <v>5717</v>
      </c>
      <c r="L2042" t="s">
        <v>4717</v>
      </c>
    </row>
    <row r="2043">
      <c r="A2043" t="s">
        <v>2712</v>
      </c>
      <c r="B2043" t="s">
        <v>1640</v>
      </c>
      <c r="C2043" t="s">
        <v>1628</v>
      </c>
      <c r="D2043" t="s">
        <v>1629</v>
      </c>
      <c r="E2043" t="s">
        <v>1630</v>
      </c>
      <c r="F2043" t="s">
        <v>97</v>
      </c>
      <c r="G2043" t="s">
        <v>4715</v>
      </c>
      <c r="H2043" t="s">
        <v>5522</v>
      </c>
      <c r="I2043" t="s">
        <v>5718</v>
      </c>
      <c r="J2043" t="s">
        <v>5719</v>
      </c>
      <c r="K2043" t="s">
        <v>5720</v>
      </c>
      <c r="L2043" t="s">
        <v>4717</v>
      </c>
    </row>
    <row r="2044">
      <c r="A2044" t="s">
        <v>2715</v>
      </c>
      <c r="B2044" t="s">
        <v>1645</v>
      </c>
      <c r="C2044" t="s">
        <v>1628</v>
      </c>
      <c r="D2044" t="s">
        <v>1629</v>
      </c>
      <c r="E2044" t="s">
        <v>1630</v>
      </c>
      <c r="F2044" t="s">
        <v>97</v>
      </c>
      <c r="G2044" t="s">
        <v>4715</v>
      </c>
      <c r="H2044" t="s">
        <v>5041</v>
      </c>
      <c r="I2044" t="s">
        <v>5614</v>
      </c>
      <c r="J2044" t="s">
        <v>5615</v>
      </c>
      <c r="K2044" t="s">
        <v>4169</v>
      </c>
      <c r="L2044" t="s">
        <v>4717</v>
      </c>
    </row>
    <row r="2045">
      <c r="A2045" t="s">
        <v>2715</v>
      </c>
      <c r="B2045" t="s">
        <v>1645</v>
      </c>
      <c r="C2045" t="s">
        <v>1628</v>
      </c>
      <c r="D2045" t="s">
        <v>1629</v>
      </c>
      <c r="E2045" t="s">
        <v>1630</v>
      </c>
      <c r="F2045" t="s">
        <v>97</v>
      </c>
      <c r="G2045" t="s">
        <v>4715</v>
      </c>
      <c r="H2045" t="s">
        <v>5616</v>
      </c>
      <c r="I2045" t="s">
        <v>5617</v>
      </c>
      <c r="J2045" t="s">
        <v>5618</v>
      </c>
      <c r="K2045" t="s">
        <v>5619</v>
      </c>
      <c r="L2045" t="s">
        <v>4717</v>
      </c>
    </row>
    <row r="2046">
      <c r="A2046" t="s">
        <v>2715</v>
      </c>
      <c r="B2046" t="s">
        <v>1645</v>
      </c>
      <c r="C2046" t="s">
        <v>1628</v>
      </c>
      <c r="D2046" t="s">
        <v>1629</v>
      </c>
      <c r="E2046" t="s">
        <v>1630</v>
      </c>
      <c r="F2046" t="s">
        <v>97</v>
      </c>
      <c r="G2046" t="s">
        <v>4715</v>
      </c>
      <c r="H2046" t="s">
        <v>5499</v>
      </c>
      <c r="I2046" t="s">
        <v>5620</v>
      </c>
      <c r="J2046" t="s">
        <v>5621</v>
      </c>
      <c r="K2046" t="s">
        <v>5622</v>
      </c>
      <c r="L2046" t="s">
        <v>4717</v>
      </c>
    </row>
    <row r="2047">
      <c r="A2047" t="s">
        <v>2715</v>
      </c>
      <c r="B2047" t="s">
        <v>1645</v>
      </c>
      <c r="C2047" t="s">
        <v>1628</v>
      </c>
      <c r="D2047" t="s">
        <v>1629</v>
      </c>
      <c r="E2047" t="s">
        <v>1630</v>
      </c>
      <c r="F2047" t="s">
        <v>97</v>
      </c>
      <c r="G2047" t="s">
        <v>4715</v>
      </c>
      <c r="H2047" t="s">
        <v>5623</v>
      </c>
      <c r="I2047" t="s">
        <v>5624</v>
      </c>
      <c r="J2047" t="s">
        <v>5625</v>
      </c>
      <c r="K2047" t="s">
        <v>5626</v>
      </c>
      <c r="L2047" t="s">
        <v>4717</v>
      </c>
    </row>
    <row r="2048">
      <c r="A2048" t="s">
        <v>2715</v>
      </c>
      <c r="B2048" t="s">
        <v>1645</v>
      </c>
      <c r="C2048" t="s">
        <v>1628</v>
      </c>
      <c r="D2048" t="s">
        <v>1629</v>
      </c>
      <c r="E2048" t="s">
        <v>1630</v>
      </c>
      <c r="F2048" t="s">
        <v>97</v>
      </c>
      <c r="G2048" t="s">
        <v>4715</v>
      </c>
      <c r="H2048" t="s">
        <v>3904</v>
      </c>
      <c r="I2048" t="s">
        <v>5627</v>
      </c>
      <c r="J2048" t="s">
        <v>5628</v>
      </c>
      <c r="K2048" t="s">
        <v>5629</v>
      </c>
      <c r="L2048" t="s">
        <v>4717</v>
      </c>
    </row>
    <row r="2049">
      <c r="A2049" t="s">
        <v>2715</v>
      </c>
      <c r="B2049" t="s">
        <v>1645</v>
      </c>
      <c r="C2049" t="s">
        <v>1628</v>
      </c>
      <c r="D2049" t="s">
        <v>1629</v>
      </c>
      <c r="E2049" t="s">
        <v>1630</v>
      </c>
      <c r="F2049" t="s">
        <v>97</v>
      </c>
      <c r="G2049" t="s">
        <v>4715</v>
      </c>
      <c r="H2049" t="s">
        <v>5630</v>
      </c>
      <c r="I2049" t="s">
        <v>5474</v>
      </c>
      <c r="J2049" t="s">
        <v>5631</v>
      </c>
      <c r="K2049" t="s">
        <v>5632</v>
      </c>
      <c r="L2049" t="s">
        <v>4717</v>
      </c>
    </row>
    <row r="2050">
      <c r="A2050" t="s">
        <v>2715</v>
      </c>
      <c r="B2050" t="s">
        <v>1645</v>
      </c>
      <c r="C2050" t="s">
        <v>1628</v>
      </c>
      <c r="D2050" t="s">
        <v>1629</v>
      </c>
      <c r="E2050" t="s">
        <v>1630</v>
      </c>
      <c r="F2050" t="s">
        <v>97</v>
      </c>
      <c r="G2050" t="s">
        <v>4715</v>
      </c>
      <c r="H2050" t="s">
        <v>5170</v>
      </c>
      <c r="I2050" t="s">
        <v>5171</v>
      </c>
      <c r="J2050" t="s">
        <v>5633</v>
      </c>
      <c r="K2050" t="s">
        <v>5634</v>
      </c>
      <c r="L2050" t="s">
        <v>4717</v>
      </c>
    </row>
    <row r="2051">
      <c r="A2051" t="s">
        <v>2715</v>
      </c>
      <c r="B2051" t="s">
        <v>1645</v>
      </c>
      <c r="C2051" t="s">
        <v>1628</v>
      </c>
      <c r="D2051" t="s">
        <v>1629</v>
      </c>
      <c r="E2051" t="s">
        <v>1630</v>
      </c>
      <c r="F2051" t="s">
        <v>97</v>
      </c>
      <c r="G2051" t="s">
        <v>4715</v>
      </c>
      <c r="H2051" t="s">
        <v>5157</v>
      </c>
      <c r="I2051" t="s">
        <v>5635</v>
      </c>
      <c r="J2051" t="s">
        <v>5636</v>
      </c>
      <c r="K2051" t="s">
        <v>5637</v>
      </c>
      <c r="L2051" t="s">
        <v>4717</v>
      </c>
    </row>
    <row r="2052">
      <c r="A2052" t="s">
        <v>2715</v>
      </c>
      <c r="B2052" t="s">
        <v>1645</v>
      </c>
      <c r="C2052" t="s">
        <v>1628</v>
      </c>
      <c r="D2052" t="s">
        <v>1629</v>
      </c>
      <c r="E2052" t="s">
        <v>1630</v>
      </c>
      <c r="F2052" t="s">
        <v>97</v>
      </c>
      <c r="G2052" t="s">
        <v>4715</v>
      </c>
      <c r="H2052" t="s">
        <v>5703</v>
      </c>
      <c r="I2052" t="s">
        <v>5375</v>
      </c>
      <c r="J2052" t="s">
        <v>5704</v>
      </c>
      <c r="K2052" t="s">
        <v>5705</v>
      </c>
      <c r="L2052" t="s">
        <v>4717</v>
      </c>
    </row>
    <row r="2053">
      <c r="A2053" t="s">
        <v>2715</v>
      </c>
      <c r="B2053" t="s">
        <v>1645</v>
      </c>
      <c r="C2053" t="s">
        <v>1628</v>
      </c>
      <c r="D2053" t="s">
        <v>1629</v>
      </c>
      <c r="E2053" t="s">
        <v>1630</v>
      </c>
      <c r="F2053" t="s">
        <v>97</v>
      </c>
      <c r="G2053" t="s">
        <v>4715</v>
      </c>
      <c r="H2053" t="s">
        <v>5703</v>
      </c>
      <c r="I2053" t="s">
        <v>5376</v>
      </c>
      <c r="J2053" t="s">
        <v>5706</v>
      </c>
      <c r="K2053" t="s">
        <v>5707</v>
      </c>
      <c r="L2053" t="s">
        <v>4717</v>
      </c>
    </row>
    <row r="2054">
      <c r="A2054" t="s">
        <v>2715</v>
      </c>
      <c r="B2054" t="s">
        <v>1645</v>
      </c>
      <c r="C2054" t="s">
        <v>1628</v>
      </c>
      <c r="D2054" t="s">
        <v>1629</v>
      </c>
      <c r="E2054" t="s">
        <v>1630</v>
      </c>
      <c r="F2054" t="s">
        <v>97</v>
      </c>
      <c r="G2054" t="s">
        <v>4715</v>
      </c>
      <c r="H2054" t="s">
        <v>5703</v>
      </c>
      <c r="I2054" t="s">
        <v>5377</v>
      </c>
      <c r="J2054" t="s">
        <v>5708</v>
      </c>
      <c r="K2054" t="s">
        <v>1645</v>
      </c>
      <c r="L2054" t="s">
        <v>4717</v>
      </c>
    </row>
    <row r="2055">
      <c r="A2055" t="s">
        <v>2715</v>
      </c>
      <c r="B2055" t="s">
        <v>1645</v>
      </c>
      <c r="C2055" t="s">
        <v>1628</v>
      </c>
      <c r="D2055" t="s">
        <v>1629</v>
      </c>
      <c r="E2055" t="s">
        <v>1630</v>
      </c>
      <c r="F2055" t="s">
        <v>97</v>
      </c>
      <c r="G2055" t="s">
        <v>4715</v>
      </c>
      <c r="H2055" t="s">
        <v>5703</v>
      </c>
      <c r="I2055" t="s">
        <v>5709</v>
      </c>
      <c r="J2055" t="s">
        <v>5710</v>
      </c>
      <c r="K2055" t="s">
        <v>5711</v>
      </c>
      <c r="L2055" t="s">
        <v>4717</v>
      </c>
    </row>
    <row r="2056">
      <c r="A2056" t="s">
        <v>2715</v>
      </c>
      <c r="B2056" t="s">
        <v>1645</v>
      </c>
      <c r="C2056" t="s">
        <v>1628</v>
      </c>
      <c r="D2056" t="s">
        <v>1629</v>
      </c>
      <c r="E2056" t="s">
        <v>1630</v>
      </c>
      <c r="F2056" t="s">
        <v>97</v>
      </c>
      <c r="G2056" t="s">
        <v>4715</v>
      </c>
      <c r="H2056" t="s">
        <v>3901</v>
      </c>
      <c r="I2056" t="s">
        <v>5712</v>
      </c>
      <c r="J2056" t="s">
        <v>5713</v>
      </c>
      <c r="K2056" t="s">
        <v>5714</v>
      </c>
      <c r="L2056" t="s">
        <v>4717</v>
      </c>
    </row>
    <row r="2057">
      <c r="A2057" t="s">
        <v>2715</v>
      </c>
      <c r="B2057" t="s">
        <v>1645</v>
      </c>
      <c r="C2057" t="s">
        <v>1628</v>
      </c>
      <c r="D2057" t="s">
        <v>1629</v>
      </c>
      <c r="E2057" t="s">
        <v>1630</v>
      </c>
      <c r="F2057" t="s">
        <v>97</v>
      </c>
      <c r="G2057" t="s">
        <v>4715</v>
      </c>
      <c r="H2057" t="s">
        <v>5522</v>
      </c>
      <c r="I2057" t="s">
        <v>5656</v>
      </c>
      <c r="J2057" t="s">
        <v>5657</v>
      </c>
      <c r="K2057" t="s">
        <v>5658</v>
      </c>
      <c r="L2057" t="s">
        <v>4717</v>
      </c>
    </row>
    <row r="2058">
      <c r="A2058" t="s">
        <v>2715</v>
      </c>
      <c r="B2058" t="s">
        <v>1645</v>
      </c>
      <c r="C2058" t="s">
        <v>1628</v>
      </c>
      <c r="D2058" t="s">
        <v>1629</v>
      </c>
      <c r="E2058" t="s">
        <v>1630</v>
      </c>
      <c r="F2058" t="s">
        <v>97</v>
      </c>
      <c r="G2058" t="s">
        <v>4715</v>
      </c>
      <c r="H2058" t="s">
        <v>5522</v>
      </c>
      <c r="I2058" t="s">
        <v>5715</v>
      </c>
      <c r="J2058" t="s">
        <v>5716</v>
      </c>
      <c r="K2058" t="s">
        <v>5717</v>
      </c>
      <c r="L2058" t="s">
        <v>4717</v>
      </c>
    </row>
    <row r="2059">
      <c r="A2059" t="s">
        <v>2715</v>
      </c>
      <c r="B2059" t="s">
        <v>1645</v>
      </c>
      <c r="C2059" t="s">
        <v>1628</v>
      </c>
      <c r="D2059" t="s">
        <v>1629</v>
      </c>
      <c r="E2059" t="s">
        <v>1630</v>
      </c>
      <c r="F2059" t="s">
        <v>97</v>
      </c>
      <c r="G2059" t="s">
        <v>4715</v>
      </c>
      <c r="H2059" t="s">
        <v>5522</v>
      </c>
      <c r="I2059" t="s">
        <v>5718</v>
      </c>
      <c r="J2059" t="s">
        <v>5719</v>
      </c>
      <c r="K2059" t="s">
        <v>5720</v>
      </c>
      <c r="L2059" t="s">
        <v>4717</v>
      </c>
    </row>
    <row r="2060">
      <c r="A2060" t="s">
        <v>2718</v>
      </c>
      <c r="B2060" t="s">
        <v>1651</v>
      </c>
      <c r="C2060" t="s">
        <v>1628</v>
      </c>
      <c r="D2060" t="s">
        <v>1629</v>
      </c>
      <c r="E2060" t="s">
        <v>1630</v>
      </c>
      <c r="F2060" t="s">
        <v>129</v>
      </c>
      <c r="G2060" t="s">
        <v>4715</v>
      </c>
      <c r="H2060" t="s">
        <v>5041</v>
      </c>
      <c r="I2060" t="s">
        <v>5614</v>
      </c>
      <c r="J2060" t="s">
        <v>5615</v>
      </c>
      <c r="K2060" t="s">
        <v>4169</v>
      </c>
      <c r="L2060" t="s">
        <v>4717</v>
      </c>
    </row>
    <row r="2061">
      <c r="A2061" t="s">
        <v>2718</v>
      </c>
      <c r="B2061" t="s">
        <v>1651</v>
      </c>
      <c r="C2061" t="s">
        <v>1628</v>
      </c>
      <c r="D2061" t="s">
        <v>1629</v>
      </c>
      <c r="E2061" t="s">
        <v>1630</v>
      </c>
      <c r="F2061" t="s">
        <v>129</v>
      </c>
      <c r="G2061" t="s">
        <v>4715</v>
      </c>
      <c r="H2061" t="s">
        <v>5616</v>
      </c>
      <c r="I2061" t="s">
        <v>5617</v>
      </c>
      <c r="J2061" t="s">
        <v>5618</v>
      </c>
      <c r="K2061" t="s">
        <v>5619</v>
      </c>
      <c r="L2061" t="s">
        <v>4717</v>
      </c>
    </row>
    <row r="2062">
      <c r="A2062" t="s">
        <v>2718</v>
      </c>
      <c r="B2062" t="s">
        <v>1651</v>
      </c>
      <c r="C2062" t="s">
        <v>1628</v>
      </c>
      <c r="D2062" t="s">
        <v>1629</v>
      </c>
      <c r="E2062" t="s">
        <v>1630</v>
      </c>
      <c r="F2062" t="s">
        <v>129</v>
      </c>
      <c r="G2062" t="s">
        <v>4715</v>
      </c>
      <c r="H2062" t="s">
        <v>5499</v>
      </c>
      <c r="I2062" t="s">
        <v>5620</v>
      </c>
      <c r="J2062" t="s">
        <v>5621</v>
      </c>
      <c r="K2062" t="s">
        <v>5622</v>
      </c>
      <c r="L2062" t="s">
        <v>4717</v>
      </c>
    </row>
    <row r="2063">
      <c r="A2063" t="s">
        <v>2718</v>
      </c>
      <c r="B2063" t="s">
        <v>1651</v>
      </c>
      <c r="C2063" t="s">
        <v>1628</v>
      </c>
      <c r="D2063" t="s">
        <v>1629</v>
      </c>
      <c r="E2063" t="s">
        <v>1630</v>
      </c>
      <c r="F2063" t="s">
        <v>129</v>
      </c>
      <c r="G2063" t="s">
        <v>4715</v>
      </c>
      <c r="H2063" t="s">
        <v>5623</v>
      </c>
      <c r="I2063" t="s">
        <v>5624</v>
      </c>
      <c r="J2063" t="s">
        <v>5625</v>
      </c>
      <c r="K2063" t="s">
        <v>5626</v>
      </c>
      <c r="L2063" t="s">
        <v>4717</v>
      </c>
    </row>
    <row r="2064">
      <c r="A2064" t="s">
        <v>2718</v>
      </c>
      <c r="B2064" t="s">
        <v>1651</v>
      </c>
      <c r="C2064" t="s">
        <v>1628</v>
      </c>
      <c r="D2064" t="s">
        <v>1629</v>
      </c>
      <c r="E2064" t="s">
        <v>1630</v>
      </c>
      <c r="F2064" t="s">
        <v>129</v>
      </c>
      <c r="G2064" t="s">
        <v>4715</v>
      </c>
      <c r="H2064" t="s">
        <v>3904</v>
      </c>
      <c r="I2064" t="s">
        <v>5627</v>
      </c>
      <c r="J2064" t="s">
        <v>5628</v>
      </c>
      <c r="K2064" t="s">
        <v>5629</v>
      </c>
      <c r="L2064" t="s">
        <v>4717</v>
      </c>
    </row>
    <row r="2065">
      <c r="A2065" t="s">
        <v>2718</v>
      </c>
      <c r="B2065" t="s">
        <v>1651</v>
      </c>
      <c r="C2065" t="s">
        <v>1628</v>
      </c>
      <c r="D2065" t="s">
        <v>1629</v>
      </c>
      <c r="E2065" t="s">
        <v>1630</v>
      </c>
      <c r="F2065" t="s">
        <v>129</v>
      </c>
      <c r="G2065" t="s">
        <v>4715</v>
      </c>
      <c r="H2065" t="s">
        <v>5630</v>
      </c>
      <c r="I2065" t="s">
        <v>5474</v>
      </c>
      <c r="J2065" t="s">
        <v>5631</v>
      </c>
      <c r="K2065" t="s">
        <v>5632</v>
      </c>
      <c r="L2065" t="s">
        <v>4717</v>
      </c>
    </row>
    <row r="2066">
      <c r="A2066" t="s">
        <v>2718</v>
      </c>
      <c r="B2066" t="s">
        <v>1651</v>
      </c>
      <c r="C2066" t="s">
        <v>1628</v>
      </c>
      <c r="D2066" t="s">
        <v>1629</v>
      </c>
      <c r="E2066" t="s">
        <v>1630</v>
      </c>
      <c r="F2066" t="s">
        <v>129</v>
      </c>
      <c r="G2066" t="s">
        <v>4715</v>
      </c>
      <c r="H2066" t="s">
        <v>5170</v>
      </c>
      <c r="I2066" t="s">
        <v>5171</v>
      </c>
      <c r="J2066" t="s">
        <v>5633</v>
      </c>
      <c r="K2066" t="s">
        <v>5634</v>
      </c>
      <c r="L2066" t="s">
        <v>4717</v>
      </c>
    </row>
    <row r="2067">
      <c r="A2067" t="s">
        <v>2718</v>
      </c>
      <c r="B2067" t="s">
        <v>1651</v>
      </c>
      <c r="C2067" t="s">
        <v>1628</v>
      </c>
      <c r="D2067" t="s">
        <v>1629</v>
      </c>
      <c r="E2067" t="s">
        <v>1630</v>
      </c>
      <c r="F2067" t="s">
        <v>129</v>
      </c>
      <c r="G2067" t="s">
        <v>4715</v>
      </c>
      <c r="H2067" t="s">
        <v>5157</v>
      </c>
      <c r="I2067" t="s">
        <v>5635</v>
      </c>
      <c r="J2067" t="s">
        <v>5636</v>
      </c>
      <c r="K2067" t="s">
        <v>5637</v>
      </c>
      <c r="L2067" t="s">
        <v>4717</v>
      </c>
    </row>
    <row r="2068">
      <c r="A2068" t="s">
        <v>2718</v>
      </c>
      <c r="B2068" t="s">
        <v>1651</v>
      </c>
      <c r="C2068" t="s">
        <v>1628</v>
      </c>
      <c r="D2068" t="s">
        <v>1629</v>
      </c>
      <c r="E2068" t="s">
        <v>1630</v>
      </c>
      <c r="F2068" t="s">
        <v>129</v>
      </c>
      <c r="G2068" t="s">
        <v>4715</v>
      </c>
      <c r="H2068" t="s">
        <v>5703</v>
      </c>
      <c r="I2068" t="s">
        <v>5375</v>
      </c>
      <c r="J2068" t="s">
        <v>5704</v>
      </c>
      <c r="K2068" t="s">
        <v>5705</v>
      </c>
      <c r="L2068" t="s">
        <v>4717</v>
      </c>
    </row>
    <row r="2069">
      <c r="A2069" t="s">
        <v>2718</v>
      </c>
      <c r="B2069" t="s">
        <v>1651</v>
      </c>
      <c r="C2069" t="s">
        <v>1628</v>
      </c>
      <c r="D2069" t="s">
        <v>1629</v>
      </c>
      <c r="E2069" t="s">
        <v>1630</v>
      </c>
      <c r="F2069" t="s">
        <v>129</v>
      </c>
      <c r="G2069" t="s">
        <v>4715</v>
      </c>
      <c r="H2069" t="s">
        <v>5703</v>
      </c>
      <c r="I2069" t="s">
        <v>5376</v>
      </c>
      <c r="J2069" t="s">
        <v>5706</v>
      </c>
      <c r="K2069" t="s">
        <v>5707</v>
      </c>
      <c r="L2069" t="s">
        <v>4717</v>
      </c>
    </row>
    <row r="2070">
      <c r="A2070" t="s">
        <v>2718</v>
      </c>
      <c r="B2070" t="s">
        <v>1651</v>
      </c>
      <c r="C2070" t="s">
        <v>1628</v>
      </c>
      <c r="D2070" t="s">
        <v>1629</v>
      </c>
      <c r="E2070" t="s">
        <v>1630</v>
      </c>
      <c r="F2070" t="s">
        <v>129</v>
      </c>
      <c r="G2070" t="s">
        <v>4715</v>
      </c>
      <c r="H2070" t="s">
        <v>5703</v>
      </c>
      <c r="I2070" t="s">
        <v>5377</v>
      </c>
      <c r="J2070" t="s">
        <v>5708</v>
      </c>
      <c r="K2070" t="s">
        <v>1645</v>
      </c>
      <c r="L2070" t="s">
        <v>4717</v>
      </c>
    </row>
    <row r="2071">
      <c r="A2071" t="s">
        <v>2718</v>
      </c>
      <c r="B2071" t="s">
        <v>1651</v>
      </c>
      <c r="C2071" t="s">
        <v>1628</v>
      </c>
      <c r="D2071" t="s">
        <v>1629</v>
      </c>
      <c r="E2071" t="s">
        <v>1630</v>
      </c>
      <c r="F2071" t="s">
        <v>129</v>
      </c>
      <c r="G2071" t="s">
        <v>4715</v>
      </c>
      <c r="H2071" t="s">
        <v>5703</v>
      </c>
      <c r="I2071" t="s">
        <v>5709</v>
      </c>
      <c r="J2071" t="s">
        <v>5710</v>
      </c>
      <c r="K2071" t="s">
        <v>5711</v>
      </c>
      <c r="L2071" t="s">
        <v>4717</v>
      </c>
    </row>
    <row r="2072">
      <c r="A2072" t="s">
        <v>2718</v>
      </c>
      <c r="B2072" t="s">
        <v>1651</v>
      </c>
      <c r="C2072" t="s">
        <v>1628</v>
      </c>
      <c r="D2072" t="s">
        <v>1629</v>
      </c>
      <c r="E2072" t="s">
        <v>1630</v>
      </c>
      <c r="F2072" t="s">
        <v>129</v>
      </c>
      <c r="G2072" t="s">
        <v>4715</v>
      </c>
      <c r="H2072" t="s">
        <v>3901</v>
      </c>
      <c r="I2072" t="s">
        <v>5712</v>
      </c>
      <c r="J2072" t="s">
        <v>5713</v>
      </c>
      <c r="K2072" t="s">
        <v>5714</v>
      </c>
      <c r="L2072" t="s">
        <v>4717</v>
      </c>
    </row>
    <row r="2073">
      <c r="A2073" t="s">
        <v>2718</v>
      </c>
      <c r="B2073" t="s">
        <v>1651</v>
      </c>
      <c r="C2073" t="s">
        <v>1628</v>
      </c>
      <c r="D2073" t="s">
        <v>1629</v>
      </c>
      <c r="E2073" t="s">
        <v>1630</v>
      </c>
      <c r="F2073" t="s">
        <v>129</v>
      </c>
      <c r="G2073" t="s">
        <v>4715</v>
      </c>
      <c r="H2073" t="s">
        <v>5522</v>
      </c>
      <c r="I2073" t="s">
        <v>5656</v>
      </c>
      <c r="J2073" t="s">
        <v>5657</v>
      </c>
      <c r="K2073" t="s">
        <v>5658</v>
      </c>
      <c r="L2073" t="s">
        <v>4717</v>
      </c>
    </row>
    <row r="2074">
      <c r="A2074" t="s">
        <v>2718</v>
      </c>
      <c r="B2074" t="s">
        <v>1651</v>
      </c>
      <c r="C2074" t="s">
        <v>1628</v>
      </c>
      <c r="D2074" t="s">
        <v>1629</v>
      </c>
      <c r="E2074" t="s">
        <v>1630</v>
      </c>
      <c r="F2074" t="s">
        <v>129</v>
      </c>
      <c r="G2074" t="s">
        <v>4715</v>
      </c>
      <c r="H2074" t="s">
        <v>5522</v>
      </c>
      <c r="I2074" t="s">
        <v>5715</v>
      </c>
      <c r="J2074" t="s">
        <v>5716</v>
      </c>
      <c r="K2074" t="s">
        <v>5717</v>
      </c>
      <c r="L2074" t="s">
        <v>4717</v>
      </c>
    </row>
    <row r="2075">
      <c r="A2075" t="s">
        <v>2718</v>
      </c>
      <c r="B2075" t="s">
        <v>1651</v>
      </c>
      <c r="C2075" t="s">
        <v>1628</v>
      </c>
      <c r="D2075" t="s">
        <v>1629</v>
      </c>
      <c r="E2075" t="s">
        <v>1630</v>
      </c>
      <c r="F2075" t="s">
        <v>129</v>
      </c>
      <c r="G2075" t="s">
        <v>4715</v>
      </c>
      <c r="H2075" t="s">
        <v>5522</v>
      </c>
      <c r="I2075" t="s">
        <v>5718</v>
      </c>
      <c r="J2075" t="s">
        <v>5719</v>
      </c>
      <c r="K2075" t="s">
        <v>5720</v>
      </c>
      <c r="L2075" t="s">
        <v>4717</v>
      </c>
    </row>
    <row r="2076">
      <c r="A2076" t="s">
        <v>2721</v>
      </c>
      <c r="B2076" t="s">
        <v>1657</v>
      </c>
      <c r="C2076" t="s">
        <v>1628</v>
      </c>
      <c r="D2076" t="s">
        <v>1629</v>
      </c>
      <c r="E2076" t="s">
        <v>1630</v>
      </c>
      <c r="F2076" t="s">
        <v>154</v>
      </c>
      <c r="G2076" t="s">
        <v>4715</v>
      </c>
      <c r="H2076" t="s">
        <v>5041</v>
      </c>
      <c r="I2076" t="s">
        <v>5614</v>
      </c>
      <c r="J2076" t="s">
        <v>5615</v>
      </c>
      <c r="K2076" t="s">
        <v>4169</v>
      </c>
      <c r="L2076" t="s">
        <v>4717</v>
      </c>
    </row>
    <row r="2077">
      <c r="A2077" t="s">
        <v>2721</v>
      </c>
      <c r="B2077" t="s">
        <v>1657</v>
      </c>
      <c r="C2077" t="s">
        <v>1628</v>
      </c>
      <c r="D2077" t="s">
        <v>1629</v>
      </c>
      <c r="E2077" t="s">
        <v>1630</v>
      </c>
      <c r="F2077" t="s">
        <v>154</v>
      </c>
      <c r="G2077" t="s">
        <v>4715</v>
      </c>
      <c r="H2077" t="s">
        <v>5616</v>
      </c>
      <c r="I2077" t="s">
        <v>5617</v>
      </c>
      <c r="J2077" t="s">
        <v>5618</v>
      </c>
      <c r="K2077" t="s">
        <v>5619</v>
      </c>
      <c r="L2077" t="s">
        <v>4717</v>
      </c>
    </row>
    <row r="2078">
      <c r="A2078" t="s">
        <v>2721</v>
      </c>
      <c r="B2078" t="s">
        <v>1657</v>
      </c>
      <c r="C2078" t="s">
        <v>1628</v>
      </c>
      <c r="D2078" t="s">
        <v>1629</v>
      </c>
      <c r="E2078" t="s">
        <v>1630</v>
      </c>
      <c r="F2078" t="s">
        <v>154</v>
      </c>
      <c r="G2078" t="s">
        <v>4715</v>
      </c>
      <c r="H2078" t="s">
        <v>5499</v>
      </c>
      <c r="I2078" t="s">
        <v>5620</v>
      </c>
      <c r="J2078" t="s">
        <v>5621</v>
      </c>
      <c r="K2078" t="s">
        <v>5622</v>
      </c>
      <c r="L2078" t="s">
        <v>4717</v>
      </c>
    </row>
    <row r="2079">
      <c r="A2079" t="s">
        <v>2721</v>
      </c>
      <c r="B2079" t="s">
        <v>1657</v>
      </c>
      <c r="C2079" t="s">
        <v>1628</v>
      </c>
      <c r="D2079" t="s">
        <v>1629</v>
      </c>
      <c r="E2079" t="s">
        <v>1630</v>
      </c>
      <c r="F2079" t="s">
        <v>154</v>
      </c>
      <c r="G2079" t="s">
        <v>4715</v>
      </c>
      <c r="H2079" t="s">
        <v>5623</v>
      </c>
      <c r="I2079" t="s">
        <v>5624</v>
      </c>
      <c r="J2079" t="s">
        <v>5625</v>
      </c>
      <c r="K2079" t="s">
        <v>5626</v>
      </c>
      <c r="L2079" t="s">
        <v>4717</v>
      </c>
    </row>
    <row r="2080">
      <c r="A2080" t="s">
        <v>2721</v>
      </c>
      <c r="B2080" t="s">
        <v>1657</v>
      </c>
      <c r="C2080" t="s">
        <v>1628</v>
      </c>
      <c r="D2080" t="s">
        <v>1629</v>
      </c>
      <c r="E2080" t="s">
        <v>1630</v>
      </c>
      <c r="F2080" t="s">
        <v>154</v>
      </c>
      <c r="G2080" t="s">
        <v>4715</v>
      </c>
      <c r="H2080" t="s">
        <v>3904</v>
      </c>
      <c r="I2080" t="s">
        <v>5627</v>
      </c>
      <c r="J2080" t="s">
        <v>5628</v>
      </c>
      <c r="K2080" t="s">
        <v>5629</v>
      </c>
      <c r="L2080" t="s">
        <v>4717</v>
      </c>
    </row>
    <row r="2081">
      <c r="A2081" t="s">
        <v>2721</v>
      </c>
      <c r="B2081" t="s">
        <v>1657</v>
      </c>
      <c r="C2081" t="s">
        <v>1628</v>
      </c>
      <c r="D2081" t="s">
        <v>1629</v>
      </c>
      <c r="E2081" t="s">
        <v>1630</v>
      </c>
      <c r="F2081" t="s">
        <v>154</v>
      </c>
      <c r="G2081" t="s">
        <v>4715</v>
      </c>
      <c r="H2081" t="s">
        <v>5630</v>
      </c>
      <c r="I2081" t="s">
        <v>5474</v>
      </c>
      <c r="J2081" t="s">
        <v>5631</v>
      </c>
      <c r="K2081" t="s">
        <v>5632</v>
      </c>
      <c r="L2081" t="s">
        <v>4717</v>
      </c>
    </row>
    <row r="2082">
      <c r="A2082" t="s">
        <v>2721</v>
      </c>
      <c r="B2082" t="s">
        <v>1657</v>
      </c>
      <c r="C2082" t="s">
        <v>1628</v>
      </c>
      <c r="D2082" t="s">
        <v>1629</v>
      </c>
      <c r="E2082" t="s">
        <v>1630</v>
      </c>
      <c r="F2082" t="s">
        <v>154</v>
      </c>
      <c r="G2082" t="s">
        <v>4715</v>
      </c>
      <c r="H2082" t="s">
        <v>5170</v>
      </c>
      <c r="I2082" t="s">
        <v>5171</v>
      </c>
      <c r="J2082" t="s">
        <v>5633</v>
      </c>
      <c r="K2082" t="s">
        <v>5634</v>
      </c>
      <c r="L2082" t="s">
        <v>4717</v>
      </c>
    </row>
    <row r="2083">
      <c r="A2083" t="s">
        <v>2721</v>
      </c>
      <c r="B2083" t="s">
        <v>1657</v>
      </c>
      <c r="C2083" t="s">
        <v>1628</v>
      </c>
      <c r="D2083" t="s">
        <v>1629</v>
      </c>
      <c r="E2083" t="s">
        <v>1630</v>
      </c>
      <c r="F2083" t="s">
        <v>154</v>
      </c>
      <c r="G2083" t="s">
        <v>4715</v>
      </c>
      <c r="H2083" t="s">
        <v>5157</v>
      </c>
      <c r="I2083" t="s">
        <v>5635</v>
      </c>
      <c r="J2083" t="s">
        <v>5636</v>
      </c>
      <c r="K2083" t="s">
        <v>5637</v>
      </c>
      <c r="L2083" t="s">
        <v>4717</v>
      </c>
    </row>
    <row r="2084">
      <c r="A2084" t="s">
        <v>2721</v>
      </c>
      <c r="B2084" t="s">
        <v>1657</v>
      </c>
      <c r="C2084" t="s">
        <v>1628</v>
      </c>
      <c r="D2084" t="s">
        <v>1629</v>
      </c>
      <c r="E2084" t="s">
        <v>1630</v>
      </c>
      <c r="F2084" t="s">
        <v>154</v>
      </c>
      <c r="G2084" t="s">
        <v>4715</v>
      </c>
      <c r="H2084" t="s">
        <v>5659</v>
      </c>
      <c r="I2084" t="s">
        <v>5660</v>
      </c>
      <c r="J2084" t="s">
        <v>5661</v>
      </c>
      <c r="K2084" t="s">
        <v>5662</v>
      </c>
      <c r="L2084" t="s">
        <v>4717</v>
      </c>
    </row>
    <row r="2085">
      <c r="A2085" t="s">
        <v>2721</v>
      </c>
      <c r="B2085" t="s">
        <v>1657</v>
      </c>
      <c r="C2085" t="s">
        <v>1628</v>
      </c>
      <c r="D2085" t="s">
        <v>1629</v>
      </c>
      <c r="E2085" t="s">
        <v>1630</v>
      </c>
      <c r="F2085" t="s">
        <v>154</v>
      </c>
      <c r="G2085" t="s">
        <v>4715</v>
      </c>
      <c r="H2085" t="s">
        <v>5663</v>
      </c>
      <c r="I2085" t="s">
        <v>5664</v>
      </c>
      <c r="J2085" t="s">
        <v>5665</v>
      </c>
      <c r="K2085" t="s">
        <v>5666</v>
      </c>
      <c r="L2085" t="s">
        <v>4717</v>
      </c>
    </row>
    <row r="2086">
      <c r="A2086" t="s">
        <v>2721</v>
      </c>
      <c r="B2086" t="s">
        <v>1657</v>
      </c>
      <c r="C2086" t="s">
        <v>1628</v>
      </c>
      <c r="D2086" t="s">
        <v>1629</v>
      </c>
      <c r="E2086" t="s">
        <v>1630</v>
      </c>
      <c r="F2086" t="s">
        <v>154</v>
      </c>
      <c r="G2086" t="s">
        <v>4715</v>
      </c>
      <c r="H2086" t="s">
        <v>5663</v>
      </c>
      <c r="I2086" t="s">
        <v>5667</v>
      </c>
      <c r="J2086" t="s">
        <v>5668</v>
      </c>
      <c r="K2086" t="s">
        <v>5669</v>
      </c>
      <c r="L2086" t="s">
        <v>4717</v>
      </c>
    </row>
    <row r="2087">
      <c r="A2087" t="s">
        <v>2721</v>
      </c>
      <c r="B2087" t="s">
        <v>1657</v>
      </c>
      <c r="C2087" t="s">
        <v>1628</v>
      </c>
      <c r="D2087" t="s">
        <v>1629</v>
      </c>
      <c r="E2087" t="s">
        <v>1630</v>
      </c>
      <c r="F2087" t="s">
        <v>154</v>
      </c>
      <c r="G2087" t="s">
        <v>4715</v>
      </c>
      <c r="H2087" t="s">
        <v>5644</v>
      </c>
      <c r="I2087" t="s">
        <v>5670</v>
      </c>
      <c r="J2087" t="s">
        <v>5671</v>
      </c>
      <c r="K2087" t="s">
        <v>5672</v>
      </c>
      <c r="L2087" t="s">
        <v>4717</v>
      </c>
    </row>
    <row r="2088">
      <c r="A2088" t="s">
        <v>2721</v>
      </c>
      <c r="B2088" t="s">
        <v>1657</v>
      </c>
      <c r="C2088" t="s">
        <v>1628</v>
      </c>
      <c r="D2088" t="s">
        <v>1629</v>
      </c>
      <c r="E2088" t="s">
        <v>1630</v>
      </c>
      <c r="F2088" t="s">
        <v>154</v>
      </c>
      <c r="G2088" t="s">
        <v>4715</v>
      </c>
      <c r="H2088" t="s">
        <v>5522</v>
      </c>
      <c r="I2088" t="s">
        <v>5656</v>
      </c>
      <c r="J2088" t="s">
        <v>5657</v>
      </c>
      <c r="K2088" t="s">
        <v>5658</v>
      </c>
      <c r="L2088" t="s">
        <v>4717</v>
      </c>
    </row>
    <row r="2089">
      <c r="A2089" t="s">
        <v>2724</v>
      </c>
      <c r="B2089" t="s">
        <v>1663</v>
      </c>
      <c r="C2089" t="s">
        <v>1628</v>
      </c>
      <c r="D2089" t="s">
        <v>1629</v>
      </c>
      <c r="E2089" t="s">
        <v>1630</v>
      </c>
      <c r="F2089" t="s">
        <v>154</v>
      </c>
      <c r="G2089" t="s">
        <v>4715</v>
      </c>
      <c r="H2089" t="s">
        <v>5041</v>
      </c>
      <c r="I2089" t="s">
        <v>5614</v>
      </c>
      <c r="J2089" t="s">
        <v>5615</v>
      </c>
      <c r="K2089" t="s">
        <v>4169</v>
      </c>
      <c r="L2089" t="s">
        <v>4717</v>
      </c>
    </row>
    <row r="2090">
      <c r="A2090" t="s">
        <v>2724</v>
      </c>
      <c r="B2090" t="s">
        <v>1663</v>
      </c>
      <c r="C2090" t="s">
        <v>1628</v>
      </c>
      <c r="D2090" t="s">
        <v>1629</v>
      </c>
      <c r="E2090" t="s">
        <v>1630</v>
      </c>
      <c r="F2090" t="s">
        <v>154</v>
      </c>
      <c r="G2090" t="s">
        <v>4715</v>
      </c>
      <c r="H2090" t="s">
        <v>5616</v>
      </c>
      <c r="I2090" t="s">
        <v>5617</v>
      </c>
      <c r="J2090" t="s">
        <v>5618</v>
      </c>
      <c r="K2090" t="s">
        <v>5619</v>
      </c>
      <c r="L2090" t="s">
        <v>4717</v>
      </c>
    </row>
    <row r="2091">
      <c r="A2091" t="s">
        <v>2724</v>
      </c>
      <c r="B2091" t="s">
        <v>1663</v>
      </c>
      <c r="C2091" t="s">
        <v>1628</v>
      </c>
      <c r="D2091" t="s">
        <v>1629</v>
      </c>
      <c r="E2091" t="s">
        <v>1630</v>
      </c>
      <c r="F2091" t="s">
        <v>154</v>
      </c>
      <c r="G2091" t="s">
        <v>4715</v>
      </c>
      <c r="H2091" t="s">
        <v>5499</v>
      </c>
      <c r="I2091" t="s">
        <v>5620</v>
      </c>
      <c r="J2091" t="s">
        <v>5621</v>
      </c>
      <c r="K2091" t="s">
        <v>5622</v>
      </c>
      <c r="L2091" t="s">
        <v>4717</v>
      </c>
    </row>
    <row r="2092">
      <c r="A2092" t="s">
        <v>2724</v>
      </c>
      <c r="B2092" t="s">
        <v>1663</v>
      </c>
      <c r="C2092" t="s">
        <v>1628</v>
      </c>
      <c r="D2092" t="s">
        <v>1629</v>
      </c>
      <c r="E2092" t="s">
        <v>1630</v>
      </c>
      <c r="F2092" t="s">
        <v>154</v>
      </c>
      <c r="G2092" t="s">
        <v>4715</v>
      </c>
      <c r="H2092" t="s">
        <v>5623</v>
      </c>
      <c r="I2092" t="s">
        <v>5624</v>
      </c>
      <c r="J2092" t="s">
        <v>5625</v>
      </c>
      <c r="K2092" t="s">
        <v>5626</v>
      </c>
      <c r="L2092" t="s">
        <v>4717</v>
      </c>
    </row>
    <row r="2093">
      <c r="A2093" t="s">
        <v>2724</v>
      </c>
      <c r="B2093" t="s">
        <v>1663</v>
      </c>
      <c r="C2093" t="s">
        <v>1628</v>
      </c>
      <c r="D2093" t="s">
        <v>1629</v>
      </c>
      <c r="E2093" t="s">
        <v>1630</v>
      </c>
      <c r="F2093" t="s">
        <v>154</v>
      </c>
      <c r="G2093" t="s">
        <v>4715</v>
      </c>
      <c r="H2093" t="s">
        <v>3904</v>
      </c>
      <c r="I2093" t="s">
        <v>5627</v>
      </c>
      <c r="J2093" t="s">
        <v>5628</v>
      </c>
      <c r="K2093" t="s">
        <v>5629</v>
      </c>
      <c r="L2093" t="s">
        <v>4717</v>
      </c>
    </row>
    <row r="2094">
      <c r="A2094" t="s">
        <v>2724</v>
      </c>
      <c r="B2094" t="s">
        <v>1663</v>
      </c>
      <c r="C2094" t="s">
        <v>1628</v>
      </c>
      <c r="D2094" t="s">
        <v>1629</v>
      </c>
      <c r="E2094" t="s">
        <v>1630</v>
      </c>
      <c r="F2094" t="s">
        <v>154</v>
      </c>
      <c r="G2094" t="s">
        <v>4715</v>
      </c>
      <c r="H2094" t="s">
        <v>5630</v>
      </c>
      <c r="I2094" t="s">
        <v>5474</v>
      </c>
      <c r="J2094" t="s">
        <v>5631</v>
      </c>
      <c r="K2094" t="s">
        <v>5632</v>
      </c>
      <c r="L2094" t="s">
        <v>4717</v>
      </c>
    </row>
    <row r="2095">
      <c r="A2095" t="s">
        <v>2724</v>
      </c>
      <c r="B2095" t="s">
        <v>1663</v>
      </c>
      <c r="C2095" t="s">
        <v>1628</v>
      </c>
      <c r="D2095" t="s">
        <v>1629</v>
      </c>
      <c r="E2095" t="s">
        <v>1630</v>
      </c>
      <c r="F2095" t="s">
        <v>154</v>
      </c>
      <c r="G2095" t="s">
        <v>4715</v>
      </c>
      <c r="H2095" t="s">
        <v>5170</v>
      </c>
      <c r="I2095" t="s">
        <v>5171</v>
      </c>
      <c r="J2095" t="s">
        <v>5633</v>
      </c>
      <c r="K2095" t="s">
        <v>5634</v>
      </c>
      <c r="L2095" t="s">
        <v>4717</v>
      </c>
    </row>
    <row r="2096">
      <c r="A2096" t="s">
        <v>2724</v>
      </c>
      <c r="B2096" t="s">
        <v>1663</v>
      </c>
      <c r="C2096" t="s">
        <v>1628</v>
      </c>
      <c r="D2096" t="s">
        <v>1629</v>
      </c>
      <c r="E2096" t="s">
        <v>1630</v>
      </c>
      <c r="F2096" t="s">
        <v>154</v>
      </c>
      <c r="G2096" t="s">
        <v>4715</v>
      </c>
      <c r="H2096" t="s">
        <v>5157</v>
      </c>
      <c r="I2096" t="s">
        <v>5635</v>
      </c>
      <c r="J2096" t="s">
        <v>5636</v>
      </c>
      <c r="K2096" t="s">
        <v>5637</v>
      </c>
      <c r="L2096" t="s">
        <v>4717</v>
      </c>
    </row>
    <row r="2097">
      <c r="A2097" t="s">
        <v>2724</v>
      </c>
      <c r="B2097" t="s">
        <v>1663</v>
      </c>
      <c r="C2097" t="s">
        <v>1628</v>
      </c>
      <c r="D2097" t="s">
        <v>1629</v>
      </c>
      <c r="E2097" t="s">
        <v>1630</v>
      </c>
      <c r="F2097" t="s">
        <v>154</v>
      </c>
      <c r="G2097" t="s">
        <v>4715</v>
      </c>
      <c r="H2097" t="s">
        <v>5703</v>
      </c>
      <c r="I2097" t="s">
        <v>5375</v>
      </c>
      <c r="J2097" t="s">
        <v>5704</v>
      </c>
      <c r="K2097" t="s">
        <v>5705</v>
      </c>
      <c r="L2097" t="s">
        <v>4717</v>
      </c>
    </row>
    <row r="2098">
      <c r="A2098" t="s">
        <v>2724</v>
      </c>
      <c r="B2098" t="s">
        <v>1663</v>
      </c>
      <c r="C2098" t="s">
        <v>1628</v>
      </c>
      <c r="D2098" t="s">
        <v>1629</v>
      </c>
      <c r="E2098" t="s">
        <v>1630</v>
      </c>
      <c r="F2098" t="s">
        <v>154</v>
      </c>
      <c r="G2098" t="s">
        <v>4715</v>
      </c>
      <c r="H2098" t="s">
        <v>5703</v>
      </c>
      <c r="I2098" t="s">
        <v>5376</v>
      </c>
      <c r="J2098" t="s">
        <v>5706</v>
      </c>
      <c r="K2098" t="s">
        <v>5707</v>
      </c>
      <c r="L2098" t="s">
        <v>4717</v>
      </c>
    </row>
    <row r="2099">
      <c r="A2099" t="s">
        <v>2724</v>
      </c>
      <c r="B2099" t="s">
        <v>1663</v>
      </c>
      <c r="C2099" t="s">
        <v>1628</v>
      </c>
      <c r="D2099" t="s">
        <v>1629</v>
      </c>
      <c r="E2099" t="s">
        <v>1630</v>
      </c>
      <c r="F2099" t="s">
        <v>154</v>
      </c>
      <c r="G2099" t="s">
        <v>4715</v>
      </c>
      <c r="H2099" t="s">
        <v>5703</v>
      </c>
      <c r="I2099" t="s">
        <v>5377</v>
      </c>
      <c r="J2099" t="s">
        <v>5708</v>
      </c>
      <c r="K2099" t="s">
        <v>1645</v>
      </c>
      <c r="L2099" t="s">
        <v>4717</v>
      </c>
    </row>
    <row r="2100">
      <c r="A2100" t="s">
        <v>2724</v>
      </c>
      <c r="B2100" t="s">
        <v>1663</v>
      </c>
      <c r="C2100" t="s">
        <v>1628</v>
      </c>
      <c r="D2100" t="s">
        <v>1629</v>
      </c>
      <c r="E2100" t="s">
        <v>1630</v>
      </c>
      <c r="F2100" t="s">
        <v>154</v>
      </c>
      <c r="G2100" t="s">
        <v>4715</v>
      </c>
      <c r="H2100" t="s">
        <v>5703</v>
      </c>
      <c r="I2100" t="s">
        <v>5709</v>
      </c>
      <c r="J2100" t="s">
        <v>5710</v>
      </c>
      <c r="K2100" t="s">
        <v>5711</v>
      </c>
      <c r="L2100" t="s">
        <v>4717</v>
      </c>
    </row>
    <row r="2101">
      <c r="A2101" t="s">
        <v>2724</v>
      </c>
      <c r="B2101" t="s">
        <v>1663</v>
      </c>
      <c r="C2101" t="s">
        <v>1628</v>
      </c>
      <c r="D2101" t="s">
        <v>1629</v>
      </c>
      <c r="E2101" t="s">
        <v>1630</v>
      </c>
      <c r="F2101" t="s">
        <v>154</v>
      </c>
      <c r="G2101" t="s">
        <v>4715</v>
      </c>
      <c r="H2101" t="s">
        <v>3901</v>
      </c>
      <c r="I2101" t="s">
        <v>5712</v>
      </c>
      <c r="J2101" t="s">
        <v>5713</v>
      </c>
      <c r="K2101" t="s">
        <v>5714</v>
      </c>
      <c r="L2101" t="s">
        <v>4717</v>
      </c>
    </row>
    <row r="2102">
      <c r="A2102" t="s">
        <v>2724</v>
      </c>
      <c r="B2102" t="s">
        <v>1663</v>
      </c>
      <c r="C2102" t="s">
        <v>1628</v>
      </c>
      <c r="D2102" t="s">
        <v>1629</v>
      </c>
      <c r="E2102" t="s">
        <v>1630</v>
      </c>
      <c r="F2102" t="s">
        <v>154</v>
      </c>
      <c r="G2102" t="s">
        <v>4715</v>
      </c>
      <c r="H2102" t="s">
        <v>5522</v>
      </c>
      <c r="I2102" t="s">
        <v>5656</v>
      </c>
      <c r="J2102" t="s">
        <v>5657</v>
      </c>
      <c r="K2102" t="s">
        <v>5658</v>
      </c>
      <c r="L2102" t="s">
        <v>4717</v>
      </c>
    </row>
    <row r="2103">
      <c r="A2103" t="s">
        <v>2724</v>
      </c>
      <c r="B2103" t="s">
        <v>1663</v>
      </c>
      <c r="C2103" t="s">
        <v>1628</v>
      </c>
      <c r="D2103" t="s">
        <v>1629</v>
      </c>
      <c r="E2103" t="s">
        <v>1630</v>
      </c>
      <c r="F2103" t="s">
        <v>154</v>
      </c>
      <c r="G2103" t="s">
        <v>4715</v>
      </c>
      <c r="H2103" t="s">
        <v>5522</v>
      </c>
      <c r="I2103" t="s">
        <v>5715</v>
      </c>
      <c r="J2103" t="s">
        <v>5716</v>
      </c>
      <c r="K2103" t="s">
        <v>5717</v>
      </c>
      <c r="L2103" t="s">
        <v>4717</v>
      </c>
    </row>
    <row r="2104">
      <c r="A2104" t="s">
        <v>2724</v>
      </c>
      <c r="B2104" t="s">
        <v>1663</v>
      </c>
      <c r="C2104" t="s">
        <v>1628</v>
      </c>
      <c r="D2104" t="s">
        <v>1629</v>
      </c>
      <c r="E2104" t="s">
        <v>1630</v>
      </c>
      <c r="F2104" t="s">
        <v>154</v>
      </c>
      <c r="G2104" t="s">
        <v>4715</v>
      </c>
      <c r="H2104" t="s">
        <v>5522</v>
      </c>
      <c r="I2104" t="s">
        <v>5718</v>
      </c>
      <c r="J2104" t="s">
        <v>5719</v>
      </c>
      <c r="K2104" t="s">
        <v>5720</v>
      </c>
      <c r="L2104" t="s">
        <v>4717</v>
      </c>
    </row>
    <row r="2105">
      <c r="A2105" t="s">
        <v>2727</v>
      </c>
      <c r="B2105" t="s">
        <v>1671</v>
      </c>
      <c r="C2105" t="s">
        <v>1628</v>
      </c>
      <c r="D2105" t="s">
        <v>1668</v>
      </c>
      <c r="E2105" t="s">
        <v>1669</v>
      </c>
      <c r="F2105" t="s">
        <v>129</v>
      </c>
      <c r="G2105" t="s">
        <v>4715</v>
      </c>
      <c r="H2105" t="s">
        <v>5041</v>
      </c>
      <c r="I2105" t="s">
        <v>5614</v>
      </c>
      <c r="J2105" t="s">
        <v>5615</v>
      </c>
      <c r="K2105" t="s">
        <v>4169</v>
      </c>
      <c r="L2105" t="s">
        <v>4717</v>
      </c>
    </row>
    <row r="2106">
      <c r="A2106" t="s">
        <v>2727</v>
      </c>
      <c r="B2106" t="s">
        <v>1671</v>
      </c>
      <c r="C2106" t="s">
        <v>1628</v>
      </c>
      <c r="D2106" t="s">
        <v>1668</v>
      </c>
      <c r="E2106" t="s">
        <v>1669</v>
      </c>
      <c r="F2106" t="s">
        <v>129</v>
      </c>
      <c r="G2106" t="s">
        <v>4715</v>
      </c>
      <c r="H2106" t="s">
        <v>5616</v>
      </c>
      <c r="I2106" t="s">
        <v>5617</v>
      </c>
      <c r="J2106" t="s">
        <v>5618</v>
      </c>
      <c r="K2106" t="s">
        <v>5619</v>
      </c>
      <c r="L2106" t="s">
        <v>4717</v>
      </c>
    </row>
    <row r="2107">
      <c r="A2107" t="s">
        <v>2727</v>
      </c>
      <c r="B2107" t="s">
        <v>1671</v>
      </c>
      <c r="C2107" t="s">
        <v>1628</v>
      </c>
      <c r="D2107" t="s">
        <v>1668</v>
      </c>
      <c r="E2107" t="s">
        <v>1669</v>
      </c>
      <c r="F2107" t="s">
        <v>129</v>
      </c>
      <c r="G2107" t="s">
        <v>4715</v>
      </c>
      <c r="H2107" t="s">
        <v>5499</v>
      </c>
      <c r="I2107" t="s">
        <v>5620</v>
      </c>
      <c r="J2107" t="s">
        <v>5621</v>
      </c>
      <c r="K2107" t="s">
        <v>5622</v>
      </c>
      <c r="L2107" t="s">
        <v>4717</v>
      </c>
    </row>
    <row r="2108">
      <c r="A2108" t="s">
        <v>2727</v>
      </c>
      <c r="B2108" t="s">
        <v>1671</v>
      </c>
      <c r="C2108" t="s">
        <v>1628</v>
      </c>
      <c r="D2108" t="s">
        <v>1668</v>
      </c>
      <c r="E2108" t="s">
        <v>1669</v>
      </c>
      <c r="F2108" t="s">
        <v>129</v>
      </c>
      <c r="G2108" t="s">
        <v>4715</v>
      </c>
      <c r="H2108" t="s">
        <v>5623</v>
      </c>
      <c r="I2108" t="s">
        <v>5624</v>
      </c>
      <c r="J2108" t="s">
        <v>5625</v>
      </c>
      <c r="K2108" t="s">
        <v>5626</v>
      </c>
      <c r="L2108" t="s">
        <v>4717</v>
      </c>
    </row>
    <row r="2109">
      <c r="A2109" t="s">
        <v>2727</v>
      </c>
      <c r="B2109" t="s">
        <v>1671</v>
      </c>
      <c r="C2109" t="s">
        <v>1628</v>
      </c>
      <c r="D2109" t="s">
        <v>1668</v>
      </c>
      <c r="E2109" t="s">
        <v>1669</v>
      </c>
      <c r="F2109" t="s">
        <v>129</v>
      </c>
      <c r="G2109" t="s">
        <v>4715</v>
      </c>
      <c r="H2109" t="s">
        <v>3904</v>
      </c>
      <c r="I2109" t="s">
        <v>5627</v>
      </c>
      <c r="J2109" t="s">
        <v>5628</v>
      </c>
      <c r="K2109" t="s">
        <v>5629</v>
      </c>
      <c r="L2109" t="s">
        <v>4717</v>
      </c>
    </row>
    <row r="2110">
      <c r="A2110" t="s">
        <v>2727</v>
      </c>
      <c r="B2110" t="s">
        <v>1671</v>
      </c>
      <c r="C2110" t="s">
        <v>1628</v>
      </c>
      <c r="D2110" t="s">
        <v>1668</v>
      </c>
      <c r="E2110" t="s">
        <v>1669</v>
      </c>
      <c r="F2110" t="s">
        <v>129</v>
      </c>
      <c r="G2110" t="s">
        <v>4715</v>
      </c>
      <c r="H2110" t="s">
        <v>5630</v>
      </c>
      <c r="I2110" t="s">
        <v>5474</v>
      </c>
      <c r="J2110" t="s">
        <v>5631</v>
      </c>
      <c r="K2110" t="s">
        <v>5632</v>
      </c>
      <c r="L2110" t="s">
        <v>4717</v>
      </c>
    </row>
    <row r="2111">
      <c r="A2111" t="s">
        <v>2727</v>
      </c>
      <c r="B2111" t="s">
        <v>1671</v>
      </c>
      <c r="C2111" t="s">
        <v>1628</v>
      </c>
      <c r="D2111" t="s">
        <v>1668</v>
      </c>
      <c r="E2111" t="s">
        <v>1669</v>
      </c>
      <c r="F2111" t="s">
        <v>129</v>
      </c>
      <c r="G2111" t="s">
        <v>4715</v>
      </c>
      <c r="H2111" t="s">
        <v>5170</v>
      </c>
      <c r="I2111" t="s">
        <v>5171</v>
      </c>
      <c r="J2111" t="s">
        <v>5633</v>
      </c>
      <c r="K2111" t="s">
        <v>5634</v>
      </c>
      <c r="L2111" t="s">
        <v>4717</v>
      </c>
    </row>
    <row r="2112">
      <c r="A2112" t="s">
        <v>2727</v>
      </c>
      <c r="B2112" t="s">
        <v>1671</v>
      </c>
      <c r="C2112" t="s">
        <v>1628</v>
      </c>
      <c r="D2112" t="s">
        <v>1668</v>
      </c>
      <c r="E2112" t="s">
        <v>1669</v>
      </c>
      <c r="F2112" t="s">
        <v>129</v>
      </c>
      <c r="G2112" t="s">
        <v>4715</v>
      </c>
      <c r="H2112" t="s">
        <v>5157</v>
      </c>
      <c r="I2112" t="s">
        <v>5635</v>
      </c>
      <c r="J2112" t="s">
        <v>5636</v>
      </c>
      <c r="K2112" t="s">
        <v>5637</v>
      </c>
      <c r="L2112" t="s">
        <v>4717</v>
      </c>
    </row>
    <row r="2113">
      <c r="A2113" t="s">
        <v>2727</v>
      </c>
      <c r="B2113" t="s">
        <v>1671</v>
      </c>
      <c r="C2113" t="s">
        <v>1628</v>
      </c>
      <c r="D2113" t="s">
        <v>1668</v>
      </c>
      <c r="E2113" t="s">
        <v>1669</v>
      </c>
      <c r="F2113" t="s">
        <v>129</v>
      </c>
      <c r="G2113" t="s">
        <v>4715</v>
      </c>
      <c r="H2113" t="s">
        <v>4159</v>
      </c>
      <c r="I2113" t="s">
        <v>5721</v>
      </c>
      <c r="J2113" t="s">
        <v>5722</v>
      </c>
      <c r="K2113" t="s">
        <v>4173</v>
      </c>
      <c r="L2113" t="s">
        <v>4717</v>
      </c>
    </row>
    <row r="2114">
      <c r="A2114" t="s">
        <v>2727</v>
      </c>
      <c r="B2114" t="s">
        <v>1671</v>
      </c>
      <c r="C2114" t="s">
        <v>1628</v>
      </c>
      <c r="D2114" t="s">
        <v>1668</v>
      </c>
      <c r="E2114" t="s">
        <v>1669</v>
      </c>
      <c r="F2114" t="s">
        <v>129</v>
      </c>
      <c r="G2114" t="s">
        <v>4715</v>
      </c>
      <c r="H2114" t="s">
        <v>5723</v>
      </c>
      <c r="I2114" t="s">
        <v>5724</v>
      </c>
      <c r="J2114" t="s">
        <v>5725</v>
      </c>
      <c r="K2114" t="s">
        <v>5723</v>
      </c>
      <c r="L2114" t="s">
        <v>4717</v>
      </c>
    </row>
    <row r="2115">
      <c r="A2115" t="s">
        <v>2727</v>
      </c>
      <c r="B2115" t="s">
        <v>1671</v>
      </c>
      <c r="C2115" t="s">
        <v>1628</v>
      </c>
      <c r="D2115" t="s">
        <v>1668</v>
      </c>
      <c r="E2115" t="s">
        <v>1669</v>
      </c>
      <c r="F2115" t="s">
        <v>129</v>
      </c>
      <c r="G2115" t="s">
        <v>4715</v>
      </c>
      <c r="H2115" t="s">
        <v>5644</v>
      </c>
      <c r="I2115" t="s">
        <v>4729</v>
      </c>
      <c r="J2115" t="s">
        <v>5726</v>
      </c>
      <c r="K2115" t="s">
        <v>5727</v>
      </c>
      <c r="L2115" t="s">
        <v>4717</v>
      </c>
    </row>
    <row r="2116">
      <c r="A2116" t="s">
        <v>2727</v>
      </c>
      <c r="B2116" t="s">
        <v>1671</v>
      </c>
      <c r="C2116" t="s">
        <v>1628</v>
      </c>
      <c r="D2116" t="s">
        <v>1668</v>
      </c>
      <c r="E2116" t="s">
        <v>1669</v>
      </c>
      <c r="F2116" t="s">
        <v>129</v>
      </c>
      <c r="G2116" t="s">
        <v>4715</v>
      </c>
      <c r="H2116" t="s">
        <v>3901</v>
      </c>
      <c r="I2116" t="s">
        <v>5389</v>
      </c>
      <c r="J2116" t="s">
        <v>5728</v>
      </c>
      <c r="K2116" t="s">
        <v>3901</v>
      </c>
      <c r="L2116" t="s">
        <v>4717</v>
      </c>
    </row>
    <row r="2117">
      <c r="A2117" t="s">
        <v>2727</v>
      </c>
      <c r="B2117" t="s">
        <v>1671</v>
      </c>
      <c r="C2117" t="s">
        <v>1628</v>
      </c>
      <c r="D2117" t="s">
        <v>1668</v>
      </c>
      <c r="E2117" t="s">
        <v>1669</v>
      </c>
      <c r="F2117" t="s">
        <v>129</v>
      </c>
      <c r="G2117" t="s">
        <v>4715</v>
      </c>
      <c r="H2117" t="s">
        <v>5729</v>
      </c>
      <c r="I2117" t="s">
        <v>5730</v>
      </c>
      <c r="J2117" t="s">
        <v>5731</v>
      </c>
      <c r="K2117" t="s">
        <v>5732</v>
      </c>
      <c r="L2117" t="s">
        <v>4717</v>
      </c>
    </row>
    <row r="2118">
      <c r="A2118" t="s">
        <v>2727</v>
      </c>
      <c r="B2118" t="s">
        <v>1671</v>
      </c>
      <c r="C2118" t="s">
        <v>1628</v>
      </c>
      <c r="D2118" t="s">
        <v>1668</v>
      </c>
      <c r="E2118" t="s">
        <v>1669</v>
      </c>
      <c r="F2118" t="s">
        <v>129</v>
      </c>
      <c r="G2118" t="s">
        <v>4715</v>
      </c>
      <c r="H2118" t="s">
        <v>5522</v>
      </c>
      <c r="I2118" t="s">
        <v>5656</v>
      </c>
      <c r="J2118" t="s">
        <v>5657</v>
      </c>
      <c r="K2118" t="s">
        <v>5658</v>
      </c>
      <c r="L2118" t="s">
        <v>4717</v>
      </c>
    </row>
    <row r="2119">
      <c r="A2119" t="s">
        <v>2727</v>
      </c>
      <c r="B2119" t="s">
        <v>1671</v>
      </c>
      <c r="C2119" t="s">
        <v>1628</v>
      </c>
      <c r="D2119" t="s">
        <v>1668</v>
      </c>
      <c r="E2119" t="s">
        <v>1669</v>
      </c>
      <c r="F2119" t="s">
        <v>129</v>
      </c>
      <c r="G2119" t="s">
        <v>4715</v>
      </c>
      <c r="H2119" t="s">
        <v>5522</v>
      </c>
      <c r="I2119" t="s">
        <v>5715</v>
      </c>
      <c r="J2119" t="s">
        <v>5716</v>
      </c>
      <c r="K2119" t="s">
        <v>5717</v>
      </c>
      <c r="L2119" t="s">
        <v>4717</v>
      </c>
    </row>
    <row r="2120">
      <c r="A2120" t="s">
        <v>2727</v>
      </c>
      <c r="B2120" t="s">
        <v>1671</v>
      </c>
      <c r="C2120" t="s">
        <v>1628</v>
      </c>
      <c r="D2120" t="s">
        <v>1668</v>
      </c>
      <c r="E2120" t="s">
        <v>1669</v>
      </c>
      <c r="F2120" t="s">
        <v>129</v>
      </c>
      <c r="G2120" t="s">
        <v>4715</v>
      </c>
      <c r="H2120" t="s">
        <v>5522</v>
      </c>
      <c r="I2120" t="s">
        <v>5718</v>
      </c>
      <c r="J2120" t="s">
        <v>5719</v>
      </c>
      <c r="K2120" t="s">
        <v>5720</v>
      </c>
      <c r="L2120" t="s">
        <v>4717</v>
      </c>
    </row>
    <row r="2121">
      <c r="A2121" t="s">
        <v>2730</v>
      </c>
      <c r="B2121" t="s">
        <v>1678</v>
      </c>
      <c r="C2121" t="s">
        <v>1628</v>
      </c>
      <c r="D2121" t="s">
        <v>1668</v>
      </c>
      <c r="E2121" t="s">
        <v>1669</v>
      </c>
      <c r="F2121" t="s">
        <v>97</v>
      </c>
      <c r="G2121" t="s">
        <v>4715</v>
      </c>
      <c r="H2121" t="s">
        <v>5041</v>
      </c>
      <c r="I2121" t="s">
        <v>5614</v>
      </c>
      <c r="J2121" t="s">
        <v>5615</v>
      </c>
      <c r="K2121" t="s">
        <v>4169</v>
      </c>
      <c r="L2121" t="s">
        <v>4717</v>
      </c>
    </row>
    <row r="2122">
      <c r="A2122" t="s">
        <v>2730</v>
      </c>
      <c r="B2122" t="s">
        <v>1678</v>
      </c>
      <c r="C2122" t="s">
        <v>1628</v>
      </c>
      <c r="D2122" t="s">
        <v>1668</v>
      </c>
      <c r="E2122" t="s">
        <v>1669</v>
      </c>
      <c r="F2122" t="s">
        <v>97</v>
      </c>
      <c r="G2122" t="s">
        <v>4715</v>
      </c>
      <c r="H2122" t="s">
        <v>5616</v>
      </c>
      <c r="I2122" t="s">
        <v>5617</v>
      </c>
      <c r="J2122" t="s">
        <v>5618</v>
      </c>
      <c r="K2122" t="s">
        <v>5619</v>
      </c>
      <c r="L2122" t="s">
        <v>4717</v>
      </c>
    </row>
    <row r="2123">
      <c r="A2123" t="s">
        <v>2730</v>
      </c>
      <c r="B2123" t="s">
        <v>1678</v>
      </c>
      <c r="C2123" t="s">
        <v>1628</v>
      </c>
      <c r="D2123" t="s">
        <v>1668</v>
      </c>
      <c r="E2123" t="s">
        <v>1669</v>
      </c>
      <c r="F2123" t="s">
        <v>97</v>
      </c>
      <c r="G2123" t="s">
        <v>4715</v>
      </c>
      <c r="H2123" t="s">
        <v>5499</v>
      </c>
      <c r="I2123" t="s">
        <v>5620</v>
      </c>
      <c r="J2123" t="s">
        <v>5621</v>
      </c>
      <c r="K2123" t="s">
        <v>5622</v>
      </c>
      <c r="L2123" t="s">
        <v>4717</v>
      </c>
    </row>
    <row r="2124">
      <c r="A2124" t="s">
        <v>2730</v>
      </c>
      <c r="B2124" t="s">
        <v>1678</v>
      </c>
      <c r="C2124" t="s">
        <v>1628</v>
      </c>
      <c r="D2124" t="s">
        <v>1668</v>
      </c>
      <c r="E2124" t="s">
        <v>1669</v>
      </c>
      <c r="F2124" t="s">
        <v>97</v>
      </c>
      <c r="G2124" t="s">
        <v>4715</v>
      </c>
      <c r="H2124" t="s">
        <v>5623</v>
      </c>
      <c r="I2124" t="s">
        <v>5624</v>
      </c>
      <c r="J2124" t="s">
        <v>5625</v>
      </c>
      <c r="K2124" t="s">
        <v>5626</v>
      </c>
      <c r="L2124" t="s">
        <v>4717</v>
      </c>
    </row>
    <row r="2125">
      <c r="A2125" t="s">
        <v>2730</v>
      </c>
      <c r="B2125" t="s">
        <v>1678</v>
      </c>
      <c r="C2125" t="s">
        <v>1628</v>
      </c>
      <c r="D2125" t="s">
        <v>1668</v>
      </c>
      <c r="E2125" t="s">
        <v>1669</v>
      </c>
      <c r="F2125" t="s">
        <v>97</v>
      </c>
      <c r="G2125" t="s">
        <v>4715</v>
      </c>
      <c r="H2125" t="s">
        <v>3904</v>
      </c>
      <c r="I2125" t="s">
        <v>5627</v>
      </c>
      <c r="J2125" t="s">
        <v>5628</v>
      </c>
      <c r="K2125" t="s">
        <v>5629</v>
      </c>
      <c r="L2125" t="s">
        <v>4717</v>
      </c>
    </row>
    <row r="2126">
      <c r="A2126" t="s">
        <v>2730</v>
      </c>
      <c r="B2126" t="s">
        <v>1678</v>
      </c>
      <c r="C2126" t="s">
        <v>1628</v>
      </c>
      <c r="D2126" t="s">
        <v>1668</v>
      </c>
      <c r="E2126" t="s">
        <v>1669</v>
      </c>
      <c r="F2126" t="s">
        <v>97</v>
      </c>
      <c r="G2126" t="s">
        <v>4715</v>
      </c>
      <c r="H2126" t="s">
        <v>5630</v>
      </c>
      <c r="I2126" t="s">
        <v>5474</v>
      </c>
      <c r="J2126" t="s">
        <v>5631</v>
      </c>
      <c r="K2126" t="s">
        <v>5632</v>
      </c>
      <c r="L2126" t="s">
        <v>4717</v>
      </c>
    </row>
    <row r="2127">
      <c r="A2127" t="s">
        <v>2730</v>
      </c>
      <c r="B2127" t="s">
        <v>1678</v>
      </c>
      <c r="C2127" t="s">
        <v>1628</v>
      </c>
      <c r="D2127" t="s">
        <v>1668</v>
      </c>
      <c r="E2127" t="s">
        <v>1669</v>
      </c>
      <c r="F2127" t="s">
        <v>97</v>
      </c>
      <c r="G2127" t="s">
        <v>4715</v>
      </c>
      <c r="H2127" t="s">
        <v>5170</v>
      </c>
      <c r="I2127" t="s">
        <v>5171</v>
      </c>
      <c r="J2127" t="s">
        <v>5633</v>
      </c>
      <c r="K2127" t="s">
        <v>5634</v>
      </c>
      <c r="L2127" t="s">
        <v>4717</v>
      </c>
    </row>
    <row r="2128">
      <c r="A2128" t="s">
        <v>2730</v>
      </c>
      <c r="B2128" t="s">
        <v>1678</v>
      </c>
      <c r="C2128" t="s">
        <v>1628</v>
      </c>
      <c r="D2128" t="s">
        <v>1668</v>
      </c>
      <c r="E2128" t="s">
        <v>1669</v>
      </c>
      <c r="F2128" t="s">
        <v>97</v>
      </c>
      <c r="G2128" t="s">
        <v>4715</v>
      </c>
      <c r="H2128" t="s">
        <v>5157</v>
      </c>
      <c r="I2128" t="s">
        <v>5635</v>
      </c>
      <c r="J2128" t="s">
        <v>5636</v>
      </c>
      <c r="K2128" t="s">
        <v>5637</v>
      </c>
      <c r="L2128" t="s">
        <v>4717</v>
      </c>
    </row>
    <row r="2129">
      <c r="A2129" t="s">
        <v>2730</v>
      </c>
      <c r="B2129" t="s">
        <v>1678</v>
      </c>
      <c r="C2129" t="s">
        <v>1628</v>
      </c>
      <c r="D2129" t="s">
        <v>1668</v>
      </c>
      <c r="E2129" t="s">
        <v>1669</v>
      </c>
      <c r="F2129" t="s">
        <v>97</v>
      </c>
      <c r="G2129" t="s">
        <v>4715</v>
      </c>
      <c r="H2129" t="s">
        <v>4159</v>
      </c>
      <c r="I2129" t="s">
        <v>5721</v>
      </c>
      <c r="J2129" t="s">
        <v>5722</v>
      </c>
      <c r="K2129" t="s">
        <v>4173</v>
      </c>
      <c r="L2129" t="s">
        <v>4717</v>
      </c>
    </row>
    <row r="2130">
      <c r="A2130" t="s">
        <v>2730</v>
      </c>
      <c r="B2130" t="s">
        <v>1678</v>
      </c>
      <c r="C2130" t="s">
        <v>1628</v>
      </c>
      <c r="D2130" t="s">
        <v>1668</v>
      </c>
      <c r="E2130" t="s">
        <v>1669</v>
      </c>
      <c r="F2130" t="s">
        <v>97</v>
      </c>
      <c r="G2130" t="s">
        <v>4715</v>
      </c>
      <c r="H2130" t="s">
        <v>5723</v>
      </c>
      <c r="I2130" t="s">
        <v>5724</v>
      </c>
      <c r="J2130" t="s">
        <v>5725</v>
      </c>
      <c r="K2130" t="s">
        <v>5723</v>
      </c>
      <c r="L2130" t="s">
        <v>4717</v>
      </c>
    </row>
    <row r="2131">
      <c r="A2131" t="s">
        <v>2730</v>
      </c>
      <c r="B2131" t="s">
        <v>1678</v>
      </c>
      <c r="C2131" t="s">
        <v>1628</v>
      </c>
      <c r="D2131" t="s">
        <v>1668</v>
      </c>
      <c r="E2131" t="s">
        <v>1669</v>
      </c>
      <c r="F2131" t="s">
        <v>97</v>
      </c>
      <c r="G2131" t="s">
        <v>4715</v>
      </c>
      <c r="H2131" t="s">
        <v>5644</v>
      </c>
      <c r="I2131" t="s">
        <v>4729</v>
      </c>
      <c r="J2131" t="s">
        <v>5726</v>
      </c>
      <c r="K2131" t="s">
        <v>5727</v>
      </c>
      <c r="L2131" t="s">
        <v>4717</v>
      </c>
    </row>
    <row r="2132">
      <c r="A2132" t="s">
        <v>2730</v>
      </c>
      <c r="B2132" t="s">
        <v>1678</v>
      </c>
      <c r="C2132" t="s">
        <v>1628</v>
      </c>
      <c r="D2132" t="s">
        <v>1668</v>
      </c>
      <c r="E2132" t="s">
        <v>1669</v>
      </c>
      <c r="F2132" t="s">
        <v>97</v>
      </c>
      <c r="G2132" t="s">
        <v>4715</v>
      </c>
      <c r="H2132" t="s">
        <v>3901</v>
      </c>
      <c r="I2132" t="s">
        <v>5389</v>
      </c>
      <c r="J2132" t="s">
        <v>5728</v>
      </c>
      <c r="K2132" t="s">
        <v>3901</v>
      </c>
      <c r="L2132" t="s">
        <v>4717</v>
      </c>
    </row>
    <row r="2133">
      <c r="A2133" t="s">
        <v>2730</v>
      </c>
      <c r="B2133" t="s">
        <v>1678</v>
      </c>
      <c r="C2133" t="s">
        <v>1628</v>
      </c>
      <c r="D2133" t="s">
        <v>1668</v>
      </c>
      <c r="E2133" t="s">
        <v>1669</v>
      </c>
      <c r="F2133" t="s">
        <v>97</v>
      </c>
      <c r="G2133" t="s">
        <v>4715</v>
      </c>
      <c r="H2133" t="s">
        <v>5729</v>
      </c>
      <c r="I2133" t="s">
        <v>5730</v>
      </c>
      <c r="J2133" t="s">
        <v>5731</v>
      </c>
      <c r="K2133" t="s">
        <v>5732</v>
      </c>
      <c r="L2133" t="s">
        <v>4717</v>
      </c>
    </row>
    <row r="2134">
      <c r="A2134" t="s">
        <v>2730</v>
      </c>
      <c r="B2134" t="s">
        <v>1678</v>
      </c>
      <c r="C2134" t="s">
        <v>1628</v>
      </c>
      <c r="D2134" t="s">
        <v>1668</v>
      </c>
      <c r="E2134" t="s">
        <v>1669</v>
      </c>
      <c r="F2134" t="s">
        <v>97</v>
      </c>
      <c r="G2134" t="s">
        <v>4715</v>
      </c>
      <c r="H2134" t="s">
        <v>5522</v>
      </c>
      <c r="I2134" t="s">
        <v>5656</v>
      </c>
      <c r="J2134" t="s">
        <v>5657</v>
      </c>
      <c r="K2134" t="s">
        <v>5658</v>
      </c>
      <c r="L2134" t="s">
        <v>4717</v>
      </c>
    </row>
    <row r="2135">
      <c r="A2135" t="s">
        <v>2730</v>
      </c>
      <c r="B2135" t="s">
        <v>1678</v>
      </c>
      <c r="C2135" t="s">
        <v>1628</v>
      </c>
      <c r="D2135" t="s">
        <v>1668</v>
      </c>
      <c r="E2135" t="s">
        <v>1669</v>
      </c>
      <c r="F2135" t="s">
        <v>97</v>
      </c>
      <c r="G2135" t="s">
        <v>4715</v>
      </c>
      <c r="H2135" t="s">
        <v>5522</v>
      </c>
      <c r="I2135" t="s">
        <v>5715</v>
      </c>
      <c r="J2135" t="s">
        <v>5716</v>
      </c>
      <c r="K2135" t="s">
        <v>5717</v>
      </c>
      <c r="L2135" t="s">
        <v>4717</v>
      </c>
    </row>
    <row r="2136">
      <c r="A2136" t="s">
        <v>2730</v>
      </c>
      <c r="B2136" t="s">
        <v>1678</v>
      </c>
      <c r="C2136" t="s">
        <v>1628</v>
      </c>
      <c r="D2136" t="s">
        <v>1668</v>
      </c>
      <c r="E2136" t="s">
        <v>1669</v>
      </c>
      <c r="F2136" t="s">
        <v>97</v>
      </c>
      <c r="G2136" t="s">
        <v>4715</v>
      </c>
      <c r="H2136" t="s">
        <v>5522</v>
      </c>
      <c r="I2136" t="s">
        <v>5718</v>
      </c>
      <c r="J2136" t="s">
        <v>5719</v>
      </c>
      <c r="K2136" t="s">
        <v>5720</v>
      </c>
      <c r="L2136" t="s">
        <v>4717</v>
      </c>
    </row>
    <row r="2137">
      <c r="A2137" t="s">
        <v>2733</v>
      </c>
      <c r="B2137" t="s">
        <v>1684</v>
      </c>
      <c r="C2137" t="s">
        <v>1628</v>
      </c>
      <c r="D2137" t="s">
        <v>1668</v>
      </c>
      <c r="E2137" t="s">
        <v>1669</v>
      </c>
      <c r="F2137" t="s">
        <v>154</v>
      </c>
      <c r="G2137" t="s">
        <v>4715</v>
      </c>
      <c r="H2137" t="s">
        <v>5041</v>
      </c>
      <c r="I2137" t="s">
        <v>5614</v>
      </c>
      <c r="J2137" t="s">
        <v>5615</v>
      </c>
      <c r="K2137" t="s">
        <v>4169</v>
      </c>
      <c r="L2137" t="s">
        <v>4717</v>
      </c>
    </row>
    <row r="2138">
      <c r="A2138" t="s">
        <v>2733</v>
      </c>
      <c r="B2138" t="s">
        <v>1684</v>
      </c>
      <c r="C2138" t="s">
        <v>1628</v>
      </c>
      <c r="D2138" t="s">
        <v>1668</v>
      </c>
      <c r="E2138" t="s">
        <v>1669</v>
      </c>
      <c r="F2138" t="s">
        <v>154</v>
      </c>
      <c r="G2138" t="s">
        <v>4715</v>
      </c>
      <c r="H2138" t="s">
        <v>5616</v>
      </c>
      <c r="I2138" t="s">
        <v>5617</v>
      </c>
      <c r="J2138" t="s">
        <v>5618</v>
      </c>
      <c r="K2138" t="s">
        <v>5619</v>
      </c>
      <c r="L2138" t="s">
        <v>4717</v>
      </c>
    </row>
    <row r="2139">
      <c r="A2139" t="s">
        <v>2733</v>
      </c>
      <c r="B2139" t="s">
        <v>1684</v>
      </c>
      <c r="C2139" t="s">
        <v>1628</v>
      </c>
      <c r="D2139" t="s">
        <v>1668</v>
      </c>
      <c r="E2139" t="s">
        <v>1669</v>
      </c>
      <c r="F2139" t="s">
        <v>154</v>
      </c>
      <c r="G2139" t="s">
        <v>4715</v>
      </c>
      <c r="H2139" t="s">
        <v>5499</v>
      </c>
      <c r="I2139" t="s">
        <v>5620</v>
      </c>
      <c r="J2139" t="s">
        <v>5621</v>
      </c>
      <c r="K2139" t="s">
        <v>5622</v>
      </c>
      <c r="L2139" t="s">
        <v>4717</v>
      </c>
    </row>
    <row r="2140">
      <c r="A2140" t="s">
        <v>2733</v>
      </c>
      <c r="B2140" t="s">
        <v>1684</v>
      </c>
      <c r="C2140" t="s">
        <v>1628</v>
      </c>
      <c r="D2140" t="s">
        <v>1668</v>
      </c>
      <c r="E2140" t="s">
        <v>1669</v>
      </c>
      <c r="F2140" t="s">
        <v>154</v>
      </c>
      <c r="G2140" t="s">
        <v>4715</v>
      </c>
      <c r="H2140" t="s">
        <v>5623</v>
      </c>
      <c r="I2140" t="s">
        <v>5624</v>
      </c>
      <c r="J2140" t="s">
        <v>5625</v>
      </c>
      <c r="K2140" t="s">
        <v>5626</v>
      </c>
      <c r="L2140" t="s">
        <v>4717</v>
      </c>
    </row>
    <row r="2141">
      <c r="A2141" t="s">
        <v>2733</v>
      </c>
      <c r="B2141" t="s">
        <v>1684</v>
      </c>
      <c r="C2141" t="s">
        <v>1628</v>
      </c>
      <c r="D2141" t="s">
        <v>1668</v>
      </c>
      <c r="E2141" t="s">
        <v>1669</v>
      </c>
      <c r="F2141" t="s">
        <v>154</v>
      </c>
      <c r="G2141" t="s">
        <v>4715</v>
      </c>
      <c r="H2141" t="s">
        <v>3904</v>
      </c>
      <c r="I2141" t="s">
        <v>5627</v>
      </c>
      <c r="J2141" t="s">
        <v>5628</v>
      </c>
      <c r="K2141" t="s">
        <v>5629</v>
      </c>
      <c r="L2141" t="s">
        <v>4717</v>
      </c>
    </row>
    <row r="2142">
      <c r="A2142" t="s">
        <v>2733</v>
      </c>
      <c r="B2142" t="s">
        <v>1684</v>
      </c>
      <c r="C2142" t="s">
        <v>1628</v>
      </c>
      <c r="D2142" t="s">
        <v>1668</v>
      </c>
      <c r="E2142" t="s">
        <v>1669</v>
      </c>
      <c r="F2142" t="s">
        <v>154</v>
      </c>
      <c r="G2142" t="s">
        <v>4715</v>
      </c>
      <c r="H2142" t="s">
        <v>5630</v>
      </c>
      <c r="I2142" t="s">
        <v>5474</v>
      </c>
      <c r="J2142" t="s">
        <v>5631</v>
      </c>
      <c r="K2142" t="s">
        <v>5632</v>
      </c>
      <c r="L2142" t="s">
        <v>4717</v>
      </c>
    </row>
    <row r="2143">
      <c r="A2143" t="s">
        <v>2733</v>
      </c>
      <c r="B2143" t="s">
        <v>1684</v>
      </c>
      <c r="C2143" t="s">
        <v>1628</v>
      </c>
      <c r="D2143" t="s">
        <v>1668</v>
      </c>
      <c r="E2143" t="s">
        <v>1669</v>
      </c>
      <c r="F2143" t="s">
        <v>154</v>
      </c>
      <c r="G2143" t="s">
        <v>4715</v>
      </c>
      <c r="H2143" t="s">
        <v>5170</v>
      </c>
      <c r="I2143" t="s">
        <v>5171</v>
      </c>
      <c r="J2143" t="s">
        <v>5633</v>
      </c>
      <c r="K2143" t="s">
        <v>5634</v>
      </c>
      <c r="L2143" t="s">
        <v>4717</v>
      </c>
    </row>
    <row r="2144">
      <c r="A2144" t="s">
        <v>2733</v>
      </c>
      <c r="B2144" t="s">
        <v>1684</v>
      </c>
      <c r="C2144" t="s">
        <v>1628</v>
      </c>
      <c r="D2144" t="s">
        <v>1668</v>
      </c>
      <c r="E2144" t="s">
        <v>1669</v>
      </c>
      <c r="F2144" t="s">
        <v>154</v>
      </c>
      <c r="G2144" t="s">
        <v>4715</v>
      </c>
      <c r="H2144" t="s">
        <v>5157</v>
      </c>
      <c r="I2144" t="s">
        <v>5635</v>
      </c>
      <c r="J2144" t="s">
        <v>5636</v>
      </c>
      <c r="K2144" t="s">
        <v>5637</v>
      </c>
      <c r="L2144" t="s">
        <v>4717</v>
      </c>
    </row>
    <row r="2145">
      <c r="A2145" t="s">
        <v>2733</v>
      </c>
      <c r="B2145" t="s">
        <v>1684</v>
      </c>
      <c r="C2145" t="s">
        <v>1628</v>
      </c>
      <c r="D2145" t="s">
        <v>1668</v>
      </c>
      <c r="E2145" t="s">
        <v>1669</v>
      </c>
      <c r="F2145" t="s">
        <v>154</v>
      </c>
      <c r="G2145" t="s">
        <v>4715</v>
      </c>
      <c r="H2145" t="s">
        <v>4159</v>
      </c>
      <c r="I2145" t="s">
        <v>5721</v>
      </c>
      <c r="J2145" t="s">
        <v>5722</v>
      </c>
      <c r="K2145" t="s">
        <v>4173</v>
      </c>
      <c r="L2145" t="s">
        <v>4717</v>
      </c>
    </row>
    <row r="2146">
      <c r="A2146" t="s">
        <v>2733</v>
      </c>
      <c r="B2146" t="s">
        <v>1684</v>
      </c>
      <c r="C2146" t="s">
        <v>1628</v>
      </c>
      <c r="D2146" t="s">
        <v>1668</v>
      </c>
      <c r="E2146" t="s">
        <v>1669</v>
      </c>
      <c r="F2146" t="s">
        <v>154</v>
      </c>
      <c r="G2146" t="s">
        <v>4715</v>
      </c>
      <c r="H2146" t="s">
        <v>5723</v>
      </c>
      <c r="I2146" t="s">
        <v>5724</v>
      </c>
      <c r="J2146" t="s">
        <v>5725</v>
      </c>
      <c r="K2146" t="s">
        <v>5723</v>
      </c>
      <c r="L2146" t="s">
        <v>4717</v>
      </c>
    </row>
    <row r="2147">
      <c r="A2147" t="s">
        <v>2733</v>
      </c>
      <c r="B2147" t="s">
        <v>1684</v>
      </c>
      <c r="C2147" t="s">
        <v>1628</v>
      </c>
      <c r="D2147" t="s">
        <v>1668</v>
      </c>
      <c r="E2147" t="s">
        <v>1669</v>
      </c>
      <c r="F2147" t="s">
        <v>154</v>
      </c>
      <c r="G2147" t="s">
        <v>4715</v>
      </c>
      <c r="H2147" t="s">
        <v>5644</v>
      </c>
      <c r="I2147" t="s">
        <v>4729</v>
      </c>
      <c r="J2147" t="s">
        <v>5726</v>
      </c>
      <c r="K2147" t="s">
        <v>5727</v>
      </c>
      <c r="L2147" t="s">
        <v>4717</v>
      </c>
    </row>
    <row r="2148">
      <c r="A2148" t="s">
        <v>2733</v>
      </c>
      <c r="B2148" t="s">
        <v>1684</v>
      </c>
      <c r="C2148" t="s">
        <v>1628</v>
      </c>
      <c r="D2148" t="s">
        <v>1668</v>
      </c>
      <c r="E2148" t="s">
        <v>1669</v>
      </c>
      <c r="F2148" t="s">
        <v>154</v>
      </c>
      <c r="G2148" t="s">
        <v>4715</v>
      </c>
      <c r="H2148" t="s">
        <v>3901</v>
      </c>
      <c r="I2148" t="s">
        <v>5389</v>
      </c>
      <c r="J2148" t="s">
        <v>5728</v>
      </c>
      <c r="K2148" t="s">
        <v>3901</v>
      </c>
      <c r="L2148" t="s">
        <v>4717</v>
      </c>
    </row>
    <row r="2149">
      <c r="A2149" t="s">
        <v>2733</v>
      </c>
      <c r="B2149" t="s">
        <v>1684</v>
      </c>
      <c r="C2149" t="s">
        <v>1628</v>
      </c>
      <c r="D2149" t="s">
        <v>1668</v>
      </c>
      <c r="E2149" t="s">
        <v>1669</v>
      </c>
      <c r="F2149" t="s">
        <v>154</v>
      </c>
      <c r="G2149" t="s">
        <v>4715</v>
      </c>
      <c r="H2149" t="s">
        <v>5729</v>
      </c>
      <c r="I2149" t="s">
        <v>5730</v>
      </c>
      <c r="J2149" t="s">
        <v>5731</v>
      </c>
      <c r="K2149" t="s">
        <v>5732</v>
      </c>
      <c r="L2149" t="s">
        <v>4717</v>
      </c>
    </row>
    <row r="2150">
      <c r="A2150" t="s">
        <v>2733</v>
      </c>
      <c r="B2150" t="s">
        <v>1684</v>
      </c>
      <c r="C2150" t="s">
        <v>1628</v>
      </c>
      <c r="D2150" t="s">
        <v>1668</v>
      </c>
      <c r="E2150" t="s">
        <v>1669</v>
      </c>
      <c r="F2150" t="s">
        <v>154</v>
      </c>
      <c r="G2150" t="s">
        <v>4715</v>
      </c>
      <c r="H2150" t="s">
        <v>5522</v>
      </c>
      <c r="I2150" t="s">
        <v>5656</v>
      </c>
      <c r="J2150" t="s">
        <v>5657</v>
      </c>
      <c r="K2150" t="s">
        <v>5658</v>
      </c>
      <c r="L2150" t="s">
        <v>4717</v>
      </c>
    </row>
    <row r="2151">
      <c r="A2151" t="s">
        <v>2733</v>
      </c>
      <c r="B2151" t="s">
        <v>1684</v>
      </c>
      <c r="C2151" t="s">
        <v>1628</v>
      </c>
      <c r="D2151" t="s">
        <v>1668</v>
      </c>
      <c r="E2151" t="s">
        <v>1669</v>
      </c>
      <c r="F2151" t="s">
        <v>154</v>
      </c>
      <c r="G2151" t="s">
        <v>4715</v>
      </c>
      <c r="H2151" t="s">
        <v>5522</v>
      </c>
      <c r="I2151" t="s">
        <v>5715</v>
      </c>
      <c r="J2151" t="s">
        <v>5716</v>
      </c>
      <c r="K2151" t="s">
        <v>5717</v>
      </c>
      <c r="L2151" t="s">
        <v>4717</v>
      </c>
    </row>
    <row r="2152">
      <c r="A2152" t="s">
        <v>2733</v>
      </c>
      <c r="B2152" t="s">
        <v>1684</v>
      </c>
      <c r="C2152" t="s">
        <v>1628</v>
      </c>
      <c r="D2152" t="s">
        <v>1668</v>
      </c>
      <c r="E2152" t="s">
        <v>1669</v>
      </c>
      <c r="F2152" t="s">
        <v>154</v>
      </c>
      <c r="G2152" t="s">
        <v>4715</v>
      </c>
      <c r="H2152" t="s">
        <v>5522</v>
      </c>
      <c r="I2152" t="s">
        <v>5718</v>
      </c>
      <c r="J2152" t="s">
        <v>5719</v>
      </c>
      <c r="K2152" t="s">
        <v>5720</v>
      </c>
      <c r="L2152" t="s">
        <v>4717</v>
      </c>
    </row>
    <row r="2153">
      <c r="A2153" t="s">
        <v>2736</v>
      </c>
      <c r="B2153" t="s">
        <v>1690</v>
      </c>
      <c r="C2153" t="s">
        <v>1628</v>
      </c>
      <c r="D2153" t="s">
        <v>1668</v>
      </c>
      <c r="E2153" t="s">
        <v>1669</v>
      </c>
      <c r="F2153" t="s">
        <v>154</v>
      </c>
      <c r="G2153" t="s">
        <v>4715</v>
      </c>
      <c r="H2153" t="s">
        <v>5041</v>
      </c>
      <c r="I2153" t="s">
        <v>5614</v>
      </c>
      <c r="J2153" t="s">
        <v>5615</v>
      </c>
      <c r="K2153" t="s">
        <v>4169</v>
      </c>
      <c r="L2153" t="s">
        <v>4717</v>
      </c>
    </row>
    <row r="2154">
      <c r="A2154" t="s">
        <v>2736</v>
      </c>
      <c r="B2154" t="s">
        <v>1690</v>
      </c>
      <c r="C2154" t="s">
        <v>1628</v>
      </c>
      <c r="D2154" t="s">
        <v>1668</v>
      </c>
      <c r="E2154" t="s">
        <v>1669</v>
      </c>
      <c r="F2154" t="s">
        <v>154</v>
      </c>
      <c r="G2154" t="s">
        <v>4715</v>
      </c>
      <c r="H2154" t="s">
        <v>5616</v>
      </c>
      <c r="I2154" t="s">
        <v>5617</v>
      </c>
      <c r="J2154" t="s">
        <v>5618</v>
      </c>
      <c r="K2154" t="s">
        <v>5619</v>
      </c>
      <c r="L2154" t="s">
        <v>4717</v>
      </c>
    </row>
    <row r="2155">
      <c r="A2155" t="s">
        <v>2736</v>
      </c>
      <c r="B2155" t="s">
        <v>1690</v>
      </c>
      <c r="C2155" t="s">
        <v>1628</v>
      </c>
      <c r="D2155" t="s">
        <v>1668</v>
      </c>
      <c r="E2155" t="s">
        <v>1669</v>
      </c>
      <c r="F2155" t="s">
        <v>154</v>
      </c>
      <c r="G2155" t="s">
        <v>4715</v>
      </c>
      <c r="H2155" t="s">
        <v>5499</v>
      </c>
      <c r="I2155" t="s">
        <v>5620</v>
      </c>
      <c r="J2155" t="s">
        <v>5621</v>
      </c>
      <c r="K2155" t="s">
        <v>5622</v>
      </c>
      <c r="L2155" t="s">
        <v>4717</v>
      </c>
    </row>
    <row r="2156">
      <c r="A2156" t="s">
        <v>2736</v>
      </c>
      <c r="B2156" t="s">
        <v>1690</v>
      </c>
      <c r="C2156" t="s">
        <v>1628</v>
      </c>
      <c r="D2156" t="s">
        <v>1668</v>
      </c>
      <c r="E2156" t="s">
        <v>1669</v>
      </c>
      <c r="F2156" t="s">
        <v>154</v>
      </c>
      <c r="G2156" t="s">
        <v>4715</v>
      </c>
      <c r="H2156" t="s">
        <v>5623</v>
      </c>
      <c r="I2156" t="s">
        <v>5624</v>
      </c>
      <c r="J2156" t="s">
        <v>5625</v>
      </c>
      <c r="K2156" t="s">
        <v>5626</v>
      </c>
      <c r="L2156" t="s">
        <v>4717</v>
      </c>
    </row>
    <row r="2157">
      <c r="A2157" t="s">
        <v>2736</v>
      </c>
      <c r="B2157" t="s">
        <v>1690</v>
      </c>
      <c r="C2157" t="s">
        <v>1628</v>
      </c>
      <c r="D2157" t="s">
        <v>1668</v>
      </c>
      <c r="E2157" t="s">
        <v>1669</v>
      </c>
      <c r="F2157" t="s">
        <v>154</v>
      </c>
      <c r="G2157" t="s">
        <v>4715</v>
      </c>
      <c r="H2157" t="s">
        <v>3904</v>
      </c>
      <c r="I2157" t="s">
        <v>5627</v>
      </c>
      <c r="J2157" t="s">
        <v>5628</v>
      </c>
      <c r="K2157" t="s">
        <v>5629</v>
      </c>
      <c r="L2157" t="s">
        <v>4717</v>
      </c>
    </row>
    <row r="2158">
      <c r="A2158" t="s">
        <v>2736</v>
      </c>
      <c r="B2158" t="s">
        <v>1690</v>
      </c>
      <c r="C2158" t="s">
        <v>1628</v>
      </c>
      <c r="D2158" t="s">
        <v>1668</v>
      </c>
      <c r="E2158" t="s">
        <v>1669</v>
      </c>
      <c r="F2158" t="s">
        <v>154</v>
      </c>
      <c r="G2158" t="s">
        <v>4715</v>
      </c>
      <c r="H2158" t="s">
        <v>5630</v>
      </c>
      <c r="I2158" t="s">
        <v>5474</v>
      </c>
      <c r="J2158" t="s">
        <v>5631</v>
      </c>
      <c r="K2158" t="s">
        <v>5632</v>
      </c>
      <c r="L2158" t="s">
        <v>4717</v>
      </c>
    </row>
    <row r="2159">
      <c r="A2159" t="s">
        <v>2736</v>
      </c>
      <c r="B2159" t="s">
        <v>1690</v>
      </c>
      <c r="C2159" t="s">
        <v>1628</v>
      </c>
      <c r="D2159" t="s">
        <v>1668</v>
      </c>
      <c r="E2159" t="s">
        <v>1669</v>
      </c>
      <c r="F2159" t="s">
        <v>154</v>
      </c>
      <c r="G2159" t="s">
        <v>4715</v>
      </c>
      <c r="H2159" t="s">
        <v>5170</v>
      </c>
      <c r="I2159" t="s">
        <v>5171</v>
      </c>
      <c r="J2159" t="s">
        <v>5633</v>
      </c>
      <c r="K2159" t="s">
        <v>5634</v>
      </c>
      <c r="L2159" t="s">
        <v>4717</v>
      </c>
    </row>
    <row r="2160">
      <c r="A2160" t="s">
        <v>2736</v>
      </c>
      <c r="B2160" t="s">
        <v>1690</v>
      </c>
      <c r="C2160" t="s">
        <v>1628</v>
      </c>
      <c r="D2160" t="s">
        <v>1668</v>
      </c>
      <c r="E2160" t="s">
        <v>1669</v>
      </c>
      <c r="F2160" t="s">
        <v>154</v>
      </c>
      <c r="G2160" t="s">
        <v>4715</v>
      </c>
      <c r="H2160" t="s">
        <v>5157</v>
      </c>
      <c r="I2160" t="s">
        <v>5635</v>
      </c>
      <c r="J2160" t="s">
        <v>5636</v>
      </c>
      <c r="K2160" t="s">
        <v>5637</v>
      </c>
      <c r="L2160" t="s">
        <v>4717</v>
      </c>
    </row>
    <row r="2161">
      <c r="A2161" t="s">
        <v>2736</v>
      </c>
      <c r="B2161" t="s">
        <v>1690</v>
      </c>
      <c r="C2161" t="s">
        <v>1628</v>
      </c>
      <c r="D2161" t="s">
        <v>1668</v>
      </c>
      <c r="E2161" t="s">
        <v>1669</v>
      </c>
      <c r="F2161" t="s">
        <v>154</v>
      </c>
      <c r="G2161" t="s">
        <v>4715</v>
      </c>
      <c r="H2161" t="s">
        <v>4159</v>
      </c>
      <c r="I2161" t="s">
        <v>5721</v>
      </c>
      <c r="J2161" t="s">
        <v>5722</v>
      </c>
      <c r="K2161" t="s">
        <v>4173</v>
      </c>
      <c r="L2161" t="s">
        <v>4717</v>
      </c>
    </row>
    <row r="2162">
      <c r="A2162" t="s">
        <v>2736</v>
      </c>
      <c r="B2162" t="s">
        <v>1690</v>
      </c>
      <c r="C2162" t="s">
        <v>1628</v>
      </c>
      <c r="D2162" t="s">
        <v>1668</v>
      </c>
      <c r="E2162" t="s">
        <v>1669</v>
      </c>
      <c r="F2162" t="s">
        <v>154</v>
      </c>
      <c r="G2162" t="s">
        <v>4715</v>
      </c>
      <c r="H2162" t="s">
        <v>5723</v>
      </c>
      <c r="I2162" t="s">
        <v>5724</v>
      </c>
      <c r="J2162" t="s">
        <v>5725</v>
      </c>
      <c r="K2162" t="s">
        <v>5723</v>
      </c>
      <c r="L2162" t="s">
        <v>4717</v>
      </c>
    </row>
    <row r="2163">
      <c r="A2163" t="s">
        <v>2736</v>
      </c>
      <c r="B2163" t="s">
        <v>1690</v>
      </c>
      <c r="C2163" t="s">
        <v>1628</v>
      </c>
      <c r="D2163" t="s">
        <v>1668</v>
      </c>
      <c r="E2163" t="s">
        <v>1669</v>
      </c>
      <c r="F2163" t="s">
        <v>154</v>
      </c>
      <c r="G2163" t="s">
        <v>4715</v>
      </c>
      <c r="H2163" t="s">
        <v>5644</v>
      </c>
      <c r="I2163" t="s">
        <v>4729</v>
      </c>
      <c r="J2163" t="s">
        <v>5726</v>
      </c>
      <c r="K2163" t="s">
        <v>5727</v>
      </c>
      <c r="L2163" t="s">
        <v>4717</v>
      </c>
    </row>
    <row r="2164">
      <c r="A2164" t="s">
        <v>2736</v>
      </c>
      <c r="B2164" t="s">
        <v>1690</v>
      </c>
      <c r="C2164" t="s">
        <v>1628</v>
      </c>
      <c r="D2164" t="s">
        <v>1668</v>
      </c>
      <c r="E2164" t="s">
        <v>1669</v>
      </c>
      <c r="F2164" t="s">
        <v>154</v>
      </c>
      <c r="G2164" t="s">
        <v>4715</v>
      </c>
      <c r="H2164" t="s">
        <v>3901</v>
      </c>
      <c r="I2164" t="s">
        <v>5389</v>
      </c>
      <c r="J2164" t="s">
        <v>5728</v>
      </c>
      <c r="K2164" t="s">
        <v>3901</v>
      </c>
      <c r="L2164" t="s">
        <v>4717</v>
      </c>
    </row>
    <row r="2165">
      <c r="A2165" t="s">
        <v>2736</v>
      </c>
      <c r="B2165" t="s">
        <v>1690</v>
      </c>
      <c r="C2165" t="s">
        <v>1628</v>
      </c>
      <c r="D2165" t="s">
        <v>1668</v>
      </c>
      <c r="E2165" t="s">
        <v>1669</v>
      </c>
      <c r="F2165" t="s">
        <v>154</v>
      </c>
      <c r="G2165" t="s">
        <v>4715</v>
      </c>
      <c r="H2165" t="s">
        <v>5729</v>
      </c>
      <c r="I2165" t="s">
        <v>5730</v>
      </c>
      <c r="J2165" t="s">
        <v>5731</v>
      </c>
      <c r="K2165" t="s">
        <v>5732</v>
      </c>
      <c r="L2165" t="s">
        <v>4717</v>
      </c>
    </row>
    <row r="2166">
      <c r="A2166" t="s">
        <v>2736</v>
      </c>
      <c r="B2166" t="s">
        <v>1690</v>
      </c>
      <c r="C2166" t="s">
        <v>1628</v>
      </c>
      <c r="D2166" t="s">
        <v>1668</v>
      </c>
      <c r="E2166" t="s">
        <v>1669</v>
      </c>
      <c r="F2166" t="s">
        <v>154</v>
      </c>
      <c r="G2166" t="s">
        <v>4715</v>
      </c>
      <c r="H2166" t="s">
        <v>5522</v>
      </c>
      <c r="I2166" t="s">
        <v>5656</v>
      </c>
      <c r="J2166" t="s">
        <v>5657</v>
      </c>
      <c r="K2166" t="s">
        <v>5658</v>
      </c>
      <c r="L2166" t="s">
        <v>4717</v>
      </c>
    </row>
    <row r="2167">
      <c r="A2167" t="s">
        <v>2736</v>
      </c>
      <c r="B2167" t="s">
        <v>1690</v>
      </c>
      <c r="C2167" t="s">
        <v>1628</v>
      </c>
      <c r="D2167" t="s">
        <v>1668</v>
      </c>
      <c r="E2167" t="s">
        <v>1669</v>
      </c>
      <c r="F2167" t="s">
        <v>154</v>
      </c>
      <c r="G2167" t="s">
        <v>4715</v>
      </c>
      <c r="H2167" t="s">
        <v>5522</v>
      </c>
      <c r="I2167" t="s">
        <v>5715</v>
      </c>
      <c r="J2167" t="s">
        <v>5716</v>
      </c>
      <c r="K2167" t="s">
        <v>5717</v>
      </c>
      <c r="L2167" t="s">
        <v>4717</v>
      </c>
    </row>
    <row r="2168">
      <c r="A2168" t="s">
        <v>2736</v>
      </c>
      <c r="B2168" t="s">
        <v>1690</v>
      </c>
      <c r="C2168" t="s">
        <v>1628</v>
      </c>
      <c r="D2168" t="s">
        <v>1668</v>
      </c>
      <c r="E2168" t="s">
        <v>1669</v>
      </c>
      <c r="F2168" t="s">
        <v>154</v>
      </c>
      <c r="G2168" t="s">
        <v>4715</v>
      </c>
      <c r="H2168" t="s">
        <v>5522</v>
      </c>
      <c r="I2168" t="s">
        <v>5718</v>
      </c>
      <c r="J2168" t="s">
        <v>5719</v>
      </c>
      <c r="K2168" t="s">
        <v>5720</v>
      </c>
      <c r="L2168" t="s">
        <v>4717</v>
      </c>
    </row>
    <row r="2169">
      <c r="A2169" t="s">
        <v>2742</v>
      </c>
      <c r="B2169" t="s">
        <v>1706</v>
      </c>
      <c r="C2169" t="s">
        <v>1628</v>
      </c>
      <c r="D2169" t="s">
        <v>1703</v>
      </c>
      <c r="E2169" t="s">
        <v>1704</v>
      </c>
      <c r="F2169" t="s">
        <v>154</v>
      </c>
      <c r="G2169" t="s">
        <v>4715</v>
      </c>
      <c r="H2169" t="s">
        <v>5041</v>
      </c>
      <c r="I2169" t="s">
        <v>5614</v>
      </c>
      <c r="J2169" t="s">
        <v>5615</v>
      </c>
      <c r="K2169" t="s">
        <v>4169</v>
      </c>
      <c r="L2169" t="s">
        <v>4717</v>
      </c>
    </row>
    <row r="2170">
      <c r="A2170" t="s">
        <v>2742</v>
      </c>
      <c r="B2170" t="s">
        <v>1706</v>
      </c>
      <c r="C2170" t="s">
        <v>1628</v>
      </c>
      <c r="D2170" t="s">
        <v>1703</v>
      </c>
      <c r="E2170" t="s">
        <v>1704</v>
      </c>
      <c r="F2170" t="s">
        <v>154</v>
      </c>
      <c r="G2170" t="s">
        <v>4715</v>
      </c>
      <c r="H2170" t="s">
        <v>5616</v>
      </c>
      <c r="I2170" t="s">
        <v>5617</v>
      </c>
      <c r="J2170" t="s">
        <v>5618</v>
      </c>
      <c r="K2170" t="s">
        <v>5619</v>
      </c>
      <c r="L2170" t="s">
        <v>4717</v>
      </c>
    </row>
    <row r="2171">
      <c r="A2171" t="s">
        <v>2742</v>
      </c>
      <c r="B2171" t="s">
        <v>1706</v>
      </c>
      <c r="C2171" t="s">
        <v>1628</v>
      </c>
      <c r="D2171" t="s">
        <v>1703</v>
      </c>
      <c r="E2171" t="s">
        <v>1704</v>
      </c>
      <c r="F2171" t="s">
        <v>154</v>
      </c>
      <c r="G2171" t="s">
        <v>4715</v>
      </c>
      <c r="H2171" t="s">
        <v>5499</v>
      </c>
      <c r="I2171" t="s">
        <v>5620</v>
      </c>
      <c r="J2171" t="s">
        <v>5621</v>
      </c>
      <c r="K2171" t="s">
        <v>5622</v>
      </c>
      <c r="L2171" t="s">
        <v>4717</v>
      </c>
    </row>
    <row r="2172">
      <c r="A2172" t="s">
        <v>2742</v>
      </c>
      <c r="B2172" t="s">
        <v>1706</v>
      </c>
      <c r="C2172" t="s">
        <v>1628</v>
      </c>
      <c r="D2172" t="s">
        <v>1703</v>
      </c>
      <c r="E2172" t="s">
        <v>1704</v>
      </c>
      <c r="F2172" t="s">
        <v>154</v>
      </c>
      <c r="G2172" t="s">
        <v>4715</v>
      </c>
      <c r="H2172" t="s">
        <v>5623</v>
      </c>
      <c r="I2172" t="s">
        <v>5624</v>
      </c>
      <c r="J2172" t="s">
        <v>5625</v>
      </c>
      <c r="K2172" t="s">
        <v>5626</v>
      </c>
      <c r="L2172" t="s">
        <v>4717</v>
      </c>
    </row>
    <row r="2173">
      <c r="A2173" t="s">
        <v>2742</v>
      </c>
      <c r="B2173" t="s">
        <v>1706</v>
      </c>
      <c r="C2173" t="s">
        <v>1628</v>
      </c>
      <c r="D2173" t="s">
        <v>1703</v>
      </c>
      <c r="E2173" t="s">
        <v>1704</v>
      </c>
      <c r="F2173" t="s">
        <v>154</v>
      </c>
      <c r="G2173" t="s">
        <v>4715</v>
      </c>
      <c r="H2173" t="s">
        <v>3904</v>
      </c>
      <c r="I2173" t="s">
        <v>5627</v>
      </c>
      <c r="J2173" t="s">
        <v>5628</v>
      </c>
      <c r="K2173" t="s">
        <v>5629</v>
      </c>
      <c r="L2173" t="s">
        <v>4717</v>
      </c>
    </row>
    <row r="2174">
      <c r="A2174" t="s">
        <v>2742</v>
      </c>
      <c r="B2174" t="s">
        <v>1706</v>
      </c>
      <c r="C2174" t="s">
        <v>1628</v>
      </c>
      <c r="D2174" t="s">
        <v>1703</v>
      </c>
      <c r="E2174" t="s">
        <v>1704</v>
      </c>
      <c r="F2174" t="s">
        <v>154</v>
      </c>
      <c r="G2174" t="s">
        <v>4715</v>
      </c>
      <c r="H2174" t="s">
        <v>5630</v>
      </c>
      <c r="I2174" t="s">
        <v>5474</v>
      </c>
      <c r="J2174" t="s">
        <v>5631</v>
      </c>
      <c r="K2174" t="s">
        <v>5632</v>
      </c>
      <c r="L2174" t="s">
        <v>4717</v>
      </c>
    </row>
    <row r="2175">
      <c r="A2175" t="s">
        <v>2742</v>
      </c>
      <c r="B2175" t="s">
        <v>1706</v>
      </c>
      <c r="C2175" t="s">
        <v>1628</v>
      </c>
      <c r="D2175" t="s">
        <v>1703</v>
      </c>
      <c r="E2175" t="s">
        <v>1704</v>
      </c>
      <c r="F2175" t="s">
        <v>154</v>
      </c>
      <c r="G2175" t="s">
        <v>4715</v>
      </c>
      <c r="H2175" t="s">
        <v>5170</v>
      </c>
      <c r="I2175" t="s">
        <v>5171</v>
      </c>
      <c r="J2175" t="s">
        <v>5633</v>
      </c>
      <c r="K2175" t="s">
        <v>5634</v>
      </c>
      <c r="L2175" t="s">
        <v>4717</v>
      </c>
    </row>
    <row r="2176">
      <c r="A2176" t="s">
        <v>2742</v>
      </c>
      <c r="B2176" t="s">
        <v>1706</v>
      </c>
      <c r="C2176" t="s">
        <v>1628</v>
      </c>
      <c r="D2176" t="s">
        <v>1703</v>
      </c>
      <c r="E2176" t="s">
        <v>1704</v>
      </c>
      <c r="F2176" t="s">
        <v>154</v>
      </c>
      <c r="G2176" t="s">
        <v>4715</v>
      </c>
      <c r="H2176" t="s">
        <v>5157</v>
      </c>
      <c r="I2176" t="s">
        <v>5635</v>
      </c>
      <c r="J2176" t="s">
        <v>5636</v>
      </c>
      <c r="K2176" t="s">
        <v>5637</v>
      </c>
      <c r="L2176" t="s">
        <v>4717</v>
      </c>
    </row>
    <row r="2177">
      <c r="A2177" t="s">
        <v>2742</v>
      </c>
      <c r="B2177" t="s">
        <v>1706</v>
      </c>
      <c r="C2177" t="s">
        <v>1628</v>
      </c>
      <c r="D2177" t="s">
        <v>1703</v>
      </c>
      <c r="E2177" t="s">
        <v>1704</v>
      </c>
      <c r="F2177" t="s">
        <v>154</v>
      </c>
      <c r="G2177" t="s">
        <v>4715</v>
      </c>
      <c r="H2177" t="s">
        <v>5733</v>
      </c>
      <c r="I2177" t="s">
        <v>5398</v>
      </c>
      <c r="J2177" t="s">
        <v>5734</v>
      </c>
      <c r="K2177" t="s">
        <v>5735</v>
      </c>
      <c r="L2177" t="s">
        <v>4717</v>
      </c>
    </row>
    <row r="2178">
      <c r="A2178" t="s">
        <v>2742</v>
      </c>
      <c r="B2178" t="s">
        <v>1706</v>
      </c>
      <c r="C2178" t="s">
        <v>1628</v>
      </c>
      <c r="D2178" t="s">
        <v>1703</v>
      </c>
      <c r="E2178" t="s">
        <v>1704</v>
      </c>
      <c r="F2178" t="s">
        <v>154</v>
      </c>
      <c r="G2178" t="s">
        <v>4715</v>
      </c>
      <c r="H2178" t="s">
        <v>5733</v>
      </c>
      <c r="I2178" t="s">
        <v>1713</v>
      </c>
      <c r="J2178" t="s">
        <v>5736</v>
      </c>
      <c r="K2178" t="s">
        <v>5737</v>
      </c>
      <c r="L2178" t="s">
        <v>4717</v>
      </c>
    </row>
    <row r="2179">
      <c r="A2179" t="s">
        <v>2742</v>
      </c>
      <c r="B2179" t="s">
        <v>1706</v>
      </c>
      <c r="C2179" t="s">
        <v>1628</v>
      </c>
      <c r="D2179" t="s">
        <v>1703</v>
      </c>
      <c r="E2179" t="s">
        <v>1704</v>
      </c>
      <c r="F2179" t="s">
        <v>154</v>
      </c>
      <c r="G2179" t="s">
        <v>4715</v>
      </c>
      <c r="H2179" t="s">
        <v>5738</v>
      </c>
      <c r="I2179" t="s">
        <v>5739</v>
      </c>
      <c r="J2179" t="s">
        <v>5740</v>
      </c>
      <c r="K2179" t="s">
        <v>5741</v>
      </c>
      <c r="L2179" t="s">
        <v>4717</v>
      </c>
    </row>
    <row r="2180">
      <c r="A2180" t="s">
        <v>2742</v>
      </c>
      <c r="B2180" t="s">
        <v>1706</v>
      </c>
      <c r="C2180" t="s">
        <v>1628</v>
      </c>
      <c r="D2180" t="s">
        <v>1703</v>
      </c>
      <c r="E2180" t="s">
        <v>1704</v>
      </c>
      <c r="F2180" t="s">
        <v>154</v>
      </c>
      <c r="G2180" t="s">
        <v>4715</v>
      </c>
      <c r="H2180" t="s">
        <v>5522</v>
      </c>
      <c r="I2180" t="s">
        <v>5656</v>
      </c>
      <c r="J2180" t="s">
        <v>5657</v>
      </c>
      <c r="K2180" t="s">
        <v>5658</v>
      </c>
      <c r="L2180" t="s">
        <v>4717</v>
      </c>
    </row>
    <row r="2181">
      <c r="A2181" t="s">
        <v>2742</v>
      </c>
      <c r="B2181" t="s">
        <v>1706</v>
      </c>
      <c r="C2181" t="s">
        <v>1628</v>
      </c>
      <c r="D2181" t="s">
        <v>1703</v>
      </c>
      <c r="E2181" t="s">
        <v>1704</v>
      </c>
      <c r="F2181" t="s">
        <v>154</v>
      </c>
      <c r="G2181" t="s">
        <v>4715</v>
      </c>
      <c r="H2181" t="s">
        <v>5522</v>
      </c>
      <c r="I2181" t="s">
        <v>5715</v>
      </c>
      <c r="J2181" t="s">
        <v>5716</v>
      </c>
      <c r="K2181" t="s">
        <v>5717</v>
      </c>
      <c r="L2181" t="s">
        <v>4717</v>
      </c>
    </row>
    <row r="2182">
      <c r="A2182" t="s">
        <v>2742</v>
      </c>
      <c r="B2182" t="s">
        <v>1706</v>
      </c>
      <c r="C2182" t="s">
        <v>1628</v>
      </c>
      <c r="D2182" t="s">
        <v>1703</v>
      </c>
      <c r="E2182" t="s">
        <v>1704</v>
      </c>
      <c r="F2182" t="s">
        <v>154</v>
      </c>
      <c r="G2182" t="s">
        <v>4715</v>
      </c>
      <c r="H2182" t="s">
        <v>5522</v>
      </c>
      <c r="I2182" t="s">
        <v>5718</v>
      </c>
      <c r="J2182" t="s">
        <v>5719</v>
      </c>
      <c r="K2182" t="s">
        <v>5720</v>
      </c>
      <c r="L2182" t="s">
        <v>4717</v>
      </c>
    </row>
    <row r="2183">
      <c r="A2183" t="s">
        <v>2745</v>
      </c>
      <c r="B2183" t="s">
        <v>1713</v>
      </c>
      <c r="C2183" t="s">
        <v>1628</v>
      </c>
      <c r="D2183" t="s">
        <v>1703</v>
      </c>
      <c r="E2183" t="s">
        <v>1704</v>
      </c>
      <c r="F2183" t="s">
        <v>154</v>
      </c>
      <c r="G2183" t="s">
        <v>4715</v>
      </c>
      <c r="H2183" t="s">
        <v>5041</v>
      </c>
      <c r="I2183" t="s">
        <v>5614</v>
      </c>
      <c r="J2183" t="s">
        <v>5615</v>
      </c>
      <c r="K2183" t="s">
        <v>4169</v>
      </c>
      <c r="L2183" t="s">
        <v>4717</v>
      </c>
    </row>
    <row r="2184">
      <c r="A2184" t="s">
        <v>2745</v>
      </c>
      <c r="B2184" t="s">
        <v>1713</v>
      </c>
      <c r="C2184" t="s">
        <v>1628</v>
      </c>
      <c r="D2184" t="s">
        <v>1703</v>
      </c>
      <c r="E2184" t="s">
        <v>1704</v>
      </c>
      <c r="F2184" t="s">
        <v>154</v>
      </c>
      <c r="G2184" t="s">
        <v>4715</v>
      </c>
      <c r="H2184" t="s">
        <v>5616</v>
      </c>
      <c r="I2184" t="s">
        <v>5617</v>
      </c>
      <c r="J2184" t="s">
        <v>5618</v>
      </c>
      <c r="K2184" t="s">
        <v>5619</v>
      </c>
      <c r="L2184" t="s">
        <v>4717</v>
      </c>
    </row>
    <row r="2185">
      <c r="A2185" t="s">
        <v>2745</v>
      </c>
      <c r="B2185" t="s">
        <v>1713</v>
      </c>
      <c r="C2185" t="s">
        <v>1628</v>
      </c>
      <c r="D2185" t="s">
        <v>1703</v>
      </c>
      <c r="E2185" t="s">
        <v>1704</v>
      </c>
      <c r="F2185" t="s">
        <v>154</v>
      </c>
      <c r="G2185" t="s">
        <v>4715</v>
      </c>
      <c r="H2185" t="s">
        <v>5499</v>
      </c>
      <c r="I2185" t="s">
        <v>5620</v>
      </c>
      <c r="J2185" t="s">
        <v>5621</v>
      </c>
      <c r="K2185" t="s">
        <v>5622</v>
      </c>
      <c r="L2185" t="s">
        <v>4717</v>
      </c>
    </row>
    <row r="2186">
      <c r="A2186" t="s">
        <v>2745</v>
      </c>
      <c r="B2186" t="s">
        <v>1713</v>
      </c>
      <c r="C2186" t="s">
        <v>1628</v>
      </c>
      <c r="D2186" t="s">
        <v>1703</v>
      </c>
      <c r="E2186" t="s">
        <v>1704</v>
      </c>
      <c r="F2186" t="s">
        <v>154</v>
      </c>
      <c r="G2186" t="s">
        <v>4715</v>
      </c>
      <c r="H2186" t="s">
        <v>5623</v>
      </c>
      <c r="I2186" t="s">
        <v>5624</v>
      </c>
      <c r="J2186" t="s">
        <v>5625</v>
      </c>
      <c r="K2186" t="s">
        <v>5626</v>
      </c>
      <c r="L2186" t="s">
        <v>4717</v>
      </c>
    </row>
    <row r="2187">
      <c r="A2187" t="s">
        <v>2745</v>
      </c>
      <c r="B2187" t="s">
        <v>1713</v>
      </c>
      <c r="C2187" t="s">
        <v>1628</v>
      </c>
      <c r="D2187" t="s">
        <v>1703</v>
      </c>
      <c r="E2187" t="s">
        <v>1704</v>
      </c>
      <c r="F2187" t="s">
        <v>154</v>
      </c>
      <c r="G2187" t="s">
        <v>4715</v>
      </c>
      <c r="H2187" t="s">
        <v>3904</v>
      </c>
      <c r="I2187" t="s">
        <v>5627</v>
      </c>
      <c r="J2187" t="s">
        <v>5628</v>
      </c>
      <c r="K2187" t="s">
        <v>5629</v>
      </c>
      <c r="L2187" t="s">
        <v>4717</v>
      </c>
    </row>
    <row r="2188">
      <c r="A2188" t="s">
        <v>2745</v>
      </c>
      <c r="B2188" t="s">
        <v>1713</v>
      </c>
      <c r="C2188" t="s">
        <v>1628</v>
      </c>
      <c r="D2188" t="s">
        <v>1703</v>
      </c>
      <c r="E2188" t="s">
        <v>1704</v>
      </c>
      <c r="F2188" t="s">
        <v>154</v>
      </c>
      <c r="G2188" t="s">
        <v>4715</v>
      </c>
      <c r="H2188" t="s">
        <v>5630</v>
      </c>
      <c r="I2188" t="s">
        <v>5474</v>
      </c>
      <c r="J2188" t="s">
        <v>5631</v>
      </c>
      <c r="K2188" t="s">
        <v>5632</v>
      </c>
      <c r="L2188" t="s">
        <v>4717</v>
      </c>
    </row>
    <row r="2189">
      <c r="A2189" t="s">
        <v>2745</v>
      </c>
      <c r="B2189" t="s">
        <v>1713</v>
      </c>
      <c r="C2189" t="s">
        <v>1628</v>
      </c>
      <c r="D2189" t="s">
        <v>1703</v>
      </c>
      <c r="E2189" t="s">
        <v>1704</v>
      </c>
      <c r="F2189" t="s">
        <v>154</v>
      </c>
      <c r="G2189" t="s">
        <v>4715</v>
      </c>
      <c r="H2189" t="s">
        <v>5170</v>
      </c>
      <c r="I2189" t="s">
        <v>5171</v>
      </c>
      <c r="J2189" t="s">
        <v>5633</v>
      </c>
      <c r="K2189" t="s">
        <v>5634</v>
      </c>
      <c r="L2189" t="s">
        <v>4717</v>
      </c>
    </row>
    <row r="2190">
      <c r="A2190" t="s">
        <v>2745</v>
      </c>
      <c r="B2190" t="s">
        <v>1713</v>
      </c>
      <c r="C2190" t="s">
        <v>1628</v>
      </c>
      <c r="D2190" t="s">
        <v>1703</v>
      </c>
      <c r="E2190" t="s">
        <v>1704</v>
      </c>
      <c r="F2190" t="s">
        <v>154</v>
      </c>
      <c r="G2190" t="s">
        <v>4715</v>
      </c>
      <c r="H2190" t="s">
        <v>5157</v>
      </c>
      <c r="I2190" t="s">
        <v>5635</v>
      </c>
      <c r="J2190" t="s">
        <v>5636</v>
      </c>
      <c r="K2190" t="s">
        <v>5637</v>
      </c>
      <c r="L2190" t="s">
        <v>4717</v>
      </c>
    </row>
    <row r="2191">
      <c r="A2191" t="s">
        <v>2745</v>
      </c>
      <c r="B2191" t="s">
        <v>1713</v>
      </c>
      <c r="C2191" t="s">
        <v>1628</v>
      </c>
      <c r="D2191" t="s">
        <v>1703</v>
      </c>
      <c r="E2191" t="s">
        <v>1704</v>
      </c>
      <c r="F2191" t="s">
        <v>154</v>
      </c>
      <c r="G2191" t="s">
        <v>4715</v>
      </c>
      <c r="H2191" t="s">
        <v>5733</v>
      </c>
      <c r="I2191" t="s">
        <v>5398</v>
      </c>
      <c r="J2191" t="s">
        <v>5734</v>
      </c>
      <c r="K2191" t="s">
        <v>5735</v>
      </c>
      <c r="L2191" t="s">
        <v>4717</v>
      </c>
    </row>
    <row r="2192">
      <c r="A2192" t="s">
        <v>2745</v>
      </c>
      <c r="B2192" t="s">
        <v>1713</v>
      </c>
      <c r="C2192" t="s">
        <v>1628</v>
      </c>
      <c r="D2192" t="s">
        <v>1703</v>
      </c>
      <c r="E2192" t="s">
        <v>1704</v>
      </c>
      <c r="F2192" t="s">
        <v>154</v>
      </c>
      <c r="G2192" t="s">
        <v>4715</v>
      </c>
      <c r="H2192" t="s">
        <v>5733</v>
      </c>
      <c r="I2192" t="s">
        <v>1713</v>
      </c>
      <c r="J2192" t="s">
        <v>5736</v>
      </c>
      <c r="K2192" t="s">
        <v>5737</v>
      </c>
      <c r="L2192" t="s">
        <v>4717</v>
      </c>
    </row>
    <row r="2193">
      <c r="A2193" t="s">
        <v>2745</v>
      </c>
      <c r="B2193" t="s">
        <v>1713</v>
      </c>
      <c r="C2193" t="s">
        <v>1628</v>
      </c>
      <c r="D2193" t="s">
        <v>1703</v>
      </c>
      <c r="E2193" t="s">
        <v>1704</v>
      </c>
      <c r="F2193" t="s">
        <v>154</v>
      </c>
      <c r="G2193" t="s">
        <v>4715</v>
      </c>
      <c r="H2193" t="s">
        <v>5738</v>
      </c>
      <c r="I2193" t="s">
        <v>5739</v>
      </c>
      <c r="J2193" t="s">
        <v>5740</v>
      </c>
      <c r="K2193" t="s">
        <v>5741</v>
      </c>
      <c r="L2193" t="s">
        <v>4717</v>
      </c>
    </row>
    <row r="2194">
      <c r="A2194" t="s">
        <v>2745</v>
      </c>
      <c r="B2194" t="s">
        <v>1713</v>
      </c>
      <c r="C2194" t="s">
        <v>1628</v>
      </c>
      <c r="D2194" t="s">
        <v>1703</v>
      </c>
      <c r="E2194" t="s">
        <v>1704</v>
      </c>
      <c r="F2194" t="s">
        <v>154</v>
      </c>
      <c r="G2194" t="s">
        <v>4715</v>
      </c>
      <c r="H2194" t="s">
        <v>5522</v>
      </c>
      <c r="I2194" t="s">
        <v>5656</v>
      </c>
      <c r="J2194" t="s">
        <v>5657</v>
      </c>
      <c r="K2194" t="s">
        <v>5658</v>
      </c>
      <c r="L2194" t="s">
        <v>4717</v>
      </c>
    </row>
    <row r="2195">
      <c r="A2195" t="s">
        <v>2745</v>
      </c>
      <c r="B2195" t="s">
        <v>1713</v>
      </c>
      <c r="C2195" t="s">
        <v>1628</v>
      </c>
      <c r="D2195" t="s">
        <v>1703</v>
      </c>
      <c r="E2195" t="s">
        <v>1704</v>
      </c>
      <c r="F2195" t="s">
        <v>154</v>
      </c>
      <c r="G2195" t="s">
        <v>4715</v>
      </c>
      <c r="H2195" t="s">
        <v>5522</v>
      </c>
      <c r="I2195" t="s">
        <v>5715</v>
      </c>
      <c r="J2195" t="s">
        <v>5716</v>
      </c>
      <c r="K2195" t="s">
        <v>5717</v>
      </c>
      <c r="L2195" t="s">
        <v>4717</v>
      </c>
    </row>
    <row r="2196">
      <c r="A2196" t="s">
        <v>2745</v>
      </c>
      <c r="B2196" t="s">
        <v>1713</v>
      </c>
      <c r="C2196" t="s">
        <v>1628</v>
      </c>
      <c r="D2196" t="s">
        <v>1703</v>
      </c>
      <c r="E2196" t="s">
        <v>1704</v>
      </c>
      <c r="F2196" t="s">
        <v>154</v>
      </c>
      <c r="G2196" t="s">
        <v>4715</v>
      </c>
      <c r="H2196" t="s">
        <v>5522</v>
      </c>
      <c r="I2196" t="s">
        <v>5718</v>
      </c>
      <c r="J2196" t="s">
        <v>5719</v>
      </c>
      <c r="K2196" t="s">
        <v>5720</v>
      </c>
      <c r="L2196" t="s">
        <v>4717</v>
      </c>
    </row>
    <row r="2197">
      <c r="A2197" t="s">
        <v>2748</v>
      </c>
      <c r="B2197" t="s">
        <v>1720</v>
      </c>
      <c r="C2197" t="s">
        <v>1628</v>
      </c>
      <c r="D2197" t="s">
        <v>1703</v>
      </c>
      <c r="E2197" t="s">
        <v>1704</v>
      </c>
      <c r="F2197" t="s">
        <v>120</v>
      </c>
      <c r="G2197" t="s">
        <v>4715</v>
      </c>
      <c r="H2197" t="s">
        <v>5041</v>
      </c>
      <c r="I2197" t="s">
        <v>5614</v>
      </c>
      <c r="J2197" t="s">
        <v>5615</v>
      </c>
      <c r="K2197" t="s">
        <v>4169</v>
      </c>
      <c r="L2197" t="s">
        <v>4717</v>
      </c>
    </row>
    <row r="2198">
      <c r="A2198" t="s">
        <v>2748</v>
      </c>
      <c r="B2198" t="s">
        <v>1720</v>
      </c>
      <c r="C2198" t="s">
        <v>1628</v>
      </c>
      <c r="D2198" t="s">
        <v>1703</v>
      </c>
      <c r="E2198" t="s">
        <v>1704</v>
      </c>
      <c r="F2198" t="s">
        <v>120</v>
      </c>
      <c r="G2198" t="s">
        <v>4715</v>
      </c>
      <c r="H2198" t="s">
        <v>5616</v>
      </c>
      <c r="I2198" t="s">
        <v>5617</v>
      </c>
      <c r="J2198" t="s">
        <v>5618</v>
      </c>
      <c r="K2198" t="s">
        <v>5619</v>
      </c>
      <c r="L2198" t="s">
        <v>4717</v>
      </c>
    </row>
    <row r="2199">
      <c r="A2199" t="s">
        <v>2748</v>
      </c>
      <c r="B2199" t="s">
        <v>1720</v>
      </c>
      <c r="C2199" t="s">
        <v>1628</v>
      </c>
      <c r="D2199" t="s">
        <v>1703</v>
      </c>
      <c r="E2199" t="s">
        <v>1704</v>
      </c>
      <c r="F2199" t="s">
        <v>120</v>
      </c>
      <c r="G2199" t="s">
        <v>4715</v>
      </c>
      <c r="H2199" t="s">
        <v>5499</v>
      </c>
      <c r="I2199" t="s">
        <v>5620</v>
      </c>
      <c r="J2199" t="s">
        <v>5621</v>
      </c>
      <c r="K2199" t="s">
        <v>5622</v>
      </c>
      <c r="L2199" t="s">
        <v>4717</v>
      </c>
    </row>
    <row r="2200">
      <c r="A2200" t="s">
        <v>2748</v>
      </c>
      <c r="B2200" t="s">
        <v>1720</v>
      </c>
      <c r="C2200" t="s">
        <v>1628</v>
      </c>
      <c r="D2200" t="s">
        <v>1703</v>
      </c>
      <c r="E2200" t="s">
        <v>1704</v>
      </c>
      <c r="F2200" t="s">
        <v>120</v>
      </c>
      <c r="G2200" t="s">
        <v>4715</v>
      </c>
      <c r="H2200" t="s">
        <v>5623</v>
      </c>
      <c r="I2200" t="s">
        <v>5624</v>
      </c>
      <c r="J2200" t="s">
        <v>5625</v>
      </c>
      <c r="K2200" t="s">
        <v>5626</v>
      </c>
      <c r="L2200" t="s">
        <v>4717</v>
      </c>
    </row>
    <row r="2201">
      <c r="A2201" t="s">
        <v>2748</v>
      </c>
      <c r="B2201" t="s">
        <v>1720</v>
      </c>
      <c r="C2201" t="s">
        <v>1628</v>
      </c>
      <c r="D2201" t="s">
        <v>1703</v>
      </c>
      <c r="E2201" t="s">
        <v>1704</v>
      </c>
      <c r="F2201" t="s">
        <v>120</v>
      </c>
      <c r="G2201" t="s">
        <v>4715</v>
      </c>
      <c r="H2201" t="s">
        <v>3904</v>
      </c>
      <c r="I2201" t="s">
        <v>5627</v>
      </c>
      <c r="J2201" t="s">
        <v>5628</v>
      </c>
      <c r="K2201" t="s">
        <v>5629</v>
      </c>
      <c r="L2201" t="s">
        <v>4717</v>
      </c>
    </row>
    <row r="2202">
      <c r="A2202" t="s">
        <v>2748</v>
      </c>
      <c r="B2202" t="s">
        <v>1720</v>
      </c>
      <c r="C2202" t="s">
        <v>1628</v>
      </c>
      <c r="D2202" t="s">
        <v>1703</v>
      </c>
      <c r="E2202" t="s">
        <v>1704</v>
      </c>
      <c r="F2202" t="s">
        <v>120</v>
      </c>
      <c r="G2202" t="s">
        <v>4715</v>
      </c>
      <c r="H2202" t="s">
        <v>5630</v>
      </c>
      <c r="I2202" t="s">
        <v>5474</v>
      </c>
      <c r="J2202" t="s">
        <v>5631</v>
      </c>
      <c r="K2202" t="s">
        <v>5632</v>
      </c>
      <c r="L2202" t="s">
        <v>4717</v>
      </c>
    </row>
    <row r="2203">
      <c r="A2203" t="s">
        <v>2748</v>
      </c>
      <c r="B2203" t="s">
        <v>1720</v>
      </c>
      <c r="C2203" t="s">
        <v>1628</v>
      </c>
      <c r="D2203" t="s">
        <v>1703</v>
      </c>
      <c r="E2203" t="s">
        <v>1704</v>
      </c>
      <c r="F2203" t="s">
        <v>120</v>
      </c>
      <c r="G2203" t="s">
        <v>4715</v>
      </c>
      <c r="H2203" t="s">
        <v>5170</v>
      </c>
      <c r="I2203" t="s">
        <v>5171</v>
      </c>
      <c r="J2203" t="s">
        <v>5633</v>
      </c>
      <c r="K2203" t="s">
        <v>5634</v>
      </c>
      <c r="L2203" t="s">
        <v>4717</v>
      </c>
    </row>
    <row r="2204">
      <c r="A2204" t="s">
        <v>2748</v>
      </c>
      <c r="B2204" t="s">
        <v>1720</v>
      </c>
      <c r="C2204" t="s">
        <v>1628</v>
      </c>
      <c r="D2204" t="s">
        <v>1703</v>
      </c>
      <c r="E2204" t="s">
        <v>1704</v>
      </c>
      <c r="F2204" t="s">
        <v>120</v>
      </c>
      <c r="G2204" t="s">
        <v>4715</v>
      </c>
      <c r="H2204" t="s">
        <v>5157</v>
      </c>
      <c r="I2204" t="s">
        <v>5635</v>
      </c>
      <c r="J2204" t="s">
        <v>5636</v>
      </c>
      <c r="K2204" t="s">
        <v>5637</v>
      </c>
      <c r="L2204" t="s">
        <v>4717</v>
      </c>
    </row>
    <row r="2205">
      <c r="A2205" t="s">
        <v>2748</v>
      </c>
      <c r="B2205" t="s">
        <v>1720</v>
      </c>
      <c r="C2205" t="s">
        <v>1628</v>
      </c>
      <c r="D2205" t="s">
        <v>1703</v>
      </c>
      <c r="E2205" t="s">
        <v>1704</v>
      </c>
      <c r="F2205" t="s">
        <v>120</v>
      </c>
      <c r="G2205" t="s">
        <v>4715</v>
      </c>
      <c r="H2205" t="s">
        <v>5733</v>
      </c>
      <c r="I2205" t="s">
        <v>5398</v>
      </c>
      <c r="J2205" t="s">
        <v>5734</v>
      </c>
      <c r="K2205" t="s">
        <v>5735</v>
      </c>
      <c r="L2205" t="s">
        <v>4717</v>
      </c>
    </row>
    <row r="2206">
      <c r="A2206" t="s">
        <v>2748</v>
      </c>
      <c r="B2206" t="s">
        <v>1720</v>
      </c>
      <c r="C2206" t="s">
        <v>1628</v>
      </c>
      <c r="D2206" t="s">
        <v>1703</v>
      </c>
      <c r="E2206" t="s">
        <v>1704</v>
      </c>
      <c r="F2206" t="s">
        <v>120</v>
      </c>
      <c r="G2206" t="s">
        <v>4715</v>
      </c>
      <c r="H2206" t="s">
        <v>5733</v>
      </c>
      <c r="I2206" t="s">
        <v>1713</v>
      </c>
      <c r="J2206" t="s">
        <v>5736</v>
      </c>
      <c r="K2206" t="s">
        <v>5737</v>
      </c>
      <c r="L2206" t="s">
        <v>4717</v>
      </c>
    </row>
    <row r="2207">
      <c r="A2207" t="s">
        <v>2748</v>
      </c>
      <c r="B2207" t="s">
        <v>1720</v>
      </c>
      <c r="C2207" t="s">
        <v>1628</v>
      </c>
      <c r="D2207" t="s">
        <v>1703</v>
      </c>
      <c r="E2207" t="s">
        <v>1704</v>
      </c>
      <c r="F2207" t="s">
        <v>120</v>
      </c>
      <c r="G2207" t="s">
        <v>4715</v>
      </c>
      <c r="H2207" t="s">
        <v>5738</v>
      </c>
      <c r="I2207" t="s">
        <v>5739</v>
      </c>
      <c r="J2207" t="s">
        <v>5740</v>
      </c>
      <c r="K2207" t="s">
        <v>5741</v>
      </c>
      <c r="L2207" t="s">
        <v>4717</v>
      </c>
    </row>
    <row r="2208">
      <c r="A2208" t="s">
        <v>2748</v>
      </c>
      <c r="B2208" t="s">
        <v>1720</v>
      </c>
      <c r="C2208" t="s">
        <v>1628</v>
      </c>
      <c r="D2208" t="s">
        <v>1703</v>
      </c>
      <c r="E2208" t="s">
        <v>1704</v>
      </c>
      <c r="F2208" t="s">
        <v>120</v>
      </c>
      <c r="G2208" t="s">
        <v>4715</v>
      </c>
      <c r="H2208" t="s">
        <v>5522</v>
      </c>
      <c r="I2208" t="s">
        <v>5656</v>
      </c>
      <c r="J2208" t="s">
        <v>5657</v>
      </c>
      <c r="K2208" t="s">
        <v>5658</v>
      </c>
      <c r="L2208" t="s">
        <v>4717</v>
      </c>
    </row>
    <row r="2209">
      <c r="A2209" t="s">
        <v>2748</v>
      </c>
      <c r="B2209" t="s">
        <v>1720</v>
      </c>
      <c r="C2209" t="s">
        <v>1628</v>
      </c>
      <c r="D2209" t="s">
        <v>1703</v>
      </c>
      <c r="E2209" t="s">
        <v>1704</v>
      </c>
      <c r="F2209" t="s">
        <v>120</v>
      </c>
      <c r="G2209" t="s">
        <v>4715</v>
      </c>
      <c r="H2209" t="s">
        <v>5522</v>
      </c>
      <c r="I2209" t="s">
        <v>5715</v>
      </c>
      <c r="J2209" t="s">
        <v>5716</v>
      </c>
      <c r="K2209" t="s">
        <v>5717</v>
      </c>
      <c r="L2209" t="s">
        <v>4717</v>
      </c>
    </row>
    <row r="2210">
      <c r="A2210" t="s">
        <v>2748</v>
      </c>
      <c r="B2210" t="s">
        <v>1720</v>
      </c>
      <c r="C2210" t="s">
        <v>1628</v>
      </c>
      <c r="D2210" t="s">
        <v>1703</v>
      </c>
      <c r="E2210" t="s">
        <v>1704</v>
      </c>
      <c r="F2210" t="s">
        <v>120</v>
      </c>
      <c r="G2210" t="s">
        <v>4715</v>
      </c>
      <c r="H2210" t="s">
        <v>5522</v>
      </c>
      <c r="I2210" t="s">
        <v>5718</v>
      </c>
      <c r="J2210" t="s">
        <v>5719</v>
      </c>
      <c r="K2210" t="s">
        <v>5720</v>
      </c>
      <c r="L2210" t="s">
        <v>4717</v>
      </c>
    </row>
    <row r="2211">
      <c r="A2211" t="s">
        <v>2751</v>
      </c>
      <c r="B2211" t="s">
        <v>1726</v>
      </c>
      <c r="C2211" t="s">
        <v>1628</v>
      </c>
      <c r="D2211" t="s">
        <v>1703</v>
      </c>
      <c r="E2211" t="s">
        <v>1704</v>
      </c>
      <c r="F2211" t="s">
        <v>120</v>
      </c>
      <c r="G2211" t="s">
        <v>4715</v>
      </c>
      <c r="H2211" t="s">
        <v>5041</v>
      </c>
      <c r="I2211" t="s">
        <v>5614</v>
      </c>
      <c r="J2211" t="s">
        <v>5615</v>
      </c>
      <c r="K2211" t="s">
        <v>4169</v>
      </c>
      <c r="L2211" t="s">
        <v>4717</v>
      </c>
    </row>
    <row r="2212">
      <c r="A2212" t="s">
        <v>2751</v>
      </c>
      <c r="B2212" t="s">
        <v>1726</v>
      </c>
      <c r="C2212" t="s">
        <v>1628</v>
      </c>
      <c r="D2212" t="s">
        <v>1703</v>
      </c>
      <c r="E2212" t="s">
        <v>1704</v>
      </c>
      <c r="F2212" t="s">
        <v>120</v>
      </c>
      <c r="G2212" t="s">
        <v>4715</v>
      </c>
      <c r="H2212" t="s">
        <v>5616</v>
      </c>
      <c r="I2212" t="s">
        <v>5617</v>
      </c>
      <c r="J2212" t="s">
        <v>5618</v>
      </c>
      <c r="K2212" t="s">
        <v>5619</v>
      </c>
      <c r="L2212" t="s">
        <v>4717</v>
      </c>
    </row>
    <row r="2213">
      <c r="A2213" t="s">
        <v>2751</v>
      </c>
      <c r="B2213" t="s">
        <v>1726</v>
      </c>
      <c r="C2213" t="s">
        <v>1628</v>
      </c>
      <c r="D2213" t="s">
        <v>1703</v>
      </c>
      <c r="E2213" t="s">
        <v>1704</v>
      </c>
      <c r="F2213" t="s">
        <v>120</v>
      </c>
      <c r="G2213" t="s">
        <v>4715</v>
      </c>
      <c r="H2213" t="s">
        <v>5499</v>
      </c>
      <c r="I2213" t="s">
        <v>5620</v>
      </c>
      <c r="J2213" t="s">
        <v>5621</v>
      </c>
      <c r="K2213" t="s">
        <v>5622</v>
      </c>
      <c r="L2213" t="s">
        <v>4717</v>
      </c>
    </row>
    <row r="2214">
      <c r="A2214" t="s">
        <v>2751</v>
      </c>
      <c r="B2214" t="s">
        <v>1726</v>
      </c>
      <c r="C2214" t="s">
        <v>1628</v>
      </c>
      <c r="D2214" t="s">
        <v>1703</v>
      </c>
      <c r="E2214" t="s">
        <v>1704</v>
      </c>
      <c r="F2214" t="s">
        <v>120</v>
      </c>
      <c r="G2214" t="s">
        <v>4715</v>
      </c>
      <c r="H2214" t="s">
        <v>5623</v>
      </c>
      <c r="I2214" t="s">
        <v>5624</v>
      </c>
      <c r="J2214" t="s">
        <v>5625</v>
      </c>
      <c r="K2214" t="s">
        <v>5626</v>
      </c>
      <c r="L2214" t="s">
        <v>4717</v>
      </c>
    </row>
    <row r="2215">
      <c r="A2215" t="s">
        <v>2751</v>
      </c>
      <c r="B2215" t="s">
        <v>1726</v>
      </c>
      <c r="C2215" t="s">
        <v>1628</v>
      </c>
      <c r="D2215" t="s">
        <v>1703</v>
      </c>
      <c r="E2215" t="s">
        <v>1704</v>
      </c>
      <c r="F2215" t="s">
        <v>120</v>
      </c>
      <c r="G2215" t="s">
        <v>4715</v>
      </c>
      <c r="H2215" t="s">
        <v>3904</v>
      </c>
      <c r="I2215" t="s">
        <v>5627</v>
      </c>
      <c r="J2215" t="s">
        <v>5628</v>
      </c>
      <c r="K2215" t="s">
        <v>5629</v>
      </c>
      <c r="L2215" t="s">
        <v>4717</v>
      </c>
    </row>
    <row r="2216">
      <c r="A2216" t="s">
        <v>2751</v>
      </c>
      <c r="B2216" t="s">
        <v>1726</v>
      </c>
      <c r="C2216" t="s">
        <v>1628</v>
      </c>
      <c r="D2216" t="s">
        <v>1703</v>
      </c>
      <c r="E2216" t="s">
        <v>1704</v>
      </c>
      <c r="F2216" t="s">
        <v>120</v>
      </c>
      <c r="G2216" t="s">
        <v>4715</v>
      </c>
      <c r="H2216" t="s">
        <v>5630</v>
      </c>
      <c r="I2216" t="s">
        <v>5474</v>
      </c>
      <c r="J2216" t="s">
        <v>5631</v>
      </c>
      <c r="K2216" t="s">
        <v>5632</v>
      </c>
      <c r="L2216" t="s">
        <v>4717</v>
      </c>
    </row>
    <row r="2217">
      <c r="A2217" t="s">
        <v>2751</v>
      </c>
      <c r="B2217" t="s">
        <v>1726</v>
      </c>
      <c r="C2217" t="s">
        <v>1628</v>
      </c>
      <c r="D2217" t="s">
        <v>1703</v>
      </c>
      <c r="E2217" t="s">
        <v>1704</v>
      </c>
      <c r="F2217" t="s">
        <v>120</v>
      </c>
      <c r="G2217" t="s">
        <v>4715</v>
      </c>
      <c r="H2217" t="s">
        <v>5170</v>
      </c>
      <c r="I2217" t="s">
        <v>5171</v>
      </c>
      <c r="J2217" t="s">
        <v>5633</v>
      </c>
      <c r="K2217" t="s">
        <v>5634</v>
      </c>
      <c r="L2217" t="s">
        <v>4717</v>
      </c>
    </row>
    <row r="2218">
      <c r="A2218" t="s">
        <v>2751</v>
      </c>
      <c r="B2218" t="s">
        <v>1726</v>
      </c>
      <c r="C2218" t="s">
        <v>1628</v>
      </c>
      <c r="D2218" t="s">
        <v>1703</v>
      </c>
      <c r="E2218" t="s">
        <v>1704</v>
      </c>
      <c r="F2218" t="s">
        <v>120</v>
      </c>
      <c r="G2218" t="s">
        <v>4715</v>
      </c>
      <c r="H2218" t="s">
        <v>5157</v>
      </c>
      <c r="I2218" t="s">
        <v>5635</v>
      </c>
      <c r="J2218" t="s">
        <v>5636</v>
      </c>
      <c r="K2218" t="s">
        <v>5637</v>
      </c>
      <c r="L2218" t="s">
        <v>4717</v>
      </c>
    </row>
    <row r="2219">
      <c r="A2219" t="s">
        <v>2751</v>
      </c>
      <c r="B2219" t="s">
        <v>1726</v>
      </c>
      <c r="C2219" t="s">
        <v>1628</v>
      </c>
      <c r="D2219" t="s">
        <v>1703</v>
      </c>
      <c r="E2219" t="s">
        <v>1704</v>
      </c>
      <c r="F2219" t="s">
        <v>120</v>
      </c>
      <c r="G2219" t="s">
        <v>4715</v>
      </c>
      <c r="H2219" t="s">
        <v>5733</v>
      </c>
      <c r="I2219" t="s">
        <v>5398</v>
      </c>
      <c r="J2219" t="s">
        <v>5734</v>
      </c>
      <c r="K2219" t="s">
        <v>5735</v>
      </c>
      <c r="L2219" t="s">
        <v>4717</v>
      </c>
    </row>
    <row r="2220">
      <c r="A2220" t="s">
        <v>2751</v>
      </c>
      <c r="B2220" t="s">
        <v>1726</v>
      </c>
      <c r="C2220" t="s">
        <v>1628</v>
      </c>
      <c r="D2220" t="s">
        <v>1703</v>
      </c>
      <c r="E2220" t="s">
        <v>1704</v>
      </c>
      <c r="F2220" t="s">
        <v>120</v>
      </c>
      <c r="G2220" t="s">
        <v>4715</v>
      </c>
      <c r="H2220" t="s">
        <v>5733</v>
      </c>
      <c r="I2220" t="s">
        <v>1713</v>
      </c>
      <c r="J2220" t="s">
        <v>5736</v>
      </c>
      <c r="K2220" t="s">
        <v>5737</v>
      </c>
      <c r="L2220" t="s">
        <v>4717</v>
      </c>
    </row>
    <row r="2221">
      <c r="A2221" t="s">
        <v>2751</v>
      </c>
      <c r="B2221" t="s">
        <v>1726</v>
      </c>
      <c r="C2221" t="s">
        <v>1628</v>
      </c>
      <c r="D2221" t="s">
        <v>1703</v>
      </c>
      <c r="E2221" t="s">
        <v>1704</v>
      </c>
      <c r="F2221" t="s">
        <v>120</v>
      </c>
      <c r="G2221" t="s">
        <v>4715</v>
      </c>
      <c r="H2221" t="s">
        <v>5738</v>
      </c>
      <c r="I2221" t="s">
        <v>5739</v>
      </c>
      <c r="J2221" t="s">
        <v>5740</v>
      </c>
      <c r="K2221" t="s">
        <v>5741</v>
      </c>
      <c r="L2221" t="s">
        <v>4717</v>
      </c>
    </row>
    <row r="2222">
      <c r="A2222" t="s">
        <v>2751</v>
      </c>
      <c r="B2222" t="s">
        <v>1726</v>
      </c>
      <c r="C2222" t="s">
        <v>1628</v>
      </c>
      <c r="D2222" t="s">
        <v>1703</v>
      </c>
      <c r="E2222" t="s">
        <v>1704</v>
      </c>
      <c r="F2222" t="s">
        <v>120</v>
      </c>
      <c r="G2222" t="s">
        <v>4715</v>
      </c>
      <c r="H2222" t="s">
        <v>5522</v>
      </c>
      <c r="I2222" t="s">
        <v>5656</v>
      </c>
      <c r="J2222" t="s">
        <v>5657</v>
      </c>
      <c r="K2222" t="s">
        <v>5658</v>
      </c>
      <c r="L2222" t="s">
        <v>4717</v>
      </c>
    </row>
    <row r="2223">
      <c r="A2223" t="s">
        <v>2751</v>
      </c>
      <c r="B2223" t="s">
        <v>1726</v>
      </c>
      <c r="C2223" t="s">
        <v>1628</v>
      </c>
      <c r="D2223" t="s">
        <v>1703</v>
      </c>
      <c r="E2223" t="s">
        <v>1704</v>
      </c>
      <c r="F2223" t="s">
        <v>120</v>
      </c>
      <c r="G2223" t="s">
        <v>4715</v>
      </c>
      <c r="H2223" t="s">
        <v>5522</v>
      </c>
      <c r="I2223" t="s">
        <v>5715</v>
      </c>
      <c r="J2223" t="s">
        <v>5716</v>
      </c>
      <c r="K2223" t="s">
        <v>5717</v>
      </c>
      <c r="L2223" t="s">
        <v>4717</v>
      </c>
    </row>
    <row r="2224">
      <c r="A2224" t="s">
        <v>2751</v>
      </c>
      <c r="B2224" t="s">
        <v>1726</v>
      </c>
      <c r="C2224" t="s">
        <v>1628</v>
      </c>
      <c r="D2224" t="s">
        <v>1703</v>
      </c>
      <c r="E2224" t="s">
        <v>1704</v>
      </c>
      <c r="F2224" t="s">
        <v>120</v>
      </c>
      <c r="G2224" t="s">
        <v>4715</v>
      </c>
      <c r="H2224" t="s">
        <v>5522</v>
      </c>
      <c r="I2224" t="s">
        <v>5718</v>
      </c>
      <c r="J2224" t="s">
        <v>5719</v>
      </c>
      <c r="K2224" t="s">
        <v>5720</v>
      </c>
      <c r="L2224" t="s">
        <v>4717</v>
      </c>
    </row>
    <row r="2225">
      <c r="A2225" t="s">
        <v>2754</v>
      </c>
      <c r="B2225" t="s">
        <v>1735</v>
      </c>
      <c r="C2225" t="s">
        <v>1628</v>
      </c>
      <c r="D2225" t="s">
        <v>1732</v>
      </c>
      <c r="E2225" t="s">
        <v>1733</v>
      </c>
      <c r="F2225" t="s">
        <v>129</v>
      </c>
      <c r="G2225" t="s">
        <v>4715</v>
      </c>
      <c r="H2225" t="s">
        <v>5041</v>
      </c>
      <c r="I2225" t="s">
        <v>5614</v>
      </c>
      <c r="J2225" t="s">
        <v>5615</v>
      </c>
      <c r="K2225" t="s">
        <v>4169</v>
      </c>
      <c r="L2225" t="s">
        <v>4717</v>
      </c>
    </row>
    <row r="2226">
      <c r="A2226" t="s">
        <v>2754</v>
      </c>
      <c r="B2226" t="s">
        <v>1735</v>
      </c>
      <c r="C2226" t="s">
        <v>1628</v>
      </c>
      <c r="D2226" t="s">
        <v>1732</v>
      </c>
      <c r="E2226" t="s">
        <v>1733</v>
      </c>
      <c r="F2226" t="s">
        <v>129</v>
      </c>
      <c r="G2226" t="s">
        <v>4715</v>
      </c>
      <c r="H2226" t="s">
        <v>5616</v>
      </c>
      <c r="I2226" t="s">
        <v>5617</v>
      </c>
      <c r="J2226" t="s">
        <v>5618</v>
      </c>
      <c r="K2226" t="s">
        <v>5619</v>
      </c>
      <c r="L2226" t="s">
        <v>4717</v>
      </c>
    </row>
    <row r="2227">
      <c r="A2227" t="s">
        <v>2754</v>
      </c>
      <c r="B2227" t="s">
        <v>1735</v>
      </c>
      <c r="C2227" t="s">
        <v>1628</v>
      </c>
      <c r="D2227" t="s">
        <v>1732</v>
      </c>
      <c r="E2227" t="s">
        <v>1733</v>
      </c>
      <c r="F2227" t="s">
        <v>129</v>
      </c>
      <c r="G2227" t="s">
        <v>4715</v>
      </c>
      <c r="H2227" t="s">
        <v>5499</v>
      </c>
      <c r="I2227" t="s">
        <v>5620</v>
      </c>
      <c r="J2227" t="s">
        <v>5621</v>
      </c>
      <c r="K2227" t="s">
        <v>5622</v>
      </c>
      <c r="L2227" t="s">
        <v>4717</v>
      </c>
    </row>
    <row r="2228">
      <c r="A2228" t="s">
        <v>2754</v>
      </c>
      <c r="B2228" t="s">
        <v>1735</v>
      </c>
      <c r="C2228" t="s">
        <v>1628</v>
      </c>
      <c r="D2228" t="s">
        <v>1732</v>
      </c>
      <c r="E2228" t="s">
        <v>1733</v>
      </c>
      <c r="F2228" t="s">
        <v>129</v>
      </c>
      <c r="G2228" t="s">
        <v>4715</v>
      </c>
      <c r="H2228" t="s">
        <v>5623</v>
      </c>
      <c r="I2228" t="s">
        <v>5624</v>
      </c>
      <c r="J2228" t="s">
        <v>5625</v>
      </c>
      <c r="K2228" t="s">
        <v>5626</v>
      </c>
      <c r="L2228" t="s">
        <v>4717</v>
      </c>
    </row>
    <row r="2229">
      <c r="A2229" t="s">
        <v>2754</v>
      </c>
      <c r="B2229" t="s">
        <v>1735</v>
      </c>
      <c r="C2229" t="s">
        <v>1628</v>
      </c>
      <c r="D2229" t="s">
        <v>1732</v>
      </c>
      <c r="E2229" t="s">
        <v>1733</v>
      </c>
      <c r="F2229" t="s">
        <v>129</v>
      </c>
      <c r="G2229" t="s">
        <v>4715</v>
      </c>
      <c r="H2229" t="s">
        <v>3904</v>
      </c>
      <c r="I2229" t="s">
        <v>5627</v>
      </c>
      <c r="J2229" t="s">
        <v>5628</v>
      </c>
      <c r="K2229" t="s">
        <v>5629</v>
      </c>
      <c r="L2229" t="s">
        <v>4717</v>
      </c>
    </row>
    <row r="2230">
      <c r="A2230" t="s">
        <v>2754</v>
      </c>
      <c r="B2230" t="s">
        <v>1735</v>
      </c>
      <c r="C2230" t="s">
        <v>1628</v>
      </c>
      <c r="D2230" t="s">
        <v>1732</v>
      </c>
      <c r="E2230" t="s">
        <v>1733</v>
      </c>
      <c r="F2230" t="s">
        <v>129</v>
      </c>
      <c r="G2230" t="s">
        <v>4715</v>
      </c>
      <c r="H2230" t="s">
        <v>5630</v>
      </c>
      <c r="I2230" t="s">
        <v>5474</v>
      </c>
      <c r="J2230" t="s">
        <v>5631</v>
      </c>
      <c r="K2230" t="s">
        <v>5632</v>
      </c>
      <c r="L2230" t="s">
        <v>4717</v>
      </c>
    </row>
    <row r="2231">
      <c r="A2231" t="s">
        <v>2754</v>
      </c>
      <c r="B2231" t="s">
        <v>1735</v>
      </c>
      <c r="C2231" t="s">
        <v>1628</v>
      </c>
      <c r="D2231" t="s">
        <v>1732</v>
      </c>
      <c r="E2231" t="s">
        <v>1733</v>
      </c>
      <c r="F2231" t="s">
        <v>129</v>
      </c>
      <c r="G2231" t="s">
        <v>4715</v>
      </c>
      <c r="H2231" t="s">
        <v>5170</v>
      </c>
      <c r="I2231" t="s">
        <v>5171</v>
      </c>
      <c r="J2231" t="s">
        <v>5633</v>
      </c>
      <c r="K2231" t="s">
        <v>5634</v>
      </c>
      <c r="L2231" t="s">
        <v>4717</v>
      </c>
    </row>
    <row r="2232">
      <c r="A2232" t="s">
        <v>2754</v>
      </c>
      <c r="B2232" t="s">
        <v>1735</v>
      </c>
      <c r="C2232" t="s">
        <v>1628</v>
      </c>
      <c r="D2232" t="s">
        <v>1732</v>
      </c>
      <c r="E2232" t="s">
        <v>1733</v>
      </c>
      <c r="F2232" t="s">
        <v>129</v>
      </c>
      <c r="G2232" t="s">
        <v>4715</v>
      </c>
      <c r="H2232" t="s">
        <v>5157</v>
      </c>
      <c r="I2232" t="s">
        <v>5635</v>
      </c>
      <c r="J2232" t="s">
        <v>5636</v>
      </c>
      <c r="K2232" t="s">
        <v>5637</v>
      </c>
      <c r="L2232" t="s">
        <v>4717</v>
      </c>
    </row>
    <row r="2233">
      <c r="A2233" t="s">
        <v>2754</v>
      </c>
      <c r="B2233" t="s">
        <v>1735</v>
      </c>
      <c r="C2233" t="s">
        <v>1628</v>
      </c>
      <c r="D2233" t="s">
        <v>1732</v>
      </c>
      <c r="E2233" t="s">
        <v>1733</v>
      </c>
      <c r="F2233" t="s">
        <v>129</v>
      </c>
      <c r="G2233" t="s">
        <v>4715</v>
      </c>
      <c r="H2233" t="s">
        <v>5742</v>
      </c>
      <c r="I2233" t="s">
        <v>5405</v>
      </c>
      <c r="J2233" t="s">
        <v>5743</v>
      </c>
      <c r="K2233" t="s">
        <v>4195</v>
      </c>
      <c r="L2233" t="s">
        <v>4717</v>
      </c>
    </row>
    <row r="2234">
      <c r="A2234" t="s">
        <v>2754</v>
      </c>
      <c r="B2234" t="s">
        <v>1735</v>
      </c>
      <c r="C2234" t="s">
        <v>1628</v>
      </c>
      <c r="D2234" t="s">
        <v>1732</v>
      </c>
      <c r="E2234" t="s">
        <v>1733</v>
      </c>
      <c r="F2234" t="s">
        <v>129</v>
      </c>
      <c r="G2234" t="s">
        <v>4715</v>
      </c>
      <c r="H2234" t="s">
        <v>5742</v>
      </c>
      <c r="I2234" t="s">
        <v>5744</v>
      </c>
      <c r="J2234" t="s">
        <v>5745</v>
      </c>
      <c r="K2234" t="s">
        <v>5746</v>
      </c>
      <c r="L2234" t="s">
        <v>4717</v>
      </c>
    </row>
    <row r="2235">
      <c r="A2235" t="s">
        <v>2754</v>
      </c>
      <c r="B2235" t="s">
        <v>1735</v>
      </c>
      <c r="C2235" t="s">
        <v>1628</v>
      </c>
      <c r="D2235" t="s">
        <v>1732</v>
      </c>
      <c r="E2235" t="s">
        <v>1733</v>
      </c>
      <c r="F2235" t="s">
        <v>129</v>
      </c>
      <c r="G2235" t="s">
        <v>4715</v>
      </c>
      <c r="H2235" t="s">
        <v>5742</v>
      </c>
      <c r="I2235" t="s">
        <v>5747</v>
      </c>
      <c r="J2235" t="s">
        <v>5748</v>
      </c>
      <c r="K2235" t="s">
        <v>5749</v>
      </c>
      <c r="L2235" t="s">
        <v>4717</v>
      </c>
    </row>
    <row r="2236">
      <c r="A2236" t="s">
        <v>2754</v>
      </c>
      <c r="B2236" t="s">
        <v>1735</v>
      </c>
      <c r="C2236" t="s">
        <v>1628</v>
      </c>
      <c r="D2236" t="s">
        <v>1732</v>
      </c>
      <c r="E2236" t="s">
        <v>1733</v>
      </c>
      <c r="F2236" t="s">
        <v>129</v>
      </c>
      <c r="G2236" t="s">
        <v>4715</v>
      </c>
      <c r="H2236" t="s">
        <v>5750</v>
      </c>
      <c r="I2236" t="s">
        <v>5415</v>
      </c>
      <c r="J2236" t="s">
        <v>5751</v>
      </c>
      <c r="K2236" t="s">
        <v>5752</v>
      </c>
      <c r="L2236" t="s">
        <v>4717</v>
      </c>
    </row>
    <row r="2237">
      <c r="A2237" t="s">
        <v>2754</v>
      </c>
      <c r="B2237" t="s">
        <v>1735</v>
      </c>
      <c r="C2237" t="s">
        <v>1628</v>
      </c>
      <c r="D2237" t="s">
        <v>1732</v>
      </c>
      <c r="E2237" t="s">
        <v>1733</v>
      </c>
      <c r="F2237" t="s">
        <v>129</v>
      </c>
      <c r="G2237" t="s">
        <v>4715</v>
      </c>
      <c r="H2237" t="s">
        <v>5753</v>
      </c>
      <c r="I2237" t="s">
        <v>1768</v>
      </c>
      <c r="J2237" t="s">
        <v>5754</v>
      </c>
      <c r="K2237" t="s">
        <v>1277</v>
      </c>
      <c r="L2237" t="s">
        <v>4717</v>
      </c>
    </row>
    <row r="2238">
      <c r="A2238" t="s">
        <v>2754</v>
      </c>
      <c r="B2238" t="s">
        <v>1735</v>
      </c>
      <c r="C2238" t="s">
        <v>1628</v>
      </c>
      <c r="D2238" t="s">
        <v>1732</v>
      </c>
      <c r="E2238" t="s">
        <v>1733</v>
      </c>
      <c r="F2238" t="s">
        <v>129</v>
      </c>
      <c r="G2238" t="s">
        <v>4715</v>
      </c>
      <c r="H2238" t="s">
        <v>5522</v>
      </c>
      <c r="I2238" t="s">
        <v>5656</v>
      </c>
      <c r="J2238" t="s">
        <v>5657</v>
      </c>
      <c r="K2238" t="s">
        <v>5658</v>
      </c>
      <c r="L2238" t="s">
        <v>4717</v>
      </c>
    </row>
    <row r="2239">
      <c r="A2239" t="s">
        <v>2757</v>
      </c>
      <c r="B2239" t="s">
        <v>1743</v>
      </c>
      <c r="C2239" t="s">
        <v>1628</v>
      </c>
      <c r="D2239" t="s">
        <v>1732</v>
      </c>
      <c r="E2239" t="s">
        <v>1733</v>
      </c>
      <c r="F2239" t="s">
        <v>97</v>
      </c>
      <c r="G2239" t="s">
        <v>4715</v>
      </c>
      <c r="H2239" t="s">
        <v>5041</v>
      </c>
      <c r="I2239" t="s">
        <v>5614</v>
      </c>
      <c r="J2239" t="s">
        <v>5615</v>
      </c>
      <c r="K2239" t="s">
        <v>4169</v>
      </c>
      <c r="L2239" t="s">
        <v>4717</v>
      </c>
    </row>
    <row r="2240">
      <c r="A2240" t="s">
        <v>2757</v>
      </c>
      <c r="B2240" t="s">
        <v>1743</v>
      </c>
      <c r="C2240" t="s">
        <v>1628</v>
      </c>
      <c r="D2240" t="s">
        <v>1732</v>
      </c>
      <c r="E2240" t="s">
        <v>1733</v>
      </c>
      <c r="F2240" t="s">
        <v>97</v>
      </c>
      <c r="G2240" t="s">
        <v>4715</v>
      </c>
      <c r="H2240" t="s">
        <v>5616</v>
      </c>
      <c r="I2240" t="s">
        <v>5617</v>
      </c>
      <c r="J2240" t="s">
        <v>5618</v>
      </c>
      <c r="K2240" t="s">
        <v>5619</v>
      </c>
      <c r="L2240" t="s">
        <v>4717</v>
      </c>
    </row>
    <row r="2241">
      <c r="A2241" t="s">
        <v>2757</v>
      </c>
      <c r="B2241" t="s">
        <v>1743</v>
      </c>
      <c r="C2241" t="s">
        <v>1628</v>
      </c>
      <c r="D2241" t="s">
        <v>1732</v>
      </c>
      <c r="E2241" t="s">
        <v>1733</v>
      </c>
      <c r="F2241" t="s">
        <v>97</v>
      </c>
      <c r="G2241" t="s">
        <v>4715</v>
      </c>
      <c r="H2241" t="s">
        <v>5499</v>
      </c>
      <c r="I2241" t="s">
        <v>5620</v>
      </c>
      <c r="J2241" t="s">
        <v>5621</v>
      </c>
      <c r="K2241" t="s">
        <v>5622</v>
      </c>
      <c r="L2241" t="s">
        <v>4717</v>
      </c>
    </row>
    <row r="2242">
      <c r="A2242" t="s">
        <v>2757</v>
      </c>
      <c r="B2242" t="s">
        <v>1743</v>
      </c>
      <c r="C2242" t="s">
        <v>1628</v>
      </c>
      <c r="D2242" t="s">
        <v>1732</v>
      </c>
      <c r="E2242" t="s">
        <v>1733</v>
      </c>
      <c r="F2242" t="s">
        <v>97</v>
      </c>
      <c r="G2242" t="s">
        <v>4715</v>
      </c>
      <c r="H2242" t="s">
        <v>5623</v>
      </c>
      <c r="I2242" t="s">
        <v>5624</v>
      </c>
      <c r="J2242" t="s">
        <v>5625</v>
      </c>
      <c r="K2242" t="s">
        <v>5626</v>
      </c>
      <c r="L2242" t="s">
        <v>4717</v>
      </c>
    </row>
    <row r="2243">
      <c r="A2243" t="s">
        <v>2757</v>
      </c>
      <c r="B2243" t="s">
        <v>1743</v>
      </c>
      <c r="C2243" t="s">
        <v>1628</v>
      </c>
      <c r="D2243" t="s">
        <v>1732</v>
      </c>
      <c r="E2243" t="s">
        <v>1733</v>
      </c>
      <c r="F2243" t="s">
        <v>97</v>
      </c>
      <c r="G2243" t="s">
        <v>4715</v>
      </c>
      <c r="H2243" t="s">
        <v>3904</v>
      </c>
      <c r="I2243" t="s">
        <v>5627</v>
      </c>
      <c r="J2243" t="s">
        <v>5628</v>
      </c>
      <c r="K2243" t="s">
        <v>5629</v>
      </c>
      <c r="L2243" t="s">
        <v>4717</v>
      </c>
    </row>
    <row r="2244">
      <c r="A2244" t="s">
        <v>2757</v>
      </c>
      <c r="B2244" t="s">
        <v>1743</v>
      </c>
      <c r="C2244" t="s">
        <v>1628</v>
      </c>
      <c r="D2244" t="s">
        <v>1732</v>
      </c>
      <c r="E2244" t="s">
        <v>1733</v>
      </c>
      <c r="F2244" t="s">
        <v>97</v>
      </c>
      <c r="G2244" t="s">
        <v>4715</v>
      </c>
      <c r="H2244" t="s">
        <v>5630</v>
      </c>
      <c r="I2244" t="s">
        <v>5474</v>
      </c>
      <c r="J2244" t="s">
        <v>5631</v>
      </c>
      <c r="K2244" t="s">
        <v>5632</v>
      </c>
      <c r="L2244" t="s">
        <v>4717</v>
      </c>
    </row>
    <row r="2245">
      <c r="A2245" t="s">
        <v>2757</v>
      </c>
      <c r="B2245" t="s">
        <v>1743</v>
      </c>
      <c r="C2245" t="s">
        <v>1628</v>
      </c>
      <c r="D2245" t="s">
        <v>1732</v>
      </c>
      <c r="E2245" t="s">
        <v>1733</v>
      </c>
      <c r="F2245" t="s">
        <v>97</v>
      </c>
      <c r="G2245" t="s">
        <v>4715</v>
      </c>
      <c r="H2245" t="s">
        <v>5170</v>
      </c>
      <c r="I2245" t="s">
        <v>5171</v>
      </c>
      <c r="J2245" t="s">
        <v>5633</v>
      </c>
      <c r="K2245" t="s">
        <v>5634</v>
      </c>
      <c r="L2245" t="s">
        <v>4717</v>
      </c>
    </row>
    <row r="2246">
      <c r="A2246" t="s">
        <v>2757</v>
      </c>
      <c r="B2246" t="s">
        <v>1743</v>
      </c>
      <c r="C2246" t="s">
        <v>1628</v>
      </c>
      <c r="D2246" t="s">
        <v>1732</v>
      </c>
      <c r="E2246" t="s">
        <v>1733</v>
      </c>
      <c r="F2246" t="s">
        <v>97</v>
      </c>
      <c r="G2246" t="s">
        <v>4715</v>
      </c>
      <c r="H2246" t="s">
        <v>5157</v>
      </c>
      <c r="I2246" t="s">
        <v>5635</v>
      </c>
      <c r="J2246" t="s">
        <v>5636</v>
      </c>
      <c r="K2246" t="s">
        <v>5637</v>
      </c>
      <c r="L2246" t="s">
        <v>4717</v>
      </c>
    </row>
    <row r="2247">
      <c r="A2247" t="s">
        <v>2757</v>
      </c>
      <c r="B2247" t="s">
        <v>1743</v>
      </c>
      <c r="C2247" t="s">
        <v>1628</v>
      </c>
      <c r="D2247" t="s">
        <v>1732</v>
      </c>
      <c r="E2247" t="s">
        <v>1733</v>
      </c>
      <c r="F2247" t="s">
        <v>97</v>
      </c>
      <c r="G2247" t="s">
        <v>4715</v>
      </c>
      <c r="H2247" t="s">
        <v>5742</v>
      </c>
      <c r="I2247" t="s">
        <v>5405</v>
      </c>
      <c r="J2247" t="s">
        <v>5743</v>
      </c>
      <c r="K2247" t="s">
        <v>4195</v>
      </c>
      <c r="L2247" t="s">
        <v>4717</v>
      </c>
    </row>
    <row r="2248">
      <c r="A2248" t="s">
        <v>2757</v>
      </c>
      <c r="B2248" t="s">
        <v>1743</v>
      </c>
      <c r="C2248" t="s">
        <v>1628</v>
      </c>
      <c r="D2248" t="s">
        <v>1732</v>
      </c>
      <c r="E2248" t="s">
        <v>1733</v>
      </c>
      <c r="F2248" t="s">
        <v>97</v>
      </c>
      <c r="G2248" t="s">
        <v>4715</v>
      </c>
      <c r="H2248" t="s">
        <v>5742</v>
      </c>
      <c r="I2248" t="s">
        <v>5744</v>
      </c>
      <c r="J2248" t="s">
        <v>5745</v>
      </c>
      <c r="K2248" t="s">
        <v>5746</v>
      </c>
      <c r="L2248" t="s">
        <v>4717</v>
      </c>
    </row>
    <row r="2249">
      <c r="A2249" t="s">
        <v>2757</v>
      </c>
      <c r="B2249" t="s">
        <v>1743</v>
      </c>
      <c r="C2249" t="s">
        <v>1628</v>
      </c>
      <c r="D2249" t="s">
        <v>1732</v>
      </c>
      <c r="E2249" t="s">
        <v>1733</v>
      </c>
      <c r="F2249" t="s">
        <v>97</v>
      </c>
      <c r="G2249" t="s">
        <v>4715</v>
      </c>
      <c r="H2249" t="s">
        <v>5742</v>
      </c>
      <c r="I2249" t="s">
        <v>5747</v>
      </c>
      <c r="J2249" t="s">
        <v>5748</v>
      </c>
      <c r="K2249" t="s">
        <v>5749</v>
      </c>
      <c r="L2249" t="s">
        <v>4717</v>
      </c>
    </row>
    <row r="2250">
      <c r="A2250" t="s">
        <v>2757</v>
      </c>
      <c r="B2250" t="s">
        <v>1743</v>
      </c>
      <c r="C2250" t="s">
        <v>1628</v>
      </c>
      <c r="D2250" t="s">
        <v>1732</v>
      </c>
      <c r="E2250" t="s">
        <v>1733</v>
      </c>
      <c r="F2250" t="s">
        <v>97</v>
      </c>
      <c r="G2250" t="s">
        <v>4715</v>
      </c>
      <c r="H2250" t="s">
        <v>5750</v>
      </c>
      <c r="I2250" t="s">
        <v>5415</v>
      </c>
      <c r="J2250" t="s">
        <v>5751</v>
      </c>
      <c r="K2250" t="s">
        <v>5752</v>
      </c>
      <c r="L2250" t="s">
        <v>4717</v>
      </c>
    </row>
    <row r="2251">
      <c r="A2251" t="s">
        <v>2757</v>
      </c>
      <c r="B2251" t="s">
        <v>1743</v>
      </c>
      <c r="C2251" t="s">
        <v>1628</v>
      </c>
      <c r="D2251" t="s">
        <v>1732</v>
      </c>
      <c r="E2251" t="s">
        <v>1733</v>
      </c>
      <c r="F2251" t="s">
        <v>97</v>
      </c>
      <c r="G2251" t="s">
        <v>4715</v>
      </c>
      <c r="H2251" t="s">
        <v>5753</v>
      </c>
      <c r="I2251" t="s">
        <v>1768</v>
      </c>
      <c r="J2251" t="s">
        <v>5754</v>
      </c>
      <c r="K2251" t="s">
        <v>1277</v>
      </c>
      <c r="L2251" t="s">
        <v>4717</v>
      </c>
    </row>
    <row r="2252">
      <c r="A2252" t="s">
        <v>2757</v>
      </c>
      <c r="B2252" t="s">
        <v>1743</v>
      </c>
      <c r="C2252" t="s">
        <v>1628</v>
      </c>
      <c r="D2252" t="s">
        <v>1732</v>
      </c>
      <c r="E2252" t="s">
        <v>1733</v>
      </c>
      <c r="F2252" t="s">
        <v>97</v>
      </c>
      <c r="G2252" t="s">
        <v>4715</v>
      </c>
      <c r="H2252" t="s">
        <v>5522</v>
      </c>
      <c r="I2252" t="s">
        <v>5656</v>
      </c>
      <c r="J2252" t="s">
        <v>5657</v>
      </c>
      <c r="K2252" t="s">
        <v>5658</v>
      </c>
      <c r="L2252" t="s">
        <v>4717</v>
      </c>
    </row>
    <row r="2253">
      <c r="A2253" t="s">
        <v>2760</v>
      </c>
      <c r="B2253" t="s">
        <v>1750</v>
      </c>
      <c r="C2253" t="s">
        <v>1628</v>
      </c>
      <c r="D2253" t="s">
        <v>1732</v>
      </c>
      <c r="E2253" t="s">
        <v>1733</v>
      </c>
      <c r="F2253" t="s">
        <v>154</v>
      </c>
      <c r="G2253" t="s">
        <v>4715</v>
      </c>
      <c r="H2253" t="s">
        <v>5041</v>
      </c>
      <c r="I2253" t="s">
        <v>5614</v>
      </c>
      <c r="J2253" t="s">
        <v>5615</v>
      </c>
      <c r="K2253" t="s">
        <v>4169</v>
      </c>
      <c r="L2253" t="s">
        <v>4717</v>
      </c>
    </row>
    <row r="2254">
      <c r="A2254" t="s">
        <v>2760</v>
      </c>
      <c r="B2254" t="s">
        <v>1750</v>
      </c>
      <c r="C2254" t="s">
        <v>1628</v>
      </c>
      <c r="D2254" t="s">
        <v>1732</v>
      </c>
      <c r="E2254" t="s">
        <v>1733</v>
      </c>
      <c r="F2254" t="s">
        <v>154</v>
      </c>
      <c r="G2254" t="s">
        <v>4715</v>
      </c>
      <c r="H2254" t="s">
        <v>5616</v>
      </c>
      <c r="I2254" t="s">
        <v>5617</v>
      </c>
      <c r="J2254" t="s">
        <v>5618</v>
      </c>
      <c r="K2254" t="s">
        <v>5619</v>
      </c>
      <c r="L2254" t="s">
        <v>4717</v>
      </c>
    </row>
    <row r="2255">
      <c r="A2255" t="s">
        <v>2760</v>
      </c>
      <c r="B2255" t="s">
        <v>1750</v>
      </c>
      <c r="C2255" t="s">
        <v>1628</v>
      </c>
      <c r="D2255" t="s">
        <v>1732</v>
      </c>
      <c r="E2255" t="s">
        <v>1733</v>
      </c>
      <c r="F2255" t="s">
        <v>154</v>
      </c>
      <c r="G2255" t="s">
        <v>4715</v>
      </c>
      <c r="H2255" t="s">
        <v>5499</v>
      </c>
      <c r="I2255" t="s">
        <v>5620</v>
      </c>
      <c r="J2255" t="s">
        <v>5621</v>
      </c>
      <c r="K2255" t="s">
        <v>5622</v>
      </c>
      <c r="L2255" t="s">
        <v>4717</v>
      </c>
    </row>
    <row r="2256">
      <c r="A2256" t="s">
        <v>2760</v>
      </c>
      <c r="B2256" t="s">
        <v>1750</v>
      </c>
      <c r="C2256" t="s">
        <v>1628</v>
      </c>
      <c r="D2256" t="s">
        <v>1732</v>
      </c>
      <c r="E2256" t="s">
        <v>1733</v>
      </c>
      <c r="F2256" t="s">
        <v>154</v>
      </c>
      <c r="G2256" t="s">
        <v>4715</v>
      </c>
      <c r="H2256" t="s">
        <v>5623</v>
      </c>
      <c r="I2256" t="s">
        <v>5624</v>
      </c>
      <c r="J2256" t="s">
        <v>5625</v>
      </c>
      <c r="K2256" t="s">
        <v>5626</v>
      </c>
      <c r="L2256" t="s">
        <v>4717</v>
      </c>
    </row>
    <row r="2257">
      <c r="A2257" t="s">
        <v>2760</v>
      </c>
      <c r="B2257" t="s">
        <v>1750</v>
      </c>
      <c r="C2257" t="s">
        <v>1628</v>
      </c>
      <c r="D2257" t="s">
        <v>1732</v>
      </c>
      <c r="E2257" t="s">
        <v>1733</v>
      </c>
      <c r="F2257" t="s">
        <v>154</v>
      </c>
      <c r="G2257" t="s">
        <v>4715</v>
      </c>
      <c r="H2257" t="s">
        <v>3904</v>
      </c>
      <c r="I2257" t="s">
        <v>5627</v>
      </c>
      <c r="J2257" t="s">
        <v>5628</v>
      </c>
      <c r="K2257" t="s">
        <v>5629</v>
      </c>
      <c r="L2257" t="s">
        <v>4717</v>
      </c>
    </row>
    <row r="2258">
      <c r="A2258" t="s">
        <v>2760</v>
      </c>
      <c r="B2258" t="s">
        <v>1750</v>
      </c>
      <c r="C2258" t="s">
        <v>1628</v>
      </c>
      <c r="D2258" t="s">
        <v>1732</v>
      </c>
      <c r="E2258" t="s">
        <v>1733</v>
      </c>
      <c r="F2258" t="s">
        <v>154</v>
      </c>
      <c r="G2258" t="s">
        <v>4715</v>
      </c>
      <c r="H2258" t="s">
        <v>5630</v>
      </c>
      <c r="I2258" t="s">
        <v>5474</v>
      </c>
      <c r="J2258" t="s">
        <v>5631</v>
      </c>
      <c r="K2258" t="s">
        <v>5632</v>
      </c>
      <c r="L2258" t="s">
        <v>4717</v>
      </c>
    </row>
    <row r="2259">
      <c r="A2259" t="s">
        <v>2760</v>
      </c>
      <c r="B2259" t="s">
        <v>1750</v>
      </c>
      <c r="C2259" t="s">
        <v>1628</v>
      </c>
      <c r="D2259" t="s">
        <v>1732</v>
      </c>
      <c r="E2259" t="s">
        <v>1733</v>
      </c>
      <c r="F2259" t="s">
        <v>154</v>
      </c>
      <c r="G2259" t="s">
        <v>4715</v>
      </c>
      <c r="H2259" t="s">
        <v>5170</v>
      </c>
      <c r="I2259" t="s">
        <v>5171</v>
      </c>
      <c r="J2259" t="s">
        <v>5633</v>
      </c>
      <c r="K2259" t="s">
        <v>5634</v>
      </c>
      <c r="L2259" t="s">
        <v>4717</v>
      </c>
    </row>
    <row r="2260">
      <c r="A2260" t="s">
        <v>2760</v>
      </c>
      <c r="B2260" t="s">
        <v>1750</v>
      </c>
      <c r="C2260" t="s">
        <v>1628</v>
      </c>
      <c r="D2260" t="s">
        <v>1732</v>
      </c>
      <c r="E2260" t="s">
        <v>1733</v>
      </c>
      <c r="F2260" t="s">
        <v>154</v>
      </c>
      <c r="G2260" t="s">
        <v>4715</v>
      </c>
      <c r="H2260" t="s">
        <v>5157</v>
      </c>
      <c r="I2260" t="s">
        <v>5635</v>
      </c>
      <c r="J2260" t="s">
        <v>5636</v>
      </c>
      <c r="K2260" t="s">
        <v>5637</v>
      </c>
      <c r="L2260" t="s">
        <v>4717</v>
      </c>
    </row>
    <row r="2261">
      <c r="A2261" t="s">
        <v>2760</v>
      </c>
      <c r="B2261" t="s">
        <v>1750</v>
      </c>
      <c r="C2261" t="s">
        <v>1628</v>
      </c>
      <c r="D2261" t="s">
        <v>1732</v>
      </c>
      <c r="E2261" t="s">
        <v>1733</v>
      </c>
      <c r="F2261" t="s">
        <v>154</v>
      </c>
      <c r="G2261" t="s">
        <v>4715</v>
      </c>
      <c r="H2261" t="s">
        <v>5742</v>
      </c>
      <c r="I2261" t="s">
        <v>5405</v>
      </c>
      <c r="J2261" t="s">
        <v>5743</v>
      </c>
      <c r="K2261" t="s">
        <v>4195</v>
      </c>
      <c r="L2261" t="s">
        <v>4717</v>
      </c>
    </row>
    <row r="2262">
      <c r="A2262" t="s">
        <v>2760</v>
      </c>
      <c r="B2262" t="s">
        <v>1750</v>
      </c>
      <c r="C2262" t="s">
        <v>1628</v>
      </c>
      <c r="D2262" t="s">
        <v>1732</v>
      </c>
      <c r="E2262" t="s">
        <v>1733</v>
      </c>
      <c r="F2262" t="s">
        <v>154</v>
      </c>
      <c r="G2262" t="s">
        <v>4715</v>
      </c>
      <c r="H2262" t="s">
        <v>5742</v>
      </c>
      <c r="I2262" t="s">
        <v>5744</v>
      </c>
      <c r="J2262" t="s">
        <v>5745</v>
      </c>
      <c r="K2262" t="s">
        <v>5746</v>
      </c>
      <c r="L2262" t="s">
        <v>4717</v>
      </c>
    </row>
    <row r="2263">
      <c r="A2263" t="s">
        <v>2760</v>
      </c>
      <c r="B2263" t="s">
        <v>1750</v>
      </c>
      <c r="C2263" t="s">
        <v>1628</v>
      </c>
      <c r="D2263" t="s">
        <v>1732</v>
      </c>
      <c r="E2263" t="s">
        <v>1733</v>
      </c>
      <c r="F2263" t="s">
        <v>154</v>
      </c>
      <c r="G2263" t="s">
        <v>4715</v>
      </c>
      <c r="H2263" t="s">
        <v>5742</v>
      </c>
      <c r="I2263" t="s">
        <v>5747</v>
      </c>
      <c r="J2263" t="s">
        <v>5748</v>
      </c>
      <c r="K2263" t="s">
        <v>5749</v>
      </c>
      <c r="L2263" t="s">
        <v>4717</v>
      </c>
    </row>
    <row r="2264">
      <c r="A2264" t="s">
        <v>2760</v>
      </c>
      <c r="B2264" t="s">
        <v>1750</v>
      </c>
      <c r="C2264" t="s">
        <v>1628</v>
      </c>
      <c r="D2264" t="s">
        <v>1732</v>
      </c>
      <c r="E2264" t="s">
        <v>1733</v>
      </c>
      <c r="F2264" t="s">
        <v>154</v>
      </c>
      <c r="G2264" t="s">
        <v>4715</v>
      </c>
      <c r="H2264" t="s">
        <v>5750</v>
      </c>
      <c r="I2264" t="s">
        <v>5415</v>
      </c>
      <c r="J2264" t="s">
        <v>5751</v>
      </c>
      <c r="K2264" t="s">
        <v>5752</v>
      </c>
      <c r="L2264" t="s">
        <v>4717</v>
      </c>
    </row>
    <row r="2265">
      <c r="A2265" t="s">
        <v>2760</v>
      </c>
      <c r="B2265" t="s">
        <v>1750</v>
      </c>
      <c r="C2265" t="s">
        <v>1628</v>
      </c>
      <c r="D2265" t="s">
        <v>1732</v>
      </c>
      <c r="E2265" t="s">
        <v>1733</v>
      </c>
      <c r="F2265" t="s">
        <v>154</v>
      </c>
      <c r="G2265" t="s">
        <v>4715</v>
      </c>
      <c r="H2265" t="s">
        <v>5753</v>
      </c>
      <c r="I2265" t="s">
        <v>1768</v>
      </c>
      <c r="J2265" t="s">
        <v>5754</v>
      </c>
      <c r="K2265" t="s">
        <v>1277</v>
      </c>
      <c r="L2265" t="s">
        <v>4717</v>
      </c>
    </row>
    <row r="2266">
      <c r="A2266" t="s">
        <v>2760</v>
      </c>
      <c r="B2266" t="s">
        <v>1750</v>
      </c>
      <c r="C2266" t="s">
        <v>1628</v>
      </c>
      <c r="D2266" t="s">
        <v>1732</v>
      </c>
      <c r="E2266" t="s">
        <v>1733</v>
      </c>
      <c r="F2266" t="s">
        <v>154</v>
      </c>
      <c r="G2266" t="s">
        <v>4715</v>
      </c>
      <c r="H2266" t="s">
        <v>5522</v>
      </c>
      <c r="I2266" t="s">
        <v>5656</v>
      </c>
      <c r="J2266" t="s">
        <v>5657</v>
      </c>
      <c r="K2266" t="s">
        <v>5658</v>
      </c>
      <c r="L2266" t="s">
        <v>4717</v>
      </c>
    </row>
    <row r="2267">
      <c r="A2267" t="s">
        <v>2763</v>
      </c>
      <c r="B2267" t="s">
        <v>1756</v>
      </c>
      <c r="C2267" t="s">
        <v>1628</v>
      </c>
      <c r="D2267" t="s">
        <v>1732</v>
      </c>
      <c r="E2267" t="s">
        <v>1733</v>
      </c>
      <c r="F2267" t="s">
        <v>97</v>
      </c>
      <c r="G2267" t="s">
        <v>4715</v>
      </c>
      <c r="H2267" t="s">
        <v>5041</v>
      </c>
      <c r="I2267" t="s">
        <v>5614</v>
      </c>
      <c r="J2267" t="s">
        <v>5615</v>
      </c>
      <c r="K2267" t="s">
        <v>4169</v>
      </c>
      <c r="L2267" t="s">
        <v>4717</v>
      </c>
    </row>
    <row r="2268">
      <c r="A2268" t="s">
        <v>2763</v>
      </c>
      <c r="B2268" t="s">
        <v>1756</v>
      </c>
      <c r="C2268" t="s">
        <v>1628</v>
      </c>
      <c r="D2268" t="s">
        <v>1732</v>
      </c>
      <c r="E2268" t="s">
        <v>1733</v>
      </c>
      <c r="F2268" t="s">
        <v>97</v>
      </c>
      <c r="G2268" t="s">
        <v>4715</v>
      </c>
      <c r="H2268" t="s">
        <v>5616</v>
      </c>
      <c r="I2268" t="s">
        <v>5617</v>
      </c>
      <c r="J2268" t="s">
        <v>5618</v>
      </c>
      <c r="K2268" t="s">
        <v>5619</v>
      </c>
      <c r="L2268" t="s">
        <v>4717</v>
      </c>
    </row>
    <row r="2269">
      <c r="A2269" t="s">
        <v>2763</v>
      </c>
      <c r="B2269" t="s">
        <v>1756</v>
      </c>
      <c r="C2269" t="s">
        <v>1628</v>
      </c>
      <c r="D2269" t="s">
        <v>1732</v>
      </c>
      <c r="E2269" t="s">
        <v>1733</v>
      </c>
      <c r="F2269" t="s">
        <v>97</v>
      </c>
      <c r="G2269" t="s">
        <v>4715</v>
      </c>
      <c r="H2269" t="s">
        <v>5499</v>
      </c>
      <c r="I2269" t="s">
        <v>5620</v>
      </c>
      <c r="J2269" t="s">
        <v>5621</v>
      </c>
      <c r="K2269" t="s">
        <v>5622</v>
      </c>
      <c r="L2269" t="s">
        <v>4717</v>
      </c>
    </row>
    <row r="2270">
      <c r="A2270" t="s">
        <v>2763</v>
      </c>
      <c r="B2270" t="s">
        <v>1756</v>
      </c>
      <c r="C2270" t="s">
        <v>1628</v>
      </c>
      <c r="D2270" t="s">
        <v>1732</v>
      </c>
      <c r="E2270" t="s">
        <v>1733</v>
      </c>
      <c r="F2270" t="s">
        <v>97</v>
      </c>
      <c r="G2270" t="s">
        <v>4715</v>
      </c>
      <c r="H2270" t="s">
        <v>5623</v>
      </c>
      <c r="I2270" t="s">
        <v>5624</v>
      </c>
      <c r="J2270" t="s">
        <v>5625</v>
      </c>
      <c r="K2270" t="s">
        <v>5626</v>
      </c>
      <c r="L2270" t="s">
        <v>4717</v>
      </c>
    </row>
    <row r="2271">
      <c r="A2271" t="s">
        <v>2763</v>
      </c>
      <c r="B2271" t="s">
        <v>1756</v>
      </c>
      <c r="C2271" t="s">
        <v>1628</v>
      </c>
      <c r="D2271" t="s">
        <v>1732</v>
      </c>
      <c r="E2271" t="s">
        <v>1733</v>
      </c>
      <c r="F2271" t="s">
        <v>97</v>
      </c>
      <c r="G2271" t="s">
        <v>4715</v>
      </c>
      <c r="H2271" t="s">
        <v>3904</v>
      </c>
      <c r="I2271" t="s">
        <v>5627</v>
      </c>
      <c r="J2271" t="s">
        <v>5628</v>
      </c>
      <c r="K2271" t="s">
        <v>5629</v>
      </c>
      <c r="L2271" t="s">
        <v>4717</v>
      </c>
    </row>
    <row r="2272">
      <c r="A2272" t="s">
        <v>2763</v>
      </c>
      <c r="B2272" t="s">
        <v>1756</v>
      </c>
      <c r="C2272" t="s">
        <v>1628</v>
      </c>
      <c r="D2272" t="s">
        <v>1732</v>
      </c>
      <c r="E2272" t="s">
        <v>1733</v>
      </c>
      <c r="F2272" t="s">
        <v>97</v>
      </c>
      <c r="G2272" t="s">
        <v>4715</v>
      </c>
      <c r="H2272" t="s">
        <v>5630</v>
      </c>
      <c r="I2272" t="s">
        <v>5474</v>
      </c>
      <c r="J2272" t="s">
        <v>5631</v>
      </c>
      <c r="K2272" t="s">
        <v>5632</v>
      </c>
      <c r="L2272" t="s">
        <v>4717</v>
      </c>
    </row>
    <row r="2273">
      <c r="A2273" t="s">
        <v>2763</v>
      </c>
      <c r="B2273" t="s">
        <v>1756</v>
      </c>
      <c r="C2273" t="s">
        <v>1628</v>
      </c>
      <c r="D2273" t="s">
        <v>1732</v>
      </c>
      <c r="E2273" t="s">
        <v>1733</v>
      </c>
      <c r="F2273" t="s">
        <v>97</v>
      </c>
      <c r="G2273" t="s">
        <v>4715</v>
      </c>
      <c r="H2273" t="s">
        <v>5170</v>
      </c>
      <c r="I2273" t="s">
        <v>5171</v>
      </c>
      <c r="J2273" t="s">
        <v>5633</v>
      </c>
      <c r="K2273" t="s">
        <v>5634</v>
      </c>
      <c r="L2273" t="s">
        <v>4717</v>
      </c>
    </row>
    <row r="2274">
      <c r="A2274" t="s">
        <v>2763</v>
      </c>
      <c r="B2274" t="s">
        <v>1756</v>
      </c>
      <c r="C2274" t="s">
        <v>1628</v>
      </c>
      <c r="D2274" t="s">
        <v>1732</v>
      </c>
      <c r="E2274" t="s">
        <v>1733</v>
      </c>
      <c r="F2274" t="s">
        <v>97</v>
      </c>
      <c r="G2274" t="s">
        <v>4715</v>
      </c>
      <c r="H2274" t="s">
        <v>5157</v>
      </c>
      <c r="I2274" t="s">
        <v>5635</v>
      </c>
      <c r="J2274" t="s">
        <v>5636</v>
      </c>
      <c r="K2274" t="s">
        <v>5637</v>
      </c>
      <c r="L2274" t="s">
        <v>4717</v>
      </c>
    </row>
    <row r="2275">
      <c r="A2275" t="s">
        <v>2763</v>
      </c>
      <c r="B2275" t="s">
        <v>1756</v>
      </c>
      <c r="C2275" t="s">
        <v>1628</v>
      </c>
      <c r="D2275" t="s">
        <v>1732</v>
      </c>
      <c r="E2275" t="s">
        <v>1733</v>
      </c>
      <c r="F2275" t="s">
        <v>97</v>
      </c>
      <c r="G2275" t="s">
        <v>4715</v>
      </c>
      <c r="H2275" t="s">
        <v>5742</v>
      </c>
      <c r="I2275" t="s">
        <v>5405</v>
      </c>
      <c r="J2275" t="s">
        <v>5743</v>
      </c>
      <c r="K2275" t="s">
        <v>4195</v>
      </c>
      <c r="L2275" t="s">
        <v>4717</v>
      </c>
    </row>
    <row r="2276">
      <c r="A2276" t="s">
        <v>2763</v>
      </c>
      <c r="B2276" t="s">
        <v>1756</v>
      </c>
      <c r="C2276" t="s">
        <v>1628</v>
      </c>
      <c r="D2276" t="s">
        <v>1732</v>
      </c>
      <c r="E2276" t="s">
        <v>1733</v>
      </c>
      <c r="F2276" t="s">
        <v>97</v>
      </c>
      <c r="G2276" t="s">
        <v>4715</v>
      </c>
      <c r="H2276" t="s">
        <v>5742</v>
      </c>
      <c r="I2276" t="s">
        <v>5744</v>
      </c>
      <c r="J2276" t="s">
        <v>5745</v>
      </c>
      <c r="K2276" t="s">
        <v>5746</v>
      </c>
      <c r="L2276" t="s">
        <v>4717</v>
      </c>
    </row>
    <row r="2277">
      <c r="A2277" t="s">
        <v>2763</v>
      </c>
      <c r="B2277" t="s">
        <v>1756</v>
      </c>
      <c r="C2277" t="s">
        <v>1628</v>
      </c>
      <c r="D2277" t="s">
        <v>1732</v>
      </c>
      <c r="E2277" t="s">
        <v>1733</v>
      </c>
      <c r="F2277" t="s">
        <v>97</v>
      </c>
      <c r="G2277" t="s">
        <v>4715</v>
      </c>
      <c r="H2277" t="s">
        <v>5742</v>
      </c>
      <c r="I2277" t="s">
        <v>5747</v>
      </c>
      <c r="J2277" t="s">
        <v>5748</v>
      </c>
      <c r="K2277" t="s">
        <v>5749</v>
      </c>
      <c r="L2277" t="s">
        <v>4717</v>
      </c>
    </row>
    <row r="2278">
      <c r="A2278" t="s">
        <v>2763</v>
      </c>
      <c r="B2278" t="s">
        <v>1756</v>
      </c>
      <c r="C2278" t="s">
        <v>1628</v>
      </c>
      <c r="D2278" t="s">
        <v>1732</v>
      </c>
      <c r="E2278" t="s">
        <v>1733</v>
      </c>
      <c r="F2278" t="s">
        <v>97</v>
      </c>
      <c r="G2278" t="s">
        <v>4715</v>
      </c>
      <c r="H2278" t="s">
        <v>5750</v>
      </c>
      <c r="I2278" t="s">
        <v>5415</v>
      </c>
      <c r="J2278" t="s">
        <v>5751</v>
      </c>
      <c r="K2278" t="s">
        <v>5752</v>
      </c>
      <c r="L2278" t="s">
        <v>4717</v>
      </c>
    </row>
    <row r="2279">
      <c r="A2279" t="s">
        <v>2763</v>
      </c>
      <c r="B2279" t="s">
        <v>1756</v>
      </c>
      <c r="C2279" t="s">
        <v>1628</v>
      </c>
      <c r="D2279" t="s">
        <v>1732</v>
      </c>
      <c r="E2279" t="s">
        <v>1733</v>
      </c>
      <c r="F2279" t="s">
        <v>97</v>
      </c>
      <c r="G2279" t="s">
        <v>4715</v>
      </c>
      <c r="H2279" t="s">
        <v>5753</v>
      </c>
      <c r="I2279" t="s">
        <v>1768</v>
      </c>
      <c r="J2279" t="s">
        <v>5754</v>
      </c>
      <c r="K2279" t="s">
        <v>1277</v>
      </c>
      <c r="L2279" t="s">
        <v>4717</v>
      </c>
    </row>
    <row r="2280">
      <c r="A2280" t="s">
        <v>2763</v>
      </c>
      <c r="B2280" t="s">
        <v>1756</v>
      </c>
      <c r="C2280" t="s">
        <v>1628</v>
      </c>
      <c r="D2280" t="s">
        <v>1732</v>
      </c>
      <c r="E2280" t="s">
        <v>1733</v>
      </c>
      <c r="F2280" t="s">
        <v>97</v>
      </c>
      <c r="G2280" t="s">
        <v>4715</v>
      </c>
      <c r="H2280" t="s">
        <v>5522</v>
      </c>
      <c r="I2280" t="s">
        <v>5656</v>
      </c>
      <c r="J2280" t="s">
        <v>5657</v>
      </c>
      <c r="K2280" t="s">
        <v>5658</v>
      </c>
      <c r="L2280" t="s">
        <v>4717</v>
      </c>
    </row>
    <row r="2281">
      <c r="A2281" t="s">
        <v>2766</v>
      </c>
      <c r="B2281" t="s">
        <v>1762</v>
      </c>
      <c r="C2281" t="s">
        <v>1628</v>
      </c>
      <c r="D2281" t="s">
        <v>1732</v>
      </c>
      <c r="E2281" t="s">
        <v>1733</v>
      </c>
      <c r="F2281" t="s">
        <v>154</v>
      </c>
      <c r="G2281" t="s">
        <v>4715</v>
      </c>
      <c r="H2281" t="s">
        <v>5041</v>
      </c>
      <c r="I2281" t="s">
        <v>5614</v>
      </c>
      <c r="J2281" t="s">
        <v>5615</v>
      </c>
      <c r="K2281" t="s">
        <v>4169</v>
      </c>
      <c r="L2281" t="s">
        <v>4717</v>
      </c>
    </row>
    <row r="2282">
      <c r="A2282" t="s">
        <v>2766</v>
      </c>
      <c r="B2282" t="s">
        <v>1762</v>
      </c>
      <c r="C2282" t="s">
        <v>1628</v>
      </c>
      <c r="D2282" t="s">
        <v>1732</v>
      </c>
      <c r="E2282" t="s">
        <v>1733</v>
      </c>
      <c r="F2282" t="s">
        <v>154</v>
      </c>
      <c r="G2282" t="s">
        <v>4715</v>
      </c>
      <c r="H2282" t="s">
        <v>5616</v>
      </c>
      <c r="I2282" t="s">
        <v>5617</v>
      </c>
      <c r="J2282" t="s">
        <v>5618</v>
      </c>
      <c r="K2282" t="s">
        <v>5619</v>
      </c>
      <c r="L2282" t="s">
        <v>4717</v>
      </c>
    </row>
    <row r="2283">
      <c r="A2283" t="s">
        <v>2766</v>
      </c>
      <c r="B2283" t="s">
        <v>1762</v>
      </c>
      <c r="C2283" t="s">
        <v>1628</v>
      </c>
      <c r="D2283" t="s">
        <v>1732</v>
      </c>
      <c r="E2283" t="s">
        <v>1733</v>
      </c>
      <c r="F2283" t="s">
        <v>154</v>
      </c>
      <c r="G2283" t="s">
        <v>4715</v>
      </c>
      <c r="H2283" t="s">
        <v>5499</v>
      </c>
      <c r="I2283" t="s">
        <v>5620</v>
      </c>
      <c r="J2283" t="s">
        <v>5621</v>
      </c>
      <c r="K2283" t="s">
        <v>5622</v>
      </c>
      <c r="L2283" t="s">
        <v>4717</v>
      </c>
    </row>
    <row r="2284">
      <c r="A2284" t="s">
        <v>2766</v>
      </c>
      <c r="B2284" t="s">
        <v>1762</v>
      </c>
      <c r="C2284" t="s">
        <v>1628</v>
      </c>
      <c r="D2284" t="s">
        <v>1732</v>
      </c>
      <c r="E2284" t="s">
        <v>1733</v>
      </c>
      <c r="F2284" t="s">
        <v>154</v>
      </c>
      <c r="G2284" t="s">
        <v>4715</v>
      </c>
      <c r="H2284" t="s">
        <v>5623</v>
      </c>
      <c r="I2284" t="s">
        <v>5624</v>
      </c>
      <c r="J2284" t="s">
        <v>5625</v>
      </c>
      <c r="K2284" t="s">
        <v>5626</v>
      </c>
      <c r="L2284" t="s">
        <v>4717</v>
      </c>
    </row>
    <row r="2285">
      <c r="A2285" t="s">
        <v>2766</v>
      </c>
      <c r="B2285" t="s">
        <v>1762</v>
      </c>
      <c r="C2285" t="s">
        <v>1628</v>
      </c>
      <c r="D2285" t="s">
        <v>1732</v>
      </c>
      <c r="E2285" t="s">
        <v>1733</v>
      </c>
      <c r="F2285" t="s">
        <v>154</v>
      </c>
      <c r="G2285" t="s">
        <v>4715</v>
      </c>
      <c r="H2285" t="s">
        <v>3904</v>
      </c>
      <c r="I2285" t="s">
        <v>5627</v>
      </c>
      <c r="J2285" t="s">
        <v>5628</v>
      </c>
      <c r="K2285" t="s">
        <v>5629</v>
      </c>
      <c r="L2285" t="s">
        <v>4717</v>
      </c>
    </row>
    <row r="2286">
      <c r="A2286" t="s">
        <v>2766</v>
      </c>
      <c r="B2286" t="s">
        <v>1762</v>
      </c>
      <c r="C2286" t="s">
        <v>1628</v>
      </c>
      <c r="D2286" t="s">
        <v>1732</v>
      </c>
      <c r="E2286" t="s">
        <v>1733</v>
      </c>
      <c r="F2286" t="s">
        <v>154</v>
      </c>
      <c r="G2286" t="s">
        <v>4715</v>
      </c>
      <c r="H2286" t="s">
        <v>5630</v>
      </c>
      <c r="I2286" t="s">
        <v>5474</v>
      </c>
      <c r="J2286" t="s">
        <v>5631</v>
      </c>
      <c r="K2286" t="s">
        <v>5632</v>
      </c>
      <c r="L2286" t="s">
        <v>4717</v>
      </c>
    </row>
    <row r="2287">
      <c r="A2287" t="s">
        <v>2766</v>
      </c>
      <c r="B2287" t="s">
        <v>1762</v>
      </c>
      <c r="C2287" t="s">
        <v>1628</v>
      </c>
      <c r="D2287" t="s">
        <v>1732</v>
      </c>
      <c r="E2287" t="s">
        <v>1733</v>
      </c>
      <c r="F2287" t="s">
        <v>154</v>
      </c>
      <c r="G2287" t="s">
        <v>4715</v>
      </c>
      <c r="H2287" t="s">
        <v>5170</v>
      </c>
      <c r="I2287" t="s">
        <v>5171</v>
      </c>
      <c r="J2287" t="s">
        <v>5633</v>
      </c>
      <c r="K2287" t="s">
        <v>5634</v>
      </c>
      <c r="L2287" t="s">
        <v>4717</v>
      </c>
    </row>
    <row r="2288">
      <c r="A2288" t="s">
        <v>2766</v>
      </c>
      <c r="B2288" t="s">
        <v>1762</v>
      </c>
      <c r="C2288" t="s">
        <v>1628</v>
      </c>
      <c r="D2288" t="s">
        <v>1732</v>
      </c>
      <c r="E2288" t="s">
        <v>1733</v>
      </c>
      <c r="F2288" t="s">
        <v>154</v>
      </c>
      <c r="G2288" t="s">
        <v>4715</v>
      </c>
      <c r="H2288" t="s">
        <v>5157</v>
      </c>
      <c r="I2288" t="s">
        <v>5635</v>
      </c>
      <c r="J2288" t="s">
        <v>5636</v>
      </c>
      <c r="K2288" t="s">
        <v>5637</v>
      </c>
      <c r="L2288" t="s">
        <v>4717</v>
      </c>
    </row>
    <row r="2289">
      <c r="A2289" t="s">
        <v>2766</v>
      </c>
      <c r="B2289" t="s">
        <v>1762</v>
      </c>
      <c r="C2289" t="s">
        <v>1628</v>
      </c>
      <c r="D2289" t="s">
        <v>1732</v>
      </c>
      <c r="E2289" t="s">
        <v>1733</v>
      </c>
      <c r="F2289" t="s">
        <v>154</v>
      </c>
      <c r="G2289" t="s">
        <v>4715</v>
      </c>
      <c r="H2289" t="s">
        <v>5742</v>
      </c>
      <c r="I2289" t="s">
        <v>5405</v>
      </c>
      <c r="J2289" t="s">
        <v>5743</v>
      </c>
      <c r="K2289" t="s">
        <v>4195</v>
      </c>
      <c r="L2289" t="s">
        <v>4717</v>
      </c>
    </row>
    <row r="2290">
      <c r="A2290" t="s">
        <v>2766</v>
      </c>
      <c r="B2290" t="s">
        <v>1762</v>
      </c>
      <c r="C2290" t="s">
        <v>1628</v>
      </c>
      <c r="D2290" t="s">
        <v>1732</v>
      </c>
      <c r="E2290" t="s">
        <v>1733</v>
      </c>
      <c r="F2290" t="s">
        <v>154</v>
      </c>
      <c r="G2290" t="s">
        <v>4715</v>
      </c>
      <c r="H2290" t="s">
        <v>5742</v>
      </c>
      <c r="I2290" t="s">
        <v>5744</v>
      </c>
      <c r="J2290" t="s">
        <v>5745</v>
      </c>
      <c r="K2290" t="s">
        <v>5746</v>
      </c>
      <c r="L2290" t="s">
        <v>4717</v>
      </c>
    </row>
    <row r="2291">
      <c r="A2291" t="s">
        <v>2766</v>
      </c>
      <c r="B2291" t="s">
        <v>1762</v>
      </c>
      <c r="C2291" t="s">
        <v>1628</v>
      </c>
      <c r="D2291" t="s">
        <v>1732</v>
      </c>
      <c r="E2291" t="s">
        <v>1733</v>
      </c>
      <c r="F2291" t="s">
        <v>154</v>
      </c>
      <c r="G2291" t="s">
        <v>4715</v>
      </c>
      <c r="H2291" t="s">
        <v>5742</v>
      </c>
      <c r="I2291" t="s">
        <v>5747</v>
      </c>
      <c r="J2291" t="s">
        <v>5748</v>
      </c>
      <c r="K2291" t="s">
        <v>5749</v>
      </c>
      <c r="L2291" t="s">
        <v>4717</v>
      </c>
    </row>
    <row r="2292">
      <c r="A2292" t="s">
        <v>2766</v>
      </c>
      <c r="B2292" t="s">
        <v>1762</v>
      </c>
      <c r="C2292" t="s">
        <v>1628</v>
      </c>
      <c r="D2292" t="s">
        <v>1732</v>
      </c>
      <c r="E2292" t="s">
        <v>1733</v>
      </c>
      <c r="F2292" t="s">
        <v>154</v>
      </c>
      <c r="G2292" t="s">
        <v>4715</v>
      </c>
      <c r="H2292" t="s">
        <v>5750</v>
      </c>
      <c r="I2292" t="s">
        <v>5415</v>
      </c>
      <c r="J2292" t="s">
        <v>5751</v>
      </c>
      <c r="K2292" t="s">
        <v>5752</v>
      </c>
      <c r="L2292" t="s">
        <v>4717</v>
      </c>
    </row>
    <row r="2293">
      <c r="A2293" t="s">
        <v>2766</v>
      </c>
      <c r="B2293" t="s">
        <v>1762</v>
      </c>
      <c r="C2293" t="s">
        <v>1628</v>
      </c>
      <c r="D2293" t="s">
        <v>1732</v>
      </c>
      <c r="E2293" t="s">
        <v>1733</v>
      </c>
      <c r="F2293" t="s">
        <v>154</v>
      </c>
      <c r="G2293" t="s">
        <v>4715</v>
      </c>
      <c r="H2293" t="s">
        <v>5753</v>
      </c>
      <c r="I2293" t="s">
        <v>1768</v>
      </c>
      <c r="J2293" t="s">
        <v>5754</v>
      </c>
      <c r="K2293" t="s">
        <v>1277</v>
      </c>
      <c r="L2293" t="s">
        <v>4717</v>
      </c>
    </row>
    <row r="2294">
      <c r="A2294" t="s">
        <v>2766</v>
      </c>
      <c r="B2294" t="s">
        <v>1762</v>
      </c>
      <c r="C2294" t="s">
        <v>1628</v>
      </c>
      <c r="D2294" t="s">
        <v>1732</v>
      </c>
      <c r="E2294" t="s">
        <v>1733</v>
      </c>
      <c r="F2294" t="s">
        <v>154</v>
      </c>
      <c r="G2294" t="s">
        <v>4715</v>
      </c>
      <c r="H2294" t="s">
        <v>5522</v>
      </c>
      <c r="I2294" t="s">
        <v>5656</v>
      </c>
      <c r="J2294" t="s">
        <v>5657</v>
      </c>
      <c r="K2294" t="s">
        <v>5658</v>
      </c>
      <c r="L2294" t="s">
        <v>4717</v>
      </c>
    </row>
    <row r="2295">
      <c r="A2295" t="s">
        <v>2769</v>
      </c>
      <c r="B2295" t="s">
        <v>1768</v>
      </c>
      <c r="C2295" t="s">
        <v>1628</v>
      </c>
      <c r="D2295" t="s">
        <v>1732</v>
      </c>
      <c r="E2295" t="s">
        <v>1733</v>
      </c>
      <c r="F2295" t="s">
        <v>97</v>
      </c>
      <c r="G2295" t="s">
        <v>4715</v>
      </c>
      <c r="H2295" t="s">
        <v>5041</v>
      </c>
      <c r="I2295" t="s">
        <v>5614</v>
      </c>
      <c r="J2295" t="s">
        <v>5615</v>
      </c>
      <c r="K2295" t="s">
        <v>4169</v>
      </c>
      <c r="L2295" t="s">
        <v>4717</v>
      </c>
    </row>
    <row r="2296">
      <c r="A2296" t="s">
        <v>2769</v>
      </c>
      <c r="B2296" t="s">
        <v>1768</v>
      </c>
      <c r="C2296" t="s">
        <v>1628</v>
      </c>
      <c r="D2296" t="s">
        <v>1732</v>
      </c>
      <c r="E2296" t="s">
        <v>1733</v>
      </c>
      <c r="F2296" t="s">
        <v>97</v>
      </c>
      <c r="G2296" t="s">
        <v>4715</v>
      </c>
      <c r="H2296" t="s">
        <v>5616</v>
      </c>
      <c r="I2296" t="s">
        <v>5617</v>
      </c>
      <c r="J2296" t="s">
        <v>5618</v>
      </c>
      <c r="K2296" t="s">
        <v>5619</v>
      </c>
      <c r="L2296" t="s">
        <v>4717</v>
      </c>
    </row>
    <row r="2297">
      <c r="A2297" t="s">
        <v>2769</v>
      </c>
      <c r="B2297" t="s">
        <v>1768</v>
      </c>
      <c r="C2297" t="s">
        <v>1628</v>
      </c>
      <c r="D2297" t="s">
        <v>1732</v>
      </c>
      <c r="E2297" t="s">
        <v>1733</v>
      </c>
      <c r="F2297" t="s">
        <v>97</v>
      </c>
      <c r="G2297" t="s">
        <v>4715</v>
      </c>
      <c r="H2297" t="s">
        <v>5499</v>
      </c>
      <c r="I2297" t="s">
        <v>5620</v>
      </c>
      <c r="J2297" t="s">
        <v>5621</v>
      </c>
      <c r="K2297" t="s">
        <v>5622</v>
      </c>
      <c r="L2297" t="s">
        <v>4717</v>
      </c>
    </row>
    <row r="2298">
      <c r="A2298" t="s">
        <v>2769</v>
      </c>
      <c r="B2298" t="s">
        <v>1768</v>
      </c>
      <c r="C2298" t="s">
        <v>1628</v>
      </c>
      <c r="D2298" t="s">
        <v>1732</v>
      </c>
      <c r="E2298" t="s">
        <v>1733</v>
      </c>
      <c r="F2298" t="s">
        <v>97</v>
      </c>
      <c r="G2298" t="s">
        <v>4715</v>
      </c>
      <c r="H2298" t="s">
        <v>5623</v>
      </c>
      <c r="I2298" t="s">
        <v>5624</v>
      </c>
      <c r="J2298" t="s">
        <v>5625</v>
      </c>
      <c r="K2298" t="s">
        <v>5626</v>
      </c>
      <c r="L2298" t="s">
        <v>4717</v>
      </c>
    </row>
    <row r="2299">
      <c r="A2299" t="s">
        <v>2769</v>
      </c>
      <c r="B2299" t="s">
        <v>1768</v>
      </c>
      <c r="C2299" t="s">
        <v>1628</v>
      </c>
      <c r="D2299" t="s">
        <v>1732</v>
      </c>
      <c r="E2299" t="s">
        <v>1733</v>
      </c>
      <c r="F2299" t="s">
        <v>97</v>
      </c>
      <c r="G2299" t="s">
        <v>4715</v>
      </c>
      <c r="H2299" t="s">
        <v>3904</v>
      </c>
      <c r="I2299" t="s">
        <v>5627</v>
      </c>
      <c r="J2299" t="s">
        <v>5628</v>
      </c>
      <c r="K2299" t="s">
        <v>5629</v>
      </c>
      <c r="L2299" t="s">
        <v>4717</v>
      </c>
    </row>
    <row r="2300">
      <c r="A2300" t="s">
        <v>2769</v>
      </c>
      <c r="B2300" t="s">
        <v>1768</v>
      </c>
      <c r="C2300" t="s">
        <v>1628</v>
      </c>
      <c r="D2300" t="s">
        <v>1732</v>
      </c>
      <c r="E2300" t="s">
        <v>1733</v>
      </c>
      <c r="F2300" t="s">
        <v>97</v>
      </c>
      <c r="G2300" t="s">
        <v>4715</v>
      </c>
      <c r="H2300" t="s">
        <v>5630</v>
      </c>
      <c r="I2300" t="s">
        <v>5474</v>
      </c>
      <c r="J2300" t="s">
        <v>5631</v>
      </c>
      <c r="K2300" t="s">
        <v>5632</v>
      </c>
      <c r="L2300" t="s">
        <v>4717</v>
      </c>
    </row>
    <row r="2301">
      <c r="A2301" t="s">
        <v>2769</v>
      </c>
      <c r="B2301" t="s">
        <v>1768</v>
      </c>
      <c r="C2301" t="s">
        <v>1628</v>
      </c>
      <c r="D2301" t="s">
        <v>1732</v>
      </c>
      <c r="E2301" t="s">
        <v>1733</v>
      </c>
      <c r="F2301" t="s">
        <v>97</v>
      </c>
      <c r="G2301" t="s">
        <v>4715</v>
      </c>
      <c r="H2301" t="s">
        <v>5170</v>
      </c>
      <c r="I2301" t="s">
        <v>5171</v>
      </c>
      <c r="J2301" t="s">
        <v>5633</v>
      </c>
      <c r="K2301" t="s">
        <v>5634</v>
      </c>
      <c r="L2301" t="s">
        <v>4717</v>
      </c>
    </row>
    <row r="2302">
      <c r="A2302" t="s">
        <v>2769</v>
      </c>
      <c r="B2302" t="s">
        <v>1768</v>
      </c>
      <c r="C2302" t="s">
        <v>1628</v>
      </c>
      <c r="D2302" t="s">
        <v>1732</v>
      </c>
      <c r="E2302" t="s">
        <v>1733</v>
      </c>
      <c r="F2302" t="s">
        <v>97</v>
      </c>
      <c r="G2302" t="s">
        <v>4715</v>
      </c>
      <c r="H2302" t="s">
        <v>5157</v>
      </c>
      <c r="I2302" t="s">
        <v>5635</v>
      </c>
      <c r="J2302" t="s">
        <v>5636</v>
      </c>
      <c r="K2302" t="s">
        <v>5637</v>
      </c>
      <c r="L2302" t="s">
        <v>4717</v>
      </c>
    </row>
    <row r="2303">
      <c r="A2303" t="s">
        <v>2769</v>
      </c>
      <c r="B2303" t="s">
        <v>1768</v>
      </c>
      <c r="C2303" t="s">
        <v>1628</v>
      </c>
      <c r="D2303" t="s">
        <v>1732</v>
      </c>
      <c r="E2303" t="s">
        <v>1733</v>
      </c>
      <c r="F2303" t="s">
        <v>97</v>
      </c>
      <c r="G2303" t="s">
        <v>4715</v>
      </c>
      <c r="H2303" t="s">
        <v>5742</v>
      </c>
      <c r="I2303" t="s">
        <v>5405</v>
      </c>
      <c r="J2303" t="s">
        <v>5743</v>
      </c>
      <c r="K2303" t="s">
        <v>4195</v>
      </c>
      <c r="L2303" t="s">
        <v>4717</v>
      </c>
    </row>
    <row r="2304">
      <c r="A2304" t="s">
        <v>2769</v>
      </c>
      <c r="B2304" t="s">
        <v>1768</v>
      </c>
      <c r="C2304" t="s">
        <v>1628</v>
      </c>
      <c r="D2304" t="s">
        <v>1732</v>
      </c>
      <c r="E2304" t="s">
        <v>1733</v>
      </c>
      <c r="F2304" t="s">
        <v>97</v>
      </c>
      <c r="G2304" t="s">
        <v>4715</v>
      </c>
      <c r="H2304" t="s">
        <v>5742</v>
      </c>
      <c r="I2304" t="s">
        <v>5744</v>
      </c>
      <c r="J2304" t="s">
        <v>5745</v>
      </c>
      <c r="K2304" t="s">
        <v>5746</v>
      </c>
      <c r="L2304" t="s">
        <v>4717</v>
      </c>
    </row>
    <row r="2305">
      <c r="A2305" t="s">
        <v>2769</v>
      </c>
      <c r="B2305" t="s">
        <v>1768</v>
      </c>
      <c r="C2305" t="s">
        <v>1628</v>
      </c>
      <c r="D2305" t="s">
        <v>1732</v>
      </c>
      <c r="E2305" t="s">
        <v>1733</v>
      </c>
      <c r="F2305" t="s">
        <v>97</v>
      </c>
      <c r="G2305" t="s">
        <v>4715</v>
      </c>
      <c r="H2305" t="s">
        <v>5742</v>
      </c>
      <c r="I2305" t="s">
        <v>5747</v>
      </c>
      <c r="J2305" t="s">
        <v>5748</v>
      </c>
      <c r="K2305" t="s">
        <v>5749</v>
      </c>
      <c r="L2305" t="s">
        <v>4717</v>
      </c>
    </row>
    <row r="2306">
      <c r="A2306" t="s">
        <v>2769</v>
      </c>
      <c r="B2306" t="s">
        <v>1768</v>
      </c>
      <c r="C2306" t="s">
        <v>1628</v>
      </c>
      <c r="D2306" t="s">
        <v>1732</v>
      </c>
      <c r="E2306" t="s">
        <v>1733</v>
      </c>
      <c r="F2306" t="s">
        <v>97</v>
      </c>
      <c r="G2306" t="s">
        <v>4715</v>
      </c>
      <c r="H2306" t="s">
        <v>5750</v>
      </c>
      <c r="I2306" t="s">
        <v>5415</v>
      </c>
      <c r="J2306" t="s">
        <v>5751</v>
      </c>
      <c r="K2306" t="s">
        <v>5752</v>
      </c>
      <c r="L2306" t="s">
        <v>4717</v>
      </c>
    </row>
    <row r="2307">
      <c r="A2307" t="s">
        <v>2769</v>
      </c>
      <c r="B2307" t="s">
        <v>1768</v>
      </c>
      <c r="C2307" t="s">
        <v>1628</v>
      </c>
      <c r="D2307" t="s">
        <v>1732</v>
      </c>
      <c r="E2307" t="s">
        <v>1733</v>
      </c>
      <c r="F2307" t="s">
        <v>97</v>
      </c>
      <c r="G2307" t="s">
        <v>4715</v>
      </c>
      <c r="H2307" t="s">
        <v>5753</v>
      </c>
      <c r="I2307" t="s">
        <v>1768</v>
      </c>
      <c r="J2307" t="s">
        <v>5754</v>
      </c>
      <c r="K2307" t="s">
        <v>1277</v>
      </c>
      <c r="L2307" t="s">
        <v>4717</v>
      </c>
    </row>
    <row r="2308">
      <c r="A2308" t="s">
        <v>2769</v>
      </c>
      <c r="B2308" t="s">
        <v>1768</v>
      </c>
      <c r="C2308" t="s">
        <v>1628</v>
      </c>
      <c r="D2308" t="s">
        <v>1732</v>
      </c>
      <c r="E2308" t="s">
        <v>1733</v>
      </c>
      <c r="F2308" t="s">
        <v>97</v>
      </c>
      <c r="G2308" t="s">
        <v>4715</v>
      </c>
      <c r="H2308" t="s">
        <v>5522</v>
      </c>
      <c r="I2308" t="s">
        <v>5656</v>
      </c>
      <c r="J2308" t="s">
        <v>5657</v>
      </c>
      <c r="K2308" t="s">
        <v>5658</v>
      </c>
      <c r="L2308" t="s">
        <v>4717</v>
      </c>
    </row>
    <row r="2309">
      <c r="A2309" t="s">
        <v>2772</v>
      </c>
      <c r="B2309" t="s">
        <v>1777</v>
      </c>
      <c r="C2309" t="s">
        <v>1628</v>
      </c>
      <c r="D2309" t="s">
        <v>1774</v>
      </c>
      <c r="E2309" t="s">
        <v>1775</v>
      </c>
      <c r="F2309" t="s">
        <v>129</v>
      </c>
      <c r="G2309" t="s">
        <v>4715</v>
      </c>
      <c r="H2309" t="s">
        <v>5041</v>
      </c>
      <c r="I2309" t="s">
        <v>5614</v>
      </c>
      <c r="J2309" t="s">
        <v>5615</v>
      </c>
      <c r="K2309" t="s">
        <v>4169</v>
      </c>
      <c r="L2309" t="s">
        <v>4717</v>
      </c>
    </row>
    <row r="2310">
      <c r="A2310" t="s">
        <v>2772</v>
      </c>
      <c r="B2310" t="s">
        <v>1777</v>
      </c>
      <c r="C2310" t="s">
        <v>1628</v>
      </c>
      <c r="D2310" t="s">
        <v>1774</v>
      </c>
      <c r="E2310" t="s">
        <v>1775</v>
      </c>
      <c r="F2310" t="s">
        <v>129</v>
      </c>
      <c r="G2310" t="s">
        <v>4715</v>
      </c>
      <c r="H2310" t="s">
        <v>5616</v>
      </c>
      <c r="I2310" t="s">
        <v>5617</v>
      </c>
      <c r="J2310" t="s">
        <v>5618</v>
      </c>
      <c r="K2310" t="s">
        <v>5619</v>
      </c>
      <c r="L2310" t="s">
        <v>4717</v>
      </c>
    </row>
    <row r="2311">
      <c r="A2311" t="s">
        <v>2772</v>
      </c>
      <c r="B2311" t="s">
        <v>1777</v>
      </c>
      <c r="C2311" t="s">
        <v>1628</v>
      </c>
      <c r="D2311" t="s">
        <v>1774</v>
      </c>
      <c r="E2311" t="s">
        <v>1775</v>
      </c>
      <c r="F2311" t="s">
        <v>129</v>
      </c>
      <c r="G2311" t="s">
        <v>4715</v>
      </c>
      <c r="H2311" t="s">
        <v>5499</v>
      </c>
      <c r="I2311" t="s">
        <v>5620</v>
      </c>
      <c r="J2311" t="s">
        <v>5621</v>
      </c>
      <c r="K2311" t="s">
        <v>5622</v>
      </c>
      <c r="L2311" t="s">
        <v>4717</v>
      </c>
    </row>
    <row r="2312">
      <c r="A2312" t="s">
        <v>2772</v>
      </c>
      <c r="B2312" t="s">
        <v>1777</v>
      </c>
      <c r="C2312" t="s">
        <v>1628</v>
      </c>
      <c r="D2312" t="s">
        <v>1774</v>
      </c>
      <c r="E2312" t="s">
        <v>1775</v>
      </c>
      <c r="F2312" t="s">
        <v>129</v>
      </c>
      <c r="G2312" t="s">
        <v>4715</v>
      </c>
      <c r="H2312" t="s">
        <v>5623</v>
      </c>
      <c r="I2312" t="s">
        <v>5624</v>
      </c>
      <c r="J2312" t="s">
        <v>5625</v>
      </c>
      <c r="K2312" t="s">
        <v>5626</v>
      </c>
      <c r="L2312" t="s">
        <v>4717</v>
      </c>
    </row>
    <row r="2313">
      <c r="A2313" t="s">
        <v>2772</v>
      </c>
      <c r="B2313" t="s">
        <v>1777</v>
      </c>
      <c r="C2313" t="s">
        <v>1628</v>
      </c>
      <c r="D2313" t="s">
        <v>1774</v>
      </c>
      <c r="E2313" t="s">
        <v>1775</v>
      </c>
      <c r="F2313" t="s">
        <v>129</v>
      </c>
      <c r="G2313" t="s">
        <v>4715</v>
      </c>
      <c r="H2313" t="s">
        <v>3904</v>
      </c>
      <c r="I2313" t="s">
        <v>5627</v>
      </c>
      <c r="J2313" t="s">
        <v>5628</v>
      </c>
      <c r="K2313" t="s">
        <v>5629</v>
      </c>
      <c r="L2313" t="s">
        <v>4717</v>
      </c>
    </row>
    <row r="2314">
      <c r="A2314" t="s">
        <v>2772</v>
      </c>
      <c r="B2314" t="s">
        <v>1777</v>
      </c>
      <c r="C2314" t="s">
        <v>1628</v>
      </c>
      <c r="D2314" t="s">
        <v>1774</v>
      </c>
      <c r="E2314" t="s">
        <v>1775</v>
      </c>
      <c r="F2314" t="s">
        <v>129</v>
      </c>
      <c r="G2314" t="s">
        <v>4715</v>
      </c>
      <c r="H2314" t="s">
        <v>5630</v>
      </c>
      <c r="I2314" t="s">
        <v>5474</v>
      </c>
      <c r="J2314" t="s">
        <v>5631</v>
      </c>
      <c r="K2314" t="s">
        <v>5632</v>
      </c>
      <c r="L2314" t="s">
        <v>4717</v>
      </c>
    </row>
    <row r="2315">
      <c r="A2315" t="s">
        <v>2772</v>
      </c>
      <c r="B2315" t="s">
        <v>1777</v>
      </c>
      <c r="C2315" t="s">
        <v>1628</v>
      </c>
      <c r="D2315" t="s">
        <v>1774</v>
      </c>
      <c r="E2315" t="s">
        <v>1775</v>
      </c>
      <c r="F2315" t="s">
        <v>129</v>
      </c>
      <c r="G2315" t="s">
        <v>4715</v>
      </c>
      <c r="H2315" t="s">
        <v>5170</v>
      </c>
      <c r="I2315" t="s">
        <v>5171</v>
      </c>
      <c r="J2315" t="s">
        <v>5633</v>
      </c>
      <c r="K2315" t="s">
        <v>5634</v>
      </c>
      <c r="L2315" t="s">
        <v>4717</v>
      </c>
    </row>
    <row r="2316">
      <c r="A2316" t="s">
        <v>2772</v>
      </c>
      <c r="B2316" t="s">
        <v>1777</v>
      </c>
      <c r="C2316" t="s">
        <v>1628</v>
      </c>
      <c r="D2316" t="s">
        <v>1774</v>
      </c>
      <c r="E2316" t="s">
        <v>1775</v>
      </c>
      <c r="F2316" t="s">
        <v>129</v>
      </c>
      <c r="G2316" t="s">
        <v>4715</v>
      </c>
      <c r="H2316" t="s">
        <v>5157</v>
      </c>
      <c r="I2316" t="s">
        <v>5635</v>
      </c>
      <c r="J2316" t="s">
        <v>5636</v>
      </c>
      <c r="K2316" t="s">
        <v>5637</v>
      </c>
      <c r="L2316" t="s">
        <v>4717</v>
      </c>
    </row>
    <row r="2317">
      <c r="A2317" t="s">
        <v>2772</v>
      </c>
      <c r="B2317" t="s">
        <v>1777</v>
      </c>
      <c r="C2317" t="s">
        <v>1628</v>
      </c>
      <c r="D2317" t="s">
        <v>1774</v>
      </c>
      <c r="E2317" t="s">
        <v>1775</v>
      </c>
      <c r="F2317" t="s">
        <v>129</v>
      </c>
      <c r="G2317" t="s">
        <v>4715</v>
      </c>
      <c r="H2317" t="s">
        <v>5522</v>
      </c>
      <c r="I2317" t="s">
        <v>5656</v>
      </c>
      <c r="J2317" t="s">
        <v>5657</v>
      </c>
      <c r="K2317" t="s">
        <v>5658</v>
      </c>
      <c r="L2317" t="s">
        <v>4717</v>
      </c>
    </row>
    <row r="2318">
      <c r="A2318" t="s">
        <v>2776</v>
      </c>
      <c r="B2318" t="s">
        <v>1785</v>
      </c>
      <c r="C2318" t="s">
        <v>1628</v>
      </c>
      <c r="D2318" t="s">
        <v>1774</v>
      </c>
      <c r="E2318" t="s">
        <v>1775</v>
      </c>
      <c r="F2318" t="s">
        <v>154</v>
      </c>
      <c r="G2318" t="s">
        <v>4715</v>
      </c>
      <c r="H2318" t="s">
        <v>5041</v>
      </c>
      <c r="I2318" t="s">
        <v>5614</v>
      </c>
      <c r="J2318" t="s">
        <v>5615</v>
      </c>
      <c r="K2318" t="s">
        <v>4169</v>
      </c>
      <c r="L2318" t="s">
        <v>4717</v>
      </c>
    </row>
    <row r="2319">
      <c r="A2319" t="s">
        <v>2776</v>
      </c>
      <c r="B2319" t="s">
        <v>1785</v>
      </c>
      <c r="C2319" t="s">
        <v>1628</v>
      </c>
      <c r="D2319" t="s">
        <v>1774</v>
      </c>
      <c r="E2319" t="s">
        <v>1775</v>
      </c>
      <c r="F2319" t="s">
        <v>154</v>
      </c>
      <c r="G2319" t="s">
        <v>4715</v>
      </c>
      <c r="H2319" t="s">
        <v>5616</v>
      </c>
      <c r="I2319" t="s">
        <v>5617</v>
      </c>
      <c r="J2319" t="s">
        <v>5618</v>
      </c>
      <c r="K2319" t="s">
        <v>5619</v>
      </c>
      <c r="L2319" t="s">
        <v>4717</v>
      </c>
    </row>
    <row r="2320">
      <c r="A2320" t="s">
        <v>2776</v>
      </c>
      <c r="B2320" t="s">
        <v>1785</v>
      </c>
      <c r="C2320" t="s">
        <v>1628</v>
      </c>
      <c r="D2320" t="s">
        <v>1774</v>
      </c>
      <c r="E2320" t="s">
        <v>1775</v>
      </c>
      <c r="F2320" t="s">
        <v>154</v>
      </c>
      <c r="G2320" t="s">
        <v>4715</v>
      </c>
      <c r="H2320" t="s">
        <v>5499</v>
      </c>
      <c r="I2320" t="s">
        <v>5620</v>
      </c>
      <c r="J2320" t="s">
        <v>5621</v>
      </c>
      <c r="K2320" t="s">
        <v>5622</v>
      </c>
      <c r="L2320" t="s">
        <v>4717</v>
      </c>
    </row>
    <row r="2321">
      <c r="A2321" t="s">
        <v>2776</v>
      </c>
      <c r="B2321" t="s">
        <v>1785</v>
      </c>
      <c r="C2321" t="s">
        <v>1628</v>
      </c>
      <c r="D2321" t="s">
        <v>1774</v>
      </c>
      <c r="E2321" t="s">
        <v>1775</v>
      </c>
      <c r="F2321" t="s">
        <v>154</v>
      </c>
      <c r="G2321" t="s">
        <v>4715</v>
      </c>
      <c r="H2321" t="s">
        <v>5623</v>
      </c>
      <c r="I2321" t="s">
        <v>5624</v>
      </c>
      <c r="J2321" t="s">
        <v>5625</v>
      </c>
      <c r="K2321" t="s">
        <v>5626</v>
      </c>
      <c r="L2321" t="s">
        <v>4717</v>
      </c>
    </row>
    <row r="2322">
      <c r="A2322" t="s">
        <v>2776</v>
      </c>
      <c r="B2322" t="s">
        <v>1785</v>
      </c>
      <c r="C2322" t="s">
        <v>1628</v>
      </c>
      <c r="D2322" t="s">
        <v>1774</v>
      </c>
      <c r="E2322" t="s">
        <v>1775</v>
      </c>
      <c r="F2322" t="s">
        <v>154</v>
      </c>
      <c r="G2322" t="s">
        <v>4715</v>
      </c>
      <c r="H2322" t="s">
        <v>3904</v>
      </c>
      <c r="I2322" t="s">
        <v>5627</v>
      </c>
      <c r="J2322" t="s">
        <v>5628</v>
      </c>
      <c r="K2322" t="s">
        <v>5629</v>
      </c>
      <c r="L2322" t="s">
        <v>4717</v>
      </c>
    </row>
    <row r="2323">
      <c r="A2323" t="s">
        <v>2776</v>
      </c>
      <c r="B2323" t="s">
        <v>1785</v>
      </c>
      <c r="C2323" t="s">
        <v>1628</v>
      </c>
      <c r="D2323" t="s">
        <v>1774</v>
      </c>
      <c r="E2323" t="s">
        <v>1775</v>
      </c>
      <c r="F2323" t="s">
        <v>154</v>
      </c>
      <c r="G2323" t="s">
        <v>4715</v>
      </c>
      <c r="H2323" t="s">
        <v>5630</v>
      </c>
      <c r="I2323" t="s">
        <v>5474</v>
      </c>
      <c r="J2323" t="s">
        <v>5631</v>
      </c>
      <c r="K2323" t="s">
        <v>5632</v>
      </c>
      <c r="L2323" t="s">
        <v>4717</v>
      </c>
    </row>
    <row r="2324">
      <c r="A2324" t="s">
        <v>2776</v>
      </c>
      <c r="B2324" t="s">
        <v>1785</v>
      </c>
      <c r="C2324" t="s">
        <v>1628</v>
      </c>
      <c r="D2324" t="s">
        <v>1774</v>
      </c>
      <c r="E2324" t="s">
        <v>1775</v>
      </c>
      <c r="F2324" t="s">
        <v>154</v>
      </c>
      <c r="G2324" t="s">
        <v>4715</v>
      </c>
      <c r="H2324" t="s">
        <v>5170</v>
      </c>
      <c r="I2324" t="s">
        <v>5171</v>
      </c>
      <c r="J2324" t="s">
        <v>5633</v>
      </c>
      <c r="K2324" t="s">
        <v>5634</v>
      </c>
      <c r="L2324" t="s">
        <v>4717</v>
      </c>
    </row>
    <row r="2325">
      <c r="A2325" t="s">
        <v>2776</v>
      </c>
      <c r="B2325" t="s">
        <v>1785</v>
      </c>
      <c r="C2325" t="s">
        <v>1628</v>
      </c>
      <c r="D2325" t="s">
        <v>1774</v>
      </c>
      <c r="E2325" t="s">
        <v>1775</v>
      </c>
      <c r="F2325" t="s">
        <v>154</v>
      </c>
      <c r="G2325" t="s">
        <v>4715</v>
      </c>
      <c r="H2325" t="s">
        <v>5157</v>
      </c>
      <c r="I2325" t="s">
        <v>5635</v>
      </c>
      <c r="J2325" t="s">
        <v>5636</v>
      </c>
      <c r="K2325" t="s">
        <v>5637</v>
      </c>
      <c r="L2325" t="s">
        <v>4717</v>
      </c>
    </row>
    <row r="2326">
      <c r="A2326" t="s">
        <v>2776</v>
      </c>
      <c r="B2326" t="s">
        <v>1785</v>
      </c>
      <c r="C2326" t="s">
        <v>1628</v>
      </c>
      <c r="D2326" t="s">
        <v>1774</v>
      </c>
      <c r="E2326" t="s">
        <v>1775</v>
      </c>
      <c r="F2326" t="s">
        <v>154</v>
      </c>
      <c r="G2326" t="s">
        <v>4715</v>
      </c>
      <c r="H2326" t="s">
        <v>5522</v>
      </c>
      <c r="I2326" t="s">
        <v>5656</v>
      </c>
      <c r="J2326" t="s">
        <v>5657</v>
      </c>
      <c r="K2326" t="s">
        <v>5658</v>
      </c>
      <c r="L2326" t="s">
        <v>4717</v>
      </c>
    </row>
    <row r="2327">
      <c r="A2327" t="s">
        <v>2779</v>
      </c>
      <c r="B2327" t="s">
        <v>1792</v>
      </c>
      <c r="C2327" t="s">
        <v>1628</v>
      </c>
      <c r="D2327" t="s">
        <v>1774</v>
      </c>
      <c r="E2327" t="s">
        <v>1775</v>
      </c>
      <c r="F2327" t="s">
        <v>154</v>
      </c>
      <c r="G2327" t="s">
        <v>4715</v>
      </c>
      <c r="H2327" t="s">
        <v>5041</v>
      </c>
      <c r="I2327" t="s">
        <v>5614</v>
      </c>
      <c r="J2327" t="s">
        <v>5615</v>
      </c>
      <c r="K2327" t="s">
        <v>4169</v>
      </c>
      <c r="L2327" t="s">
        <v>4717</v>
      </c>
    </row>
    <row r="2328">
      <c r="A2328" t="s">
        <v>2779</v>
      </c>
      <c r="B2328" t="s">
        <v>1792</v>
      </c>
      <c r="C2328" t="s">
        <v>1628</v>
      </c>
      <c r="D2328" t="s">
        <v>1774</v>
      </c>
      <c r="E2328" t="s">
        <v>1775</v>
      </c>
      <c r="F2328" t="s">
        <v>154</v>
      </c>
      <c r="G2328" t="s">
        <v>4715</v>
      </c>
      <c r="H2328" t="s">
        <v>5616</v>
      </c>
      <c r="I2328" t="s">
        <v>5617</v>
      </c>
      <c r="J2328" t="s">
        <v>5618</v>
      </c>
      <c r="K2328" t="s">
        <v>5619</v>
      </c>
      <c r="L2328" t="s">
        <v>4717</v>
      </c>
    </row>
    <row r="2329">
      <c r="A2329" t="s">
        <v>2779</v>
      </c>
      <c r="B2329" t="s">
        <v>1792</v>
      </c>
      <c r="C2329" t="s">
        <v>1628</v>
      </c>
      <c r="D2329" t="s">
        <v>1774</v>
      </c>
      <c r="E2329" t="s">
        <v>1775</v>
      </c>
      <c r="F2329" t="s">
        <v>154</v>
      </c>
      <c r="G2329" t="s">
        <v>4715</v>
      </c>
      <c r="H2329" t="s">
        <v>5499</v>
      </c>
      <c r="I2329" t="s">
        <v>5620</v>
      </c>
      <c r="J2329" t="s">
        <v>5621</v>
      </c>
      <c r="K2329" t="s">
        <v>5622</v>
      </c>
      <c r="L2329" t="s">
        <v>4717</v>
      </c>
    </row>
    <row r="2330">
      <c r="A2330" t="s">
        <v>2779</v>
      </c>
      <c r="B2330" t="s">
        <v>1792</v>
      </c>
      <c r="C2330" t="s">
        <v>1628</v>
      </c>
      <c r="D2330" t="s">
        <v>1774</v>
      </c>
      <c r="E2330" t="s">
        <v>1775</v>
      </c>
      <c r="F2330" t="s">
        <v>154</v>
      </c>
      <c r="G2330" t="s">
        <v>4715</v>
      </c>
      <c r="H2330" t="s">
        <v>5623</v>
      </c>
      <c r="I2330" t="s">
        <v>5624</v>
      </c>
      <c r="J2330" t="s">
        <v>5625</v>
      </c>
      <c r="K2330" t="s">
        <v>5626</v>
      </c>
      <c r="L2330" t="s">
        <v>4717</v>
      </c>
    </row>
    <row r="2331">
      <c r="A2331" t="s">
        <v>2779</v>
      </c>
      <c r="B2331" t="s">
        <v>1792</v>
      </c>
      <c r="C2331" t="s">
        <v>1628</v>
      </c>
      <c r="D2331" t="s">
        <v>1774</v>
      </c>
      <c r="E2331" t="s">
        <v>1775</v>
      </c>
      <c r="F2331" t="s">
        <v>154</v>
      </c>
      <c r="G2331" t="s">
        <v>4715</v>
      </c>
      <c r="H2331" t="s">
        <v>3904</v>
      </c>
      <c r="I2331" t="s">
        <v>5627</v>
      </c>
      <c r="J2331" t="s">
        <v>5628</v>
      </c>
      <c r="K2331" t="s">
        <v>5629</v>
      </c>
      <c r="L2331" t="s">
        <v>4717</v>
      </c>
    </row>
    <row r="2332">
      <c r="A2332" t="s">
        <v>2779</v>
      </c>
      <c r="B2332" t="s">
        <v>1792</v>
      </c>
      <c r="C2332" t="s">
        <v>1628</v>
      </c>
      <c r="D2332" t="s">
        <v>1774</v>
      </c>
      <c r="E2332" t="s">
        <v>1775</v>
      </c>
      <c r="F2332" t="s">
        <v>154</v>
      </c>
      <c r="G2332" t="s">
        <v>4715</v>
      </c>
      <c r="H2332" t="s">
        <v>5630</v>
      </c>
      <c r="I2332" t="s">
        <v>5474</v>
      </c>
      <c r="J2332" t="s">
        <v>5631</v>
      </c>
      <c r="K2332" t="s">
        <v>5632</v>
      </c>
      <c r="L2332" t="s">
        <v>4717</v>
      </c>
    </row>
    <row r="2333">
      <c r="A2333" t="s">
        <v>2779</v>
      </c>
      <c r="B2333" t="s">
        <v>1792</v>
      </c>
      <c r="C2333" t="s">
        <v>1628</v>
      </c>
      <c r="D2333" t="s">
        <v>1774</v>
      </c>
      <c r="E2333" t="s">
        <v>1775</v>
      </c>
      <c r="F2333" t="s">
        <v>154</v>
      </c>
      <c r="G2333" t="s">
        <v>4715</v>
      </c>
      <c r="H2333" t="s">
        <v>5170</v>
      </c>
      <c r="I2333" t="s">
        <v>5171</v>
      </c>
      <c r="J2333" t="s">
        <v>5633</v>
      </c>
      <c r="K2333" t="s">
        <v>5634</v>
      </c>
      <c r="L2333" t="s">
        <v>4717</v>
      </c>
    </row>
    <row r="2334">
      <c r="A2334" t="s">
        <v>2779</v>
      </c>
      <c r="B2334" t="s">
        <v>1792</v>
      </c>
      <c r="C2334" t="s">
        <v>1628</v>
      </c>
      <c r="D2334" t="s">
        <v>1774</v>
      </c>
      <c r="E2334" t="s">
        <v>1775</v>
      </c>
      <c r="F2334" t="s">
        <v>154</v>
      </c>
      <c r="G2334" t="s">
        <v>4715</v>
      </c>
      <c r="H2334" t="s">
        <v>5157</v>
      </c>
      <c r="I2334" t="s">
        <v>5635</v>
      </c>
      <c r="J2334" t="s">
        <v>5636</v>
      </c>
      <c r="K2334" t="s">
        <v>5637</v>
      </c>
      <c r="L2334" t="s">
        <v>4717</v>
      </c>
    </row>
    <row r="2335">
      <c r="A2335" t="s">
        <v>2779</v>
      </c>
      <c r="B2335" t="s">
        <v>1792</v>
      </c>
      <c r="C2335" t="s">
        <v>1628</v>
      </c>
      <c r="D2335" t="s">
        <v>1774</v>
      </c>
      <c r="E2335" t="s">
        <v>1775</v>
      </c>
      <c r="F2335" t="s">
        <v>154</v>
      </c>
      <c r="G2335" t="s">
        <v>4715</v>
      </c>
      <c r="H2335" t="s">
        <v>5522</v>
      </c>
      <c r="I2335" t="s">
        <v>5656</v>
      </c>
      <c r="J2335" t="s">
        <v>5657</v>
      </c>
      <c r="K2335" t="s">
        <v>5658</v>
      </c>
      <c r="L2335" t="s">
        <v>4717</v>
      </c>
    </row>
    <row r="2336">
      <c r="A2336" t="s">
        <v>2785</v>
      </c>
      <c r="B2336" t="s">
        <v>1810</v>
      </c>
      <c r="C2336" t="s">
        <v>1798</v>
      </c>
      <c r="D2336" t="s">
        <v>1799</v>
      </c>
      <c r="E2336" t="s">
        <v>1800</v>
      </c>
      <c r="F2336" t="s">
        <v>120</v>
      </c>
      <c r="G2336" t="s">
        <v>4715</v>
      </c>
      <c r="H2336" t="s">
        <v>5041</v>
      </c>
      <c r="I2336" t="s">
        <v>5614</v>
      </c>
      <c r="J2336" t="s">
        <v>5615</v>
      </c>
      <c r="K2336" t="s">
        <v>4169</v>
      </c>
      <c r="L2336" t="s">
        <v>4717</v>
      </c>
    </row>
    <row r="2337">
      <c r="A2337" t="s">
        <v>2785</v>
      </c>
      <c r="B2337" t="s">
        <v>1810</v>
      </c>
      <c r="C2337" t="s">
        <v>1798</v>
      </c>
      <c r="D2337" t="s">
        <v>1799</v>
      </c>
      <c r="E2337" t="s">
        <v>1800</v>
      </c>
      <c r="F2337" t="s">
        <v>120</v>
      </c>
      <c r="G2337" t="s">
        <v>4715</v>
      </c>
      <c r="H2337" t="s">
        <v>5616</v>
      </c>
      <c r="I2337" t="s">
        <v>5617</v>
      </c>
      <c r="J2337" t="s">
        <v>5618</v>
      </c>
      <c r="K2337" t="s">
        <v>5619</v>
      </c>
      <c r="L2337" t="s">
        <v>4717</v>
      </c>
    </row>
    <row r="2338">
      <c r="A2338" t="s">
        <v>2785</v>
      </c>
      <c r="B2338" t="s">
        <v>1810</v>
      </c>
      <c r="C2338" t="s">
        <v>1798</v>
      </c>
      <c r="D2338" t="s">
        <v>1799</v>
      </c>
      <c r="E2338" t="s">
        <v>1800</v>
      </c>
      <c r="F2338" t="s">
        <v>120</v>
      </c>
      <c r="G2338" t="s">
        <v>4715</v>
      </c>
      <c r="H2338" t="s">
        <v>5499</v>
      </c>
      <c r="I2338" t="s">
        <v>5620</v>
      </c>
      <c r="J2338" t="s">
        <v>5621</v>
      </c>
      <c r="K2338" t="s">
        <v>5622</v>
      </c>
      <c r="L2338" t="s">
        <v>4717</v>
      </c>
    </row>
    <row r="2339">
      <c r="A2339" t="s">
        <v>2785</v>
      </c>
      <c r="B2339" t="s">
        <v>1810</v>
      </c>
      <c r="C2339" t="s">
        <v>1798</v>
      </c>
      <c r="D2339" t="s">
        <v>1799</v>
      </c>
      <c r="E2339" t="s">
        <v>1800</v>
      </c>
      <c r="F2339" t="s">
        <v>120</v>
      </c>
      <c r="G2339" t="s">
        <v>4715</v>
      </c>
      <c r="H2339" t="s">
        <v>5623</v>
      </c>
      <c r="I2339" t="s">
        <v>5624</v>
      </c>
      <c r="J2339" t="s">
        <v>5625</v>
      </c>
      <c r="K2339" t="s">
        <v>5626</v>
      </c>
      <c r="L2339" t="s">
        <v>4717</v>
      </c>
    </row>
    <row r="2340">
      <c r="A2340" t="s">
        <v>2785</v>
      </c>
      <c r="B2340" t="s">
        <v>1810</v>
      </c>
      <c r="C2340" t="s">
        <v>1798</v>
      </c>
      <c r="D2340" t="s">
        <v>1799</v>
      </c>
      <c r="E2340" t="s">
        <v>1800</v>
      </c>
      <c r="F2340" t="s">
        <v>120</v>
      </c>
      <c r="G2340" t="s">
        <v>4715</v>
      </c>
      <c r="H2340" t="s">
        <v>3904</v>
      </c>
      <c r="I2340" t="s">
        <v>5627</v>
      </c>
      <c r="J2340" t="s">
        <v>5628</v>
      </c>
      <c r="K2340" t="s">
        <v>5629</v>
      </c>
      <c r="L2340" t="s">
        <v>4717</v>
      </c>
    </row>
    <row r="2341">
      <c r="A2341" t="s">
        <v>2785</v>
      </c>
      <c r="B2341" t="s">
        <v>1810</v>
      </c>
      <c r="C2341" t="s">
        <v>1798</v>
      </c>
      <c r="D2341" t="s">
        <v>1799</v>
      </c>
      <c r="E2341" t="s">
        <v>1800</v>
      </c>
      <c r="F2341" t="s">
        <v>120</v>
      </c>
      <c r="G2341" t="s">
        <v>4715</v>
      </c>
      <c r="H2341" t="s">
        <v>5630</v>
      </c>
      <c r="I2341" t="s">
        <v>5474</v>
      </c>
      <c r="J2341" t="s">
        <v>5631</v>
      </c>
      <c r="K2341" t="s">
        <v>5632</v>
      </c>
      <c r="L2341" t="s">
        <v>4717</v>
      </c>
    </row>
    <row r="2342">
      <c r="A2342" t="s">
        <v>2785</v>
      </c>
      <c r="B2342" t="s">
        <v>1810</v>
      </c>
      <c r="C2342" t="s">
        <v>1798</v>
      </c>
      <c r="D2342" t="s">
        <v>1799</v>
      </c>
      <c r="E2342" t="s">
        <v>1800</v>
      </c>
      <c r="F2342" t="s">
        <v>120</v>
      </c>
      <c r="G2342" t="s">
        <v>4715</v>
      </c>
      <c r="H2342" t="s">
        <v>5170</v>
      </c>
      <c r="I2342" t="s">
        <v>5171</v>
      </c>
      <c r="J2342" t="s">
        <v>5633</v>
      </c>
      <c r="K2342" t="s">
        <v>5634</v>
      </c>
      <c r="L2342" t="s">
        <v>4717</v>
      </c>
    </row>
    <row r="2343">
      <c r="A2343" t="s">
        <v>2785</v>
      </c>
      <c r="B2343" t="s">
        <v>1810</v>
      </c>
      <c r="C2343" t="s">
        <v>1798</v>
      </c>
      <c r="D2343" t="s">
        <v>1799</v>
      </c>
      <c r="E2343" t="s">
        <v>1800</v>
      </c>
      <c r="F2343" t="s">
        <v>120</v>
      </c>
      <c r="G2343" t="s">
        <v>4715</v>
      </c>
      <c r="H2343" t="s">
        <v>5157</v>
      </c>
      <c r="I2343" t="s">
        <v>5635</v>
      </c>
      <c r="J2343" t="s">
        <v>5636</v>
      </c>
      <c r="K2343" t="s">
        <v>5637</v>
      </c>
      <c r="L2343" t="s">
        <v>4717</v>
      </c>
    </row>
    <row r="2344">
      <c r="A2344" t="s">
        <v>2785</v>
      </c>
      <c r="B2344" t="s">
        <v>1810</v>
      </c>
      <c r="C2344" t="s">
        <v>1798</v>
      </c>
      <c r="D2344" t="s">
        <v>1799</v>
      </c>
      <c r="E2344" t="s">
        <v>1800</v>
      </c>
      <c r="F2344" t="s">
        <v>120</v>
      </c>
      <c r="G2344" t="s">
        <v>4715</v>
      </c>
      <c r="H2344" t="s">
        <v>5755</v>
      </c>
      <c r="I2344" t="s">
        <v>5756</v>
      </c>
      <c r="J2344" t="s">
        <v>5757</v>
      </c>
      <c r="K2344" t="s">
        <v>5758</v>
      </c>
      <c r="L2344" t="s">
        <v>4717</v>
      </c>
    </row>
    <row r="2345">
      <c r="A2345" t="s">
        <v>2785</v>
      </c>
      <c r="B2345" t="s">
        <v>1810</v>
      </c>
      <c r="C2345" t="s">
        <v>1798</v>
      </c>
      <c r="D2345" t="s">
        <v>1799</v>
      </c>
      <c r="E2345" t="s">
        <v>1800</v>
      </c>
      <c r="F2345" t="s">
        <v>120</v>
      </c>
      <c r="G2345" t="s">
        <v>4715</v>
      </c>
      <c r="H2345" t="s">
        <v>5755</v>
      </c>
      <c r="I2345" t="s">
        <v>5431</v>
      </c>
      <c r="J2345" t="s">
        <v>5759</v>
      </c>
      <c r="K2345" t="s">
        <v>5760</v>
      </c>
      <c r="L2345" t="s">
        <v>4717</v>
      </c>
    </row>
    <row r="2346">
      <c r="A2346" t="s">
        <v>2785</v>
      </c>
      <c r="B2346" t="s">
        <v>1810</v>
      </c>
      <c r="C2346" t="s">
        <v>1798</v>
      </c>
      <c r="D2346" t="s">
        <v>1799</v>
      </c>
      <c r="E2346" t="s">
        <v>1800</v>
      </c>
      <c r="F2346" t="s">
        <v>120</v>
      </c>
      <c r="G2346" t="s">
        <v>4715</v>
      </c>
      <c r="H2346" t="s">
        <v>5755</v>
      </c>
      <c r="I2346" t="s">
        <v>5761</v>
      </c>
      <c r="J2346" t="s">
        <v>5762</v>
      </c>
      <c r="K2346" t="s">
        <v>5763</v>
      </c>
      <c r="L2346" t="s">
        <v>4717</v>
      </c>
    </row>
    <row r="2347">
      <c r="A2347" t="s">
        <v>2785</v>
      </c>
      <c r="B2347" t="s">
        <v>1810</v>
      </c>
      <c r="C2347" t="s">
        <v>1798</v>
      </c>
      <c r="D2347" t="s">
        <v>1799</v>
      </c>
      <c r="E2347" t="s">
        <v>1800</v>
      </c>
      <c r="F2347" t="s">
        <v>120</v>
      </c>
      <c r="G2347" t="s">
        <v>4715</v>
      </c>
      <c r="H2347" t="s">
        <v>5755</v>
      </c>
      <c r="I2347" t="s">
        <v>5764</v>
      </c>
      <c r="J2347" t="s">
        <v>5765</v>
      </c>
      <c r="K2347" t="s">
        <v>5766</v>
      </c>
      <c r="L2347" t="s">
        <v>4717</v>
      </c>
    </row>
    <row r="2348">
      <c r="A2348" t="s">
        <v>2785</v>
      </c>
      <c r="B2348" t="s">
        <v>1810</v>
      </c>
      <c r="C2348" t="s">
        <v>1798</v>
      </c>
      <c r="D2348" t="s">
        <v>1799</v>
      </c>
      <c r="E2348" t="s">
        <v>1800</v>
      </c>
      <c r="F2348" t="s">
        <v>120</v>
      </c>
      <c r="G2348" t="s">
        <v>4715</v>
      </c>
      <c r="H2348" t="s">
        <v>5755</v>
      </c>
      <c r="I2348" t="s">
        <v>5436</v>
      </c>
      <c r="J2348" t="s">
        <v>5767</v>
      </c>
      <c r="K2348" t="s">
        <v>5768</v>
      </c>
      <c r="L2348" t="s">
        <v>4717</v>
      </c>
    </row>
    <row r="2349">
      <c r="A2349" t="s">
        <v>2785</v>
      </c>
      <c r="B2349" t="s">
        <v>1810</v>
      </c>
      <c r="C2349" t="s">
        <v>1798</v>
      </c>
      <c r="D2349" t="s">
        <v>1799</v>
      </c>
      <c r="E2349" t="s">
        <v>1800</v>
      </c>
      <c r="F2349" t="s">
        <v>120</v>
      </c>
      <c r="G2349" t="s">
        <v>4715</v>
      </c>
      <c r="H2349" t="s">
        <v>1836</v>
      </c>
      <c r="I2349" t="s">
        <v>5438</v>
      </c>
      <c r="J2349" t="s">
        <v>5769</v>
      </c>
      <c r="K2349" t="s">
        <v>5770</v>
      </c>
      <c r="L2349" t="s">
        <v>4717</v>
      </c>
    </row>
    <row r="2350">
      <c r="A2350" t="s">
        <v>2785</v>
      </c>
      <c r="B2350" t="s">
        <v>1810</v>
      </c>
      <c r="C2350" t="s">
        <v>1798</v>
      </c>
      <c r="D2350" t="s">
        <v>1799</v>
      </c>
      <c r="E2350" t="s">
        <v>1800</v>
      </c>
      <c r="F2350" t="s">
        <v>120</v>
      </c>
      <c r="G2350" t="s">
        <v>4715</v>
      </c>
      <c r="H2350" t="s">
        <v>5522</v>
      </c>
      <c r="I2350" t="s">
        <v>5656</v>
      </c>
      <c r="J2350" t="s">
        <v>5657</v>
      </c>
      <c r="K2350" t="s">
        <v>5658</v>
      </c>
      <c r="L2350" t="s">
        <v>4717</v>
      </c>
    </row>
    <row r="2351">
      <c r="A2351" t="s">
        <v>2785</v>
      </c>
      <c r="B2351" t="s">
        <v>1810</v>
      </c>
      <c r="C2351" t="s">
        <v>1798</v>
      </c>
      <c r="D2351" t="s">
        <v>1799</v>
      </c>
      <c r="E2351" t="s">
        <v>1800</v>
      </c>
      <c r="F2351" t="s">
        <v>120</v>
      </c>
      <c r="G2351" t="s">
        <v>4715</v>
      </c>
      <c r="H2351" t="s">
        <v>5522</v>
      </c>
      <c r="I2351" t="s">
        <v>5715</v>
      </c>
      <c r="J2351" t="s">
        <v>5716</v>
      </c>
      <c r="K2351" t="s">
        <v>5717</v>
      </c>
      <c r="L2351" t="s">
        <v>4717</v>
      </c>
    </row>
    <row r="2352">
      <c r="A2352" t="s">
        <v>2785</v>
      </c>
      <c r="B2352" t="s">
        <v>1810</v>
      </c>
      <c r="C2352" t="s">
        <v>1798</v>
      </c>
      <c r="D2352" t="s">
        <v>1799</v>
      </c>
      <c r="E2352" t="s">
        <v>1800</v>
      </c>
      <c r="F2352" t="s">
        <v>120</v>
      </c>
      <c r="G2352" t="s">
        <v>4715</v>
      </c>
      <c r="H2352" t="s">
        <v>5522</v>
      </c>
      <c r="I2352" t="s">
        <v>5718</v>
      </c>
      <c r="J2352" t="s">
        <v>5719</v>
      </c>
      <c r="K2352" t="s">
        <v>5720</v>
      </c>
      <c r="L2352" t="s">
        <v>4717</v>
      </c>
    </row>
    <row r="2353">
      <c r="A2353" t="s">
        <v>2788</v>
      </c>
      <c r="B2353" t="s">
        <v>1816</v>
      </c>
      <c r="C2353" t="s">
        <v>1798</v>
      </c>
      <c r="D2353" t="s">
        <v>1799</v>
      </c>
      <c r="E2353" t="s">
        <v>1800</v>
      </c>
      <c r="F2353" t="s">
        <v>120</v>
      </c>
      <c r="G2353" t="s">
        <v>4715</v>
      </c>
      <c r="H2353" t="s">
        <v>5041</v>
      </c>
      <c r="I2353" t="s">
        <v>5614</v>
      </c>
      <c r="J2353" t="s">
        <v>5615</v>
      </c>
      <c r="K2353" t="s">
        <v>4169</v>
      </c>
      <c r="L2353" t="s">
        <v>4717</v>
      </c>
    </row>
    <row r="2354">
      <c r="A2354" t="s">
        <v>2788</v>
      </c>
      <c r="B2354" t="s">
        <v>1816</v>
      </c>
      <c r="C2354" t="s">
        <v>1798</v>
      </c>
      <c r="D2354" t="s">
        <v>1799</v>
      </c>
      <c r="E2354" t="s">
        <v>1800</v>
      </c>
      <c r="F2354" t="s">
        <v>120</v>
      </c>
      <c r="G2354" t="s">
        <v>4715</v>
      </c>
      <c r="H2354" t="s">
        <v>5616</v>
      </c>
      <c r="I2354" t="s">
        <v>5617</v>
      </c>
      <c r="J2354" t="s">
        <v>5618</v>
      </c>
      <c r="K2354" t="s">
        <v>5619</v>
      </c>
      <c r="L2354" t="s">
        <v>4717</v>
      </c>
    </row>
    <row r="2355">
      <c r="A2355" t="s">
        <v>2788</v>
      </c>
      <c r="B2355" t="s">
        <v>1816</v>
      </c>
      <c r="C2355" t="s">
        <v>1798</v>
      </c>
      <c r="D2355" t="s">
        <v>1799</v>
      </c>
      <c r="E2355" t="s">
        <v>1800</v>
      </c>
      <c r="F2355" t="s">
        <v>120</v>
      </c>
      <c r="G2355" t="s">
        <v>4715</v>
      </c>
      <c r="H2355" t="s">
        <v>5499</v>
      </c>
      <c r="I2355" t="s">
        <v>5620</v>
      </c>
      <c r="J2355" t="s">
        <v>5621</v>
      </c>
      <c r="K2355" t="s">
        <v>5622</v>
      </c>
      <c r="L2355" t="s">
        <v>4717</v>
      </c>
    </row>
    <row r="2356">
      <c r="A2356" t="s">
        <v>2788</v>
      </c>
      <c r="B2356" t="s">
        <v>1816</v>
      </c>
      <c r="C2356" t="s">
        <v>1798</v>
      </c>
      <c r="D2356" t="s">
        <v>1799</v>
      </c>
      <c r="E2356" t="s">
        <v>1800</v>
      </c>
      <c r="F2356" t="s">
        <v>120</v>
      </c>
      <c r="G2356" t="s">
        <v>4715</v>
      </c>
      <c r="H2356" t="s">
        <v>5623</v>
      </c>
      <c r="I2356" t="s">
        <v>5624</v>
      </c>
      <c r="J2356" t="s">
        <v>5625</v>
      </c>
      <c r="K2356" t="s">
        <v>5626</v>
      </c>
      <c r="L2356" t="s">
        <v>4717</v>
      </c>
    </row>
    <row r="2357">
      <c r="A2357" t="s">
        <v>2788</v>
      </c>
      <c r="B2357" t="s">
        <v>1816</v>
      </c>
      <c r="C2357" t="s">
        <v>1798</v>
      </c>
      <c r="D2357" t="s">
        <v>1799</v>
      </c>
      <c r="E2357" t="s">
        <v>1800</v>
      </c>
      <c r="F2357" t="s">
        <v>120</v>
      </c>
      <c r="G2357" t="s">
        <v>4715</v>
      </c>
      <c r="H2357" t="s">
        <v>3904</v>
      </c>
      <c r="I2357" t="s">
        <v>5627</v>
      </c>
      <c r="J2357" t="s">
        <v>5628</v>
      </c>
      <c r="K2357" t="s">
        <v>5629</v>
      </c>
      <c r="L2357" t="s">
        <v>4717</v>
      </c>
    </row>
    <row r="2358">
      <c r="A2358" t="s">
        <v>2788</v>
      </c>
      <c r="B2358" t="s">
        <v>1816</v>
      </c>
      <c r="C2358" t="s">
        <v>1798</v>
      </c>
      <c r="D2358" t="s">
        <v>1799</v>
      </c>
      <c r="E2358" t="s">
        <v>1800</v>
      </c>
      <c r="F2358" t="s">
        <v>120</v>
      </c>
      <c r="G2358" t="s">
        <v>4715</v>
      </c>
      <c r="H2358" t="s">
        <v>5630</v>
      </c>
      <c r="I2358" t="s">
        <v>5474</v>
      </c>
      <c r="J2358" t="s">
        <v>5631</v>
      </c>
      <c r="K2358" t="s">
        <v>5632</v>
      </c>
      <c r="L2358" t="s">
        <v>4717</v>
      </c>
    </row>
    <row r="2359">
      <c r="A2359" t="s">
        <v>2788</v>
      </c>
      <c r="B2359" t="s">
        <v>1816</v>
      </c>
      <c r="C2359" t="s">
        <v>1798</v>
      </c>
      <c r="D2359" t="s">
        <v>1799</v>
      </c>
      <c r="E2359" t="s">
        <v>1800</v>
      </c>
      <c r="F2359" t="s">
        <v>120</v>
      </c>
      <c r="G2359" t="s">
        <v>4715</v>
      </c>
      <c r="H2359" t="s">
        <v>5170</v>
      </c>
      <c r="I2359" t="s">
        <v>5171</v>
      </c>
      <c r="J2359" t="s">
        <v>5633</v>
      </c>
      <c r="K2359" t="s">
        <v>5634</v>
      </c>
      <c r="L2359" t="s">
        <v>4717</v>
      </c>
    </row>
    <row r="2360">
      <c r="A2360" t="s">
        <v>2788</v>
      </c>
      <c r="B2360" t="s">
        <v>1816</v>
      </c>
      <c r="C2360" t="s">
        <v>1798</v>
      </c>
      <c r="D2360" t="s">
        <v>1799</v>
      </c>
      <c r="E2360" t="s">
        <v>1800</v>
      </c>
      <c r="F2360" t="s">
        <v>120</v>
      </c>
      <c r="G2360" t="s">
        <v>4715</v>
      </c>
      <c r="H2360" t="s">
        <v>5157</v>
      </c>
      <c r="I2360" t="s">
        <v>5635</v>
      </c>
      <c r="J2360" t="s">
        <v>5636</v>
      </c>
      <c r="K2360" t="s">
        <v>5637</v>
      </c>
      <c r="L2360" t="s">
        <v>4717</v>
      </c>
    </row>
    <row r="2361">
      <c r="A2361" t="s">
        <v>2788</v>
      </c>
      <c r="B2361" t="s">
        <v>1816</v>
      </c>
      <c r="C2361" t="s">
        <v>1798</v>
      </c>
      <c r="D2361" t="s">
        <v>1799</v>
      </c>
      <c r="E2361" t="s">
        <v>1800</v>
      </c>
      <c r="F2361" t="s">
        <v>120</v>
      </c>
      <c r="G2361" t="s">
        <v>4715</v>
      </c>
      <c r="H2361" t="s">
        <v>5755</v>
      </c>
      <c r="I2361" t="s">
        <v>5756</v>
      </c>
      <c r="J2361" t="s">
        <v>5757</v>
      </c>
      <c r="K2361" t="s">
        <v>5758</v>
      </c>
      <c r="L2361" t="s">
        <v>4717</v>
      </c>
    </row>
    <row r="2362">
      <c r="A2362" t="s">
        <v>2788</v>
      </c>
      <c r="B2362" t="s">
        <v>1816</v>
      </c>
      <c r="C2362" t="s">
        <v>1798</v>
      </c>
      <c r="D2362" t="s">
        <v>1799</v>
      </c>
      <c r="E2362" t="s">
        <v>1800</v>
      </c>
      <c r="F2362" t="s">
        <v>120</v>
      </c>
      <c r="G2362" t="s">
        <v>4715</v>
      </c>
      <c r="H2362" t="s">
        <v>5755</v>
      </c>
      <c r="I2362" t="s">
        <v>5431</v>
      </c>
      <c r="J2362" t="s">
        <v>5759</v>
      </c>
      <c r="K2362" t="s">
        <v>5760</v>
      </c>
      <c r="L2362" t="s">
        <v>4717</v>
      </c>
    </row>
    <row r="2363">
      <c r="A2363" t="s">
        <v>2788</v>
      </c>
      <c r="B2363" t="s">
        <v>1816</v>
      </c>
      <c r="C2363" t="s">
        <v>1798</v>
      </c>
      <c r="D2363" t="s">
        <v>1799</v>
      </c>
      <c r="E2363" t="s">
        <v>1800</v>
      </c>
      <c r="F2363" t="s">
        <v>120</v>
      </c>
      <c r="G2363" t="s">
        <v>4715</v>
      </c>
      <c r="H2363" t="s">
        <v>5755</v>
      </c>
      <c r="I2363" t="s">
        <v>5761</v>
      </c>
      <c r="J2363" t="s">
        <v>5762</v>
      </c>
      <c r="K2363" t="s">
        <v>5763</v>
      </c>
      <c r="L2363" t="s">
        <v>4717</v>
      </c>
    </row>
    <row r="2364">
      <c r="A2364" t="s">
        <v>2788</v>
      </c>
      <c r="B2364" t="s">
        <v>1816</v>
      </c>
      <c r="C2364" t="s">
        <v>1798</v>
      </c>
      <c r="D2364" t="s">
        <v>1799</v>
      </c>
      <c r="E2364" t="s">
        <v>1800</v>
      </c>
      <c r="F2364" t="s">
        <v>120</v>
      </c>
      <c r="G2364" t="s">
        <v>4715</v>
      </c>
      <c r="H2364" t="s">
        <v>5755</v>
      </c>
      <c r="I2364" t="s">
        <v>5764</v>
      </c>
      <c r="J2364" t="s">
        <v>5765</v>
      </c>
      <c r="K2364" t="s">
        <v>5766</v>
      </c>
      <c r="L2364" t="s">
        <v>4717</v>
      </c>
    </row>
    <row r="2365">
      <c r="A2365" t="s">
        <v>2788</v>
      </c>
      <c r="B2365" t="s">
        <v>1816</v>
      </c>
      <c r="C2365" t="s">
        <v>1798</v>
      </c>
      <c r="D2365" t="s">
        <v>1799</v>
      </c>
      <c r="E2365" t="s">
        <v>1800</v>
      </c>
      <c r="F2365" t="s">
        <v>120</v>
      </c>
      <c r="G2365" t="s">
        <v>4715</v>
      </c>
      <c r="H2365" t="s">
        <v>5755</v>
      </c>
      <c r="I2365" t="s">
        <v>5436</v>
      </c>
      <c r="J2365" t="s">
        <v>5767</v>
      </c>
      <c r="K2365" t="s">
        <v>5768</v>
      </c>
      <c r="L2365" t="s">
        <v>4717</v>
      </c>
    </row>
    <row r="2366">
      <c r="A2366" t="s">
        <v>2788</v>
      </c>
      <c r="B2366" t="s">
        <v>1816</v>
      </c>
      <c r="C2366" t="s">
        <v>1798</v>
      </c>
      <c r="D2366" t="s">
        <v>1799</v>
      </c>
      <c r="E2366" t="s">
        <v>1800</v>
      </c>
      <c r="F2366" t="s">
        <v>120</v>
      </c>
      <c r="G2366" t="s">
        <v>4715</v>
      </c>
      <c r="H2366" t="s">
        <v>1836</v>
      </c>
      <c r="I2366" t="s">
        <v>5438</v>
      </c>
      <c r="J2366" t="s">
        <v>5769</v>
      </c>
      <c r="K2366" t="s">
        <v>5770</v>
      </c>
      <c r="L2366" t="s">
        <v>4717</v>
      </c>
    </row>
    <row r="2367">
      <c r="A2367" t="s">
        <v>2788</v>
      </c>
      <c r="B2367" t="s">
        <v>1816</v>
      </c>
      <c r="C2367" t="s">
        <v>1798</v>
      </c>
      <c r="D2367" t="s">
        <v>1799</v>
      </c>
      <c r="E2367" t="s">
        <v>1800</v>
      </c>
      <c r="F2367" t="s">
        <v>120</v>
      </c>
      <c r="G2367" t="s">
        <v>4715</v>
      </c>
      <c r="H2367" t="s">
        <v>5522</v>
      </c>
      <c r="I2367" t="s">
        <v>5656</v>
      </c>
      <c r="J2367" t="s">
        <v>5657</v>
      </c>
      <c r="K2367" t="s">
        <v>5658</v>
      </c>
      <c r="L2367" t="s">
        <v>4717</v>
      </c>
    </row>
    <row r="2368">
      <c r="A2368" t="s">
        <v>2788</v>
      </c>
      <c r="B2368" t="s">
        <v>1816</v>
      </c>
      <c r="C2368" t="s">
        <v>1798</v>
      </c>
      <c r="D2368" t="s">
        <v>1799</v>
      </c>
      <c r="E2368" t="s">
        <v>1800</v>
      </c>
      <c r="F2368" t="s">
        <v>120</v>
      </c>
      <c r="G2368" t="s">
        <v>4715</v>
      </c>
      <c r="H2368" t="s">
        <v>5522</v>
      </c>
      <c r="I2368" t="s">
        <v>5715</v>
      </c>
      <c r="J2368" t="s">
        <v>5716</v>
      </c>
      <c r="K2368" t="s">
        <v>5717</v>
      </c>
      <c r="L2368" t="s">
        <v>4717</v>
      </c>
    </row>
    <row r="2369">
      <c r="A2369" t="s">
        <v>2788</v>
      </c>
      <c r="B2369" t="s">
        <v>1816</v>
      </c>
      <c r="C2369" t="s">
        <v>1798</v>
      </c>
      <c r="D2369" t="s">
        <v>1799</v>
      </c>
      <c r="E2369" t="s">
        <v>1800</v>
      </c>
      <c r="F2369" t="s">
        <v>120</v>
      </c>
      <c r="G2369" t="s">
        <v>4715</v>
      </c>
      <c r="H2369" t="s">
        <v>5522</v>
      </c>
      <c r="I2369" t="s">
        <v>5718</v>
      </c>
      <c r="J2369" t="s">
        <v>5719</v>
      </c>
      <c r="K2369" t="s">
        <v>5720</v>
      </c>
      <c r="L2369" t="s">
        <v>4717</v>
      </c>
    </row>
    <row r="2370">
      <c r="A2370" t="s">
        <v>2790</v>
      </c>
      <c r="B2370" t="s">
        <v>1822</v>
      </c>
      <c r="C2370" t="s">
        <v>1798</v>
      </c>
      <c r="D2370" t="s">
        <v>1799</v>
      </c>
      <c r="E2370" t="s">
        <v>1800</v>
      </c>
      <c r="F2370" t="s">
        <v>120</v>
      </c>
      <c r="G2370" t="s">
        <v>4715</v>
      </c>
      <c r="H2370" t="s">
        <v>5041</v>
      </c>
      <c r="I2370" t="s">
        <v>5614</v>
      </c>
      <c r="J2370" t="s">
        <v>5615</v>
      </c>
      <c r="K2370" t="s">
        <v>4169</v>
      </c>
      <c r="L2370" t="s">
        <v>4717</v>
      </c>
    </row>
    <row r="2371">
      <c r="A2371" t="s">
        <v>2790</v>
      </c>
      <c r="B2371" t="s">
        <v>1822</v>
      </c>
      <c r="C2371" t="s">
        <v>1798</v>
      </c>
      <c r="D2371" t="s">
        <v>1799</v>
      </c>
      <c r="E2371" t="s">
        <v>1800</v>
      </c>
      <c r="F2371" t="s">
        <v>120</v>
      </c>
      <c r="G2371" t="s">
        <v>4715</v>
      </c>
      <c r="H2371" t="s">
        <v>5616</v>
      </c>
      <c r="I2371" t="s">
        <v>5617</v>
      </c>
      <c r="J2371" t="s">
        <v>5618</v>
      </c>
      <c r="K2371" t="s">
        <v>5619</v>
      </c>
      <c r="L2371" t="s">
        <v>4717</v>
      </c>
    </row>
    <row r="2372">
      <c r="A2372" t="s">
        <v>2790</v>
      </c>
      <c r="B2372" t="s">
        <v>1822</v>
      </c>
      <c r="C2372" t="s">
        <v>1798</v>
      </c>
      <c r="D2372" t="s">
        <v>1799</v>
      </c>
      <c r="E2372" t="s">
        <v>1800</v>
      </c>
      <c r="F2372" t="s">
        <v>120</v>
      </c>
      <c r="G2372" t="s">
        <v>4715</v>
      </c>
      <c r="H2372" t="s">
        <v>5499</v>
      </c>
      <c r="I2372" t="s">
        <v>5620</v>
      </c>
      <c r="J2372" t="s">
        <v>5621</v>
      </c>
      <c r="K2372" t="s">
        <v>5622</v>
      </c>
      <c r="L2372" t="s">
        <v>4717</v>
      </c>
    </row>
    <row r="2373">
      <c r="A2373" t="s">
        <v>2790</v>
      </c>
      <c r="B2373" t="s">
        <v>1822</v>
      </c>
      <c r="C2373" t="s">
        <v>1798</v>
      </c>
      <c r="D2373" t="s">
        <v>1799</v>
      </c>
      <c r="E2373" t="s">
        <v>1800</v>
      </c>
      <c r="F2373" t="s">
        <v>120</v>
      </c>
      <c r="G2373" t="s">
        <v>4715</v>
      </c>
      <c r="H2373" t="s">
        <v>5623</v>
      </c>
      <c r="I2373" t="s">
        <v>5624</v>
      </c>
      <c r="J2373" t="s">
        <v>5625</v>
      </c>
      <c r="K2373" t="s">
        <v>5626</v>
      </c>
      <c r="L2373" t="s">
        <v>4717</v>
      </c>
    </row>
    <row r="2374">
      <c r="A2374" t="s">
        <v>2790</v>
      </c>
      <c r="B2374" t="s">
        <v>1822</v>
      </c>
      <c r="C2374" t="s">
        <v>1798</v>
      </c>
      <c r="D2374" t="s">
        <v>1799</v>
      </c>
      <c r="E2374" t="s">
        <v>1800</v>
      </c>
      <c r="F2374" t="s">
        <v>120</v>
      </c>
      <c r="G2374" t="s">
        <v>4715</v>
      </c>
      <c r="H2374" t="s">
        <v>3904</v>
      </c>
      <c r="I2374" t="s">
        <v>5627</v>
      </c>
      <c r="J2374" t="s">
        <v>5628</v>
      </c>
      <c r="K2374" t="s">
        <v>5629</v>
      </c>
      <c r="L2374" t="s">
        <v>4717</v>
      </c>
    </row>
    <row r="2375">
      <c r="A2375" t="s">
        <v>2790</v>
      </c>
      <c r="B2375" t="s">
        <v>1822</v>
      </c>
      <c r="C2375" t="s">
        <v>1798</v>
      </c>
      <c r="D2375" t="s">
        <v>1799</v>
      </c>
      <c r="E2375" t="s">
        <v>1800</v>
      </c>
      <c r="F2375" t="s">
        <v>120</v>
      </c>
      <c r="G2375" t="s">
        <v>4715</v>
      </c>
      <c r="H2375" t="s">
        <v>5630</v>
      </c>
      <c r="I2375" t="s">
        <v>5474</v>
      </c>
      <c r="J2375" t="s">
        <v>5631</v>
      </c>
      <c r="K2375" t="s">
        <v>5632</v>
      </c>
      <c r="L2375" t="s">
        <v>4717</v>
      </c>
    </row>
    <row r="2376">
      <c r="A2376" t="s">
        <v>2790</v>
      </c>
      <c r="B2376" t="s">
        <v>1822</v>
      </c>
      <c r="C2376" t="s">
        <v>1798</v>
      </c>
      <c r="D2376" t="s">
        <v>1799</v>
      </c>
      <c r="E2376" t="s">
        <v>1800</v>
      </c>
      <c r="F2376" t="s">
        <v>120</v>
      </c>
      <c r="G2376" t="s">
        <v>4715</v>
      </c>
      <c r="H2376" t="s">
        <v>5170</v>
      </c>
      <c r="I2376" t="s">
        <v>5171</v>
      </c>
      <c r="J2376" t="s">
        <v>5633</v>
      </c>
      <c r="K2376" t="s">
        <v>5634</v>
      </c>
      <c r="L2376" t="s">
        <v>4717</v>
      </c>
    </row>
    <row r="2377">
      <c r="A2377" t="s">
        <v>2790</v>
      </c>
      <c r="B2377" t="s">
        <v>1822</v>
      </c>
      <c r="C2377" t="s">
        <v>1798</v>
      </c>
      <c r="D2377" t="s">
        <v>1799</v>
      </c>
      <c r="E2377" t="s">
        <v>1800</v>
      </c>
      <c r="F2377" t="s">
        <v>120</v>
      </c>
      <c r="G2377" t="s">
        <v>4715</v>
      </c>
      <c r="H2377" t="s">
        <v>5157</v>
      </c>
      <c r="I2377" t="s">
        <v>5635</v>
      </c>
      <c r="J2377" t="s">
        <v>5636</v>
      </c>
      <c r="K2377" t="s">
        <v>5637</v>
      </c>
      <c r="L2377" t="s">
        <v>4717</v>
      </c>
    </row>
    <row r="2378">
      <c r="A2378" t="s">
        <v>2790</v>
      </c>
      <c r="B2378" t="s">
        <v>1822</v>
      </c>
      <c r="C2378" t="s">
        <v>1798</v>
      </c>
      <c r="D2378" t="s">
        <v>1799</v>
      </c>
      <c r="E2378" t="s">
        <v>1800</v>
      </c>
      <c r="F2378" t="s">
        <v>120</v>
      </c>
      <c r="G2378" t="s">
        <v>4715</v>
      </c>
      <c r="H2378" t="s">
        <v>5755</v>
      </c>
      <c r="I2378" t="s">
        <v>5756</v>
      </c>
      <c r="J2378" t="s">
        <v>5757</v>
      </c>
      <c r="K2378" t="s">
        <v>5758</v>
      </c>
      <c r="L2378" t="s">
        <v>4717</v>
      </c>
    </row>
    <row r="2379">
      <c r="A2379" t="s">
        <v>2790</v>
      </c>
      <c r="B2379" t="s">
        <v>1822</v>
      </c>
      <c r="C2379" t="s">
        <v>1798</v>
      </c>
      <c r="D2379" t="s">
        <v>1799</v>
      </c>
      <c r="E2379" t="s">
        <v>1800</v>
      </c>
      <c r="F2379" t="s">
        <v>120</v>
      </c>
      <c r="G2379" t="s">
        <v>4715</v>
      </c>
      <c r="H2379" t="s">
        <v>5755</v>
      </c>
      <c r="I2379" t="s">
        <v>5431</v>
      </c>
      <c r="J2379" t="s">
        <v>5759</v>
      </c>
      <c r="K2379" t="s">
        <v>5760</v>
      </c>
      <c r="L2379" t="s">
        <v>4717</v>
      </c>
    </row>
    <row r="2380">
      <c r="A2380" t="s">
        <v>2790</v>
      </c>
      <c r="B2380" t="s">
        <v>1822</v>
      </c>
      <c r="C2380" t="s">
        <v>1798</v>
      </c>
      <c r="D2380" t="s">
        <v>1799</v>
      </c>
      <c r="E2380" t="s">
        <v>1800</v>
      </c>
      <c r="F2380" t="s">
        <v>120</v>
      </c>
      <c r="G2380" t="s">
        <v>4715</v>
      </c>
      <c r="H2380" t="s">
        <v>5755</v>
      </c>
      <c r="I2380" t="s">
        <v>5761</v>
      </c>
      <c r="J2380" t="s">
        <v>5762</v>
      </c>
      <c r="K2380" t="s">
        <v>5763</v>
      </c>
      <c r="L2380" t="s">
        <v>4717</v>
      </c>
    </row>
    <row r="2381">
      <c r="A2381" t="s">
        <v>2790</v>
      </c>
      <c r="B2381" t="s">
        <v>1822</v>
      </c>
      <c r="C2381" t="s">
        <v>1798</v>
      </c>
      <c r="D2381" t="s">
        <v>1799</v>
      </c>
      <c r="E2381" t="s">
        <v>1800</v>
      </c>
      <c r="F2381" t="s">
        <v>120</v>
      </c>
      <c r="G2381" t="s">
        <v>4715</v>
      </c>
      <c r="H2381" t="s">
        <v>5755</v>
      </c>
      <c r="I2381" t="s">
        <v>5764</v>
      </c>
      <c r="J2381" t="s">
        <v>5765</v>
      </c>
      <c r="K2381" t="s">
        <v>5766</v>
      </c>
      <c r="L2381" t="s">
        <v>4717</v>
      </c>
    </row>
    <row r="2382">
      <c r="A2382" t="s">
        <v>2790</v>
      </c>
      <c r="B2382" t="s">
        <v>1822</v>
      </c>
      <c r="C2382" t="s">
        <v>1798</v>
      </c>
      <c r="D2382" t="s">
        <v>1799</v>
      </c>
      <c r="E2382" t="s">
        <v>1800</v>
      </c>
      <c r="F2382" t="s">
        <v>120</v>
      </c>
      <c r="G2382" t="s">
        <v>4715</v>
      </c>
      <c r="H2382" t="s">
        <v>5755</v>
      </c>
      <c r="I2382" t="s">
        <v>5436</v>
      </c>
      <c r="J2382" t="s">
        <v>5767</v>
      </c>
      <c r="K2382" t="s">
        <v>5768</v>
      </c>
      <c r="L2382" t="s">
        <v>4717</v>
      </c>
    </row>
    <row r="2383">
      <c r="A2383" t="s">
        <v>2790</v>
      </c>
      <c r="B2383" t="s">
        <v>1822</v>
      </c>
      <c r="C2383" t="s">
        <v>1798</v>
      </c>
      <c r="D2383" t="s">
        <v>1799</v>
      </c>
      <c r="E2383" t="s">
        <v>1800</v>
      </c>
      <c r="F2383" t="s">
        <v>120</v>
      </c>
      <c r="G2383" t="s">
        <v>4715</v>
      </c>
      <c r="H2383" t="s">
        <v>1836</v>
      </c>
      <c r="I2383" t="s">
        <v>5438</v>
      </c>
      <c r="J2383" t="s">
        <v>5769</v>
      </c>
      <c r="K2383" t="s">
        <v>5770</v>
      </c>
      <c r="L2383" t="s">
        <v>4717</v>
      </c>
    </row>
    <row r="2384">
      <c r="A2384" t="s">
        <v>2790</v>
      </c>
      <c r="B2384" t="s">
        <v>1822</v>
      </c>
      <c r="C2384" t="s">
        <v>1798</v>
      </c>
      <c r="D2384" t="s">
        <v>1799</v>
      </c>
      <c r="E2384" t="s">
        <v>1800</v>
      </c>
      <c r="F2384" t="s">
        <v>120</v>
      </c>
      <c r="G2384" t="s">
        <v>4715</v>
      </c>
      <c r="H2384" t="s">
        <v>5522</v>
      </c>
      <c r="I2384" t="s">
        <v>5656</v>
      </c>
      <c r="J2384" t="s">
        <v>5657</v>
      </c>
      <c r="K2384" t="s">
        <v>5658</v>
      </c>
      <c r="L2384" t="s">
        <v>4717</v>
      </c>
    </row>
    <row r="2385">
      <c r="A2385" t="s">
        <v>2790</v>
      </c>
      <c r="B2385" t="s">
        <v>1822</v>
      </c>
      <c r="C2385" t="s">
        <v>1798</v>
      </c>
      <c r="D2385" t="s">
        <v>1799</v>
      </c>
      <c r="E2385" t="s">
        <v>1800</v>
      </c>
      <c r="F2385" t="s">
        <v>120</v>
      </c>
      <c r="G2385" t="s">
        <v>4715</v>
      </c>
      <c r="H2385" t="s">
        <v>5522</v>
      </c>
      <c r="I2385" t="s">
        <v>5715</v>
      </c>
      <c r="J2385" t="s">
        <v>5716</v>
      </c>
      <c r="K2385" t="s">
        <v>5717</v>
      </c>
      <c r="L2385" t="s">
        <v>4717</v>
      </c>
    </row>
    <row r="2386">
      <c r="A2386" t="s">
        <v>2790</v>
      </c>
      <c r="B2386" t="s">
        <v>1822</v>
      </c>
      <c r="C2386" t="s">
        <v>1798</v>
      </c>
      <c r="D2386" t="s">
        <v>1799</v>
      </c>
      <c r="E2386" t="s">
        <v>1800</v>
      </c>
      <c r="F2386" t="s">
        <v>120</v>
      </c>
      <c r="G2386" t="s">
        <v>4715</v>
      </c>
      <c r="H2386" t="s">
        <v>5522</v>
      </c>
      <c r="I2386" t="s">
        <v>5718</v>
      </c>
      <c r="J2386" t="s">
        <v>5719</v>
      </c>
      <c r="K2386" t="s">
        <v>5720</v>
      </c>
      <c r="L2386" t="s">
        <v>4717</v>
      </c>
    </row>
    <row r="2387">
      <c r="A2387" t="s">
        <v>2793</v>
      </c>
      <c r="B2387" t="s">
        <v>1829</v>
      </c>
      <c r="C2387" t="s">
        <v>1798</v>
      </c>
      <c r="D2387" t="s">
        <v>1799</v>
      </c>
      <c r="E2387" t="s">
        <v>1800</v>
      </c>
      <c r="F2387" t="s">
        <v>120</v>
      </c>
      <c r="G2387" t="s">
        <v>4715</v>
      </c>
      <c r="H2387" t="s">
        <v>5041</v>
      </c>
      <c r="I2387" t="s">
        <v>5614</v>
      </c>
      <c r="J2387" t="s">
        <v>5615</v>
      </c>
      <c r="K2387" t="s">
        <v>4169</v>
      </c>
      <c r="L2387" t="s">
        <v>4717</v>
      </c>
    </row>
    <row r="2388">
      <c r="A2388" t="s">
        <v>2793</v>
      </c>
      <c r="B2388" t="s">
        <v>1829</v>
      </c>
      <c r="C2388" t="s">
        <v>1798</v>
      </c>
      <c r="D2388" t="s">
        <v>1799</v>
      </c>
      <c r="E2388" t="s">
        <v>1800</v>
      </c>
      <c r="F2388" t="s">
        <v>120</v>
      </c>
      <c r="G2388" t="s">
        <v>4715</v>
      </c>
      <c r="H2388" t="s">
        <v>5616</v>
      </c>
      <c r="I2388" t="s">
        <v>5617</v>
      </c>
      <c r="J2388" t="s">
        <v>5618</v>
      </c>
      <c r="K2388" t="s">
        <v>5619</v>
      </c>
      <c r="L2388" t="s">
        <v>4717</v>
      </c>
    </row>
    <row r="2389">
      <c r="A2389" t="s">
        <v>2793</v>
      </c>
      <c r="B2389" t="s">
        <v>1829</v>
      </c>
      <c r="C2389" t="s">
        <v>1798</v>
      </c>
      <c r="D2389" t="s">
        <v>1799</v>
      </c>
      <c r="E2389" t="s">
        <v>1800</v>
      </c>
      <c r="F2389" t="s">
        <v>120</v>
      </c>
      <c r="G2389" t="s">
        <v>4715</v>
      </c>
      <c r="H2389" t="s">
        <v>5499</v>
      </c>
      <c r="I2389" t="s">
        <v>5620</v>
      </c>
      <c r="J2389" t="s">
        <v>5621</v>
      </c>
      <c r="K2389" t="s">
        <v>5622</v>
      </c>
      <c r="L2389" t="s">
        <v>4717</v>
      </c>
    </row>
    <row r="2390">
      <c r="A2390" t="s">
        <v>2793</v>
      </c>
      <c r="B2390" t="s">
        <v>1829</v>
      </c>
      <c r="C2390" t="s">
        <v>1798</v>
      </c>
      <c r="D2390" t="s">
        <v>1799</v>
      </c>
      <c r="E2390" t="s">
        <v>1800</v>
      </c>
      <c r="F2390" t="s">
        <v>120</v>
      </c>
      <c r="G2390" t="s">
        <v>4715</v>
      </c>
      <c r="H2390" t="s">
        <v>5623</v>
      </c>
      <c r="I2390" t="s">
        <v>5624</v>
      </c>
      <c r="J2390" t="s">
        <v>5625</v>
      </c>
      <c r="K2390" t="s">
        <v>5626</v>
      </c>
      <c r="L2390" t="s">
        <v>4717</v>
      </c>
    </row>
    <row r="2391">
      <c r="A2391" t="s">
        <v>2793</v>
      </c>
      <c r="B2391" t="s">
        <v>1829</v>
      </c>
      <c r="C2391" t="s">
        <v>1798</v>
      </c>
      <c r="D2391" t="s">
        <v>1799</v>
      </c>
      <c r="E2391" t="s">
        <v>1800</v>
      </c>
      <c r="F2391" t="s">
        <v>120</v>
      </c>
      <c r="G2391" t="s">
        <v>4715</v>
      </c>
      <c r="H2391" t="s">
        <v>3904</v>
      </c>
      <c r="I2391" t="s">
        <v>5627</v>
      </c>
      <c r="J2391" t="s">
        <v>5628</v>
      </c>
      <c r="K2391" t="s">
        <v>5629</v>
      </c>
      <c r="L2391" t="s">
        <v>4717</v>
      </c>
    </row>
    <row r="2392">
      <c r="A2392" t="s">
        <v>2793</v>
      </c>
      <c r="B2392" t="s">
        <v>1829</v>
      </c>
      <c r="C2392" t="s">
        <v>1798</v>
      </c>
      <c r="D2392" t="s">
        <v>1799</v>
      </c>
      <c r="E2392" t="s">
        <v>1800</v>
      </c>
      <c r="F2392" t="s">
        <v>120</v>
      </c>
      <c r="G2392" t="s">
        <v>4715</v>
      </c>
      <c r="H2392" t="s">
        <v>5630</v>
      </c>
      <c r="I2392" t="s">
        <v>5474</v>
      </c>
      <c r="J2392" t="s">
        <v>5631</v>
      </c>
      <c r="K2392" t="s">
        <v>5632</v>
      </c>
      <c r="L2392" t="s">
        <v>4717</v>
      </c>
    </row>
    <row r="2393">
      <c r="A2393" t="s">
        <v>2793</v>
      </c>
      <c r="B2393" t="s">
        <v>1829</v>
      </c>
      <c r="C2393" t="s">
        <v>1798</v>
      </c>
      <c r="D2393" t="s">
        <v>1799</v>
      </c>
      <c r="E2393" t="s">
        <v>1800</v>
      </c>
      <c r="F2393" t="s">
        <v>120</v>
      </c>
      <c r="G2393" t="s">
        <v>4715</v>
      </c>
      <c r="H2393" t="s">
        <v>5170</v>
      </c>
      <c r="I2393" t="s">
        <v>5171</v>
      </c>
      <c r="J2393" t="s">
        <v>5633</v>
      </c>
      <c r="K2393" t="s">
        <v>5634</v>
      </c>
      <c r="L2393" t="s">
        <v>4717</v>
      </c>
    </row>
    <row r="2394">
      <c r="A2394" t="s">
        <v>2793</v>
      </c>
      <c r="B2394" t="s">
        <v>1829</v>
      </c>
      <c r="C2394" t="s">
        <v>1798</v>
      </c>
      <c r="D2394" t="s">
        <v>1799</v>
      </c>
      <c r="E2394" t="s">
        <v>1800</v>
      </c>
      <c r="F2394" t="s">
        <v>120</v>
      </c>
      <c r="G2394" t="s">
        <v>4715</v>
      </c>
      <c r="H2394" t="s">
        <v>5157</v>
      </c>
      <c r="I2394" t="s">
        <v>5635</v>
      </c>
      <c r="J2394" t="s">
        <v>5636</v>
      </c>
      <c r="K2394" t="s">
        <v>5637</v>
      </c>
      <c r="L2394" t="s">
        <v>4717</v>
      </c>
    </row>
    <row r="2395">
      <c r="A2395" t="s">
        <v>2793</v>
      </c>
      <c r="B2395" t="s">
        <v>1829</v>
      </c>
      <c r="C2395" t="s">
        <v>1798</v>
      </c>
      <c r="D2395" t="s">
        <v>1799</v>
      </c>
      <c r="E2395" t="s">
        <v>1800</v>
      </c>
      <c r="F2395" t="s">
        <v>120</v>
      </c>
      <c r="G2395" t="s">
        <v>4715</v>
      </c>
      <c r="H2395" t="s">
        <v>5755</v>
      </c>
      <c r="I2395" t="s">
        <v>5756</v>
      </c>
      <c r="J2395" t="s">
        <v>5757</v>
      </c>
      <c r="K2395" t="s">
        <v>5758</v>
      </c>
      <c r="L2395" t="s">
        <v>4717</v>
      </c>
    </row>
    <row r="2396">
      <c r="A2396" t="s">
        <v>2793</v>
      </c>
      <c r="B2396" t="s">
        <v>1829</v>
      </c>
      <c r="C2396" t="s">
        <v>1798</v>
      </c>
      <c r="D2396" t="s">
        <v>1799</v>
      </c>
      <c r="E2396" t="s">
        <v>1800</v>
      </c>
      <c r="F2396" t="s">
        <v>120</v>
      </c>
      <c r="G2396" t="s">
        <v>4715</v>
      </c>
      <c r="H2396" t="s">
        <v>5755</v>
      </c>
      <c r="I2396" t="s">
        <v>5431</v>
      </c>
      <c r="J2396" t="s">
        <v>5759</v>
      </c>
      <c r="K2396" t="s">
        <v>5760</v>
      </c>
      <c r="L2396" t="s">
        <v>4717</v>
      </c>
    </row>
    <row r="2397">
      <c r="A2397" t="s">
        <v>2793</v>
      </c>
      <c r="B2397" t="s">
        <v>1829</v>
      </c>
      <c r="C2397" t="s">
        <v>1798</v>
      </c>
      <c r="D2397" t="s">
        <v>1799</v>
      </c>
      <c r="E2397" t="s">
        <v>1800</v>
      </c>
      <c r="F2397" t="s">
        <v>120</v>
      </c>
      <c r="G2397" t="s">
        <v>4715</v>
      </c>
      <c r="H2397" t="s">
        <v>5755</v>
      </c>
      <c r="I2397" t="s">
        <v>5761</v>
      </c>
      <c r="J2397" t="s">
        <v>5762</v>
      </c>
      <c r="K2397" t="s">
        <v>5763</v>
      </c>
      <c r="L2397" t="s">
        <v>4717</v>
      </c>
    </row>
    <row r="2398">
      <c r="A2398" t="s">
        <v>2793</v>
      </c>
      <c r="B2398" t="s">
        <v>1829</v>
      </c>
      <c r="C2398" t="s">
        <v>1798</v>
      </c>
      <c r="D2398" t="s">
        <v>1799</v>
      </c>
      <c r="E2398" t="s">
        <v>1800</v>
      </c>
      <c r="F2398" t="s">
        <v>120</v>
      </c>
      <c r="G2398" t="s">
        <v>4715</v>
      </c>
      <c r="H2398" t="s">
        <v>5755</v>
      </c>
      <c r="I2398" t="s">
        <v>5764</v>
      </c>
      <c r="J2398" t="s">
        <v>5765</v>
      </c>
      <c r="K2398" t="s">
        <v>5766</v>
      </c>
      <c r="L2398" t="s">
        <v>4717</v>
      </c>
    </row>
    <row r="2399">
      <c r="A2399" t="s">
        <v>2793</v>
      </c>
      <c r="B2399" t="s">
        <v>1829</v>
      </c>
      <c r="C2399" t="s">
        <v>1798</v>
      </c>
      <c r="D2399" t="s">
        <v>1799</v>
      </c>
      <c r="E2399" t="s">
        <v>1800</v>
      </c>
      <c r="F2399" t="s">
        <v>120</v>
      </c>
      <c r="G2399" t="s">
        <v>4715</v>
      </c>
      <c r="H2399" t="s">
        <v>5755</v>
      </c>
      <c r="I2399" t="s">
        <v>5436</v>
      </c>
      <c r="J2399" t="s">
        <v>5767</v>
      </c>
      <c r="K2399" t="s">
        <v>5768</v>
      </c>
      <c r="L2399" t="s">
        <v>4717</v>
      </c>
    </row>
    <row r="2400">
      <c r="A2400" t="s">
        <v>2793</v>
      </c>
      <c r="B2400" t="s">
        <v>1829</v>
      </c>
      <c r="C2400" t="s">
        <v>1798</v>
      </c>
      <c r="D2400" t="s">
        <v>1799</v>
      </c>
      <c r="E2400" t="s">
        <v>1800</v>
      </c>
      <c r="F2400" t="s">
        <v>120</v>
      </c>
      <c r="G2400" t="s">
        <v>4715</v>
      </c>
      <c r="H2400" t="s">
        <v>1836</v>
      </c>
      <c r="I2400" t="s">
        <v>5438</v>
      </c>
      <c r="J2400" t="s">
        <v>5769</v>
      </c>
      <c r="K2400" t="s">
        <v>5770</v>
      </c>
      <c r="L2400" t="s">
        <v>4717</v>
      </c>
    </row>
    <row r="2401">
      <c r="A2401" t="s">
        <v>2793</v>
      </c>
      <c r="B2401" t="s">
        <v>1829</v>
      </c>
      <c r="C2401" t="s">
        <v>1798</v>
      </c>
      <c r="D2401" t="s">
        <v>1799</v>
      </c>
      <c r="E2401" t="s">
        <v>1800</v>
      </c>
      <c r="F2401" t="s">
        <v>120</v>
      </c>
      <c r="G2401" t="s">
        <v>4715</v>
      </c>
      <c r="H2401" t="s">
        <v>5522</v>
      </c>
      <c r="I2401" t="s">
        <v>5656</v>
      </c>
      <c r="J2401" t="s">
        <v>5657</v>
      </c>
      <c r="K2401" t="s">
        <v>5658</v>
      </c>
      <c r="L2401" t="s">
        <v>4717</v>
      </c>
    </row>
    <row r="2402">
      <c r="A2402" t="s">
        <v>2793</v>
      </c>
      <c r="B2402" t="s">
        <v>1829</v>
      </c>
      <c r="C2402" t="s">
        <v>1798</v>
      </c>
      <c r="D2402" t="s">
        <v>1799</v>
      </c>
      <c r="E2402" t="s">
        <v>1800</v>
      </c>
      <c r="F2402" t="s">
        <v>120</v>
      </c>
      <c r="G2402" t="s">
        <v>4715</v>
      </c>
      <c r="H2402" t="s">
        <v>5522</v>
      </c>
      <c r="I2402" t="s">
        <v>5715</v>
      </c>
      <c r="J2402" t="s">
        <v>5716</v>
      </c>
      <c r="K2402" t="s">
        <v>5717</v>
      </c>
      <c r="L2402" t="s">
        <v>4717</v>
      </c>
    </row>
    <row r="2403">
      <c r="A2403" t="s">
        <v>2793</v>
      </c>
      <c r="B2403" t="s">
        <v>1829</v>
      </c>
      <c r="C2403" t="s">
        <v>1798</v>
      </c>
      <c r="D2403" t="s">
        <v>1799</v>
      </c>
      <c r="E2403" t="s">
        <v>1800</v>
      </c>
      <c r="F2403" t="s">
        <v>120</v>
      </c>
      <c r="G2403" t="s">
        <v>4715</v>
      </c>
      <c r="H2403" t="s">
        <v>5522</v>
      </c>
      <c r="I2403" t="s">
        <v>5718</v>
      </c>
      <c r="J2403" t="s">
        <v>5719</v>
      </c>
      <c r="K2403" t="s">
        <v>5720</v>
      </c>
      <c r="L2403" t="s">
        <v>4717</v>
      </c>
    </row>
    <row r="2404">
      <c r="A2404" t="s">
        <v>2796</v>
      </c>
      <c r="B2404" t="s">
        <v>1836</v>
      </c>
      <c r="C2404" t="s">
        <v>1798</v>
      </c>
      <c r="D2404" t="s">
        <v>1799</v>
      </c>
      <c r="E2404" t="s">
        <v>1800</v>
      </c>
      <c r="F2404" t="s">
        <v>120</v>
      </c>
      <c r="G2404" t="s">
        <v>4715</v>
      </c>
      <c r="H2404" t="s">
        <v>5041</v>
      </c>
      <c r="I2404" t="s">
        <v>5614</v>
      </c>
      <c r="J2404" t="s">
        <v>5615</v>
      </c>
      <c r="K2404" t="s">
        <v>4169</v>
      </c>
      <c r="L2404" t="s">
        <v>4717</v>
      </c>
    </row>
    <row r="2405">
      <c r="A2405" t="s">
        <v>2796</v>
      </c>
      <c r="B2405" t="s">
        <v>1836</v>
      </c>
      <c r="C2405" t="s">
        <v>1798</v>
      </c>
      <c r="D2405" t="s">
        <v>1799</v>
      </c>
      <c r="E2405" t="s">
        <v>1800</v>
      </c>
      <c r="F2405" t="s">
        <v>120</v>
      </c>
      <c r="G2405" t="s">
        <v>4715</v>
      </c>
      <c r="H2405" t="s">
        <v>5616</v>
      </c>
      <c r="I2405" t="s">
        <v>5617</v>
      </c>
      <c r="J2405" t="s">
        <v>5618</v>
      </c>
      <c r="K2405" t="s">
        <v>5619</v>
      </c>
      <c r="L2405" t="s">
        <v>4717</v>
      </c>
    </row>
    <row r="2406">
      <c r="A2406" t="s">
        <v>2796</v>
      </c>
      <c r="B2406" t="s">
        <v>1836</v>
      </c>
      <c r="C2406" t="s">
        <v>1798</v>
      </c>
      <c r="D2406" t="s">
        <v>1799</v>
      </c>
      <c r="E2406" t="s">
        <v>1800</v>
      </c>
      <c r="F2406" t="s">
        <v>120</v>
      </c>
      <c r="G2406" t="s">
        <v>4715</v>
      </c>
      <c r="H2406" t="s">
        <v>5499</v>
      </c>
      <c r="I2406" t="s">
        <v>5620</v>
      </c>
      <c r="J2406" t="s">
        <v>5621</v>
      </c>
      <c r="K2406" t="s">
        <v>5622</v>
      </c>
      <c r="L2406" t="s">
        <v>4717</v>
      </c>
    </row>
    <row r="2407">
      <c r="A2407" t="s">
        <v>2796</v>
      </c>
      <c r="B2407" t="s">
        <v>1836</v>
      </c>
      <c r="C2407" t="s">
        <v>1798</v>
      </c>
      <c r="D2407" t="s">
        <v>1799</v>
      </c>
      <c r="E2407" t="s">
        <v>1800</v>
      </c>
      <c r="F2407" t="s">
        <v>120</v>
      </c>
      <c r="G2407" t="s">
        <v>4715</v>
      </c>
      <c r="H2407" t="s">
        <v>5623</v>
      </c>
      <c r="I2407" t="s">
        <v>5624</v>
      </c>
      <c r="J2407" t="s">
        <v>5625</v>
      </c>
      <c r="K2407" t="s">
        <v>5626</v>
      </c>
      <c r="L2407" t="s">
        <v>4717</v>
      </c>
    </row>
    <row r="2408">
      <c r="A2408" t="s">
        <v>2796</v>
      </c>
      <c r="B2408" t="s">
        <v>1836</v>
      </c>
      <c r="C2408" t="s">
        <v>1798</v>
      </c>
      <c r="D2408" t="s">
        <v>1799</v>
      </c>
      <c r="E2408" t="s">
        <v>1800</v>
      </c>
      <c r="F2408" t="s">
        <v>120</v>
      </c>
      <c r="G2408" t="s">
        <v>4715</v>
      </c>
      <c r="H2408" t="s">
        <v>3904</v>
      </c>
      <c r="I2408" t="s">
        <v>5627</v>
      </c>
      <c r="J2408" t="s">
        <v>5628</v>
      </c>
      <c r="K2408" t="s">
        <v>5629</v>
      </c>
      <c r="L2408" t="s">
        <v>4717</v>
      </c>
    </row>
    <row r="2409">
      <c r="A2409" t="s">
        <v>2796</v>
      </c>
      <c r="B2409" t="s">
        <v>1836</v>
      </c>
      <c r="C2409" t="s">
        <v>1798</v>
      </c>
      <c r="D2409" t="s">
        <v>1799</v>
      </c>
      <c r="E2409" t="s">
        <v>1800</v>
      </c>
      <c r="F2409" t="s">
        <v>120</v>
      </c>
      <c r="G2409" t="s">
        <v>4715</v>
      </c>
      <c r="H2409" t="s">
        <v>5630</v>
      </c>
      <c r="I2409" t="s">
        <v>5474</v>
      </c>
      <c r="J2409" t="s">
        <v>5631</v>
      </c>
      <c r="K2409" t="s">
        <v>5632</v>
      </c>
      <c r="L2409" t="s">
        <v>4717</v>
      </c>
    </row>
    <row r="2410">
      <c r="A2410" t="s">
        <v>2796</v>
      </c>
      <c r="B2410" t="s">
        <v>1836</v>
      </c>
      <c r="C2410" t="s">
        <v>1798</v>
      </c>
      <c r="D2410" t="s">
        <v>1799</v>
      </c>
      <c r="E2410" t="s">
        <v>1800</v>
      </c>
      <c r="F2410" t="s">
        <v>120</v>
      </c>
      <c r="G2410" t="s">
        <v>4715</v>
      </c>
      <c r="H2410" t="s">
        <v>5170</v>
      </c>
      <c r="I2410" t="s">
        <v>5171</v>
      </c>
      <c r="J2410" t="s">
        <v>5633</v>
      </c>
      <c r="K2410" t="s">
        <v>5634</v>
      </c>
      <c r="L2410" t="s">
        <v>4717</v>
      </c>
    </row>
    <row r="2411">
      <c r="A2411" t="s">
        <v>2796</v>
      </c>
      <c r="B2411" t="s">
        <v>1836</v>
      </c>
      <c r="C2411" t="s">
        <v>1798</v>
      </c>
      <c r="D2411" t="s">
        <v>1799</v>
      </c>
      <c r="E2411" t="s">
        <v>1800</v>
      </c>
      <c r="F2411" t="s">
        <v>120</v>
      </c>
      <c r="G2411" t="s">
        <v>4715</v>
      </c>
      <c r="H2411" t="s">
        <v>5157</v>
      </c>
      <c r="I2411" t="s">
        <v>5635</v>
      </c>
      <c r="J2411" t="s">
        <v>5636</v>
      </c>
      <c r="K2411" t="s">
        <v>5637</v>
      </c>
      <c r="L2411" t="s">
        <v>4717</v>
      </c>
    </row>
    <row r="2412">
      <c r="A2412" t="s">
        <v>2796</v>
      </c>
      <c r="B2412" t="s">
        <v>1836</v>
      </c>
      <c r="C2412" t="s">
        <v>1798</v>
      </c>
      <c r="D2412" t="s">
        <v>1799</v>
      </c>
      <c r="E2412" t="s">
        <v>1800</v>
      </c>
      <c r="F2412" t="s">
        <v>120</v>
      </c>
      <c r="G2412" t="s">
        <v>4715</v>
      </c>
      <c r="H2412" t="s">
        <v>5755</v>
      </c>
      <c r="I2412" t="s">
        <v>5756</v>
      </c>
      <c r="J2412" t="s">
        <v>5757</v>
      </c>
      <c r="K2412" t="s">
        <v>5758</v>
      </c>
      <c r="L2412" t="s">
        <v>4717</v>
      </c>
    </row>
    <row r="2413">
      <c r="A2413" t="s">
        <v>2796</v>
      </c>
      <c r="B2413" t="s">
        <v>1836</v>
      </c>
      <c r="C2413" t="s">
        <v>1798</v>
      </c>
      <c r="D2413" t="s">
        <v>1799</v>
      </c>
      <c r="E2413" t="s">
        <v>1800</v>
      </c>
      <c r="F2413" t="s">
        <v>120</v>
      </c>
      <c r="G2413" t="s">
        <v>4715</v>
      </c>
      <c r="H2413" t="s">
        <v>5755</v>
      </c>
      <c r="I2413" t="s">
        <v>5431</v>
      </c>
      <c r="J2413" t="s">
        <v>5759</v>
      </c>
      <c r="K2413" t="s">
        <v>5760</v>
      </c>
      <c r="L2413" t="s">
        <v>4717</v>
      </c>
    </row>
    <row r="2414">
      <c r="A2414" t="s">
        <v>2796</v>
      </c>
      <c r="B2414" t="s">
        <v>1836</v>
      </c>
      <c r="C2414" t="s">
        <v>1798</v>
      </c>
      <c r="D2414" t="s">
        <v>1799</v>
      </c>
      <c r="E2414" t="s">
        <v>1800</v>
      </c>
      <c r="F2414" t="s">
        <v>120</v>
      </c>
      <c r="G2414" t="s">
        <v>4715</v>
      </c>
      <c r="H2414" t="s">
        <v>5755</v>
      </c>
      <c r="I2414" t="s">
        <v>5761</v>
      </c>
      <c r="J2414" t="s">
        <v>5762</v>
      </c>
      <c r="K2414" t="s">
        <v>5763</v>
      </c>
      <c r="L2414" t="s">
        <v>4717</v>
      </c>
    </row>
    <row r="2415">
      <c r="A2415" t="s">
        <v>2796</v>
      </c>
      <c r="B2415" t="s">
        <v>1836</v>
      </c>
      <c r="C2415" t="s">
        <v>1798</v>
      </c>
      <c r="D2415" t="s">
        <v>1799</v>
      </c>
      <c r="E2415" t="s">
        <v>1800</v>
      </c>
      <c r="F2415" t="s">
        <v>120</v>
      </c>
      <c r="G2415" t="s">
        <v>4715</v>
      </c>
      <c r="H2415" t="s">
        <v>5755</v>
      </c>
      <c r="I2415" t="s">
        <v>5764</v>
      </c>
      <c r="J2415" t="s">
        <v>5765</v>
      </c>
      <c r="K2415" t="s">
        <v>5766</v>
      </c>
      <c r="L2415" t="s">
        <v>4717</v>
      </c>
    </row>
    <row r="2416">
      <c r="A2416" t="s">
        <v>2796</v>
      </c>
      <c r="B2416" t="s">
        <v>1836</v>
      </c>
      <c r="C2416" t="s">
        <v>1798</v>
      </c>
      <c r="D2416" t="s">
        <v>1799</v>
      </c>
      <c r="E2416" t="s">
        <v>1800</v>
      </c>
      <c r="F2416" t="s">
        <v>120</v>
      </c>
      <c r="G2416" t="s">
        <v>4715</v>
      </c>
      <c r="H2416" t="s">
        <v>5755</v>
      </c>
      <c r="I2416" t="s">
        <v>5436</v>
      </c>
      <c r="J2416" t="s">
        <v>5767</v>
      </c>
      <c r="K2416" t="s">
        <v>5768</v>
      </c>
      <c r="L2416" t="s">
        <v>4717</v>
      </c>
    </row>
    <row r="2417">
      <c r="A2417" t="s">
        <v>2796</v>
      </c>
      <c r="B2417" t="s">
        <v>1836</v>
      </c>
      <c r="C2417" t="s">
        <v>1798</v>
      </c>
      <c r="D2417" t="s">
        <v>1799</v>
      </c>
      <c r="E2417" t="s">
        <v>1800</v>
      </c>
      <c r="F2417" t="s">
        <v>120</v>
      </c>
      <c r="G2417" t="s">
        <v>4715</v>
      </c>
      <c r="H2417" t="s">
        <v>1836</v>
      </c>
      <c r="I2417" t="s">
        <v>5438</v>
      </c>
      <c r="J2417" t="s">
        <v>5769</v>
      </c>
      <c r="K2417" t="s">
        <v>5770</v>
      </c>
      <c r="L2417" t="s">
        <v>4717</v>
      </c>
    </row>
    <row r="2418">
      <c r="A2418" t="s">
        <v>2796</v>
      </c>
      <c r="B2418" t="s">
        <v>1836</v>
      </c>
      <c r="C2418" t="s">
        <v>1798</v>
      </c>
      <c r="D2418" t="s">
        <v>1799</v>
      </c>
      <c r="E2418" t="s">
        <v>1800</v>
      </c>
      <c r="F2418" t="s">
        <v>120</v>
      </c>
      <c r="G2418" t="s">
        <v>4715</v>
      </c>
      <c r="H2418" t="s">
        <v>5522</v>
      </c>
      <c r="I2418" t="s">
        <v>5656</v>
      </c>
      <c r="J2418" t="s">
        <v>5657</v>
      </c>
      <c r="K2418" t="s">
        <v>5658</v>
      </c>
      <c r="L2418" t="s">
        <v>4717</v>
      </c>
    </row>
    <row r="2419">
      <c r="A2419" t="s">
        <v>2796</v>
      </c>
      <c r="B2419" t="s">
        <v>1836</v>
      </c>
      <c r="C2419" t="s">
        <v>1798</v>
      </c>
      <c r="D2419" t="s">
        <v>1799</v>
      </c>
      <c r="E2419" t="s">
        <v>1800</v>
      </c>
      <c r="F2419" t="s">
        <v>120</v>
      </c>
      <c r="G2419" t="s">
        <v>4715</v>
      </c>
      <c r="H2419" t="s">
        <v>5522</v>
      </c>
      <c r="I2419" t="s">
        <v>5715</v>
      </c>
      <c r="J2419" t="s">
        <v>5716</v>
      </c>
      <c r="K2419" t="s">
        <v>5717</v>
      </c>
      <c r="L2419" t="s">
        <v>4717</v>
      </c>
    </row>
    <row r="2420">
      <c r="A2420" t="s">
        <v>2796</v>
      </c>
      <c r="B2420" t="s">
        <v>1836</v>
      </c>
      <c r="C2420" t="s">
        <v>1798</v>
      </c>
      <c r="D2420" t="s">
        <v>1799</v>
      </c>
      <c r="E2420" t="s">
        <v>1800</v>
      </c>
      <c r="F2420" t="s">
        <v>120</v>
      </c>
      <c r="G2420" t="s">
        <v>4715</v>
      </c>
      <c r="H2420" t="s">
        <v>5522</v>
      </c>
      <c r="I2420" t="s">
        <v>5718</v>
      </c>
      <c r="J2420" t="s">
        <v>5719</v>
      </c>
      <c r="K2420" t="s">
        <v>5720</v>
      </c>
      <c r="L2420" t="s">
        <v>4717</v>
      </c>
    </row>
    <row r="2421">
      <c r="A2421" t="s">
        <v>2799</v>
      </c>
      <c r="B2421" t="s">
        <v>1847</v>
      </c>
      <c r="C2421" t="s">
        <v>1798</v>
      </c>
      <c r="D2421" t="s">
        <v>1844</v>
      </c>
      <c r="E2421" t="s">
        <v>1845</v>
      </c>
      <c r="F2421" t="s">
        <v>120</v>
      </c>
      <c r="G2421" t="s">
        <v>4715</v>
      </c>
      <c r="H2421" t="s">
        <v>5041</v>
      </c>
      <c r="I2421" t="s">
        <v>5614</v>
      </c>
      <c r="J2421" t="s">
        <v>5615</v>
      </c>
      <c r="K2421" t="s">
        <v>4169</v>
      </c>
      <c r="L2421" t="s">
        <v>4717</v>
      </c>
    </row>
    <row r="2422">
      <c r="A2422" t="s">
        <v>2799</v>
      </c>
      <c r="B2422" t="s">
        <v>1847</v>
      </c>
      <c r="C2422" t="s">
        <v>1798</v>
      </c>
      <c r="D2422" t="s">
        <v>1844</v>
      </c>
      <c r="E2422" t="s">
        <v>1845</v>
      </c>
      <c r="F2422" t="s">
        <v>120</v>
      </c>
      <c r="G2422" t="s">
        <v>4715</v>
      </c>
      <c r="H2422" t="s">
        <v>5616</v>
      </c>
      <c r="I2422" t="s">
        <v>5617</v>
      </c>
      <c r="J2422" t="s">
        <v>5618</v>
      </c>
      <c r="K2422" t="s">
        <v>5619</v>
      </c>
      <c r="L2422" t="s">
        <v>4717</v>
      </c>
    </row>
    <row r="2423">
      <c r="A2423" t="s">
        <v>2799</v>
      </c>
      <c r="B2423" t="s">
        <v>1847</v>
      </c>
      <c r="C2423" t="s">
        <v>1798</v>
      </c>
      <c r="D2423" t="s">
        <v>1844</v>
      </c>
      <c r="E2423" t="s">
        <v>1845</v>
      </c>
      <c r="F2423" t="s">
        <v>120</v>
      </c>
      <c r="G2423" t="s">
        <v>4715</v>
      </c>
      <c r="H2423" t="s">
        <v>5499</v>
      </c>
      <c r="I2423" t="s">
        <v>5620</v>
      </c>
      <c r="J2423" t="s">
        <v>5621</v>
      </c>
      <c r="K2423" t="s">
        <v>5622</v>
      </c>
      <c r="L2423" t="s">
        <v>4717</v>
      </c>
    </row>
    <row r="2424">
      <c r="A2424" t="s">
        <v>2799</v>
      </c>
      <c r="B2424" t="s">
        <v>1847</v>
      </c>
      <c r="C2424" t="s">
        <v>1798</v>
      </c>
      <c r="D2424" t="s">
        <v>1844</v>
      </c>
      <c r="E2424" t="s">
        <v>1845</v>
      </c>
      <c r="F2424" t="s">
        <v>120</v>
      </c>
      <c r="G2424" t="s">
        <v>4715</v>
      </c>
      <c r="H2424" t="s">
        <v>5623</v>
      </c>
      <c r="I2424" t="s">
        <v>5624</v>
      </c>
      <c r="J2424" t="s">
        <v>5625</v>
      </c>
      <c r="K2424" t="s">
        <v>5626</v>
      </c>
      <c r="L2424" t="s">
        <v>4717</v>
      </c>
    </row>
    <row r="2425">
      <c r="A2425" t="s">
        <v>2799</v>
      </c>
      <c r="B2425" t="s">
        <v>1847</v>
      </c>
      <c r="C2425" t="s">
        <v>1798</v>
      </c>
      <c r="D2425" t="s">
        <v>1844</v>
      </c>
      <c r="E2425" t="s">
        <v>1845</v>
      </c>
      <c r="F2425" t="s">
        <v>120</v>
      </c>
      <c r="G2425" t="s">
        <v>4715</v>
      </c>
      <c r="H2425" t="s">
        <v>3904</v>
      </c>
      <c r="I2425" t="s">
        <v>5627</v>
      </c>
      <c r="J2425" t="s">
        <v>5628</v>
      </c>
      <c r="K2425" t="s">
        <v>5629</v>
      </c>
      <c r="L2425" t="s">
        <v>4717</v>
      </c>
    </row>
    <row r="2426">
      <c r="A2426" t="s">
        <v>2799</v>
      </c>
      <c r="B2426" t="s">
        <v>1847</v>
      </c>
      <c r="C2426" t="s">
        <v>1798</v>
      </c>
      <c r="D2426" t="s">
        <v>1844</v>
      </c>
      <c r="E2426" t="s">
        <v>1845</v>
      </c>
      <c r="F2426" t="s">
        <v>120</v>
      </c>
      <c r="G2426" t="s">
        <v>4715</v>
      </c>
      <c r="H2426" t="s">
        <v>5630</v>
      </c>
      <c r="I2426" t="s">
        <v>5474</v>
      </c>
      <c r="J2426" t="s">
        <v>5631</v>
      </c>
      <c r="K2426" t="s">
        <v>5632</v>
      </c>
      <c r="L2426" t="s">
        <v>4717</v>
      </c>
    </row>
    <row r="2427">
      <c r="A2427" t="s">
        <v>2799</v>
      </c>
      <c r="B2427" t="s">
        <v>1847</v>
      </c>
      <c r="C2427" t="s">
        <v>1798</v>
      </c>
      <c r="D2427" t="s">
        <v>1844</v>
      </c>
      <c r="E2427" t="s">
        <v>1845</v>
      </c>
      <c r="F2427" t="s">
        <v>120</v>
      </c>
      <c r="G2427" t="s">
        <v>4715</v>
      </c>
      <c r="H2427" t="s">
        <v>5170</v>
      </c>
      <c r="I2427" t="s">
        <v>5171</v>
      </c>
      <c r="J2427" t="s">
        <v>5633</v>
      </c>
      <c r="K2427" t="s">
        <v>5634</v>
      </c>
      <c r="L2427" t="s">
        <v>4717</v>
      </c>
    </row>
    <row r="2428">
      <c r="A2428" t="s">
        <v>2799</v>
      </c>
      <c r="B2428" t="s">
        <v>1847</v>
      </c>
      <c r="C2428" t="s">
        <v>1798</v>
      </c>
      <c r="D2428" t="s">
        <v>1844</v>
      </c>
      <c r="E2428" t="s">
        <v>1845</v>
      </c>
      <c r="F2428" t="s">
        <v>120</v>
      </c>
      <c r="G2428" t="s">
        <v>4715</v>
      </c>
      <c r="H2428" t="s">
        <v>5157</v>
      </c>
      <c r="I2428" t="s">
        <v>5635</v>
      </c>
      <c r="J2428" t="s">
        <v>5636</v>
      </c>
      <c r="K2428" t="s">
        <v>5637</v>
      </c>
      <c r="L2428" t="s">
        <v>4717</v>
      </c>
    </row>
    <row r="2429">
      <c r="A2429" t="s">
        <v>2799</v>
      </c>
      <c r="B2429" t="s">
        <v>1847</v>
      </c>
      <c r="C2429" t="s">
        <v>1798</v>
      </c>
      <c r="D2429" t="s">
        <v>1844</v>
      </c>
      <c r="E2429" t="s">
        <v>1845</v>
      </c>
      <c r="F2429" t="s">
        <v>120</v>
      </c>
      <c r="G2429" t="s">
        <v>4715</v>
      </c>
      <c r="H2429" t="s">
        <v>5771</v>
      </c>
      <c r="I2429" t="s">
        <v>5440</v>
      </c>
      <c r="J2429" t="s">
        <v>5772</v>
      </c>
      <c r="K2429" t="s">
        <v>5773</v>
      </c>
      <c r="L2429" t="s">
        <v>4717</v>
      </c>
    </row>
    <row r="2430">
      <c r="A2430" t="s">
        <v>2799</v>
      </c>
      <c r="B2430" t="s">
        <v>1847</v>
      </c>
      <c r="C2430" t="s">
        <v>1798</v>
      </c>
      <c r="D2430" t="s">
        <v>1844</v>
      </c>
      <c r="E2430" t="s">
        <v>1845</v>
      </c>
      <c r="F2430" t="s">
        <v>120</v>
      </c>
      <c r="G2430" t="s">
        <v>4715</v>
      </c>
      <c r="H2430" t="s">
        <v>5771</v>
      </c>
      <c r="I2430" t="s">
        <v>5774</v>
      </c>
      <c r="J2430" t="s">
        <v>5775</v>
      </c>
      <c r="K2430" t="s">
        <v>5776</v>
      </c>
      <c r="L2430" t="s">
        <v>4717</v>
      </c>
    </row>
    <row r="2431">
      <c r="A2431" t="s">
        <v>2799</v>
      </c>
      <c r="B2431" t="s">
        <v>1847</v>
      </c>
      <c r="C2431" t="s">
        <v>1798</v>
      </c>
      <c r="D2431" t="s">
        <v>1844</v>
      </c>
      <c r="E2431" t="s">
        <v>1845</v>
      </c>
      <c r="F2431" t="s">
        <v>120</v>
      </c>
      <c r="G2431" t="s">
        <v>4715</v>
      </c>
      <c r="H2431" t="s">
        <v>5771</v>
      </c>
      <c r="I2431" t="s">
        <v>5444</v>
      </c>
      <c r="J2431" t="s">
        <v>5777</v>
      </c>
      <c r="K2431" t="s">
        <v>5778</v>
      </c>
      <c r="L2431" t="s">
        <v>4717</v>
      </c>
    </row>
    <row r="2432">
      <c r="A2432" t="s">
        <v>2799</v>
      </c>
      <c r="B2432" t="s">
        <v>1847</v>
      </c>
      <c r="C2432" t="s">
        <v>1798</v>
      </c>
      <c r="D2432" t="s">
        <v>1844</v>
      </c>
      <c r="E2432" t="s">
        <v>1845</v>
      </c>
      <c r="F2432" t="s">
        <v>120</v>
      </c>
      <c r="G2432" t="s">
        <v>4715</v>
      </c>
      <c r="H2432" t="s">
        <v>5771</v>
      </c>
      <c r="I2432" t="s">
        <v>1868</v>
      </c>
      <c r="J2432" t="s">
        <v>5779</v>
      </c>
      <c r="K2432" t="s">
        <v>5780</v>
      </c>
      <c r="L2432" t="s">
        <v>4717</v>
      </c>
    </row>
    <row r="2433">
      <c r="A2433" t="s">
        <v>2799</v>
      </c>
      <c r="B2433" t="s">
        <v>1847</v>
      </c>
      <c r="C2433" t="s">
        <v>1798</v>
      </c>
      <c r="D2433" t="s">
        <v>1844</v>
      </c>
      <c r="E2433" t="s">
        <v>1845</v>
      </c>
      <c r="F2433" t="s">
        <v>120</v>
      </c>
      <c r="G2433" t="s">
        <v>4715</v>
      </c>
      <c r="H2433" t="s">
        <v>5522</v>
      </c>
      <c r="I2433" t="s">
        <v>5656</v>
      </c>
      <c r="J2433" t="s">
        <v>5657</v>
      </c>
      <c r="K2433" t="s">
        <v>5658</v>
      </c>
      <c r="L2433" t="s">
        <v>4717</v>
      </c>
    </row>
    <row r="2434">
      <c r="A2434" t="s">
        <v>2799</v>
      </c>
      <c r="B2434" t="s">
        <v>1847</v>
      </c>
      <c r="C2434" t="s">
        <v>1798</v>
      </c>
      <c r="D2434" t="s">
        <v>1844</v>
      </c>
      <c r="E2434" t="s">
        <v>1845</v>
      </c>
      <c r="F2434" t="s">
        <v>120</v>
      </c>
      <c r="G2434" t="s">
        <v>4715</v>
      </c>
      <c r="H2434" t="s">
        <v>5522</v>
      </c>
      <c r="I2434" t="s">
        <v>5715</v>
      </c>
      <c r="J2434" t="s">
        <v>5716</v>
      </c>
      <c r="K2434" t="s">
        <v>5717</v>
      </c>
      <c r="L2434" t="s">
        <v>4717</v>
      </c>
    </row>
    <row r="2435">
      <c r="A2435" t="s">
        <v>2799</v>
      </c>
      <c r="B2435" t="s">
        <v>1847</v>
      </c>
      <c r="C2435" t="s">
        <v>1798</v>
      </c>
      <c r="D2435" t="s">
        <v>1844</v>
      </c>
      <c r="E2435" t="s">
        <v>1845</v>
      </c>
      <c r="F2435" t="s">
        <v>120</v>
      </c>
      <c r="G2435" t="s">
        <v>4715</v>
      </c>
      <c r="H2435" t="s">
        <v>5522</v>
      </c>
      <c r="I2435" t="s">
        <v>5718</v>
      </c>
      <c r="J2435" t="s">
        <v>5719</v>
      </c>
      <c r="K2435" t="s">
        <v>5720</v>
      </c>
      <c r="L2435" t="s">
        <v>4717</v>
      </c>
    </row>
    <row r="2436">
      <c r="A2436" t="s">
        <v>2802</v>
      </c>
      <c r="B2436" t="s">
        <v>1855</v>
      </c>
      <c r="C2436" t="s">
        <v>1798</v>
      </c>
      <c r="D2436" t="s">
        <v>1844</v>
      </c>
      <c r="E2436" t="s">
        <v>1845</v>
      </c>
      <c r="F2436" t="s">
        <v>120</v>
      </c>
      <c r="G2436" t="s">
        <v>4715</v>
      </c>
      <c r="H2436" t="s">
        <v>5041</v>
      </c>
      <c r="I2436" t="s">
        <v>5614</v>
      </c>
      <c r="J2436" t="s">
        <v>5615</v>
      </c>
      <c r="K2436" t="s">
        <v>4169</v>
      </c>
      <c r="L2436" t="s">
        <v>4717</v>
      </c>
    </row>
    <row r="2437">
      <c r="A2437" t="s">
        <v>2802</v>
      </c>
      <c r="B2437" t="s">
        <v>1855</v>
      </c>
      <c r="C2437" t="s">
        <v>1798</v>
      </c>
      <c r="D2437" t="s">
        <v>1844</v>
      </c>
      <c r="E2437" t="s">
        <v>1845</v>
      </c>
      <c r="F2437" t="s">
        <v>120</v>
      </c>
      <c r="G2437" t="s">
        <v>4715</v>
      </c>
      <c r="H2437" t="s">
        <v>5616</v>
      </c>
      <c r="I2437" t="s">
        <v>5617</v>
      </c>
      <c r="J2437" t="s">
        <v>5618</v>
      </c>
      <c r="K2437" t="s">
        <v>5619</v>
      </c>
      <c r="L2437" t="s">
        <v>4717</v>
      </c>
    </row>
    <row r="2438">
      <c r="A2438" t="s">
        <v>2802</v>
      </c>
      <c r="B2438" t="s">
        <v>1855</v>
      </c>
      <c r="C2438" t="s">
        <v>1798</v>
      </c>
      <c r="D2438" t="s">
        <v>1844</v>
      </c>
      <c r="E2438" t="s">
        <v>1845</v>
      </c>
      <c r="F2438" t="s">
        <v>120</v>
      </c>
      <c r="G2438" t="s">
        <v>4715</v>
      </c>
      <c r="H2438" t="s">
        <v>5499</v>
      </c>
      <c r="I2438" t="s">
        <v>5620</v>
      </c>
      <c r="J2438" t="s">
        <v>5621</v>
      </c>
      <c r="K2438" t="s">
        <v>5622</v>
      </c>
      <c r="L2438" t="s">
        <v>4717</v>
      </c>
    </row>
    <row r="2439">
      <c r="A2439" t="s">
        <v>2802</v>
      </c>
      <c r="B2439" t="s">
        <v>1855</v>
      </c>
      <c r="C2439" t="s">
        <v>1798</v>
      </c>
      <c r="D2439" t="s">
        <v>1844</v>
      </c>
      <c r="E2439" t="s">
        <v>1845</v>
      </c>
      <c r="F2439" t="s">
        <v>120</v>
      </c>
      <c r="G2439" t="s">
        <v>4715</v>
      </c>
      <c r="H2439" t="s">
        <v>5623</v>
      </c>
      <c r="I2439" t="s">
        <v>5624</v>
      </c>
      <c r="J2439" t="s">
        <v>5625</v>
      </c>
      <c r="K2439" t="s">
        <v>5626</v>
      </c>
      <c r="L2439" t="s">
        <v>4717</v>
      </c>
    </row>
    <row r="2440">
      <c r="A2440" t="s">
        <v>2802</v>
      </c>
      <c r="B2440" t="s">
        <v>1855</v>
      </c>
      <c r="C2440" t="s">
        <v>1798</v>
      </c>
      <c r="D2440" t="s">
        <v>1844</v>
      </c>
      <c r="E2440" t="s">
        <v>1845</v>
      </c>
      <c r="F2440" t="s">
        <v>120</v>
      </c>
      <c r="G2440" t="s">
        <v>4715</v>
      </c>
      <c r="H2440" t="s">
        <v>3904</v>
      </c>
      <c r="I2440" t="s">
        <v>5627</v>
      </c>
      <c r="J2440" t="s">
        <v>5628</v>
      </c>
      <c r="K2440" t="s">
        <v>5629</v>
      </c>
      <c r="L2440" t="s">
        <v>4717</v>
      </c>
    </row>
    <row r="2441">
      <c r="A2441" t="s">
        <v>2802</v>
      </c>
      <c r="B2441" t="s">
        <v>1855</v>
      </c>
      <c r="C2441" t="s">
        <v>1798</v>
      </c>
      <c r="D2441" t="s">
        <v>1844</v>
      </c>
      <c r="E2441" t="s">
        <v>1845</v>
      </c>
      <c r="F2441" t="s">
        <v>120</v>
      </c>
      <c r="G2441" t="s">
        <v>4715</v>
      </c>
      <c r="H2441" t="s">
        <v>5630</v>
      </c>
      <c r="I2441" t="s">
        <v>5474</v>
      </c>
      <c r="J2441" t="s">
        <v>5631</v>
      </c>
      <c r="K2441" t="s">
        <v>5632</v>
      </c>
      <c r="L2441" t="s">
        <v>4717</v>
      </c>
    </row>
    <row r="2442">
      <c r="A2442" t="s">
        <v>2802</v>
      </c>
      <c r="B2442" t="s">
        <v>1855</v>
      </c>
      <c r="C2442" t="s">
        <v>1798</v>
      </c>
      <c r="D2442" t="s">
        <v>1844</v>
      </c>
      <c r="E2442" t="s">
        <v>1845</v>
      </c>
      <c r="F2442" t="s">
        <v>120</v>
      </c>
      <c r="G2442" t="s">
        <v>4715</v>
      </c>
      <c r="H2442" t="s">
        <v>5170</v>
      </c>
      <c r="I2442" t="s">
        <v>5171</v>
      </c>
      <c r="J2442" t="s">
        <v>5633</v>
      </c>
      <c r="K2442" t="s">
        <v>5634</v>
      </c>
      <c r="L2442" t="s">
        <v>4717</v>
      </c>
    </row>
    <row r="2443">
      <c r="A2443" t="s">
        <v>2802</v>
      </c>
      <c r="B2443" t="s">
        <v>1855</v>
      </c>
      <c r="C2443" t="s">
        <v>1798</v>
      </c>
      <c r="D2443" t="s">
        <v>1844</v>
      </c>
      <c r="E2443" t="s">
        <v>1845</v>
      </c>
      <c r="F2443" t="s">
        <v>120</v>
      </c>
      <c r="G2443" t="s">
        <v>4715</v>
      </c>
      <c r="H2443" t="s">
        <v>5157</v>
      </c>
      <c r="I2443" t="s">
        <v>5635</v>
      </c>
      <c r="J2443" t="s">
        <v>5636</v>
      </c>
      <c r="K2443" t="s">
        <v>5637</v>
      </c>
      <c r="L2443" t="s">
        <v>4717</v>
      </c>
    </row>
    <row r="2444">
      <c r="A2444" t="s">
        <v>2802</v>
      </c>
      <c r="B2444" t="s">
        <v>1855</v>
      </c>
      <c r="C2444" t="s">
        <v>1798</v>
      </c>
      <c r="D2444" t="s">
        <v>1844</v>
      </c>
      <c r="E2444" t="s">
        <v>1845</v>
      </c>
      <c r="F2444" t="s">
        <v>120</v>
      </c>
      <c r="G2444" t="s">
        <v>4715</v>
      </c>
      <c r="H2444" t="s">
        <v>5771</v>
      </c>
      <c r="I2444" t="s">
        <v>5440</v>
      </c>
      <c r="J2444" t="s">
        <v>5772</v>
      </c>
      <c r="K2444" t="s">
        <v>5773</v>
      </c>
      <c r="L2444" t="s">
        <v>4717</v>
      </c>
    </row>
    <row r="2445">
      <c r="A2445" t="s">
        <v>2802</v>
      </c>
      <c r="B2445" t="s">
        <v>1855</v>
      </c>
      <c r="C2445" t="s">
        <v>1798</v>
      </c>
      <c r="D2445" t="s">
        <v>1844</v>
      </c>
      <c r="E2445" t="s">
        <v>1845</v>
      </c>
      <c r="F2445" t="s">
        <v>120</v>
      </c>
      <c r="G2445" t="s">
        <v>4715</v>
      </c>
      <c r="H2445" t="s">
        <v>5771</v>
      </c>
      <c r="I2445" t="s">
        <v>5774</v>
      </c>
      <c r="J2445" t="s">
        <v>5775</v>
      </c>
      <c r="K2445" t="s">
        <v>5776</v>
      </c>
      <c r="L2445" t="s">
        <v>4717</v>
      </c>
    </row>
    <row r="2446">
      <c r="A2446" t="s">
        <v>2802</v>
      </c>
      <c r="B2446" t="s">
        <v>1855</v>
      </c>
      <c r="C2446" t="s">
        <v>1798</v>
      </c>
      <c r="D2446" t="s">
        <v>1844</v>
      </c>
      <c r="E2446" t="s">
        <v>1845</v>
      </c>
      <c r="F2446" t="s">
        <v>120</v>
      </c>
      <c r="G2446" t="s">
        <v>4715</v>
      </c>
      <c r="H2446" t="s">
        <v>5771</v>
      </c>
      <c r="I2446" t="s">
        <v>5444</v>
      </c>
      <c r="J2446" t="s">
        <v>5777</v>
      </c>
      <c r="K2446" t="s">
        <v>5778</v>
      </c>
      <c r="L2446" t="s">
        <v>4717</v>
      </c>
    </row>
    <row r="2447">
      <c r="A2447" t="s">
        <v>2802</v>
      </c>
      <c r="B2447" t="s">
        <v>1855</v>
      </c>
      <c r="C2447" t="s">
        <v>1798</v>
      </c>
      <c r="D2447" t="s">
        <v>1844</v>
      </c>
      <c r="E2447" t="s">
        <v>1845</v>
      </c>
      <c r="F2447" t="s">
        <v>120</v>
      </c>
      <c r="G2447" t="s">
        <v>4715</v>
      </c>
      <c r="H2447" t="s">
        <v>5771</v>
      </c>
      <c r="I2447" t="s">
        <v>1868</v>
      </c>
      <c r="J2447" t="s">
        <v>5779</v>
      </c>
      <c r="K2447" t="s">
        <v>5780</v>
      </c>
      <c r="L2447" t="s">
        <v>4717</v>
      </c>
    </row>
    <row r="2448">
      <c r="A2448" t="s">
        <v>2802</v>
      </c>
      <c r="B2448" t="s">
        <v>1855</v>
      </c>
      <c r="C2448" t="s">
        <v>1798</v>
      </c>
      <c r="D2448" t="s">
        <v>1844</v>
      </c>
      <c r="E2448" t="s">
        <v>1845</v>
      </c>
      <c r="F2448" t="s">
        <v>120</v>
      </c>
      <c r="G2448" t="s">
        <v>4715</v>
      </c>
      <c r="H2448" t="s">
        <v>5522</v>
      </c>
      <c r="I2448" t="s">
        <v>5656</v>
      </c>
      <c r="J2448" t="s">
        <v>5657</v>
      </c>
      <c r="K2448" t="s">
        <v>5658</v>
      </c>
      <c r="L2448" t="s">
        <v>4717</v>
      </c>
    </row>
    <row r="2449">
      <c r="A2449" t="s">
        <v>2802</v>
      </c>
      <c r="B2449" t="s">
        <v>1855</v>
      </c>
      <c r="C2449" t="s">
        <v>1798</v>
      </c>
      <c r="D2449" t="s">
        <v>1844</v>
      </c>
      <c r="E2449" t="s">
        <v>1845</v>
      </c>
      <c r="F2449" t="s">
        <v>120</v>
      </c>
      <c r="G2449" t="s">
        <v>4715</v>
      </c>
      <c r="H2449" t="s">
        <v>5522</v>
      </c>
      <c r="I2449" t="s">
        <v>5715</v>
      </c>
      <c r="J2449" t="s">
        <v>5716</v>
      </c>
      <c r="K2449" t="s">
        <v>5717</v>
      </c>
      <c r="L2449" t="s">
        <v>4717</v>
      </c>
    </row>
    <row r="2450">
      <c r="A2450" t="s">
        <v>2802</v>
      </c>
      <c r="B2450" t="s">
        <v>1855</v>
      </c>
      <c r="C2450" t="s">
        <v>1798</v>
      </c>
      <c r="D2450" t="s">
        <v>1844</v>
      </c>
      <c r="E2450" t="s">
        <v>1845</v>
      </c>
      <c r="F2450" t="s">
        <v>120</v>
      </c>
      <c r="G2450" t="s">
        <v>4715</v>
      </c>
      <c r="H2450" t="s">
        <v>5522</v>
      </c>
      <c r="I2450" t="s">
        <v>5718</v>
      </c>
      <c r="J2450" t="s">
        <v>5719</v>
      </c>
      <c r="K2450" t="s">
        <v>5720</v>
      </c>
      <c r="L2450" t="s">
        <v>4717</v>
      </c>
    </row>
    <row r="2451">
      <c r="A2451" t="s">
        <v>2804</v>
      </c>
      <c r="B2451" t="s">
        <v>1861</v>
      </c>
      <c r="C2451" t="s">
        <v>1798</v>
      </c>
      <c r="D2451" t="s">
        <v>1844</v>
      </c>
      <c r="E2451" t="s">
        <v>1845</v>
      </c>
      <c r="F2451" t="s">
        <v>120</v>
      </c>
      <c r="G2451" t="s">
        <v>4715</v>
      </c>
      <c r="H2451" t="s">
        <v>5041</v>
      </c>
      <c r="I2451" t="s">
        <v>5614</v>
      </c>
      <c r="J2451" t="s">
        <v>5615</v>
      </c>
      <c r="K2451" t="s">
        <v>4169</v>
      </c>
      <c r="L2451" t="s">
        <v>4717</v>
      </c>
    </row>
    <row r="2452">
      <c r="A2452" t="s">
        <v>2804</v>
      </c>
      <c r="B2452" t="s">
        <v>1861</v>
      </c>
      <c r="C2452" t="s">
        <v>1798</v>
      </c>
      <c r="D2452" t="s">
        <v>1844</v>
      </c>
      <c r="E2452" t="s">
        <v>1845</v>
      </c>
      <c r="F2452" t="s">
        <v>120</v>
      </c>
      <c r="G2452" t="s">
        <v>4715</v>
      </c>
      <c r="H2452" t="s">
        <v>5616</v>
      </c>
      <c r="I2452" t="s">
        <v>5617</v>
      </c>
      <c r="J2452" t="s">
        <v>5618</v>
      </c>
      <c r="K2452" t="s">
        <v>5619</v>
      </c>
      <c r="L2452" t="s">
        <v>4717</v>
      </c>
    </row>
    <row r="2453">
      <c r="A2453" t="s">
        <v>2804</v>
      </c>
      <c r="B2453" t="s">
        <v>1861</v>
      </c>
      <c r="C2453" t="s">
        <v>1798</v>
      </c>
      <c r="D2453" t="s">
        <v>1844</v>
      </c>
      <c r="E2453" t="s">
        <v>1845</v>
      </c>
      <c r="F2453" t="s">
        <v>120</v>
      </c>
      <c r="G2453" t="s">
        <v>4715</v>
      </c>
      <c r="H2453" t="s">
        <v>5499</v>
      </c>
      <c r="I2453" t="s">
        <v>5620</v>
      </c>
      <c r="J2453" t="s">
        <v>5621</v>
      </c>
      <c r="K2453" t="s">
        <v>5622</v>
      </c>
      <c r="L2453" t="s">
        <v>4717</v>
      </c>
    </row>
    <row r="2454">
      <c r="A2454" t="s">
        <v>2804</v>
      </c>
      <c r="B2454" t="s">
        <v>1861</v>
      </c>
      <c r="C2454" t="s">
        <v>1798</v>
      </c>
      <c r="D2454" t="s">
        <v>1844</v>
      </c>
      <c r="E2454" t="s">
        <v>1845</v>
      </c>
      <c r="F2454" t="s">
        <v>120</v>
      </c>
      <c r="G2454" t="s">
        <v>4715</v>
      </c>
      <c r="H2454" t="s">
        <v>5623</v>
      </c>
      <c r="I2454" t="s">
        <v>5624</v>
      </c>
      <c r="J2454" t="s">
        <v>5625</v>
      </c>
      <c r="K2454" t="s">
        <v>5626</v>
      </c>
      <c r="L2454" t="s">
        <v>4717</v>
      </c>
    </row>
    <row r="2455">
      <c r="A2455" t="s">
        <v>2804</v>
      </c>
      <c r="B2455" t="s">
        <v>1861</v>
      </c>
      <c r="C2455" t="s">
        <v>1798</v>
      </c>
      <c r="D2455" t="s">
        <v>1844</v>
      </c>
      <c r="E2455" t="s">
        <v>1845</v>
      </c>
      <c r="F2455" t="s">
        <v>120</v>
      </c>
      <c r="G2455" t="s">
        <v>4715</v>
      </c>
      <c r="H2455" t="s">
        <v>3904</v>
      </c>
      <c r="I2455" t="s">
        <v>5627</v>
      </c>
      <c r="J2455" t="s">
        <v>5628</v>
      </c>
      <c r="K2455" t="s">
        <v>5629</v>
      </c>
      <c r="L2455" t="s">
        <v>4717</v>
      </c>
    </row>
    <row r="2456">
      <c r="A2456" t="s">
        <v>2804</v>
      </c>
      <c r="B2456" t="s">
        <v>1861</v>
      </c>
      <c r="C2456" t="s">
        <v>1798</v>
      </c>
      <c r="D2456" t="s">
        <v>1844</v>
      </c>
      <c r="E2456" t="s">
        <v>1845</v>
      </c>
      <c r="F2456" t="s">
        <v>120</v>
      </c>
      <c r="G2456" t="s">
        <v>4715</v>
      </c>
      <c r="H2456" t="s">
        <v>5630</v>
      </c>
      <c r="I2456" t="s">
        <v>5474</v>
      </c>
      <c r="J2456" t="s">
        <v>5631</v>
      </c>
      <c r="K2456" t="s">
        <v>5632</v>
      </c>
      <c r="L2456" t="s">
        <v>4717</v>
      </c>
    </row>
    <row r="2457">
      <c r="A2457" t="s">
        <v>2804</v>
      </c>
      <c r="B2457" t="s">
        <v>1861</v>
      </c>
      <c r="C2457" t="s">
        <v>1798</v>
      </c>
      <c r="D2457" t="s">
        <v>1844</v>
      </c>
      <c r="E2457" t="s">
        <v>1845</v>
      </c>
      <c r="F2457" t="s">
        <v>120</v>
      </c>
      <c r="G2457" t="s">
        <v>4715</v>
      </c>
      <c r="H2457" t="s">
        <v>5170</v>
      </c>
      <c r="I2457" t="s">
        <v>5171</v>
      </c>
      <c r="J2457" t="s">
        <v>5633</v>
      </c>
      <c r="K2457" t="s">
        <v>5634</v>
      </c>
      <c r="L2457" t="s">
        <v>4717</v>
      </c>
    </row>
    <row r="2458">
      <c r="A2458" t="s">
        <v>2804</v>
      </c>
      <c r="B2458" t="s">
        <v>1861</v>
      </c>
      <c r="C2458" t="s">
        <v>1798</v>
      </c>
      <c r="D2458" t="s">
        <v>1844</v>
      </c>
      <c r="E2458" t="s">
        <v>1845</v>
      </c>
      <c r="F2458" t="s">
        <v>120</v>
      </c>
      <c r="G2458" t="s">
        <v>4715</v>
      </c>
      <c r="H2458" t="s">
        <v>5157</v>
      </c>
      <c r="I2458" t="s">
        <v>5635</v>
      </c>
      <c r="J2458" t="s">
        <v>5636</v>
      </c>
      <c r="K2458" t="s">
        <v>5637</v>
      </c>
      <c r="L2458" t="s">
        <v>4717</v>
      </c>
    </row>
    <row r="2459">
      <c r="A2459" t="s">
        <v>2804</v>
      </c>
      <c r="B2459" t="s">
        <v>1861</v>
      </c>
      <c r="C2459" t="s">
        <v>1798</v>
      </c>
      <c r="D2459" t="s">
        <v>1844</v>
      </c>
      <c r="E2459" t="s">
        <v>1845</v>
      </c>
      <c r="F2459" t="s">
        <v>120</v>
      </c>
      <c r="G2459" t="s">
        <v>4715</v>
      </c>
      <c r="H2459" t="s">
        <v>5771</v>
      </c>
      <c r="I2459" t="s">
        <v>5440</v>
      </c>
      <c r="J2459" t="s">
        <v>5772</v>
      </c>
      <c r="K2459" t="s">
        <v>5773</v>
      </c>
      <c r="L2459" t="s">
        <v>4717</v>
      </c>
    </row>
    <row r="2460">
      <c r="A2460" t="s">
        <v>2804</v>
      </c>
      <c r="B2460" t="s">
        <v>1861</v>
      </c>
      <c r="C2460" t="s">
        <v>1798</v>
      </c>
      <c r="D2460" t="s">
        <v>1844</v>
      </c>
      <c r="E2460" t="s">
        <v>1845</v>
      </c>
      <c r="F2460" t="s">
        <v>120</v>
      </c>
      <c r="G2460" t="s">
        <v>4715</v>
      </c>
      <c r="H2460" t="s">
        <v>5771</v>
      </c>
      <c r="I2460" t="s">
        <v>5774</v>
      </c>
      <c r="J2460" t="s">
        <v>5775</v>
      </c>
      <c r="K2460" t="s">
        <v>5776</v>
      </c>
      <c r="L2460" t="s">
        <v>4717</v>
      </c>
    </row>
    <row r="2461">
      <c r="A2461" t="s">
        <v>2804</v>
      </c>
      <c r="B2461" t="s">
        <v>1861</v>
      </c>
      <c r="C2461" t="s">
        <v>1798</v>
      </c>
      <c r="D2461" t="s">
        <v>1844</v>
      </c>
      <c r="E2461" t="s">
        <v>1845</v>
      </c>
      <c r="F2461" t="s">
        <v>120</v>
      </c>
      <c r="G2461" t="s">
        <v>4715</v>
      </c>
      <c r="H2461" t="s">
        <v>5771</v>
      </c>
      <c r="I2461" t="s">
        <v>5444</v>
      </c>
      <c r="J2461" t="s">
        <v>5777</v>
      </c>
      <c r="K2461" t="s">
        <v>5778</v>
      </c>
      <c r="L2461" t="s">
        <v>4717</v>
      </c>
    </row>
    <row r="2462">
      <c r="A2462" t="s">
        <v>2804</v>
      </c>
      <c r="B2462" t="s">
        <v>1861</v>
      </c>
      <c r="C2462" t="s">
        <v>1798</v>
      </c>
      <c r="D2462" t="s">
        <v>1844</v>
      </c>
      <c r="E2462" t="s">
        <v>1845</v>
      </c>
      <c r="F2462" t="s">
        <v>120</v>
      </c>
      <c r="G2462" t="s">
        <v>4715</v>
      </c>
      <c r="H2462" t="s">
        <v>5771</v>
      </c>
      <c r="I2462" t="s">
        <v>1868</v>
      </c>
      <c r="J2462" t="s">
        <v>5779</v>
      </c>
      <c r="K2462" t="s">
        <v>5780</v>
      </c>
      <c r="L2462" t="s">
        <v>4717</v>
      </c>
    </row>
    <row r="2463">
      <c r="A2463" t="s">
        <v>2804</v>
      </c>
      <c r="B2463" t="s">
        <v>1861</v>
      </c>
      <c r="C2463" t="s">
        <v>1798</v>
      </c>
      <c r="D2463" t="s">
        <v>1844</v>
      </c>
      <c r="E2463" t="s">
        <v>1845</v>
      </c>
      <c r="F2463" t="s">
        <v>120</v>
      </c>
      <c r="G2463" t="s">
        <v>4715</v>
      </c>
      <c r="H2463" t="s">
        <v>5522</v>
      </c>
      <c r="I2463" t="s">
        <v>5656</v>
      </c>
      <c r="J2463" t="s">
        <v>5657</v>
      </c>
      <c r="K2463" t="s">
        <v>5658</v>
      </c>
      <c r="L2463" t="s">
        <v>4717</v>
      </c>
    </row>
    <row r="2464">
      <c r="A2464" t="s">
        <v>2804</v>
      </c>
      <c r="B2464" t="s">
        <v>1861</v>
      </c>
      <c r="C2464" t="s">
        <v>1798</v>
      </c>
      <c r="D2464" t="s">
        <v>1844</v>
      </c>
      <c r="E2464" t="s">
        <v>1845</v>
      </c>
      <c r="F2464" t="s">
        <v>120</v>
      </c>
      <c r="G2464" t="s">
        <v>4715</v>
      </c>
      <c r="H2464" t="s">
        <v>5522</v>
      </c>
      <c r="I2464" t="s">
        <v>5715</v>
      </c>
      <c r="J2464" t="s">
        <v>5716</v>
      </c>
      <c r="K2464" t="s">
        <v>5717</v>
      </c>
      <c r="L2464" t="s">
        <v>4717</v>
      </c>
    </row>
    <row r="2465">
      <c r="A2465" t="s">
        <v>2804</v>
      </c>
      <c r="B2465" t="s">
        <v>1861</v>
      </c>
      <c r="C2465" t="s">
        <v>1798</v>
      </c>
      <c r="D2465" t="s">
        <v>1844</v>
      </c>
      <c r="E2465" t="s">
        <v>1845</v>
      </c>
      <c r="F2465" t="s">
        <v>120</v>
      </c>
      <c r="G2465" t="s">
        <v>4715</v>
      </c>
      <c r="H2465" t="s">
        <v>5522</v>
      </c>
      <c r="I2465" t="s">
        <v>5718</v>
      </c>
      <c r="J2465" t="s">
        <v>5719</v>
      </c>
      <c r="K2465" t="s">
        <v>5720</v>
      </c>
      <c r="L2465" t="s">
        <v>4717</v>
      </c>
    </row>
    <row r="2466">
      <c r="A2466" t="s">
        <v>2806</v>
      </c>
      <c r="B2466" t="s">
        <v>1868</v>
      </c>
      <c r="C2466" t="s">
        <v>1798</v>
      </c>
      <c r="D2466" t="s">
        <v>1844</v>
      </c>
      <c r="E2466" t="s">
        <v>1845</v>
      </c>
      <c r="F2466" t="s">
        <v>120</v>
      </c>
      <c r="G2466" t="s">
        <v>4715</v>
      </c>
      <c r="H2466" t="s">
        <v>5041</v>
      </c>
      <c r="I2466" t="s">
        <v>5614</v>
      </c>
      <c r="J2466" t="s">
        <v>5615</v>
      </c>
      <c r="K2466" t="s">
        <v>4169</v>
      </c>
      <c r="L2466" t="s">
        <v>4717</v>
      </c>
    </row>
    <row r="2467">
      <c r="A2467" t="s">
        <v>2806</v>
      </c>
      <c r="B2467" t="s">
        <v>1868</v>
      </c>
      <c r="C2467" t="s">
        <v>1798</v>
      </c>
      <c r="D2467" t="s">
        <v>1844</v>
      </c>
      <c r="E2467" t="s">
        <v>1845</v>
      </c>
      <c r="F2467" t="s">
        <v>120</v>
      </c>
      <c r="G2467" t="s">
        <v>4715</v>
      </c>
      <c r="H2467" t="s">
        <v>5616</v>
      </c>
      <c r="I2467" t="s">
        <v>5617</v>
      </c>
      <c r="J2467" t="s">
        <v>5618</v>
      </c>
      <c r="K2467" t="s">
        <v>5619</v>
      </c>
      <c r="L2467" t="s">
        <v>4717</v>
      </c>
    </row>
    <row r="2468">
      <c r="A2468" t="s">
        <v>2806</v>
      </c>
      <c r="B2468" t="s">
        <v>1868</v>
      </c>
      <c r="C2468" t="s">
        <v>1798</v>
      </c>
      <c r="D2468" t="s">
        <v>1844</v>
      </c>
      <c r="E2468" t="s">
        <v>1845</v>
      </c>
      <c r="F2468" t="s">
        <v>120</v>
      </c>
      <c r="G2468" t="s">
        <v>4715</v>
      </c>
      <c r="H2468" t="s">
        <v>5499</v>
      </c>
      <c r="I2468" t="s">
        <v>5620</v>
      </c>
      <c r="J2468" t="s">
        <v>5621</v>
      </c>
      <c r="K2468" t="s">
        <v>5622</v>
      </c>
      <c r="L2468" t="s">
        <v>4717</v>
      </c>
    </row>
    <row r="2469">
      <c r="A2469" t="s">
        <v>2806</v>
      </c>
      <c r="B2469" t="s">
        <v>1868</v>
      </c>
      <c r="C2469" t="s">
        <v>1798</v>
      </c>
      <c r="D2469" t="s">
        <v>1844</v>
      </c>
      <c r="E2469" t="s">
        <v>1845</v>
      </c>
      <c r="F2469" t="s">
        <v>120</v>
      </c>
      <c r="G2469" t="s">
        <v>4715</v>
      </c>
      <c r="H2469" t="s">
        <v>5623</v>
      </c>
      <c r="I2469" t="s">
        <v>5624</v>
      </c>
      <c r="J2469" t="s">
        <v>5625</v>
      </c>
      <c r="K2469" t="s">
        <v>5626</v>
      </c>
      <c r="L2469" t="s">
        <v>4717</v>
      </c>
    </row>
    <row r="2470">
      <c r="A2470" t="s">
        <v>2806</v>
      </c>
      <c r="B2470" t="s">
        <v>1868</v>
      </c>
      <c r="C2470" t="s">
        <v>1798</v>
      </c>
      <c r="D2470" t="s">
        <v>1844</v>
      </c>
      <c r="E2470" t="s">
        <v>1845</v>
      </c>
      <c r="F2470" t="s">
        <v>120</v>
      </c>
      <c r="G2470" t="s">
        <v>4715</v>
      </c>
      <c r="H2470" t="s">
        <v>3904</v>
      </c>
      <c r="I2470" t="s">
        <v>5627</v>
      </c>
      <c r="J2470" t="s">
        <v>5628</v>
      </c>
      <c r="K2470" t="s">
        <v>5629</v>
      </c>
      <c r="L2470" t="s">
        <v>4717</v>
      </c>
    </row>
    <row r="2471">
      <c r="A2471" t="s">
        <v>2806</v>
      </c>
      <c r="B2471" t="s">
        <v>1868</v>
      </c>
      <c r="C2471" t="s">
        <v>1798</v>
      </c>
      <c r="D2471" t="s">
        <v>1844</v>
      </c>
      <c r="E2471" t="s">
        <v>1845</v>
      </c>
      <c r="F2471" t="s">
        <v>120</v>
      </c>
      <c r="G2471" t="s">
        <v>4715</v>
      </c>
      <c r="H2471" t="s">
        <v>5630</v>
      </c>
      <c r="I2471" t="s">
        <v>5474</v>
      </c>
      <c r="J2471" t="s">
        <v>5631</v>
      </c>
      <c r="K2471" t="s">
        <v>5632</v>
      </c>
      <c r="L2471" t="s">
        <v>4717</v>
      </c>
    </row>
    <row r="2472">
      <c r="A2472" t="s">
        <v>2806</v>
      </c>
      <c r="B2472" t="s">
        <v>1868</v>
      </c>
      <c r="C2472" t="s">
        <v>1798</v>
      </c>
      <c r="D2472" t="s">
        <v>1844</v>
      </c>
      <c r="E2472" t="s">
        <v>1845</v>
      </c>
      <c r="F2472" t="s">
        <v>120</v>
      </c>
      <c r="G2472" t="s">
        <v>4715</v>
      </c>
      <c r="H2472" t="s">
        <v>5170</v>
      </c>
      <c r="I2472" t="s">
        <v>5171</v>
      </c>
      <c r="J2472" t="s">
        <v>5633</v>
      </c>
      <c r="K2472" t="s">
        <v>5634</v>
      </c>
      <c r="L2472" t="s">
        <v>4717</v>
      </c>
    </row>
    <row r="2473">
      <c r="A2473" t="s">
        <v>2806</v>
      </c>
      <c r="B2473" t="s">
        <v>1868</v>
      </c>
      <c r="C2473" t="s">
        <v>1798</v>
      </c>
      <c r="D2473" t="s">
        <v>1844</v>
      </c>
      <c r="E2473" t="s">
        <v>1845</v>
      </c>
      <c r="F2473" t="s">
        <v>120</v>
      </c>
      <c r="G2473" t="s">
        <v>4715</v>
      </c>
      <c r="H2473" t="s">
        <v>5157</v>
      </c>
      <c r="I2473" t="s">
        <v>5635</v>
      </c>
      <c r="J2473" t="s">
        <v>5636</v>
      </c>
      <c r="K2473" t="s">
        <v>5637</v>
      </c>
      <c r="L2473" t="s">
        <v>4717</v>
      </c>
    </row>
    <row r="2474">
      <c r="A2474" t="s">
        <v>2806</v>
      </c>
      <c r="B2474" t="s">
        <v>1868</v>
      </c>
      <c r="C2474" t="s">
        <v>1798</v>
      </c>
      <c r="D2474" t="s">
        <v>1844</v>
      </c>
      <c r="E2474" t="s">
        <v>1845</v>
      </c>
      <c r="F2474" t="s">
        <v>120</v>
      </c>
      <c r="G2474" t="s">
        <v>4715</v>
      </c>
      <c r="H2474" t="s">
        <v>5771</v>
      </c>
      <c r="I2474" t="s">
        <v>5440</v>
      </c>
      <c r="J2474" t="s">
        <v>5772</v>
      </c>
      <c r="K2474" t="s">
        <v>5773</v>
      </c>
      <c r="L2474" t="s">
        <v>4717</v>
      </c>
    </row>
    <row r="2475">
      <c r="A2475" t="s">
        <v>2806</v>
      </c>
      <c r="B2475" t="s">
        <v>1868</v>
      </c>
      <c r="C2475" t="s">
        <v>1798</v>
      </c>
      <c r="D2475" t="s">
        <v>1844</v>
      </c>
      <c r="E2475" t="s">
        <v>1845</v>
      </c>
      <c r="F2475" t="s">
        <v>120</v>
      </c>
      <c r="G2475" t="s">
        <v>4715</v>
      </c>
      <c r="H2475" t="s">
        <v>5771</v>
      </c>
      <c r="I2475" t="s">
        <v>5774</v>
      </c>
      <c r="J2475" t="s">
        <v>5775</v>
      </c>
      <c r="K2475" t="s">
        <v>5776</v>
      </c>
      <c r="L2475" t="s">
        <v>4717</v>
      </c>
    </row>
    <row r="2476">
      <c r="A2476" t="s">
        <v>2806</v>
      </c>
      <c r="B2476" t="s">
        <v>1868</v>
      </c>
      <c r="C2476" t="s">
        <v>1798</v>
      </c>
      <c r="D2476" t="s">
        <v>1844</v>
      </c>
      <c r="E2476" t="s">
        <v>1845</v>
      </c>
      <c r="F2476" t="s">
        <v>120</v>
      </c>
      <c r="G2476" t="s">
        <v>4715</v>
      </c>
      <c r="H2476" t="s">
        <v>5771</v>
      </c>
      <c r="I2476" t="s">
        <v>5444</v>
      </c>
      <c r="J2476" t="s">
        <v>5777</v>
      </c>
      <c r="K2476" t="s">
        <v>5778</v>
      </c>
      <c r="L2476" t="s">
        <v>4717</v>
      </c>
    </row>
    <row r="2477">
      <c r="A2477" t="s">
        <v>2806</v>
      </c>
      <c r="B2477" t="s">
        <v>1868</v>
      </c>
      <c r="C2477" t="s">
        <v>1798</v>
      </c>
      <c r="D2477" t="s">
        <v>1844</v>
      </c>
      <c r="E2477" t="s">
        <v>1845</v>
      </c>
      <c r="F2477" t="s">
        <v>120</v>
      </c>
      <c r="G2477" t="s">
        <v>4715</v>
      </c>
      <c r="H2477" t="s">
        <v>5771</v>
      </c>
      <c r="I2477" t="s">
        <v>1868</v>
      </c>
      <c r="J2477" t="s">
        <v>5779</v>
      </c>
      <c r="K2477" t="s">
        <v>5780</v>
      </c>
      <c r="L2477" t="s">
        <v>4717</v>
      </c>
    </row>
    <row r="2478">
      <c r="A2478" t="s">
        <v>2806</v>
      </c>
      <c r="B2478" t="s">
        <v>1868</v>
      </c>
      <c r="C2478" t="s">
        <v>1798</v>
      </c>
      <c r="D2478" t="s">
        <v>1844</v>
      </c>
      <c r="E2478" t="s">
        <v>1845</v>
      </c>
      <c r="F2478" t="s">
        <v>120</v>
      </c>
      <c r="G2478" t="s">
        <v>4715</v>
      </c>
      <c r="H2478" t="s">
        <v>5522</v>
      </c>
      <c r="I2478" t="s">
        <v>5656</v>
      </c>
      <c r="J2478" t="s">
        <v>5657</v>
      </c>
      <c r="K2478" t="s">
        <v>5658</v>
      </c>
      <c r="L2478" t="s">
        <v>4717</v>
      </c>
    </row>
    <row r="2479">
      <c r="A2479" t="s">
        <v>2806</v>
      </c>
      <c r="B2479" t="s">
        <v>1868</v>
      </c>
      <c r="C2479" t="s">
        <v>1798</v>
      </c>
      <c r="D2479" t="s">
        <v>1844</v>
      </c>
      <c r="E2479" t="s">
        <v>1845</v>
      </c>
      <c r="F2479" t="s">
        <v>120</v>
      </c>
      <c r="G2479" t="s">
        <v>4715</v>
      </c>
      <c r="H2479" t="s">
        <v>5522</v>
      </c>
      <c r="I2479" t="s">
        <v>5715</v>
      </c>
      <c r="J2479" t="s">
        <v>5716</v>
      </c>
      <c r="K2479" t="s">
        <v>5717</v>
      </c>
      <c r="L2479" t="s">
        <v>4717</v>
      </c>
    </row>
    <row r="2480">
      <c r="A2480" t="s">
        <v>2806</v>
      </c>
      <c r="B2480" t="s">
        <v>1868</v>
      </c>
      <c r="C2480" t="s">
        <v>1798</v>
      </c>
      <c r="D2480" t="s">
        <v>1844</v>
      </c>
      <c r="E2480" t="s">
        <v>1845</v>
      </c>
      <c r="F2480" t="s">
        <v>120</v>
      </c>
      <c r="G2480" t="s">
        <v>4715</v>
      </c>
      <c r="H2480" t="s">
        <v>5522</v>
      </c>
      <c r="I2480" t="s">
        <v>5718</v>
      </c>
      <c r="J2480" t="s">
        <v>5719</v>
      </c>
      <c r="K2480" t="s">
        <v>5720</v>
      </c>
      <c r="L2480" t="s">
        <v>4717</v>
      </c>
    </row>
    <row r="2481">
      <c r="A2481" t="s">
        <v>2809</v>
      </c>
      <c r="B2481" t="s">
        <v>1877</v>
      </c>
      <c r="C2481" t="s">
        <v>1798</v>
      </c>
      <c r="D2481" t="s">
        <v>1874</v>
      </c>
      <c r="E2481" t="s">
        <v>1875</v>
      </c>
      <c r="F2481" t="s">
        <v>120</v>
      </c>
      <c r="G2481" t="s">
        <v>4715</v>
      </c>
      <c r="H2481" t="s">
        <v>5041</v>
      </c>
      <c r="I2481" t="s">
        <v>5614</v>
      </c>
      <c r="J2481" t="s">
        <v>5615</v>
      </c>
      <c r="K2481" t="s">
        <v>4169</v>
      </c>
      <c r="L2481" t="s">
        <v>4717</v>
      </c>
    </row>
    <row r="2482">
      <c r="A2482" t="s">
        <v>2809</v>
      </c>
      <c r="B2482" t="s">
        <v>1877</v>
      </c>
      <c r="C2482" t="s">
        <v>1798</v>
      </c>
      <c r="D2482" t="s">
        <v>1874</v>
      </c>
      <c r="E2482" t="s">
        <v>1875</v>
      </c>
      <c r="F2482" t="s">
        <v>120</v>
      </c>
      <c r="G2482" t="s">
        <v>4715</v>
      </c>
      <c r="H2482" t="s">
        <v>5616</v>
      </c>
      <c r="I2482" t="s">
        <v>5617</v>
      </c>
      <c r="J2482" t="s">
        <v>5618</v>
      </c>
      <c r="K2482" t="s">
        <v>5619</v>
      </c>
      <c r="L2482" t="s">
        <v>4717</v>
      </c>
    </row>
    <row r="2483">
      <c r="A2483" t="s">
        <v>2809</v>
      </c>
      <c r="B2483" t="s">
        <v>1877</v>
      </c>
      <c r="C2483" t="s">
        <v>1798</v>
      </c>
      <c r="D2483" t="s">
        <v>1874</v>
      </c>
      <c r="E2483" t="s">
        <v>1875</v>
      </c>
      <c r="F2483" t="s">
        <v>120</v>
      </c>
      <c r="G2483" t="s">
        <v>4715</v>
      </c>
      <c r="H2483" t="s">
        <v>5499</v>
      </c>
      <c r="I2483" t="s">
        <v>5620</v>
      </c>
      <c r="J2483" t="s">
        <v>5621</v>
      </c>
      <c r="K2483" t="s">
        <v>5622</v>
      </c>
      <c r="L2483" t="s">
        <v>4717</v>
      </c>
    </row>
    <row r="2484">
      <c r="A2484" t="s">
        <v>2809</v>
      </c>
      <c r="B2484" t="s">
        <v>1877</v>
      </c>
      <c r="C2484" t="s">
        <v>1798</v>
      </c>
      <c r="D2484" t="s">
        <v>1874</v>
      </c>
      <c r="E2484" t="s">
        <v>1875</v>
      </c>
      <c r="F2484" t="s">
        <v>120</v>
      </c>
      <c r="G2484" t="s">
        <v>4715</v>
      </c>
      <c r="H2484" t="s">
        <v>5623</v>
      </c>
      <c r="I2484" t="s">
        <v>5624</v>
      </c>
      <c r="J2484" t="s">
        <v>5625</v>
      </c>
      <c r="K2484" t="s">
        <v>5626</v>
      </c>
      <c r="L2484" t="s">
        <v>4717</v>
      </c>
    </row>
    <row r="2485">
      <c r="A2485" t="s">
        <v>2809</v>
      </c>
      <c r="B2485" t="s">
        <v>1877</v>
      </c>
      <c r="C2485" t="s">
        <v>1798</v>
      </c>
      <c r="D2485" t="s">
        <v>1874</v>
      </c>
      <c r="E2485" t="s">
        <v>1875</v>
      </c>
      <c r="F2485" t="s">
        <v>120</v>
      </c>
      <c r="G2485" t="s">
        <v>4715</v>
      </c>
      <c r="H2485" t="s">
        <v>3904</v>
      </c>
      <c r="I2485" t="s">
        <v>5627</v>
      </c>
      <c r="J2485" t="s">
        <v>5628</v>
      </c>
      <c r="K2485" t="s">
        <v>5629</v>
      </c>
      <c r="L2485" t="s">
        <v>4717</v>
      </c>
    </row>
    <row r="2486">
      <c r="A2486" t="s">
        <v>2809</v>
      </c>
      <c r="B2486" t="s">
        <v>1877</v>
      </c>
      <c r="C2486" t="s">
        <v>1798</v>
      </c>
      <c r="D2486" t="s">
        <v>1874</v>
      </c>
      <c r="E2486" t="s">
        <v>1875</v>
      </c>
      <c r="F2486" t="s">
        <v>120</v>
      </c>
      <c r="G2486" t="s">
        <v>4715</v>
      </c>
      <c r="H2486" t="s">
        <v>5630</v>
      </c>
      <c r="I2486" t="s">
        <v>5474</v>
      </c>
      <c r="J2486" t="s">
        <v>5631</v>
      </c>
      <c r="K2486" t="s">
        <v>5632</v>
      </c>
      <c r="L2486" t="s">
        <v>4717</v>
      </c>
    </row>
    <row r="2487">
      <c r="A2487" t="s">
        <v>2809</v>
      </c>
      <c r="B2487" t="s">
        <v>1877</v>
      </c>
      <c r="C2487" t="s">
        <v>1798</v>
      </c>
      <c r="D2487" t="s">
        <v>1874</v>
      </c>
      <c r="E2487" t="s">
        <v>1875</v>
      </c>
      <c r="F2487" t="s">
        <v>120</v>
      </c>
      <c r="G2487" t="s">
        <v>4715</v>
      </c>
      <c r="H2487" t="s">
        <v>5170</v>
      </c>
      <c r="I2487" t="s">
        <v>5171</v>
      </c>
      <c r="J2487" t="s">
        <v>5633</v>
      </c>
      <c r="K2487" t="s">
        <v>5634</v>
      </c>
      <c r="L2487" t="s">
        <v>4717</v>
      </c>
    </row>
    <row r="2488">
      <c r="A2488" t="s">
        <v>2809</v>
      </c>
      <c r="B2488" t="s">
        <v>1877</v>
      </c>
      <c r="C2488" t="s">
        <v>1798</v>
      </c>
      <c r="D2488" t="s">
        <v>1874</v>
      </c>
      <c r="E2488" t="s">
        <v>1875</v>
      </c>
      <c r="F2488" t="s">
        <v>120</v>
      </c>
      <c r="G2488" t="s">
        <v>4715</v>
      </c>
      <c r="H2488" t="s">
        <v>5157</v>
      </c>
      <c r="I2488" t="s">
        <v>5635</v>
      </c>
      <c r="J2488" t="s">
        <v>5636</v>
      </c>
      <c r="K2488" t="s">
        <v>5637</v>
      </c>
      <c r="L2488" t="s">
        <v>4717</v>
      </c>
    </row>
    <row r="2489">
      <c r="A2489" t="s">
        <v>2809</v>
      </c>
      <c r="B2489" t="s">
        <v>1877</v>
      </c>
      <c r="C2489" t="s">
        <v>1798</v>
      </c>
      <c r="D2489" t="s">
        <v>1874</v>
      </c>
      <c r="E2489" t="s">
        <v>1875</v>
      </c>
      <c r="F2489" t="s">
        <v>120</v>
      </c>
      <c r="G2489" t="s">
        <v>4715</v>
      </c>
      <c r="H2489" t="s">
        <v>5781</v>
      </c>
      <c r="I2489" t="s">
        <v>5448</v>
      </c>
      <c r="J2489" t="s">
        <v>5782</v>
      </c>
      <c r="K2489" t="s">
        <v>5783</v>
      </c>
      <c r="L2489" t="s">
        <v>4717</v>
      </c>
    </row>
    <row r="2490">
      <c r="A2490" t="s">
        <v>2809</v>
      </c>
      <c r="B2490" t="s">
        <v>1877</v>
      </c>
      <c r="C2490" t="s">
        <v>1798</v>
      </c>
      <c r="D2490" t="s">
        <v>1874</v>
      </c>
      <c r="E2490" t="s">
        <v>1875</v>
      </c>
      <c r="F2490" t="s">
        <v>120</v>
      </c>
      <c r="G2490" t="s">
        <v>4715</v>
      </c>
      <c r="H2490" t="s">
        <v>5781</v>
      </c>
      <c r="I2490" t="s">
        <v>5449</v>
      </c>
      <c r="J2490" t="s">
        <v>5784</v>
      </c>
      <c r="K2490" t="s">
        <v>5785</v>
      </c>
      <c r="L2490" t="s">
        <v>4717</v>
      </c>
    </row>
    <row r="2491">
      <c r="A2491" t="s">
        <v>2809</v>
      </c>
      <c r="B2491" t="s">
        <v>1877</v>
      </c>
      <c r="C2491" t="s">
        <v>1798</v>
      </c>
      <c r="D2491" t="s">
        <v>1874</v>
      </c>
      <c r="E2491" t="s">
        <v>1875</v>
      </c>
      <c r="F2491" t="s">
        <v>120</v>
      </c>
      <c r="G2491" t="s">
        <v>4715</v>
      </c>
      <c r="H2491" t="s">
        <v>5781</v>
      </c>
      <c r="I2491" t="s">
        <v>5450</v>
      </c>
      <c r="J2491" t="s">
        <v>5786</v>
      </c>
      <c r="K2491" t="s">
        <v>5787</v>
      </c>
      <c r="L2491" t="s">
        <v>4717</v>
      </c>
    </row>
    <row r="2492">
      <c r="A2492" t="s">
        <v>2809</v>
      </c>
      <c r="B2492" t="s">
        <v>1877</v>
      </c>
      <c r="C2492" t="s">
        <v>1798</v>
      </c>
      <c r="D2492" t="s">
        <v>1874</v>
      </c>
      <c r="E2492" t="s">
        <v>1875</v>
      </c>
      <c r="F2492" t="s">
        <v>120</v>
      </c>
      <c r="G2492" t="s">
        <v>4715</v>
      </c>
      <c r="H2492" t="s">
        <v>5781</v>
      </c>
      <c r="I2492" t="s">
        <v>5452</v>
      </c>
      <c r="J2492" t="s">
        <v>5788</v>
      </c>
      <c r="K2492" t="s">
        <v>5789</v>
      </c>
      <c r="L2492" t="s">
        <v>4717</v>
      </c>
    </row>
    <row r="2493">
      <c r="A2493" t="s">
        <v>2809</v>
      </c>
      <c r="B2493" t="s">
        <v>1877</v>
      </c>
      <c r="C2493" t="s">
        <v>1798</v>
      </c>
      <c r="D2493" t="s">
        <v>1874</v>
      </c>
      <c r="E2493" t="s">
        <v>1875</v>
      </c>
      <c r="F2493" t="s">
        <v>120</v>
      </c>
      <c r="G2493" t="s">
        <v>4715</v>
      </c>
      <c r="H2493" t="s">
        <v>5781</v>
      </c>
      <c r="I2493" t="s">
        <v>5790</v>
      </c>
      <c r="J2493" t="s">
        <v>5791</v>
      </c>
      <c r="K2493" t="s">
        <v>4165</v>
      </c>
      <c r="L2493" t="s">
        <v>4717</v>
      </c>
    </row>
    <row r="2494">
      <c r="A2494" t="s">
        <v>2809</v>
      </c>
      <c r="B2494" t="s">
        <v>1877</v>
      </c>
      <c r="C2494" t="s">
        <v>1798</v>
      </c>
      <c r="D2494" t="s">
        <v>1874</v>
      </c>
      <c r="E2494" t="s">
        <v>1875</v>
      </c>
      <c r="F2494" t="s">
        <v>120</v>
      </c>
      <c r="G2494" t="s">
        <v>4715</v>
      </c>
      <c r="H2494" t="s">
        <v>5792</v>
      </c>
      <c r="I2494" t="s">
        <v>5793</v>
      </c>
      <c r="J2494" t="s">
        <v>5794</v>
      </c>
      <c r="K2494" t="s">
        <v>5795</v>
      </c>
      <c r="L2494" t="s">
        <v>4717</v>
      </c>
    </row>
    <row r="2495">
      <c r="A2495" t="s">
        <v>2809</v>
      </c>
      <c r="B2495" t="s">
        <v>1877</v>
      </c>
      <c r="C2495" t="s">
        <v>1798</v>
      </c>
      <c r="D2495" t="s">
        <v>1874</v>
      </c>
      <c r="E2495" t="s">
        <v>1875</v>
      </c>
      <c r="F2495" t="s">
        <v>120</v>
      </c>
      <c r="G2495" t="s">
        <v>4715</v>
      </c>
      <c r="H2495" t="s">
        <v>5522</v>
      </c>
      <c r="I2495" t="s">
        <v>5656</v>
      </c>
      <c r="J2495" t="s">
        <v>5657</v>
      </c>
      <c r="K2495" t="s">
        <v>5658</v>
      </c>
      <c r="L2495" t="s">
        <v>4717</v>
      </c>
    </row>
    <row r="2496">
      <c r="A2496" t="s">
        <v>2809</v>
      </c>
      <c r="B2496" t="s">
        <v>1877</v>
      </c>
      <c r="C2496" t="s">
        <v>1798</v>
      </c>
      <c r="D2496" t="s">
        <v>1874</v>
      </c>
      <c r="E2496" t="s">
        <v>1875</v>
      </c>
      <c r="F2496" t="s">
        <v>120</v>
      </c>
      <c r="G2496" t="s">
        <v>4715</v>
      </c>
      <c r="H2496" t="s">
        <v>5522</v>
      </c>
      <c r="I2496" t="s">
        <v>5715</v>
      </c>
      <c r="J2496" t="s">
        <v>5716</v>
      </c>
      <c r="K2496" t="s">
        <v>5717</v>
      </c>
      <c r="L2496" t="s">
        <v>4717</v>
      </c>
    </row>
    <row r="2497">
      <c r="A2497" t="s">
        <v>2809</v>
      </c>
      <c r="B2497" t="s">
        <v>1877</v>
      </c>
      <c r="C2497" t="s">
        <v>1798</v>
      </c>
      <c r="D2497" t="s">
        <v>1874</v>
      </c>
      <c r="E2497" t="s">
        <v>1875</v>
      </c>
      <c r="F2497" t="s">
        <v>120</v>
      </c>
      <c r="G2497" t="s">
        <v>4715</v>
      </c>
      <c r="H2497" t="s">
        <v>5522</v>
      </c>
      <c r="I2497" t="s">
        <v>5718</v>
      </c>
      <c r="J2497" t="s">
        <v>5719</v>
      </c>
      <c r="K2497" t="s">
        <v>5720</v>
      </c>
      <c r="L2497" t="s">
        <v>4717</v>
      </c>
    </row>
    <row r="2498">
      <c r="A2498" t="s">
        <v>2812</v>
      </c>
      <c r="B2498" t="s">
        <v>1885</v>
      </c>
      <c r="C2498" t="s">
        <v>1798</v>
      </c>
      <c r="D2498" t="s">
        <v>1874</v>
      </c>
      <c r="E2498" t="s">
        <v>1875</v>
      </c>
      <c r="F2498" t="s">
        <v>120</v>
      </c>
      <c r="G2498" t="s">
        <v>4715</v>
      </c>
      <c r="H2498" t="s">
        <v>5041</v>
      </c>
      <c r="I2498" t="s">
        <v>5614</v>
      </c>
      <c r="J2498" t="s">
        <v>5615</v>
      </c>
      <c r="K2498" t="s">
        <v>4169</v>
      </c>
      <c r="L2498" t="s">
        <v>4717</v>
      </c>
    </row>
    <row r="2499">
      <c r="A2499" t="s">
        <v>2812</v>
      </c>
      <c r="B2499" t="s">
        <v>1885</v>
      </c>
      <c r="C2499" t="s">
        <v>1798</v>
      </c>
      <c r="D2499" t="s">
        <v>1874</v>
      </c>
      <c r="E2499" t="s">
        <v>1875</v>
      </c>
      <c r="F2499" t="s">
        <v>120</v>
      </c>
      <c r="G2499" t="s">
        <v>4715</v>
      </c>
      <c r="H2499" t="s">
        <v>5616</v>
      </c>
      <c r="I2499" t="s">
        <v>5617</v>
      </c>
      <c r="J2499" t="s">
        <v>5618</v>
      </c>
      <c r="K2499" t="s">
        <v>5619</v>
      </c>
      <c r="L2499" t="s">
        <v>4717</v>
      </c>
    </row>
    <row r="2500">
      <c r="A2500" t="s">
        <v>2812</v>
      </c>
      <c r="B2500" t="s">
        <v>1885</v>
      </c>
      <c r="C2500" t="s">
        <v>1798</v>
      </c>
      <c r="D2500" t="s">
        <v>1874</v>
      </c>
      <c r="E2500" t="s">
        <v>1875</v>
      </c>
      <c r="F2500" t="s">
        <v>120</v>
      </c>
      <c r="G2500" t="s">
        <v>4715</v>
      </c>
      <c r="H2500" t="s">
        <v>5499</v>
      </c>
      <c r="I2500" t="s">
        <v>5620</v>
      </c>
      <c r="J2500" t="s">
        <v>5621</v>
      </c>
      <c r="K2500" t="s">
        <v>5622</v>
      </c>
      <c r="L2500" t="s">
        <v>4717</v>
      </c>
    </row>
    <row r="2501">
      <c r="A2501" t="s">
        <v>2812</v>
      </c>
      <c r="B2501" t="s">
        <v>1885</v>
      </c>
      <c r="C2501" t="s">
        <v>1798</v>
      </c>
      <c r="D2501" t="s">
        <v>1874</v>
      </c>
      <c r="E2501" t="s">
        <v>1875</v>
      </c>
      <c r="F2501" t="s">
        <v>120</v>
      </c>
      <c r="G2501" t="s">
        <v>4715</v>
      </c>
      <c r="H2501" t="s">
        <v>5623</v>
      </c>
      <c r="I2501" t="s">
        <v>5624</v>
      </c>
      <c r="J2501" t="s">
        <v>5625</v>
      </c>
      <c r="K2501" t="s">
        <v>5626</v>
      </c>
      <c r="L2501" t="s">
        <v>4717</v>
      </c>
    </row>
    <row r="2502">
      <c r="A2502" t="s">
        <v>2812</v>
      </c>
      <c r="B2502" t="s">
        <v>1885</v>
      </c>
      <c r="C2502" t="s">
        <v>1798</v>
      </c>
      <c r="D2502" t="s">
        <v>1874</v>
      </c>
      <c r="E2502" t="s">
        <v>1875</v>
      </c>
      <c r="F2502" t="s">
        <v>120</v>
      </c>
      <c r="G2502" t="s">
        <v>4715</v>
      </c>
      <c r="H2502" t="s">
        <v>3904</v>
      </c>
      <c r="I2502" t="s">
        <v>5627</v>
      </c>
      <c r="J2502" t="s">
        <v>5628</v>
      </c>
      <c r="K2502" t="s">
        <v>5629</v>
      </c>
      <c r="L2502" t="s">
        <v>4717</v>
      </c>
    </row>
    <row r="2503">
      <c r="A2503" t="s">
        <v>2812</v>
      </c>
      <c r="B2503" t="s">
        <v>1885</v>
      </c>
      <c r="C2503" t="s">
        <v>1798</v>
      </c>
      <c r="D2503" t="s">
        <v>1874</v>
      </c>
      <c r="E2503" t="s">
        <v>1875</v>
      </c>
      <c r="F2503" t="s">
        <v>120</v>
      </c>
      <c r="G2503" t="s">
        <v>4715</v>
      </c>
      <c r="H2503" t="s">
        <v>5630</v>
      </c>
      <c r="I2503" t="s">
        <v>5474</v>
      </c>
      <c r="J2503" t="s">
        <v>5631</v>
      </c>
      <c r="K2503" t="s">
        <v>5632</v>
      </c>
      <c r="L2503" t="s">
        <v>4717</v>
      </c>
    </row>
    <row r="2504">
      <c r="A2504" t="s">
        <v>2812</v>
      </c>
      <c r="B2504" t="s">
        <v>1885</v>
      </c>
      <c r="C2504" t="s">
        <v>1798</v>
      </c>
      <c r="D2504" t="s">
        <v>1874</v>
      </c>
      <c r="E2504" t="s">
        <v>1875</v>
      </c>
      <c r="F2504" t="s">
        <v>120</v>
      </c>
      <c r="G2504" t="s">
        <v>4715</v>
      </c>
      <c r="H2504" t="s">
        <v>5170</v>
      </c>
      <c r="I2504" t="s">
        <v>5171</v>
      </c>
      <c r="J2504" t="s">
        <v>5633</v>
      </c>
      <c r="K2504" t="s">
        <v>5634</v>
      </c>
      <c r="L2504" t="s">
        <v>4717</v>
      </c>
    </row>
    <row r="2505">
      <c r="A2505" t="s">
        <v>2812</v>
      </c>
      <c r="B2505" t="s">
        <v>1885</v>
      </c>
      <c r="C2505" t="s">
        <v>1798</v>
      </c>
      <c r="D2505" t="s">
        <v>1874</v>
      </c>
      <c r="E2505" t="s">
        <v>1875</v>
      </c>
      <c r="F2505" t="s">
        <v>120</v>
      </c>
      <c r="G2505" t="s">
        <v>4715</v>
      </c>
      <c r="H2505" t="s">
        <v>5157</v>
      </c>
      <c r="I2505" t="s">
        <v>5635</v>
      </c>
      <c r="J2505" t="s">
        <v>5636</v>
      </c>
      <c r="K2505" t="s">
        <v>5637</v>
      </c>
      <c r="L2505" t="s">
        <v>4717</v>
      </c>
    </row>
    <row r="2506">
      <c r="A2506" t="s">
        <v>2812</v>
      </c>
      <c r="B2506" t="s">
        <v>1885</v>
      </c>
      <c r="C2506" t="s">
        <v>1798</v>
      </c>
      <c r="D2506" t="s">
        <v>1874</v>
      </c>
      <c r="E2506" t="s">
        <v>1875</v>
      </c>
      <c r="F2506" t="s">
        <v>120</v>
      </c>
      <c r="G2506" t="s">
        <v>4715</v>
      </c>
      <c r="H2506" t="s">
        <v>5781</v>
      </c>
      <c r="I2506" t="s">
        <v>5448</v>
      </c>
      <c r="J2506" t="s">
        <v>5782</v>
      </c>
      <c r="K2506" t="s">
        <v>5783</v>
      </c>
      <c r="L2506" t="s">
        <v>4717</v>
      </c>
    </row>
    <row r="2507">
      <c r="A2507" t="s">
        <v>2812</v>
      </c>
      <c r="B2507" t="s">
        <v>1885</v>
      </c>
      <c r="C2507" t="s">
        <v>1798</v>
      </c>
      <c r="D2507" t="s">
        <v>1874</v>
      </c>
      <c r="E2507" t="s">
        <v>1875</v>
      </c>
      <c r="F2507" t="s">
        <v>120</v>
      </c>
      <c r="G2507" t="s">
        <v>4715</v>
      </c>
      <c r="H2507" t="s">
        <v>5781</v>
      </c>
      <c r="I2507" t="s">
        <v>5449</v>
      </c>
      <c r="J2507" t="s">
        <v>5784</v>
      </c>
      <c r="K2507" t="s">
        <v>5785</v>
      </c>
      <c r="L2507" t="s">
        <v>4717</v>
      </c>
    </row>
    <row r="2508">
      <c r="A2508" t="s">
        <v>2812</v>
      </c>
      <c r="B2508" t="s">
        <v>1885</v>
      </c>
      <c r="C2508" t="s">
        <v>1798</v>
      </c>
      <c r="D2508" t="s">
        <v>1874</v>
      </c>
      <c r="E2508" t="s">
        <v>1875</v>
      </c>
      <c r="F2508" t="s">
        <v>120</v>
      </c>
      <c r="G2508" t="s">
        <v>4715</v>
      </c>
      <c r="H2508" t="s">
        <v>5781</v>
      </c>
      <c r="I2508" t="s">
        <v>5450</v>
      </c>
      <c r="J2508" t="s">
        <v>5786</v>
      </c>
      <c r="K2508" t="s">
        <v>5787</v>
      </c>
      <c r="L2508" t="s">
        <v>4717</v>
      </c>
    </row>
    <row r="2509">
      <c r="A2509" t="s">
        <v>2812</v>
      </c>
      <c r="B2509" t="s">
        <v>1885</v>
      </c>
      <c r="C2509" t="s">
        <v>1798</v>
      </c>
      <c r="D2509" t="s">
        <v>1874</v>
      </c>
      <c r="E2509" t="s">
        <v>1875</v>
      </c>
      <c r="F2509" t="s">
        <v>120</v>
      </c>
      <c r="G2509" t="s">
        <v>4715</v>
      </c>
      <c r="H2509" t="s">
        <v>5781</v>
      </c>
      <c r="I2509" t="s">
        <v>5452</v>
      </c>
      <c r="J2509" t="s">
        <v>5788</v>
      </c>
      <c r="K2509" t="s">
        <v>5789</v>
      </c>
      <c r="L2509" t="s">
        <v>4717</v>
      </c>
    </row>
    <row r="2510">
      <c r="A2510" t="s">
        <v>2812</v>
      </c>
      <c r="B2510" t="s">
        <v>1885</v>
      </c>
      <c r="C2510" t="s">
        <v>1798</v>
      </c>
      <c r="D2510" t="s">
        <v>1874</v>
      </c>
      <c r="E2510" t="s">
        <v>1875</v>
      </c>
      <c r="F2510" t="s">
        <v>120</v>
      </c>
      <c r="G2510" t="s">
        <v>4715</v>
      </c>
      <c r="H2510" t="s">
        <v>5781</v>
      </c>
      <c r="I2510" t="s">
        <v>5790</v>
      </c>
      <c r="J2510" t="s">
        <v>5791</v>
      </c>
      <c r="K2510" t="s">
        <v>4165</v>
      </c>
      <c r="L2510" t="s">
        <v>4717</v>
      </c>
    </row>
    <row r="2511">
      <c r="A2511" t="s">
        <v>2812</v>
      </c>
      <c r="B2511" t="s">
        <v>1885</v>
      </c>
      <c r="C2511" t="s">
        <v>1798</v>
      </c>
      <c r="D2511" t="s">
        <v>1874</v>
      </c>
      <c r="E2511" t="s">
        <v>1875</v>
      </c>
      <c r="F2511" t="s">
        <v>120</v>
      </c>
      <c r="G2511" t="s">
        <v>4715</v>
      </c>
      <c r="H2511" t="s">
        <v>5792</v>
      </c>
      <c r="I2511" t="s">
        <v>5793</v>
      </c>
      <c r="J2511" t="s">
        <v>5794</v>
      </c>
      <c r="K2511" t="s">
        <v>5795</v>
      </c>
      <c r="L2511" t="s">
        <v>4717</v>
      </c>
    </row>
    <row r="2512">
      <c r="A2512" t="s">
        <v>2812</v>
      </c>
      <c r="B2512" t="s">
        <v>1885</v>
      </c>
      <c r="C2512" t="s">
        <v>1798</v>
      </c>
      <c r="D2512" t="s">
        <v>1874</v>
      </c>
      <c r="E2512" t="s">
        <v>1875</v>
      </c>
      <c r="F2512" t="s">
        <v>120</v>
      </c>
      <c r="G2512" t="s">
        <v>4715</v>
      </c>
      <c r="H2512" t="s">
        <v>5522</v>
      </c>
      <c r="I2512" t="s">
        <v>5656</v>
      </c>
      <c r="J2512" t="s">
        <v>5657</v>
      </c>
      <c r="K2512" t="s">
        <v>5658</v>
      </c>
      <c r="L2512" t="s">
        <v>4717</v>
      </c>
    </row>
    <row r="2513">
      <c r="A2513" t="s">
        <v>2812</v>
      </c>
      <c r="B2513" t="s">
        <v>1885</v>
      </c>
      <c r="C2513" t="s">
        <v>1798</v>
      </c>
      <c r="D2513" t="s">
        <v>1874</v>
      </c>
      <c r="E2513" t="s">
        <v>1875</v>
      </c>
      <c r="F2513" t="s">
        <v>120</v>
      </c>
      <c r="G2513" t="s">
        <v>4715</v>
      </c>
      <c r="H2513" t="s">
        <v>5522</v>
      </c>
      <c r="I2513" t="s">
        <v>5715</v>
      </c>
      <c r="J2513" t="s">
        <v>5716</v>
      </c>
      <c r="K2513" t="s">
        <v>5717</v>
      </c>
      <c r="L2513" t="s">
        <v>4717</v>
      </c>
    </row>
    <row r="2514">
      <c r="A2514" t="s">
        <v>2812</v>
      </c>
      <c r="B2514" t="s">
        <v>1885</v>
      </c>
      <c r="C2514" t="s">
        <v>1798</v>
      </c>
      <c r="D2514" t="s">
        <v>1874</v>
      </c>
      <c r="E2514" t="s">
        <v>1875</v>
      </c>
      <c r="F2514" t="s">
        <v>120</v>
      </c>
      <c r="G2514" t="s">
        <v>4715</v>
      </c>
      <c r="H2514" t="s">
        <v>5522</v>
      </c>
      <c r="I2514" t="s">
        <v>5718</v>
      </c>
      <c r="J2514" t="s">
        <v>5719</v>
      </c>
      <c r="K2514" t="s">
        <v>5720</v>
      </c>
      <c r="L2514" t="s">
        <v>4717</v>
      </c>
    </row>
    <row r="2515">
      <c r="A2515" t="s">
        <v>2814</v>
      </c>
      <c r="B2515" t="s">
        <v>1890</v>
      </c>
      <c r="C2515" t="s">
        <v>1798</v>
      </c>
      <c r="D2515" t="s">
        <v>1874</v>
      </c>
      <c r="E2515" t="s">
        <v>1875</v>
      </c>
      <c r="F2515" t="s">
        <v>120</v>
      </c>
      <c r="G2515" t="s">
        <v>4715</v>
      </c>
      <c r="H2515" t="s">
        <v>5041</v>
      </c>
      <c r="I2515" t="s">
        <v>5614</v>
      </c>
      <c r="J2515" t="s">
        <v>5615</v>
      </c>
      <c r="K2515" t="s">
        <v>4169</v>
      </c>
      <c r="L2515" t="s">
        <v>4717</v>
      </c>
    </row>
    <row r="2516">
      <c r="A2516" t="s">
        <v>2814</v>
      </c>
      <c r="B2516" t="s">
        <v>1890</v>
      </c>
      <c r="C2516" t="s">
        <v>1798</v>
      </c>
      <c r="D2516" t="s">
        <v>1874</v>
      </c>
      <c r="E2516" t="s">
        <v>1875</v>
      </c>
      <c r="F2516" t="s">
        <v>120</v>
      </c>
      <c r="G2516" t="s">
        <v>4715</v>
      </c>
      <c r="H2516" t="s">
        <v>5616</v>
      </c>
      <c r="I2516" t="s">
        <v>5617</v>
      </c>
      <c r="J2516" t="s">
        <v>5618</v>
      </c>
      <c r="K2516" t="s">
        <v>5619</v>
      </c>
      <c r="L2516" t="s">
        <v>4717</v>
      </c>
    </row>
    <row r="2517">
      <c r="A2517" t="s">
        <v>2814</v>
      </c>
      <c r="B2517" t="s">
        <v>1890</v>
      </c>
      <c r="C2517" t="s">
        <v>1798</v>
      </c>
      <c r="D2517" t="s">
        <v>1874</v>
      </c>
      <c r="E2517" t="s">
        <v>1875</v>
      </c>
      <c r="F2517" t="s">
        <v>120</v>
      </c>
      <c r="G2517" t="s">
        <v>4715</v>
      </c>
      <c r="H2517" t="s">
        <v>5499</v>
      </c>
      <c r="I2517" t="s">
        <v>5620</v>
      </c>
      <c r="J2517" t="s">
        <v>5621</v>
      </c>
      <c r="K2517" t="s">
        <v>5622</v>
      </c>
      <c r="L2517" t="s">
        <v>4717</v>
      </c>
    </row>
    <row r="2518">
      <c r="A2518" t="s">
        <v>2814</v>
      </c>
      <c r="B2518" t="s">
        <v>1890</v>
      </c>
      <c r="C2518" t="s">
        <v>1798</v>
      </c>
      <c r="D2518" t="s">
        <v>1874</v>
      </c>
      <c r="E2518" t="s">
        <v>1875</v>
      </c>
      <c r="F2518" t="s">
        <v>120</v>
      </c>
      <c r="G2518" t="s">
        <v>4715</v>
      </c>
      <c r="H2518" t="s">
        <v>5623</v>
      </c>
      <c r="I2518" t="s">
        <v>5624</v>
      </c>
      <c r="J2518" t="s">
        <v>5625</v>
      </c>
      <c r="K2518" t="s">
        <v>5626</v>
      </c>
      <c r="L2518" t="s">
        <v>4717</v>
      </c>
    </row>
    <row r="2519">
      <c r="A2519" t="s">
        <v>2814</v>
      </c>
      <c r="B2519" t="s">
        <v>1890</v>
      </c>
      <c r="C2519" t="s">
        <v>1798</v>
      </c>
      <c r="D2519" t="s">
        <v>1874</v>
      </c>
      <c r="E2519" t="s">
        <v>1875</v>
      </c>
      <c r="F2519" t="s">
        <v>120</v>
      </c>
      <c r="G2519" t="s">
        <v>4715</v>
      </c>
      <c r="H2519" t="s">
        <v>3904</v>
      </c>
      <c r="I2519" t="s">
        <v>5627</v>
      </c>
      <c r="J2519" t="s">
        <v>5628</v>
      </c>
      <c r="K2519" t="s">
        <v>5629</v>
      </c>
      <c r="L2519" t="s">
        <v>4717</v>
      </c>
    </row>
    <row r="2520">
      <c r="A2520" t="s">
        <v>2814</v>
      </c>
      <c r="B2520" t="s">
        <v>1890</v>
      </c>
      <c r="C2520" t="s">
        <v>1798</v>
      </c>
      <c r="D2520" t="s">
        <v>1874</v>
      </c>
      <c r="E2520" t="s">
        <v>1875</v>
      </c>
      <c r="F2520" t="s">
        <v>120</v>
      </c>
      <c r="G2520" t="s">
        <v>4715</v>
      </c>
      <c r="H2520" t="s">
        <v>5630</v>
      </c>
      <c r="I2520" t="s">
        <v>5474</v>
      </c>
      <c r="J2520" t="s">
        <v>5631</v>
      </c>
      <c r="K2520" t="s">
        <v>5632</v>
      </c>
      <c r="L2520" t="s">
        <v>4717</v>
      </c>
    </row>
    <row r="2521">
      <c r="A2521" t="s">
        <v>2814</v>
      </c>
      <c r="B2521" t="s">
        <v>1890</v>
      </c>
      <c r="C2521" t="s">
        <v>1798</v>
      </c>
      <c r="D2521" t="s">
        <v>1874</v>
      </c>
      <c r="E2521" t="s">
        <v>1875</v>
      </c>
      <c r="F2521" t="s">
        <v>120</v>
      </c>
      <c r="G2521" t="s">
        <v>4715</v>
      </c>
      <c r="H2521" t="s">
        <v>5170</v>
      </c>
      <c r="I2521" t="s">
        <v>5171</v>
      </c>
      <c r="J2521" t="s">
        <v>5633</v>
      </c>
      <c r="K2521" t="s">
        <v>5634</v>
      </c>
      <c r="L2521" t="s">
        <v>4717</v>
      </c>
    </row>
    <row r="2522">
      <c r="A2522" t="s">
        <v>2814</v>
      </c>
      <c r="B2522" t="s">
        <v>1890</v>
      </c>
      <c r="C2522" t="s">
        <v>1798</v>
      </c>
      <c r="D2522" t="s">
        <v>1874</v>
      </c>
      <c r="E2522" t="s">
        <v>1875</v>
      </c>
      <c r="F2522" t="s">
        <v>120</v>
      </c>
      <c r="G2522" t="s">
        <v>4715</v>
      </c>
      <c r="H2522" t="s">
        <v>5157</v>
      </c>
      <c r="I2522" t="s">
        <v>5635</v>
      </c>
      <c r="J2522" t="s">
        <v>5636</v>
      </c>
      <c r="K2522" t="s">
        <v>5637</v>
      </c>
      <c r="L2522" t="s">
        <v>4717</v>
      </c>
    </row>
    <row r="2523">
      <c r="A2523" t="s">
        <v>2814</v>
      </c>
      <c r="B2523" t="s">
        <v>1890</v>
      </c>
      <c r="C2523" t="s">
        <v>1798</v>
      </c>
      <c r="D2523" t="s">
        <v>1874</v>
      </c>
      <c r="E2523" t="s">
        <v>1875</v>
      </c>
      <c r="F2523" t="s">
        <v>120</v>
      </c>
      <c r="G2523" t="s">
        <v>4715</v>
      </c>
      <c r="H2523" t="s">
        <v>5781</v>
      </c>
      <c r="I2523" t="s">
        <v>5448</v>
      </c>
      <c r="J2523" t="s">
        <v>5782</v>
      </c>
      <c r="K2523" t="s">
        <v>5783</v>
      </c>
      <c r="L2523" t="s">
        <v>4717</v>
      </c>
    </row>
    <row r="2524">
      <c r="A2524" t="s">
        <v>2814</v>
      </c>
      <c r="B2524" t="s">
        <v>1890</v>
      </c>
      <c r="C2524" t="s">
        <v>1798</v>
      </c>
      <c r="D2524" t="s">
        <v>1874</v>
      </c>
      <c r="E2524" t="s">
        <v>1875</v>
      </c>
      <c r="F2524" t="s">
        <v>120</v>
      </c>
      <c r="G2524" t="s">
        <v>4715</v>
      </c>
      <c r="H2524" t="s">
        <v>5781</v>
      </c>
      <c r="I2524" t="s">
        <v>5449</v>
      </c>
      <c r="J2524" t="s">
        <v>5784</v>
      </c>
      <c r="K2524" t="s">
        <v>5785</v>
      </c>
      <c r="L2524" t="s">
        <v>4717</v>
      </c>
    </row>
    <row r="2525">
      <c r="A2525" t="s">
        <v>2814</v>
      </c>
      <c r="B2525" t="s">
        <v>1890</v>
      </c>
      <c r="C2525" t="s">
        <v>1798</v>
      </c>
      <c r="D2525" t="s">
        <v>1874</v>
      </c>
      <c r="E2525" t="s">
        <v>1875</v>
      </c>
      <c r="F2525" t="s">
        <v>120</v>
      </c>
      <c r="G2525" t="s">
        <v>4715</v>
      </c>
      <c r="H2525" t="s">
        <v>5781</v>
      </c>
      <c r="I2525" t="s">
        <v>5450</v>
      </c>
      <c r="J2525" t="s">
        <v>5786</v>
      </c>
      <c r="K2525" t="s">
        <v>5787</v>
      </c>
      <c r="L2525" t="s">
        <v>4717</v>
      </c>
    </row>
    <row r="2526">
      <c r="A2526" t="s">
        <v>2814</v>
      </c>
      <c r="B2526" t="s">
        <v>1890</v>
      </c>
      <c r="C2526" t="s">
        <v>1798</v>
      </c>
      <c r="D2526" t="s">
        <v>1874</v>
      </c>
      <c r="E2526" t="s">
        <v>1875</v>
      </c>
      <c r="F2526" t="s">
        <v>120</v>
      </c>
      <c r="G2526" t="s">
        <v>4715</v>
      </c>
      <c r="H2526" t="s">
        <v>5781</v>
      </c>
      <c r="I2526" t="s">
        <v>5452</v>
      </c>
      <c r="J2526" t="s">
        <v>5788</v>
      </c>
      <c r="K2526" t="s">
        <v>5789</v>
      </c>
      <c r="L2526" t="s">
        <v>4717</v>
      </c>
    </row>
    <row r="2527">
      <c r="A2527" t="s">
        <v>2814</v>
      </c>
      <c r="B2527" t="s">
        <v>1890</v>
      </c>
      <c r="C2527" t="s">
        <v>1798</v>
      </c>
      <c r="D2527" t="s">
        <v>1874</v>
      </c>
      <c r="E2527" t="s">
        <v>1875</v>
      </c>
      <c r="F2527" t="s">
        <v>120</v>
      </c>
      <c r="G2527" t="s">
        <v>4715</v>
      </c>
      <c r="H2527" t="s">
        <v>5781</v>
      </c>
      <c r="I2527" t="s">
        <v>5790</v>
      </c>
      <c r="J2527" t="s">
        <v>5791</v>
      </c>
      <c r="K2527" t="s">
        <v>4165</v>
      </c>
      <c r="L2527" t="s">
        <v>4717</v>
      </c>
    </row>
    <row r="2528">
      <c r="A2528" t="s">
        <v>2814</v>
      </c>
      <c r="B2528" t="s">
        <v>1890</v>
      </c>
      <c r="C2528" t="s">
        <v>1798</v>
      </c>
      <c r="D2528" t="s">
        <v>1874</v>
      </c>
      <c r="E2528" t="s">
        <v>1875</v>
      </c>
      <c r="F2528" t="s">
        <v>120</v>
      </c>
      <c r="G2528" t="s">
        <v>4715</v>
      </c>
      <c r="H2528" t="s">
        <v>5792</v>
      </c>
      <c r="I2528" t="s">
        <v>5793</v>
      </c>
      <c r="J2528" t="s">
        <v>5794</v>
      </c>
      <c r="K2528" t="s">
        <v>5795</v>
      </c>
      <c r="L2528" t="s">
        <v>4717</v>
      </c>
    </row>
    <row r="2529">
      <c r="A2529" t="s">
        <v>2814</v>
      </c>
      <c r="B2529" t="s">
        <v>1890</v>
      </c>
      <c r="C2529" t="s">
        <v>1798</v>
      </c>
      <c r="D2529" t="s">
        <v>1874</v>
      </c>
      <c r="E2529" t="s">
        <v>1875</v>
      </c>
      <c r="F2529" t="s">
        <v>120</v>
      </c>
      <c r="G2529" t="s">
        <v>4715</v>
      </c>
      <c r="H2529" t="s">
        <v>5522</v>
      </c>
      <c r="I2529" t="s">
        <v>5656</v>
      </c>
      <c r="J2529" t="s">
        <v>5657</v>
      </c>
      <c r="K2529" t="s">
        <v>5658</v>
      </c>
      <c r="L2529" t="s">
        <v>4717</v>
      </c>
    </row>
    <row r="2530">
      <c r="A2530" t="s">
        <v>2814</v>
      </c>
      <c r="B2530" t="s">
        <v>1890</v>
      </c>
      <c r="C2530" t="s">
        <v>1798</v>
      </c>
      <c r="D2530" t="s">
        <v>1874</v>
      </c>
      <c r="E2530" t="s">
        <v>1875</v>
      </c>
      <c r="F2530" t="s">
        <v>120</v>
      </c>
      <c r="G2530" t="s">
        <v>4715</v>
      </c>
      <c r="H2530" t="s">
        <v>5522</v>
      </c>
      <c r="I2530" t="s">
        <v>5715</v>
      </c>
      <c r="J2530" t="s">
        <v>5716</v>
      </c>
      <c r="K2530" t="s">
        <v>5717</v>
      </c>
      <c r="L2530" t="s">
        <v>4717</v>
      </c>
    </row>
    <row r="2531">
      <c r="A2531" t="s">
        <v>2814</v>
      </c>
      <c r="B2531" t="s">
        <v>1890</v>
      </c>
      <c r="C2531" t="s">
        <v>1798</v>
      </c>
      <c r="D2531" t="s">
        <v>1874</v>
      </c>
      <c r="E2531" t="s">
        <v>1875</v>
      </c>
      <c r="F2531" t="s">
        <v>120</v>
      </c>
      <c r="G2531" t="s">
        <v>4715</v>
      </c>
      <c r="H2531" t="s">
        <v>5522</v>
      </c>
      <c r="I2531" t="s">
        <v>5718</v>
      </c>
      <c r="J2531" t="s">
        <v>5719</v>
      </c>
      <c r="K2531" t="s">
        <v>5720</v>
      </c>
      <c r="L2531" t="s">
        <v>4717</v>
      </c>
    </row>
    <row r="2532">
      <c r="A2532" t="s">
        <v>2816</v>
      </c>
      <c r="B2532" t="s">
        <v>1897</v>
      </c>
      <c r="C2532" t="s">
        <v>1798</v>
      </c>
      <c r="D2532" t="s">
        <v>1874</v>
      </c>
      <c r="E2532" t="s">
        <v>1875</v>
      </c>
      <c r="F2532" t="s">
        <v>120</v>
      </c>
      <c r="G2532" t="s">
        <v>4715</v>
      </c>
      <c r="H2532" t="s">
        <v>5041</v>
      </c>
      <c r="I2532" t="s">
        <v>5614</v>
      </c>
      <c r="J2532" t="s">
        <v>5615</v>
      </c>
      <c r="K2532" t="s">
        <v>4169</v>
      </c>
      <c r="L2532" t="s">
        <v>4717</v>
      </c>
    </row>
    <row r="2533">
      <c r="A2533" t="s">
        <v>2816</v>
      </c>
      <c r="B2533" t="s">
        <v>1897</v>
      </c>
      <c r="C2533" t="s">
        <v>1798</v>
      </c>
      <c r="D2533" t="s">
        <v>1874</v>
      </c>
      <c r="E2533" t="s">
        <v>1875</v>
      </c>
      <c r="F2533" t="s">
        <v>120</v>
      </c>
      <c r="G2533" t="s">
        <v>4715</v>
      </c>
      <c r="H2533" t="s">
        <v>5616</v>
      </c>
      <c r="I2533" t="s">
        <v>5617</v>
      </c>
      <c r="J2533" t="s">
        <v>5618</v>
      </c>
      <c r="K2533" t="s">
        <v>5619</v>
      </c>
      <c r="L2533" t="s">
        <v>4717</v>
      </c>
    </row>
    <row r="2534">
      <c r="A2534" t="s">
        <v>2816</v>
      </c>
      <c r="B2534" t="s">
        <v>1897</v>
      </c>
      <c r="C2534" t="s">
        <v>1798</v>
      </c>
      <c r="D2534" t="s">
        <v>1874</v>
      </c>
      <c r="E2534" t="s">
        <v>1875</v>
      </c>
      <c r="F2534" t="s">
        <v>120</v>
      </c>
      <c r="G2534" t="s">
        <v>4715</v>
      </c>
      <c r="H2534" t="s">
        <v>5499</v>
      </c>
      <c r="I2534" t="s">
        <v>5620</v>
      </c>
      <c r="J2534" t="s">
        <v>5621</v>
      </c>
      <c r="K2534" t="s">
        <v>5622</v>
      </c>
      <c r="L2534" t="s">
        <v>4717</v>
      </c>
    </row>
    <row r="2535">
      <c r="A2535" t="s">
        <v>2816</v>
      </c>
      <c r="B2535" t="s">
        <v>1897</v>
      </c>
      <c r="C2535" t="s">
        <v>1798</v>
      </c>
      <c r="D2535" t="s">
        <v>1874</v>
      </c>
      <c r="E2535" t="s">
        <v>1875</v>
      </c>
      <c r="F2535" t="s">
        <v>120</v>
      </c>
      <c r="G2535" t="s">
        <v>4715</v>
      </c>
      <c r="H2535" t="s">
        <v>5623</v>
      </c>
      <c r="I2535" t="s">
        <v>5624</v>
      </c>
      <c r="J2535" t="s">
        <v>5625</v>
      </c>
      <c r="K2535" t="s">
        <v>5626</v>
      </c>
      <c r="L2535" t="s">
        <v>4717</v>
      </c>
    </row>
    <row r="2536">
      <c r="A2536" t="s">
        <v>2816</v>
      </c>
      <c r="B2536" t="s">
        <v>1897</v>
      </c>
      <c r="C2536" t="s">
        <v>1798</v>
      </c>
      <c r="D2536" t="s">
        <v>1874</v>
      </c>
      <c r="E2536" t="s">
        <v>1875</v>
      </c>
      <c r="F2536" t="s">
        <v>120</v>
      </c>
      <c r="G2536" t="s">
        <v>4715</v>
      </c>
      <c r="H2536" t="s">
        <v>3904</v>
      </c>
      <c r="I2536" t="s">
        <v>5627</v>
      </c>
      <c r="J2536" t="s">
        <v>5628</v>
      </c>
      <c r="K2536" t="s">
        <v>5629</v>
      </c>
      <c r="L2536" t="s">
        <v>4717</v>
      </c>
    </row>
    <row r="2537">
      <c r="A2537" t="s">
        <v>2816</v>
      </c>
      <c r="B2537" t="s">
        <v>1897</v>
      </c>
      <c r="C2537" t="s">
        <v>1798</v>
      </c>
      <c r="D2537" t="s">
        <v>1874</v>
      </c>
      <c r="E2537" t="s">
        <v>1875</v>
      </c>
      <c r="F2537" t="s">
        <v>120</v>
      </c>
      <c r="G2537" t="s">
        <v>4715</v>
      </c>
      <c r="H2537" t="s">
        <v>5630</v>
      </c>
      <c r="I2537" t="s">
        <v>5474</v>
      </c>
      <c r="J2537" t="s">
        <v>5631</v>
      </c>
      <c r="K2537" t="s">
        <v>5632</v>
      </c>
      <c r="L2537" t="s">
        <v>4717</v>
      </c>
    </row>
    <row r="2538">
      <c r="A2538" t="s">
        <v>2816</v>
      </c>
      <c r="B2538" t="s">
        <v>1897</v>
      </c>
      <c r="C2538" t="s">
        <v>1798</v>
      </c>
      <c r="D2538" t="s">
        <v>1874</v>
      </c>
      <c r="E2538" t="s">
        <v>1875</v>
      </c>
      <c r="F2538" t="s">
        <v>120</v>
      </c>
      <c r="G2538" t="s">
        <v>4715</v>
      </c>
      <c r="H2538" t="s">
        <v>5170</v>
      </c>
      <c r="I2538" t="s">
        <v>5171</v>
      </c>
      <c r="J2538" t="s">
        <v>5633</v>
      </c>
      <c r="K2538" t="s">
        <v>5634</v>
      </c>
      <c r="L2538" t="s">
        <v>4717</v>
      </c>
    </row>
    <row r="2539">
      <c r="A2539" t="s">
        <v>2816</v>
      </c>
      <c r="B2539" t="s">
        <v>1897</v>
      </c>
      <c r="C2539" t="s">
        <v>1798</v>
      </c>
      <c r="D2539" t="s">
        <v>1874</v>
      </c>
      <c r="E2539" t="s">
        <v>1875</v>
      </c>
      <c r="F2539" t="s">
        <v>120</v>
      </c>
      <c r="G2539" t="s">
        <v>4715</v>
      </c>
      <c r="H2539" t="s">
        <v>5157</v>
      </c>
      <c r="I2539" t="s">
        <v>5635</v>
      </c>
      <c r="J2539" t="s">
        <v>5636</v>
      </c>
      <c r="K2539" t="s">
        <v>5637</v>
      </c>
      <c r="L2539" t="s">
        <v>4717</v>
      </c>
    </row>
    <row r="2540">
      <c r="A2540" t="s">
        <v>2816</v>
      </c>
      <c r="B2540" t="s">
        <v>1897</v>
      </c>
      <c r="C2540" t="s">
        <v>1798</v>
      </c>
      <c r="D2540" t="s">
        <v>1874</v>
      </c>
      <c r="E2540" t="s">
        <v>1875</v>
      </c>
      <c r="F2540" t="s">
        <v>120</v>
      </c>
      <c r="G2540" t="s">
        <v>4715</v>
      </c>
      <c r="H2540" t="s">
        <v>5781</v>
      </c>
      <c r="I2540" t="s">
        <v>5448</v>
      </c>
      <c r="J2540" t="s">
        <v>5782</v>
      </c>
      <c r="K2540" t="s">
        <v>5783</v>
      </c>
      <c r="L2540" t="s">
        <v>4717</v>
      </c>
    </row>
    <row r="2541">
      <c r="A2541" t="s">
        <v>2816</v>
      </c>
      <c r="B2541" t="s">
        <v>1897</v>
      </c>
      <c r="C2541" t="s">
        <v>1798</v>
      </c>
      <c r="D2541" t="s">
        <v>1874</v>
      </c>
      <c r="E2541" t="s">
        <v>1875</v>
      </c>
      <c r="F2541" t="s">
        <v>120</v>
      </c>
      <c r="G2541" t="s">
        <v>4715</v>
      </c>
      <c r="H2541" t="s">
        <v>5781</v>
      </c>
      <c r="I2541" t="s">
        <v>5449</v>
      </c>
      <c r="J2541" t="s">
        <v>5784</v>
      </c>
      <c r="K2541" t="s">
        <v>5785</v>
      </c>
      <c r="L2541" t="s">
        <v>4717</v>
      </c>
    </row>
    <row r="2542">
      <c r="A2542" t="s">
        <v>2816</v>
      </c>
      <c r="B2542" t="s">
        <v>1897</v>
      </c>
      <c r="C2542" t="s">
        <v>1798</v>
      </c>
      <c r="D2542" t="s">
        <v>1874</v>
      </c>
      <c r="E2542" t="s">
        <v>1875</v>
      </c>
      <c r="F2542" t="s">
        <v>120</v>
      </c>
      <c r="G2542" t="s">
        <v>4715</v>
      </c>
      <c r="H2542" t="s">
        <v>5781</v>
      </c>
      <c r="I2542" t="s">
        <v>5450</v>
      </c>
      <c r="J2542" t="s">
        <v>5786</v>
      </c>
      <c r="K2542" t="s">
        <v>5787</v>
      </c>
      <c r="L2542" t="s">
        <v>4717</v>
      </c>
    </row>
    <row r="2543">
      <c r="A2543" t="s">
        <v>2816</v>
      </c>
      <c r="B2543" t="s">
        <v>1897</v>
      </c>
      <c r="C2543" t="s">
        <v>1798</v>
      </c>
      <c r="D2543" t="s">
        <v>1874</v>
      </c>
      <c r="E2543" t="s">
        <v>1875</v>
      </c>
      <c r="F2543" t="s">
        <v>120</v>
      </c>
      <c r="G2543" t="s">
        <v>4715</v>
      </c>
      <c r="H2543" t="s">
        <v>5781</v>
      </c>
      <c r="I2543" t="s">
        <v>5452</v>
      </c>
      <c r="J2543" t="s">
        <v>5788</v>
      </c>
      <c r="K2543" t="s">
        <v>5789</v>
      </c>
      <c r="L2543" t="s">
        <v>4717</v>
      </c>
    </row>
    <row r="2544">
      <c r="A2544" t="s">
        <v>2816</v>
      </c>
      <c r="B2544" t="s">
        <v>1897</v>
      </c>
      <c r="C2544" t="s">
        <v>1798</v>
      </c>
      <c r="D2544" t="s">
        <v>1874</v>
      </c>
      <c r="E2544" t="s">
        <v>1875</v>
      </c>
      <c r="F2544" t="s">
        <v>120</v>
      </c>
      <c r="G2544" t="s">
        <v>4715</v>
      </c>
      <c r="H2544" t="s">
        <v>5781</v>
      </c>
      <c r="I2544" t="s">
        <v>5790</v>
      </c>
      <c r="J2544" t="s">
        <v>5791</v>
      </c>
      <c r="K2544" t="s">
        <v>4165</v>
      </c>
      <c r="L2544" t="s">
        <v>4717</v>
      </c>
    </row>
    <row r="2545">
      <c r="A2545" t="s">
        <v>2816</v>
      </c>
      <c r="B2545" t="s">
        <v>1897</v>
      </c>
      <c r="C2545" t="s">
        <v>1798</v>
      </c>
      <c r="D2545" t="s">
        <v>1874</v>
      </c>
      <c r="E2545" t="s">
        <v>1875</v>
      </c>
      <c r="F2545" t="s">
        <v>120</v>
      </c>
      <c r="G2545" t="s">
        <v>4715</v>
      </c>
      <c r="H2545" t="s">
        <v>5792</v>
      </c>
      <c r="I2545" t="s">
        <v>5793</v>
      </c>
      <c r="J2545" t="s">
        <v>5794</v>
      </c>
      <c r="K2545" t="s">
        <v>5795</v>
      </c>
      <c r="L2545" t="s">
        <v>4717</v>
      </c>
    </row>
    <row r="2546">
      <c r="A2546" t="s">
        <v>2816</v>
      </c>
      <c r="B2546" t="s">
        <v>1897</v>
      </c>
      <c r="C2546" t="s">
        <v>1798</v>
      </c>
      <c r="D2546" t="s">
        <v>1874</v>
      </c>
      <c r="E2546" t="s">
        <v>1875</v>
      </c>
      <c r="F2546" t="s">
        <v>120</v>
      </c>
      <c r="G2546" t="s">
        <v>4715</v>
      </c>
      <c r="H2546" t="s">
        <v>5522</v>
      </c>
      <c r="I2546" t="s">
        <v>5656</v>
      </c>
      <c r="J2546" t="s">
        <v>5657</v>
      </c>
      <c r="K2546" t="s">
        <v>5658</v>
      </c>
      <c r="L2546" t="s">
        <v>4717</v>
      </c>
    </row>
    <row r="2547">
      <c r="A2547" t="s">
        <v>2816</v>
      </c>
      <c r="B2547" t="s">
        <v>1897</v>
      </c>
      <c r="C2547" t="s">
        <v>1798</v>
      </c>
      <c r="D2547" t="s">
        <v>1874</v>
      </c>
      <c r="E2547" t="s">
        <v>1875</v>
      </c>
      <c r="F2547" t="s">
        <v>120</v>
      </c>
      <c r="G2547" t="s">
        <v>4715</v>
      </c>
      <c r="H2547" t="s">
        <v>5522</v>
      </c>
      <c r="I2547" t="s">
        <v>5715</v>
      </c>
      <c r="J2547" t="s">
        <v>5716</v>
      </c>
      <c r="K2547" t="s">
        <v>5717</v>
      </c>
      <c r="L2547" t="s">
        <v>4717</v>
      </c>
    </row>
    <row r="2548">
      <c r="A2548" t="s">
        <v>2816</v>
      </c>
      <c r="B2548" t="s">
        <v>1897</v>
      </c>
      <c r="C2548" t="s">
        <v>1798</v>
      </c>
      <c r="D2548" t="s">
        <v>1874</v>
      </c>
      <c r="E2548" t="s">
        <v>1875</v>
      </c>
      <c r="F2548" t="s">
        <v>120</v>
      </c>
      <c r="G2548" t="s">
        <v>4715</v>
      </c>
      <c r="H2548" t="s">
        <v>5522</v>
      </c>
      <c r="I2548" t="s">
        <v>5718</v>
      </c>
      <c r="J2548" t="s">
        <v>5719</v>
      </c>
      <c r="K2548" t="s">
        <v>5720</v>
      </c>
      <c r="L2548" t="s">
        <v>4717</v>
      </c>
    </row>
    <row r="2549">
      <c r="A2549" t="s">
        <v>2819</v>
      </c>
      <c r="B2549" t="s">
        <v>1905</v>
      </c>
      <c r="C2549" t="s">
        <v>1798</v>
      </c>
      <c r="D2549" t="s">
        <v>1874</v>
      </c>
      <c r="E2549" t="s">
        <v>1875</v>
      </c>
      <c r="F2549" t="s">
        <v>120</v>
      </c>
      <c r="G2549" t="s">
        <v>4715</v>
      </c>
      <c r="H2549" t="s">
        <v>5041</v>
      </c>
      <c r="I2549" t="s">
        <v>5614</v>
      </c>
      <c r="J2549" t="s">
        <v>5615</v>
      </c>
      <c r="K2549" t="s">
        <v>4169</v>
      </c>
      <c r="L2549" t="s">
        <v>4717</v>
      </c>
    </row>
    <row r="2550">
      <c r="A2550" t="s">
        <v>2819</v>
      </c>
      <c r="B2550" t="s">
        <v>1905</v>
      </c>
      <c r="C2550" t="s">
        <v>1798</v>
      </c>
      <c r="D2550" t="s">
        <v>1874</v>
      </c>
      <c r="E2550" t="s">
        <v>1875</v>
      </c>
      <c r="F2550" t="s">
        <v>120</v>
      </c>
      <c r="G2550" t="s">
        <v>4715</v>
      </c>
      <c r="H2550" t="s">
        <v>5616</v>
      </c>
      <c r="I2550" t="s">
        <v>5617</v>
      </c>
      <c r="J2550" t="s">
        <v>5618</v>
      </c>
      <c r="K2550" t="s">
        <v>5619</v>
      </c>
      <c r="L2550" t="s">
        <v>4717</v>
      </c>
    </row>
    <row r="2551">
      <c r="A2551" t="s">
        <v>2819</v>
      </c>
      <c r="B2551" t="s">
        <v>1905</v>
      </c>
      <c r="C2551" t="s">
        <v>1798</v>
      </c>
      <c r="D2551" t="s">
        <v>1874</v>
      </c>
      <c r="E2551" t="s">
        <v>1875</v>
      </c>
      <c r="F2551" t="s">
        <v>120</v>
      </c>
      <c r="G2551" t="s">
        <v>4715</v>
      </c>
      <c r="H2551" t="s">
        <v>5499</v>
      </c>
      <c r="I2551" t="s">
        <v>5620</v>
      </c>
      <c r="J2551" t="s">
        <v>5621</v>
      </c>
      <c r="K2551" t="s">
        <v>5622</v>
      </c>
      <c r="L2551" t="s">
        <v>4717</v>
      </c>
    </row>
    <row r="2552">
      <c r="A2552" t="s">
        <v>2819</v>
      </c>
      <c r="B2552" t="s">
        <v>1905</v>
      </c>
      <c r="C2552" t="s">
        <v>1798</v>
      </c>
      <c r="D2552" t="s">
        <v>1874</v>
      </c>
      <c r="E2552" t="s">
        <v>1875</v>
      </c>
      <c r="F2552" t="s">
        <v>120</v>
      </c>
      <c r="G2552" t="s">
        <v>4715</v>
      </c>
      <c r="H2552" t="s">
        <v>5623</v>
      </c>
      <c r="I2552" t="s">
        <v>5624</v>
      </c>
      <c r="J2552" t="s">
        <v>5625</v>
      </c>
      <c r="K2552" t="s">
        <v>5626</v>
      </c>
      <c r="L2552" t="s">
        <v>4717</v>
      </c>
    </row>
    <row r="2553">
      <c r="A2553" t="s">
        <v>2819</v>
      </c>
      <c r="B2553" t="s">
        <v>1905</v>
      </c>
      <c r="C2553" t="s">
        <v>1798</v>
      </c>
      <c r="D2553" t="s">
        <v>1874</v>
      </c>
      <c r="E2553" t="s">
        <v>1875</v>
      </c>
      <c r="F2553" t="s">
        <v>120</v>
      </c>
      <c r="G2553" t="s">
        <v>4715</v>
      </c>
      <c r="H2553" t="s">
        <v>3904</v>
      </c>
      <c r="I2553" t="s">
        <v>5627</v>
      </c>
      <c r="J2553" t="s">
        <v>5628</v>
      </c>
      <c r="K2553" t="s">
        <v>5629</v>
      </c>
      <c r="L2553" t="s">
        <v>4717</v>
      </c>
    </row>
    <row r="2554">
      <c r="A2554" t="s">
        <v>2819</v>
      </c>
      <c r="B2554" t="s">
        <v>1905</v>
      </c>
      <c r="C2554" t="s">
        <v>1798</v>
      </c>
      <c r="D2554" t="s">
        <v>1874</v>
      </c>
      <c r="E2554" t="s">
        <v>1875</v>
      </c>
      <c r="F2554" t="s">
        <v>120</v>
      </c>
      <c r="G2554" t="s">
        <v>4715</v>
      </c>
      <c r="H2554" t="s">
        <v>5630</v>
      </c>
      <c r="I2554" t="s">
        <v>5474</v>
      </c>
      <c r="J2554" t="s">
        <v>5631</v>
      </c>
      <c r="K2554" t="s">
        <v>5632</v>
      </c>
      <c r="L2554" t="s">
        <v>4717</v>
      </c>
    </row>
    <row r="2555">
      <c r="A2555" t="s">
        <v>2819</v>
      </c>
      <c r="B2555" t="s">
        <v>1905</v>
      </c>
      <c r="C2555" t="s">
        <v>1798</v>
      </c>
      <c r="D2555" t="s">
        <v>1874</v>
      </c>
      <c r="E2555" t="s">
        <v>1875</v>
      </c>
      <c r="F2555" t="s">
        <v>120</v>
      </c>
      <c r="G2555" t="s">
        <v>4715</v>
      </c>
      <c r="H2555" t="s">
        <v>5170</v>
      </c>
      <c r="I2555" t="s">
        <v>5171</v>
      </c>
      <c r="J2555" t="s">
        <v>5633</v>
      </c>
      <c r="K2555" t="s">
        <v>5634</v>
      </c>
      <c r="L2555" t="s">
        <v>4717</v>
      </c>
    </row>
    <row r="2556">
      <c r="A2556" t="s">
        <v>2819</v>
      </c>
      <c r="B2556" t="s">
        <v>1905</v>
      </c>
      <c r="C2556" t="s">
        <v>1798</v>
      </c>
      <c r="D2556" t="s">
        <v>1874</v>
      </c>
      <c r="E2556" t="s">
        <v>1875</v>
      </c>
      <c r="F2556" t="s">
        <v>120</v>
      </c>
      <c r="G2556" t="s">
        <v>4715</v>
      </c>
      <c r="H2556" t="s">
        <v>5157</v>
      </c>
      <c r="I2556" t="s">
        <v>5635</v>
      </c>
      <c r="J2556" t="s">
        <v>5636</v>
      </c>
      <c r="K2556" t="s">
        <v>5637</v>
      </c>
      <c r="L2556" t="s">
        <v>4717</v>
      </c>
    </row>
    <row r="2557">
      <c r="A2557" t="s">
        <v>2819</v>
      </c>
      <c r="B2557" t="s">
        <v>1905</v>
      </c>
      <c r="C2557" t="s">
        <v>1798</v>
      </c>
      <c r="D2557" t="s">
        <v>1874</v>
      </c>
      <c r="E2557" t="s">
        <v>1875</v>
      </c>
      <c r="F2557" t="s">
        <v>120</v>
      </c>
      <c r="G2557" t="s">
        <v>4715</v>
      </c>
      <c r="H2557" t="s">
        <v>5781</v>
      </c>
      <c r="I2557" t="s">
        <v>5448</v>
      </c>
      <c r="J2557" t="s">
        <v>5782</v>
      </c>
      <c r="K2557" t="s">
        <v>5783</v>
      </c>
      <c r="L2557" t="s">
        <v>4717</v>
      </c>
    </row>
    <row r="2558">
      <c r="A2558" t="s">
        <v>2819</v>
      </c>
      <c r="B2558" t="s">
        <v>1905</v>
      </c>
      <c r="C2558" t="s">
        <v>1798</v>
      </c>
      <c r="D2558" t="s">
        <v>1874</v>
      </c>
      <c r="E2558" t="s">
        <v>1875</v>
      </c>
      <c r="F2558" t="s">
        <v>120</v>
      </c>
      <c r="G2558" t="s">
        <v>4715</v>
      </c>
      <c r="H2558" t="s">
        <v>5781</v>
      </c>
      <c r="I2558" t="s">
        <v>5449</v>
      </c>
      <c r="J2558" t="s">
        <v>5784</v>
      </c>
      <c r="K2558" t="s">
        <v>5785</v>
      </c>
      <c r="L2558" t="s">
        <v>4717</v>
      </c>
    </row>
    <row r="2559">
      <c r="A2559" t="s">
        <v>2819</v>
      </c>
      <c r="B2559" t="s">
        <v>1905</v>
      </c>
      <c r="C2559" t="s">
        <v>1798</v>
      </c>
      <c r="D2559" t="s">
        <v>1874</v>
      </c>
      <c r="E2559" t="s">
        <v>1875</v>
      </c>
      <c r="F2559" t="s">
        <v>120</v>
      </c>
      <c r="G2559" t="s">
        <v>4715</v>
      </c>
      <c r="H2559" t="s">
        <v>5781</v>
      </c>
      <c r="I2559" t="s">
        <v>5450</v>
      </c>
      <c r="J2559" t="s">
        <v>5786</v>
      </c>
      <c r="K2559" t="s">
        <v>5787</v>
      </c>
      <c r="L2559" t="s">
        <v>4717</v>
      </c>
    </row>
    <row r="2560">
      <c r="A2560" t="s">
        <v>2819</v>
      </c>
      <c r="B2560" t="s">
        <v>1905</v>
      </c>
      <c r="C2560" t="s">
        <v>1798</v>
      </c>
      <c r="D2560" t="s">
        <v>1874</v>
      </c>
      <c r="E2560" t="s">
        <v>1875</v>
      </c>
      <c r="F2560" t="s">
        <v>120</v>
      </c>
      <c r="G2560" t="s">
        <v>4715</v>
      </c>
      <c r="H2560" t="s">
        <v>5781</v>
      </c>
      <c r="I2560" t="s">
        <v>5452</v>
      </c>
      <c r="J2560" t="s">
        <v>5788</v>
      </c>
      <c r="K2560" t="s">
        <v>5789</v>
      </c>
      <c r="L2560" t="s">
        <v>4717</v>
      </c>
    </row>
    <row r="2561">
      <c r="A2561" t="s">
        <v>2819</v>
      </c>
      <c r="B2561" t="s">
        <v>1905</v>
      </c>
      <c r="C2561" t="s">
        <v>1798</v>
      </c>
      <c r="D2561" t="s">
        <v>1874</v>
      </c>
      <c r="E2561" t="s">
        <v>1875</v>
      </c>
      <c r="F2561" t="s">
        <v>120</v>
      </c>
      <c r="G2561" t="s">
        <v>4715</v>
      </c>
      <c r="H2561" t="s">
        <v>5781</v>
      </c>
      <c r="I2561" t="s">
        <v>5790</v>
      </c>
      <c r="J2561" t="s">
        <v>5791</v>
      </c>
      <c r="K2561" t="s">
        <v>4165</v>
      </c>
      <c r="L2561" t="s">
        <v>4717</v>
      </c>
    </row>
    <row r="2562">
      <c r="A2562" t="s">
        <v>2819</v>
      </c>
      <c r="B2562" t="s">
        <v>1905</v>
      </c>
      <c r="C2562" t="s">
        <v>1798</v>
      </c>
      <c r="D2562" t="s">
        <v>1874</v>
      </c>
      <c r="E2562" t="s">
        <v>1875</v>
      </c>
      <c r="F2562" t="s">
        <v>120</v>
      </c>
      <c r="G2562" t="s">
        <v>4715</v>
      </c>
      <c r="H2562" t="s">
        <v>5792</v>
      </c>
      <c r="I2562" t="s">
        <v>5793</v>
      </c>
      <c r="J2562" t="s">
        <v>5794</v>
      </c>
      <c r="K2562" t="s">
        <v>5795</v>
      </c>
      <c r="L2562" t="s">
        <v>4717</v>
      </c>
    </row>
    <row r="2563">
      <c r="A2563" t="s">
        <v>2819</v>
      </c>
      <c r="B2563" t="s">
        <v>1905</v>
      </c>
      <c r="C2563" t="s">
        <v>1798</v>
      </c>
      <c r="D2563" t="s">
        <v>1874</v>
      </c>
      <c r="E2563" t="s">
        <v>1875</v>
      </c>
      <c r="F2563" t="s">
        <v>120</v>
      </c>
      <c r="G2563" t="s">
        <v>4715</v>
      </c>
      <c r="H2563" t="s">
        <v>5522</v>
      </c>
      <c r="I2563" t="s">
        <v>5656</v>
      </c>
      <c r="J2563" t="s">
        <v>5657</v>
      </c>
      <c r="K2563" t="s">
        <v>5658</v>
      </c>
      <c r="L2563" t="s">
        <v>4717</v>
      </c>
    </row>
    <row r="2564">
      <c r="A2564" t="s">
        <v>2819</v>
      </c>
      <c r="B2564" t="s">
        <v>1905</v>
      </c>
      <c r="C2564" t="s">
        <v>1798</v>
      </c>
      <c r="D2564" t="s">
        <v>1874</v>
      </c>
      <c r="E2564" t="s">
        <v>1875</v>
      </c>
      <c r="F2564" t="s">
        <v>120</v>
      </c>
      <c r="G2564" t="s">
        <v>4715</v>
      </c>
      <c r="H2564" t="s">
        <v>5522</v>
      </c>
      <c r="I2564" t="s">
        <v>5715</v>
      </c>
      <c r="J2564" t="s">
        <v>5716</v>
      </c>
      <c r="K2564" t="s">
        <v>5717</v>
      </c>
      <c r="L2564" t="s">
        <v>4717</v>
      </c>
    </row>
    <row r="2565">
      <c r="A2565" t="s">
        <v>2819</v>
      </c>
      <c r="B2565" t="s">
        <v>1905</v>
      </c>
      <c r="C2565" t="s">
        <v>1798</v>
      </c>
      <c r="D2565" t="s">
        <v>1874</v>
      </c>
      <c r="E2565" t="s">
        <v>1875</v>
      </c>
      <c r="F2565" t="s">
        <v>120</v>
      </c>
      <c r="G2565" t="s">
        <v>4715</v>
      </c>
      <c r="H2565" t="s">
        <v>5522</v>
      </c>
      <c r="I2565" t="s">
        <v>5718</v>
      </c>
      <c r="J2565" t="s">
        <v>5719</v>
      </c>
      <c r="K2565" t="s">
        <v>5720</v>
      </c>
      <c r="L2565" t="s">
        <v>4717</v>
      </c>
    </row>
    <row r="2566">
      <c r="A2566" t="s">
        <v>2821</v>
      </c>
      <c r="B2566" t="s">
        <v>1916</v>
      </c>
      <c r="C2566" t="s">
        <v>1798</v>
      </c>
      <c r="D2566" t="s">
        <v>1913</v>
      </c>
      <c r="E2566" t="s">
        <v>1914</v>
      </c>
      <c r="F2566" t="s">
        <v>154</v>
      </c>
      <c r="G2566" t="s">
        <v>4715</v>
      </c>
      <c r="H2566" t="s">
        <v>5041</v>
      </c>
      <c r="I2566" t="s">
        <v>5614</v>
      </c>
      <c r="J2566" t="s">
        <v>5615</v>
      </c>
      <c r="K2566" t="s">
        <v>4169</v>
      </c>
      <c r="L2566" t="s">
        <v>4717</v>
      </c>
    </row>
    <row r="2567">
      <c r="A2567" t="s">
        <v>2821</v>
      </c>
      <c r="B2567" t="s">
        <v>1916</v>
      </c>
      <c r="C2567" t="s">
        <v>1798</v>
      </c>
      <c r="D2567" t="s">
        <v>1913</v>
      </c>
      <c r="E2567" t="s">
        <v>1914</v>
      </c>
      <c r="F2567" t="s">
        <v>154</v>
      </c>
      <c r="G2567" t="s">
        <v>4715</v>
      </c>
      <c r="H2567" t="s">
        <v>5616</v>
      </c>
      <c r="I2567" t="s">
        <v>5617</v>
      </c>
      <c r="J2567" t="s">
        <v>5618</v>
      </c>
      <c r="K2567" t="s">
        <v>5619</v>
      </c>
      <c r="L2567" t="s">
        <v>4717</v>
      </c>
    </row>
    <row r="2568">
      <c r="A2568" t="s">
        <v>2821</v>
      </c>
      <c r="B2568" t="s">
        <v>1916</v>
      </c>
      <c r="C2568" t="s">
        <v>1798</v>
      </c>
      <c r="D2568" t="s">
        <v>1913</v>
      </c>
      <c r="E2568" t="s">
        <v>1914</v>
      </c>
      <c r="F2568" t="s">
        <v>154</v>
      </c>
      <c r="G2568" t="s">
        <v>4715</v>
      </c>
      <c r="H2568" t="s">
        <v>5499</v>
      </c>
      <c r="I2568" t="s">
        <v>5620</v>
      </c>
      <c r="J2568" t="s">
        <v>5621</v>
      </c>
      <c r="K2568" t="s">
        <v>5622</v>
      </c>
      <c r="L2568" t="s">
        <v>4717</v>
      </c>
    </row>
    <row r="2569">
      <c r="A2569" t="s">
        <v>2821</v>
      </c>
      <c r="B2569" t="s">
        <v>1916</v>
      </c>
      <c r="C2569" t="s">
        <v>1798</v>
      </c>
      <c r="D2569" t="s">
        <v>1913</v>
      </c>
      <c r="E2569" t="s">
        <v>1914</v>
      </c>
      <c r="F2569" t="s">
        <v>154</v>
      </c>
      <c r="G2569" t="s">
        <v>4715</v>
      </c>
      <c r="H2569" t="s">
        <v>5623</v>
      </c>
      <c r="I2569" t="s">
        <v>5624</v>
      </c>
      <c r="J2569" t="s">
        <v>5625</v>
      </c>
      <c r="K2569" t="s">
        <v>5626</v>
      </c>
      <c r="L2569" t="s">
        <v>4717</v>
      </c>
    </row>
    <row r="2570">
      <c r="A2570" t="s">
        <v>2821</v>
      </c>
      <c r="B2570" t="s">
        <v>1916</v>
      </c>
      <c r="C2570" t="s">
        <v>1798</v>
      </c>
      <c r="D2570" t="s">
        <v>1913</v>
      </c>
      <c r="E2570" t="s">
        <v>1914</v>
      </c>
      <c r="F2570" t="s">
        <v>154</v>
      </c>
      <c r="G2570" t="s">
        <v>4715</v>
      </c>
      <c r="H2570" t="s">
        <v>3904</v>
      </c>
      <c r="I2570" t="s">
        <v>5627</v>
      </c>
      <c r="J2570" t="s">
        <v>5628</v>
      </c>
      <c r="K2570" t="s">
        <v>5629</v>
      </c>
      <c r="L2570" t="s">
        <v>4717</v>
      </c>
    </row>
    <row r="2571">
      <c r="A2571" t="s">
        <v>2821</v>
      </c>
      <c r="B2571" t="s">
        <v>1916</v>
      </c>
      <c r="C2571" t="s">
        <v>1798</v>
      </c>
      <c r="D2571" t="s">
        <v>1913</v>
      </c>
      <c r="E2571" t="s">
        <v>1914</v>
      </c>
      <c r="F2571" t="s">
        <v>154</v>
      </c>
      <c r="G2571" t="s">
        <v>4715</v>
      </c>
      <c r="H2571" t="s">
        <v>5630</v>
      </c>
      <c r="I2571" t="s">
        <v>5474</v>
      </c>
      <c r="J2571" t="s">
        <v>5631</v>
      </c>
      <c r="K2571" t="s">
        <v>5632</v>
      </c>
      <c r="L2571" t="s">
        <v>4717</v>
      </c>
    </row>
    <row r="2572">
      <c r="A2572" t="s">
        <v>2821</v>
      </c>
      <c r="B2572" t="s">
        <v>1916</v>
      </c>
      <c r="C2572" t="s">
        <v>1798</v>
      </c>
      <c r="D2572" t="s">
        <v>1913</v>
      </c>
      <c r="E2572" t="s">
        <v>1914</v>
      </c>
      <c r="F2572" t="s">
        <v>154</v>
      </c>
      <c r="G2572" t="s">
        <v>4715</v>
      </c>
      <c r="H2572" t="s">
        <v>5170</v>
      </c>
      <c r="I2572" t="s">
        <v>5171</v>
      </c>
      <c r="J2572" t="s">
        <v>5633</v>
      </c>
      <c r="K2572" t="s">
        <v>5634</v>
      </c>
      <c r="L2572" t="s">
        <v>4717</v>
      </c>
    </row>
    <row r="2573">
      <c r="A2573" t="s">
        <v>2821</v>
      </c>
      <c r="B2573" t="s">
        <v>1916</v>
      </c>
      <c r="C2573" t="s">
        <v>1798</v>
      </c>
      <c r="D2573" t="s">
        <v>1913</v>
      </c>
      <c r="E2573" t="s">
        <v>1914</v>
      </c>
      <c r="F2573" t="s">
        <v>154</v>
      </c>
      <c r="G2573" t="s">
        <v>4715</v>
      </c>
      <c r="H2573" t="s">
        <v>5157</v>
      </c>
      <c r="I2573" t="s">
        <v>5635</v>
      </c>
      <c r="J2573" t="s">
        <v>5636</v>
      </c>
      <c r="K2573" t="s">
        <v>5637</v>
      </c>
      <c r="L2573" t="s">
        <v>4717</v>
      </c>
    </row>
    <row r="2574">
      <c r="A2574" t="s">
        <v>2821</v>
      </c>
      <c r="B2574" t="s">
        <v>1916</v>
      </c>
      <c r="C2574" t="s">
        <v>1798</v>
      </c>
      <c r="D2574" t="s">
        <v>1913</v>
      </c>
      <c r="E2574" t="s">
        <v>1914</v>
      </c>
      <c r="F2574" t="s">
        <v>154</v>
      </c>
      <c r="G2574" t="s">
        <v>4715</v>
      </c>
      <c r="H2574" t="s">
        <v>5623</v>
      </c>
      <c r="I2574" t="s">
        <v>5458</v>
      </c>
      <c r="J2574" t="s">
        <v>5796</v>
      </c>
      <c r="K2574" t="s">
        <v>5797</v>
      </c>
      <c r="L2574" t="s">
        <v>4717</v>
      </c>
    </row>
    <row r="2575">
      <c r="A2575" t="s">
        <v>2821</v>
      </c>
      <c r="B2575" t="s">
        <v>1916</v>
      </c>
      <c r="C2575" t="s">
        <v>1798</v>
      </c>
      <c r="D2575" t="s">
        <v>1913</v>
      </c>
      <c r="E2575" t="s">
        <v>1914</v>
      </c>
      <c r="F2575" t="s">
        <v>154</v>
      </c>
      <c r="G2575" t="s">
        <v>4715</v>
      </c>
      <c r="H2575" t="s">
        <v>5623</v>
      </c>
      <c r="I2575" t="s">
        <v>5460</v>
      </c>
      <c r="J2575" t="s">
        <v>5798</v>
      </c>
      <c r="K2575" t="s">
        <v>5799</v>
      </c>
      <c r="L2575" t="s">
        <v>4717</v>
      </c>
    </row>
    <row r="2576">
      <c r="A2576" t="s">
        <v>2821</v>
      </c>
      <c r="B2576" t="s">
        <v>1916</v>
      </c>
      <c r="C2576" t="s">
        <v>1798</v>
      </c>
      <c r="D2576" t="s">
        <v>1913</v>
      </c>
      <c r="E2576" t="s">
        <v>1914</v>
      </c>
      <c r="F2576" t="s">
        <v>154</v>
      </c>
      <c r="G2576" t="s">
        <v>4715</v>
      </c>
      <c r="H2576" t="s">
        <v>4352</v>
      </c>
      <c r="I2576" t="s">
        <v>5461</v>
      </c>
      <c r="J2576" t="s">
        <v>5800</v>
      </c>
      <c r="K2576" t="s">
        <v>5801</v>
      </c>
      <c r="L2576" t="s">
        <v>4717</v>
      </c>
    </row>
    <row r="2577">
      <c r="A2577" t="s">
        <v>2821</v>
      </c>
      <c r="B2577" t="s">
        <v>1916</v>
      </c>
      <c r="C2577" t="s">
        <v>1798</v>
      </c>
      <c r="D2577" t="s">
        <v>1913</v>
      </c>
      <c r="E2577" t="s">
        <v>1914</v>
      </c>
      <c r="F2577" t="s">
        <v>154</v>
      </c>
      <c r="G2577" t="s">
        <v>4715</v>
      </c>
      <c r="H2577" t="s">
        <v>5522</v>
      </c>
      <c r="I2577" t="s">
        <v>5656</v>
      </c>
      <c r="J2577" t="s">
        <v>5657</v>
      </c>
      <c r="K2577" t="s">
        <v>5658</v>
      </c>
      <c r="L2577" t="s">
        <v>4717</v>
      </c>
    </row>
    <row r="2578">
      <c r="A2578" t="s">
        <v>2821</v>
      </c>
      <c r="B2578" t="s">
        <v>1916</v>
      </c>
      <c r="C2578" t="s">
        <v>1798</v>
      </c>
      <c r="D2578" t="s">
        <v>1913</v>
      </c>
      <c r="E2578" t="s">
        <v>1914</v>
      </c>
      <c r="F2578" t="s">
        <v>154</v>
      </c>
      <c r="G2578" t="s">
        <v>4715</v>
      </c>
      <c r="H2578" t="s">
        <v>5522</v>
      </c>
      <c r="I2578" t="s">
        <v>5715</v>
      </c>
      <c r="J2578" t="s">
        <v>5716</v>
      </c>
      <c r="K2578" t="s">
        <v>5717</v>
      </c>
      <c r="L2578" t="s">
        <v>4717</v>
      </c>
    </row>
    <row r="2579">
      <c r="A2579" t="s">
        <v>2821</v>
      </c>
      <c r="B2579" t="s">
        <v>1916</v>
      </c>
      <c r="C2579" t="s">
        <v>1798</v>
      </c>
      <c r="D2579" t="s">
        <v>1913</v>
      </c>
      <c r="E2579" t="s">
        <v>1914</v>
      </c>
      <c r="F2579" t="s">
        <v>154</v>
      </c>
      <c r="G2579" t="s">
        <v>4715</v>
      </c>
      <c r="H2579" t="s">
        <v>5522</v>
      </c>
      <c r="I2579" t="s">
        <v>5718</v>
      </c>
      <c r="J2579" t="s">
        <v>5719</v>
      </c>
      <c r="K2579" t="s">
        <v>5720</v>
      </c>
      <c r="L2579" t="s">
        <v>4717</v>
      </c>
    </row>
    <row r="2580">
      <c r="A2580" t="s">
        <v>2823</v>
      </c>
      <c r="B2580" t="s">
        <v>1924</v>
      </c>
      <c r="C2580" t="s">
        <v>1798</v>
      </c>
      <c r="D2580" t="s">
        <v>1913</v>
      </c>
      <c r="E2580" t="s">
        <v>1914</v>
      </c>
      <c r="F2580" t="s">
        <v>120</v>
      </c>
      <c r="G2580" t="s">
        <v>4715</v>
      </c>
      <c r="H2580" t="s">
        <v>5041</v>
      </c>
      <c r="I2580" t="s">
        <v>5614</v>
      </c>
      <c r="J2580" t="s">
        <v>5615</v>
      </c>
      <c r="K2580" t="s">
        <v>4169</v>
      </c>
      <c r="L2580" t="s">
        <v>4717</v>
      </c>
    </row>
    <row r="2581">
      <c r="A2581" t="s">
        <v>2823</v>
      </c>
      <c r="B2581" t="s">
        <v>1924</v>
      </c>
      <c r="C2581" t="s">
        <v>1798</v>
      </c>
      <c r="D2581" t="s">
        <v>1913</v>
      </c>
      <c r="E2581" t="s">
        <v>1914</v>
      </c>
      <c r="F2581" t="s">
        <v>120</v>
      </c>
      <c r="G2581" t="s">
        <v>4715</v>
      </c>
      <c r="H2581" t="s">
        <v>5616</v>
      </c>
      <c r="I2581" t="s">
        <v>5617</v>
      </c>
      <c r="J2581" t="s">
        <v>5618</v>
      </c>
      <c r="K2581" t="s">
        <v>5619</v>
      </c>
      <c r="L2581" t="s">
        <v>4717</v>
      </c>
    </row>
    <row r="2582">
      <c r="A2582" t="s">
        <v>2823</v>
      </c>
      <c r="B2582" t="s">
        <v>1924</v>
      </c>
      <c r="C2582" t="s">
        <v>1798</v>
      </c>
      <c r="D2582" t="s">
        <v>1913</v>
      </c>
      <c r="E2582" t="s">
        <v>1914</v>
      </c>
      <c r="F2582" t="s">
        <v>120</v>
      </c>
      <c r="G2582" t="s">
        <v>4715</v>
      </c>
      <c r="H2582" t="s">
        <v>5499</v>
      </c>
      <c r="I2582" t="s">
        <v>5620</v>
      </c>
      <c r="J2582" t="s">
        <v>5621</v>
      </c>
      <c r="K2582" t="s">
        <v>5622</v>
      </c>
      <c r="L2582" t="s">
        <v>4717</v>
      </c>
    </row>
    <row r="2583">
      <c r="A2583" t="s">
        <v>2823</v>
      </c>
      <c r="B2583" t="s">
        <v>1924</v>
      </c>
      <c r="C2583" t="s">
        <v>1798</v>
      </c>
      <c r="D2583" t="s">
        <v>1913</v>
      </c>
      <c r="E2583" t="s">
        <v>1914</v>
      </c>
      <c r="F2583" t="s">
        <v>120</v>
      </c>
      <c r="G2583" t="s">
        <v>4715</v>
      </c>
      <c r="H2583" t="s">
        <v>5623</v>
      </c>
      <c r="I2583" t="s">
        <v>5624</v>
      </c>
      <c r="J2583" t="s">
        <v>5625</v>
      </c>
      <c r="K2583" t="s">
        <v>5626</v>
      </c>
      <c r="L2583" t="s">
        <v>4717</v>
      </c>
    </row>
    <row r="2584">
      <c r="A2584" t="s">
        <v>2823</v>
      </c>
      <c r="B2584" t="s">
        <v>1924</v>
      </c>
      <c r="C2584" t="s">
        <v>1798</v>
      </c>
      <c r="D2584" t="s">
        <v>1913</v>
      </c>
      <c r="E2584" t="s">
        <v>1914</v>
      </c>
      <c r="F2584" t="s">
        <v>120</v>
      </c>
      <c r="G2584" t="s">
        <v>4715</v>
      </c>
      <c r="H2584" t="s">
        <v>3904</v>
      </c>
      <c r="I2584" t="s">
        <v>5627</v>
      </c>
      <c r="J2584" t="s">
        <v>5628</v>
      </c>
      <c r="K2584" t="s">
        <v>5629</v>
      </c>
      <c r="L2584" t="s">
        <v>4717</v>
      </c>
    </row>
    <row r="2585">
      <c r="A2585" t="s">
        <v>2823</v>
      </c>
      <c r="B2585" t="s">
        <v>1924</v>
      </c>
      <c r="C2585" t="s">
        <v>1798</v>
      </c>
      <c r="D2585" t="s">
        <v>1913</v>
      </c>
      <c r="E2585" t="s">
        <v>1914</v>
      </c>
      <c r="F2585" t="s">
        <v>120</v>
      </c>
      <c r="G2585" t="s">
        <v>4715</v>
      </c>
      <c r="H2585" t="s">
        <v>5630</v>
      </c>
      <c r="I2585" t="s">
        <v>5474</v>
      </c>
      <c r="J2585" t="s">
        <v>5631</v>
      </c>
      <c r="K2585" t="s">
        <v>5632</v>
      </c>
      <c r="L2585" t="s">
        <v>4717</v>
      </c>
    </row>
    <row r="2586">
      <c r="A2586" t="s">
        <v>2823</v>
      </c>
      <c r="B2586" t="s">
        <v>1924</v>
      </c>
      <c r="C2586" t="s">
        <v>1798</v>
      </c>
      <c r="D2586" t="s">
        <v>1913</v>
      </c>
      <c r="E2586" t="s">
        <v>1914</v>
      </c>
      <c r="F2586" t="s">
        <v>120</v>
      </c>
      <c r="G2586" t="s">
        <v>4715</v>
      </c>
      <c r="H2586" t="s">
        <v>5170</v>
      </c>
      <c r="I2586" t="s">
        <v>5171</v>
      </c>
      <c r="J2586" t="s">
        <v>5633</v>
      </c>
      <c r="K2586" t="s">
        <v>5634</v>
      </c>
      <c r="L2586" t="s">
        <v>4717</v>
      </c>
    </row>
    <row r="2587">
      <c r="A2587" t="s">
        <v>2823</v>
      </c>
      <c r="B2587" t="s">
        <v>1924</v>
      </c>
      <c r="C2587" t="s">
        <v>1798</v>
      </c>
      <c r="D2587" t="s">
        <v>1913</v>
      </c>
      <c r="E2587" t="s">
        <v>1914</v>
      </c>
      <c r="F2587" t="s">
        <v>120</v>
      </c>
      <c r="G2587" t="s">
        <v>4715</v>
      </c>
      <c r="H2587" t="s">
        <v>5157</v>
      </c>
      <c r="I2587" t="s">
        <v>5635</v>
      </c>
      <c r="J2587" t="s">
        <v>5636</v>
      </c>
      <c r="K2587" t="s">
        <v>5637</v>
      </c>
      <c r="L2587" t="s">
        <v>4717</v>
      </c>
    </row>
    <row r="2588">
      <c r="A2588" t="s">
        <v>2823</v>
      </c>
      <c r="B2588" t="s">
        <v>1924</v>
      </c>
      <c r="C2588" t="s">
        <v>1798</v>
      </c>
      <c r="D2588" t="s">
        <v>1913</v>
      </c>
      <c r="E2588" t="s">
        <v>1914</v>
      </c>
      <c r="F2588" t="s">
        <v>120</v>
      </c>
      <c r="G2588" t="s">
        <v>4715</v>
      </c>
      <c r="H2588" t="s">
        <v>5623</v>
      </c>
      <c r="I2588" t="s">
        <v>5458</v>
      </c>
      <c r="J2588" t="s">
        <v>5796</v>
      </c>
      <c r="K2588" t="s">
        <v>5797</v>
      </c>
      <c r="L2588" t="s">
        <v>4717</v>
      </c>
    </row>
    <row r="2589">
      <c r="A2589" t="s">
        <v>2823</v>
      </c>
      <c r="B2589" t="s">
        <v>1924</v>
      </c>
      <c r="C2589" t="s">
        <v>1798</v>
      </c>
      <c r="D2589" t="s">
        <v>1913</v>
      </c>
      <c r="E2589" t="s">
        <v>1914</v>
      </c>
      <c r="F2589" t="s">
        <v>120</v>
      </c>
      <c r="G2589" t="s">
        <v>4715</v>
      </c>
      <c r="H2589" t="s">
        <v>5623</v>
      </c>
      <c r="I2589" t="s">
        <v>5460</v>
      </c>
      <c r="J2589" t="s">
        <v>5798</v>
      </c>
      <c r="K2589" t="s">
        <v>5799</v>
      </c>
      <c r="L2589" t="s">
        <v>4717</v>
      </c>
    </row>
    <row r="2590">
      <c r="A2590" t="s">
        <v>2823</v>
      </c>
      <c r="B2590" t="s">
        <v>1924</v>
      </c>
      <c r="C2590" t="s">
        <v>1798</v>
      </c>
      <c r="D2590" t="s">
        <v>1913</v>
      </c>
      <c r="E2590" t="s">
        <v>1914</v>
      </c>
      <c r="F2590" t="s">
        <v>120</v>
      </c>
      <c r="G2590" t="s">
        <v>4715</v>
      </c>
      <c r="H2590" t="s">
        <v>4352</v>
      </c>
      <c r="I2590" t="s">
        <v>5461</v>
      </c>
      <c r="J2590" t="s">
        <v>5800</v>
      </c>
      <c r="K2590" t="s">
        <v>5801</v>
      </c>
      <c r="L2590" t="s">
        <v>4717</v>
      </c>
    </row>
    <row r="2591">
      <c r="A2591" t="s">
        <v>2823</v>
      </c>
      <c r="B2591" t="s">
        <v>1924</v>
      </c>
      <c r="C2591" t="s">
        <v>1798</v>
      </c>
      <c r="D2591" t="s">
        <v>1913</v>
      </c>
      <c r="E2591" t="s">
        <v>1914</v>
      </c>
      <c r="F2591" t="s">
        <v>120</v>
      </c>
      <c r="G2591" t="s">
        <v>4715</v>
      </c>
      <c r="H2591" t="s">
        <v>5522</v>
      </c>
      <c r="I2591" t="s">
        <v>5656</v>
      </c>
      <c r="J2591" t="s">
        <v>5657</v>
      </c>
      <c r="K2591" t="s">
        <v>5658</v>
      </c>
      <c r="L2591" t="s">
        <v>4717</v>
      </c>
    </row>
    <row r="2592">
      <c r="A2592" t="s">
        <v>2823</v>
      </c>
      <c r="B2592" t="s">
        <v>1924</v>
      </c>
      <c r="C2592" t="s">
        <v>1798</v>
      </c>
      <c r="D2592" t="s">
        <v>1913</v>
      </c>
      <c r="E2592" t="s">
        <v>1914</v>
      </c>
      <c r="F2592" t="s">
        <v>120</v>
      </c>
      <c r="G2592" t="s">
        <v>4715</v>
      </c>
      <c r="H2592" t="s">
        <v>5522</v>
      </c>
      <c r="I2592" t="s">
        <v>5715</v>
      </c>
      <c r="J2592" t="s">
        <v>5716</v>
      </c>
      <c r="K2592" t="s">
        <v>5717</v>
      </c>
      <c r="L2592" t="s">
        <v>4717</v>
      </c>
    </row>
    <row r="2593">
      <c r="A2593" t="s">
        <v>2823</v>
      </c>
      <c r="B2593" t="s">
        <v>1924</v>
      </c>
      <c r="C2593" t="s">
        <v>1798</v>
      </c>
      <c r="D2593" t="s">
        <v>1913</v>
      </c>
      <c r="E2593" t="s">
        <v>1914</v>
      </c>
      <c r="F2593" t="s">
        <v>120</v>
      </c>
      <c r="G2593" t="s">
        <v>4715</v>
      </c>
      <c r="H2593" t="s">
        <v>5522</v>
      </c>
      <c r="I2593" t="s">
        <v>5718</v>
      </c>
      <c r="J2593" t="s">
        <v>5719</v>
      </c>
      <c r="K2593" t="s">
        <v>5720</v>
      </c>
      <c r="L2593" t="s">
        <v>4717</v>
      </c>
    </row>
    <row r="2594">
      <c r="A2594" t="s">
        <v>2826</v>
      </c>
      <c r="B2594" t="s">
        <v>1932</v>
      </c>
      <c r="C2594" t="s">
        <v>1798</v>
      </c>
      <c r="D2594" t="s">
        <v>1913</v>
      </c>
      <c r="E2594" t="s">
        <v>1914</v>
      </c>
      <c r="F2594" t="s">
        <v>120</v>
      </c>
      <c r="G2594" t="s">
        <v>4715</v>
      </c>
      <c r="H2594" t="s">
        <v>5041</v>
      </c>
      <c r="I2594" t="s">
        <v>5614</v>
      </c>
      <c r="J2594" t="s">
        <v>5615</v>
      </c>
      <c r="K2594" t="s">
        <v>4169</v>
      </c>
      <c r="L2594" t="s">
        <v>4717</v>
      </c>
    </row>
    <row r="2595">
      <c r="A2595" t="s">
        <v>2826</v>
      </c>
      <c r="B2595" t="s">
        <v>1932</v>
      </c>
      <c r="C2595" t="s">
        <v>1798</v>
      </c>
      <c r="D2595" t="s">
        <v>1913</v>
      </c>
      <c r="E2595" t="s">
        <v>1914</v>
      </c>
      <c r="F2595" t="s">
        <v>120</v>
      </c>
      <c r="G2595" t="s">
        <v>4715</v>
      </c>
      <c r="H2595" t="s">
        <v>5616</v>
      </c>
      <c r="I2595" t="s">
        <v>5617</v>
      </c>
      <c r="J2595" t="s">
        <v>5618</v>
      </c>
      <c r="K2595" t="s">
        <v>5619</v>
      </c>
      <c r="L2595" t="s">
        <v>4717</v>
      </c>
    </row>
    <row r="2596">
      <c r="A2596" t="s">
        <v>2826</v>
      </c>
      <c r="B2596" t="s">
        <v>1932</v>
      </c>
      <c r="C2596" t="s">
        <v>1798</v>
      </c>
      <c r="D2596" t="s">
        <v>1913</v>
      </c>
      <c r="E2596" t="s">
        <v>1914</v>
      </c>
      <c r="F2596" t="s">
        <v>120</v>
      </c>
      <c r="G2596" t="s">
        <v>4715</v>
      </c>
      <c r="H2596" t="s">
        <v>5499</v>
      </c>
      <c r="I2596" t="s">
        <v>5620</v>
      </c>
      <c r="J2596" t="s">
        <v>5621</v>
      </c>
      <c r="K2596" t="s">
        <v>5622</v>
      </c>
      <c r="L2596" t="s">
        <v>4717</v>
      </c>
    </row>
    <row r="2597">
      <c r="A2597" t="s">
        <v>2826</v>
      </c>
      <c r="B2597" t="s">
        <v>1932</v>
      </c>
      <c r="C2597" t="s">
        <v>1798</v>
      </c>
      <c r="D2597" t="s">
        <v>1913</v>
      </c>
      <c r="E2597" t="s">
        <v>1914</v>
      </c>
      <c r="F2597" t="s">
        <v>120</v>
      </c>
      <c r="G2597" t="s">
        <v>4715</v>
      </c>
      <c r="H2597" t="s">
        <v>5623</v>
      </c>
      <c r="I2597" t="s">
        <v>5624</v>
      </c>
      <c r="J2597" t="s">
        <v>5625</v>
      </c>
      <c r="K2597" t="s">
        <v>5626</v>
      </c>
      <c r="L2597" t="s">
        <v>4717</v>
      </c>
    </row>
    <row r="2598">
      <c r="A2598" t="s">
        <v>2826</v>
      </c>
      <c r="B2598" t="s">
        <v>1932</v>
      </c>
      <c r="C2598" t="s">
        <v>1798</v>
      </c>
      <c r="D2598" t="s">
        <v>1913</v>
      </c>
      <c r="E2598" t="s">
        <v>1914</v>
      </c>
      <c r="F2598" t="s">
        <v>120</v>
      </c>
      <c r="G2598" t="s">
        <v>4715</v>
      </c>
      <c r="H2598" t="s">
        <v>3904</v>
      </c>
      <c r="I2598" t="s">
        <v>5627</v>
      </c>
      <c r="J2598" t="s">
        <v>5628</v>
      </c>
      <c r="K2598" t="s">
        <v>5629</v>
      </c>
      <c r="L2598" t="s">
        <v>4717</v>
      </c>
    </row>
    <row r="2599">
      <c r="A2599" t="s">
        <v>2826</v>
      </c>
      <c r="B2599" t="s">
        <v>1932</v>
      </c>
      <c r="C2599" t="s">
        <v>1798</v>
      </c>
      <c r="D2599" t="s">
        <v>1913</v>
      </c>
      <c r="E2599" t="s">
        <v>1914</v>
      </c>
      <c r="F2599" t="s">
        <v>120</v>
      </c>
      <c r="G2599" t="s">
        <v>4715</v>
      </c>
      <c r="H2599" t="s">
        <v>5630</v>
      </c>
      <c r="I2599" t="s">
        <v>5474</v>
      </c>
      <c r="J2599" t="s">
        <v>5631</v>
      </c>
      <c r="K2599" t="s">
        <v>5632</v>
      </c>
      <c r="L2599" t="s">
        <v>4717</v>
      </c>
    </row>
    <row r="2600">
      <c r="A2600" t="s">
        <v>2826</v>
      </c>
      <c r="B2600" t="s">
        <v>1932</v>
      </c>
      <c r="C2600" t="s">
        <v>1798</v>
      </c>
      <c r="D2600" t="s">
        <v>1913</v>
      </c>
      <c r="E2600" t="s">
        <v>1914</v>
      </c>
      <c r="F2600" t="s">
        <v>120</v>
      </c>
      <c r="G2600" t="s">
        <v>4715</v>
      </c>
      <c r="H2600" t="s">
        <v>5170</v>
      </c>
      <c r="I2600" t="s">
        <v>5171</v>
      </c>
      <c r="J2600" t="s">
        <v>5633</v>
      </c>
      <c r="K2600" t="s">
        <v>5634</v>
      </c>
      <c r="L2600" t="s">
        <v>4717</v>
      </c>
    </row>
    <row r="2601">
      <c r="A2601" t="s">
        <v>2826</v>
      </c>
      <c r="B2601" t="s">
        <v>1932</v>
      </c>
      <c r="C2601" t="s">
        <v>1798</v>
      </c>
      <c r="D2601" t="s">
        <v>1913</v>
      </c>
      <c r="E2601" t="s">
        <v>1914</v>
      </c>
      <c r="F2601" t="s">
        <v>120</v>
      </c>
      <c r="G2601" t="s">
        <v>4715</v>
      </c>
      <c r="H2601" t="s">
        <v>5157</v>
      </c>
      <c r="I2601" t="s">
        <v>5635</v>
      </c>
      <c r="J2601" t="s">
        <v>5636</v>
      </c>
      <c r="K2601" t="s">
        <v>5637</v>
      </c>
      <c r="L2601" t="s">
        <v>4717</v>
      </c>
    </row>
    <row r="2602">
      <c r="A2602" t="s">
        <v>2826</v>
      </c>
      <c r="B2602" t="s">
        <v>1932</v>
      </c>
      <c r="C2602" t="s">
        <v>1798</v>
      </c>
      <c r="D2602" t="s">
        <v>1913</v>
      </c>
      <c r="E2602" t="s">
        <v>1914</v>
      </c>
      <c r="F2602" t="s">
        <v>120</v>
      </c>
      <c r="G2602" t="s">
        <v>4715</v>
      </c>
      <c r="H2602" t="s">
        <v>5623</v>
      </c>
      <c r="I2602" t="s">
        <v>5458</v>
      </c>
      <c r="J2602" t="s">
        <v>5796</v>
      </c>
      <c r="K2602" t="s">
        <v>5797</v>
      </c>
      <c r="L2602" t="s">
        <v>4717</v>
      </c>
    </row>
    <row r="2603">
      <c r="A2603" t="s">
        <v>2826</v>
      </c>
      <c r="B2603" t="s">
        <v>1932</v>
      </c>
      <c r="C2603" t="s">
        <v>1798</v>
      </c>
      <c r="D2603" t="s">
        <v>1913</v>
      </c>
      <c r="E2603" t="s">
        <v>1914</v>
      </c>
      <c r="F2603" t="s">
        <v>120</v>
      </c>
      <c r="G2603" t="s">
        <v>4715</v>
      </c>
      <c r="H2603" t="s">
        <v>5623</v>
      </c>
      <c r="I2603" t="s">
        <v>5460</v>
      </c>
      <c r="J2603" t="s">
        <v>5798</v>
      </c>
      <c r="K2603" t="s">
        <v>5799</v>
      </c>
      <c r="L2603" t="s">
        <v>4717</v>
      </c>
    </row>
    <row r="2604">
      <c r="A2604" t="s">
        <v>2826</v>
      </c>
      <c r="B2604" t="s">
        <v>1932</v>
      </c>
      <c r="C2604" t="s">
        <v>1798</v>
      </c>
      <c r="D2604" t="s">
        <v>1913</v>
      </c>
      <c r="E2604" t="s">
        <v>1914</v>
      </c>
      <c r="F2604" t="s">
        <v>120</v>
      </c>
      <c r="G2604" t="s">
        <v>4715</v>
      </c>
      <c r="H2604" t="s">
        <v>4352</v>
      </c>
      <c r="I2604" t="s">
        <v>5461</v>
      </c>
      <c r="J2604" t="s">
        <v>5800</v>
      </c>
      <c r="K2604" t="s">
        <v>5801</v>
      </c>
      <c r="L2604" t="s">
        <v>4717</v>
      </c>
    </row>
    <row r="2605">
      <c r="A2605" t="s">
        <v>2826</v>
      </c>
      <c r="B2605" t="s">
        <v>1932</v>
      </c>
      <c r="C2605" t="s">
        <v>1798</v>
      </c>
      <c r="D2605" t="s">
        <v>1913</v>
      </c>
      <c r="E2605" t="s">
        <v>1914</v>
      </c>
      <c r="F2605" t="s">
        <v>120</v>
      </c>
      <c r="G2605" t="s">
        <v>4715</v>
      </c>
      <c r="H2605" t="s">
        <v>5522</v>
      </c>
      <c r="I2605" t="s">
        <v>5656</v>
      </c>
      <c r="J2605" t="s">
        <v>5657</v>
      </c>
      <c r="K2605" t="s">
        <v>5658</v>
      </c>
      <c r="L2605" t="s">
        <v>4717</v>
      </c>
    </row>
    <row r="2606">
      <c r="A2606" t="s">
        <v>2826</v>
      </c>
      <c r="B2606" t="s">
        <v>1932</v>
      </c>
      <c r="C2606" t="s">
        <v>1798</v>
      </c>
      <c r="D2606" t="s">
        <v>1913</v>
      </c>
      <c r="E2606" t="s">
        <v>1914</v>
      </c>
      <c r="F2606" t="s">
        <v>120</v>
      </c>
      <c r="G2606" t="s">
        <v>4715</v>
      </c>
      <c r="H2606" t="s">
        <v>5522</v>
      </c>
      <c r="I2606" t="s">
        <v>5715</v>
      </c>
      <c r="J2606" t="s">
        <v>5716</v>
      </c>
      <c r="K2606" t="s">
        <v>5717</v>
      </c>
      <c r="L2606" t="s">
        <v>4717</v>
      </c>
    </row>
    <row r="2607">
      <c r="A2607" t="s">
        <v>2826</v>
      </c>
      <c r="B2607" t="s">
        <v>1932</v>
      </c>
      <c r="C2607" t="s">
        <v>1798</v>
      </c>
      <c r="D2607" t="s">
        <v>1913</v>
      </c>
      <c r="E2607" t="s">
        <v>1914</v>
      </c>
      <c r="F2607" t="s">
        <v>120</v>
      </c>
      <c r="G2607" t="s">
        <v>4715</v>
      </c>
      <c r="H2607" t="s">
        <v>5522</v>
      </c>
      <c r="I2607" t="s">
        <v>5718</v>
      </c>
      <c r="J2607" t="s">
        <v>5719</v>
      </c>
      <c r="K2607" t="s">
        <v>5720</v>
      </c>
      <c r="L2607" t="s">
        <v>4717</v>
      </c>
    </row>
    <row r="2608">
      <c r="A2608" t="s">
        <v>2830</v>
      </c>
      <c r="B2608" t="s">
        <v>1942</v>
      </c>
      <c r="C2608" t="s">
        <v>1798</v>
      </c>
      <c r="D2608" t="s">
        <v>1939</v>
      </c>
      <c r="E2608" t="s">
        <v>1940</v>
      </c>
      <c r="F2608" t="s">
        <v>154</v>
      </c>
      <c r="G2608" t="s">
        <v>4715</v>
      </c>
      <c r="H2608" t="s">
        <v>5041</v>
      </c>
      <c r="I2608" t="s">
        <v>5614</v>
      </c>
      <c r="J2608" t="s">
        <v>5615</v>
      </c>
      <c r="K2608" t="s">
        <v>4169</v>
      </c>
      <c r="L2608" t="s">
        <v>4717</v>
      </c>
    </row>
    <row r="2609">
      <c r="A2609" t="s">
        <v>2830</v>
      </c>
      <c r="B2609" t="s">
        <v>1942</v>
      </c>
      <c r="C2609" t="s">
        <v>1798</v>
      </c>
      <c r="D2609" t="s">
        <v>1939</v>
      </c>
      <c r="E2609" t="s">
        <v>1940</v>
      </c>
      <c r="F2609" t="s">
        <v>154</v>
      </c>
      <c r="G2609" t="s">
        <v>4715</v>
      </c>
      <c r="H2609" t="s">
        <v>5616</v>
      </c>
      <c r="I2609" t="s">
        <v>5617</v>
      </c>
      <c r="J2609" t="s">
        <v>5618</v>
      </c>
      <c r="K2609" t="s">
        <v>5619</v>
      </c>
      <c r="L2609" t="s">
        <v>4717</v>
      </c>
    </row>
    <row r="2610">
      <c r="A2610" t="s">
        <v>2830</v>
      </c>
      <c r="B2610" t="s">
        <v>1942</v>
      </c>
      <c r="C2610" t="s">
        <v>1798</v>
      </c>
      <c r="D2610" t="s">
        <v>1939</v>
      </c>
      <c r="E2610" t="s">
        <v>1940</v>
      </c>
      <c r="F2610" t="s">
        <v>154</v>
      </c>
      <c r="G2610" t="s">
        <v>4715</v>
      </c>
      <c r="H2610" t="s">
        <v>5499</v>
      </c>
      <c r="I2610" t="s">
        <v>5620</v>
      </c>
      <c r="J2610" t="s">
        <v>5621</v>
      </c>
      <c r="K2610" t="s">
        <v>5622</v>
      </c>
      <c r="L2610" t="s">
        <v>4717</v>
      </c>
    </row>
    <row r="2611">
      <c r="A2611" t="s">
        <v>2830</v>
      </c>
      <c r="B2611" t="s">
        <v>1942</v>
      </c>
      <c r="C2611" t="s">
        <v>1798</v>
      </c>
      <c r="D2611" t="s">
        <v>1939</v>
      </c>
      <c r="E2611" t="s">
        <v>1940</v>
      </c>
      <c r="F2611" t="s">
        <v>154</v>
      </c>
      <c r="G2611" t="s">
        <v>4715</v>
      </c>
      <c r="H2611" t="s">
        <v>5623</v>
      </c>
      <c r="I2611" t="s">
        <v>5624</v>
      </c>
      <c r="J2611" t="s">
        <v>5625</v>
      </c>
      <c r="K2611" t="s">
        <v>5626</v>
      </c>
      <c r="L2611" t="s">
        <v>4717</v>
      </c>
    </row>
    <row r="2612">
      <c r="A2612" t="s">
        <v>2830</v>
      </c>
      <c r="B2612" t="s">
        <v>1942</v>
      </c>
      <c r="C2612" t="s">
        <v>1798</v>
      </c>
      <c r="D2612" t="s">
        <v>1939</v>
      </c>
      <c r="E2612" t="s">
        <v>1940</v>
      </c>
      <c r="F2612" t="s">
        <v>154</v>
      </c>
      <c r="G2612" t="s">
        <v>4715</v>
      </c>
      <c r="H2612" t="s">
        <v>3904</v>
      </c>
      <c r="I2612" t="s">
        <v>5627</v>
      </c>
      <c r="J2612" t="s">
        <v>5628</v>
      </c>
      <c r="K2612" t="s">
        <v>5629</v>
      </c>
      <c r="L2612" t="s">
        <v>4717</v>
      </c>
    </row>
    <row r="2613">
      <c r="A2613" t="s">
        <v>2830</v>
      </c>
      <c r="B2613" t="s">
        <v>1942</v>
      </c>
      <c r="C2613" t="s">
        <v>1798</v>
      </c>
      <c r="D2613" t="s">
        <v>1939</v>
      </c>
      <c r="E2613" t="s">
        <v>1940</v>
      </c>
      <c r="F2613" t="s">
        <v>154</v>
      </c>
      <c r="G2613" t="s">
        <v>4715</v>
      </c>
      <c r="H2613" t="s">
        <v>5630</v>
      </c>
      <c r="I2613" t="s">
        <v>5474</v>
      </c>
      <c r="J2613" t="s">
        <v>5631</v>
      </c>
      <c r="K2613" t="s">
        <v>5632</v>
      </c>
      <c r="L2613" t="s">
        <v>4717</v>
      </c>
    </row>
    <row r="2614">
      <c r="A2614" t="s">
        <v>2830</v>
      </c>
      <c r="B2614" t="s">
        <v>1942</v>
      </c>
      <c r="C2614" t="s">
        <v>1798</v>
      </c>
      <c r="D2614" t="s">
        <v>1939</v>
      </c>
      <c r="E2614" t="s">
        <v>1940</v>
      </c>
      <c r="F2614" t="s">
        <v>154</v>
      </c>
      <c r="G2614" t="s">
        <v>4715</v>
      </c>
      <c r="H2614" t="s">
        <v>5170</v>
      </c>
      <c r="I2614" t="s">
        <v>5171</v>
      </c>
      <c r="J2614" t="s">
        <v>5633</v>
      </c>
      <c r="K2614" t="s">
        <v>5634</v>
      </c>
      <c r="L2614" t="s">
        <v>4717</v>
      </c>
    </row>
    <row r="2615">
      <c r="A2615" t="s">
        <v>2830</v>
      </c>
      <c r="B2615" t="s">
        <v>1942</v>
      </c>
      <c r="C2615" t="s">
        <v>1798</v>
      </c>
      <c r="D2615" t="s">
        <v>1939</v>
      </c>
      <c r="E2615" t="s">
        <v>1940</v>
      </c>
      <c r="F2615" t="s">
        <v>154</v>
      </c>
      <c r="G2615" t="s">
        <v>4715</v>
      </c>
      <c r="H2615" t="s">
        <v>5157</v>
      </c>
      <c r="I2615" t="s">
        <v>5635</v>
      </c>
      <c r="J2615" t="s">
        <v>5636</v>
      </c>
      <c r="K2615" t="s">
        <v>5637</v>
      </c>
      <c r="L2615" t="s">
        <v>4717</v>
      </c>
    </row>
    <row r="2616">
      <c r="A2616" t="s">
        <v>2830</v>
      </c>
      <c r="B2616" t="s">
        <v>1942</v>
      </c>
      <c r="C2616" t="s">
        <v>1798</v>
      </c>
      <c r="D2616" t="s">
        <v>1939</v>
      </c>
      <c r="E2616" t="s">
        <v>1940</v>
      </c>
      <c r="F2616" t="s">
        <v>154</v>
      </c>
      <c r="G2616" t="s">
        <v>4715</v>
      </c>
      <c r="H2616" t="s">
        <v>5802</v>
      </c>
      <c r="I2616" t="s">
        <v>5463</v>
      </c>
      <c r="J2616" t="s">
        <v>5803</v>
      </c>
      <c r="K2616" t="s">
        <v>5804</v>
      </c>
      <c r="L2616" t="s">
        <v>4717</v>
      </c>
    </row>
    <row r="2617">
      <c r="A2617" t="s">
        <v>2830</v>
      </c>
      <c r="B2617" t="s">
        <v>1942</v>
      </c>
      <c r="C2617" t="s">
        <v>1798</v>
      </c>
      <c r="D2617" t="s">
        <v>1939</v>
      </c>
      <c r="E2617" t="s">
        <v>1940</v>
      </c>
      <c r="F2617" t="s">
        <v>154</v>
      </c>
      <c r="G2617" t="s">
        <v>4715</v>
      </c>
      <c r="H2617" t="s">
        <v>5802</v>
      </c>
      <c r="I2617" t="s">
        <v>5465</v>
      </c>
      <c r="J2617" t="s">
        <v>5805</v>
      </c>
      <c r="K2617" t="s">
        <v>5806</v>
      </c>
      <c r="L2617" t="s">
        <v>4717</v>
      </c>
    </row>
    <row r="2618">
      <c r="A2618" t="s">
        <v>2830</v>
      </c>
      <c r="B2618" t="s">
        <v>1942</v>
      </c>
      <c r="C2618" t="s">
        <v>1798</v>
      </c>
      <c r="D2618" t="s">
        <v>1939</v>
      </c>
      <c r="E2618" t="s">
        <v>1940</v>
      </c>
      <c r="F2618" t="s">
        <v>154</v>
      </c>
      <c r="G2618" t="s">
        <v>4715</v>
      </c>
      <c r="H2618" t="s">
        <v>5802</v>
      </c>
      <c r="I2618" t="s">
        <v>5467</v>
      </c>
      <c r="J2618" t="s">
        <v>5807</v>
      </c>
      <c r="K2618" t="s">
        <v>5808</v>
      </c>
      <c r="L2618" t="s">
        <v>4717</v>
      </c>
    </row>
    <row r="2619">
      <c r="A2619" t="s">
        <v>2830</v>
      </c>
      <c r="B2619" t="s">
        <v>1942</v>
      </c>
      <c r="C2619" t="s">
        <v>1798</v>
      </c>
      <c r="D2619" t="s">
        <v>1939</v>
      </c>
      <c r="E2619" t="s">
        <v>1940</v>
      </c>
      <c r="F2619" t="s">
        <v>154</v>
      </c>
      <c r="G2619" t="s">
        <v>4715</v>
      </c>
      <c r="H2619" t="s">
        <v>5522</v>
      </c>
      <c r="I2619" t="s">
        <v>5656</v>
      </c>
      <c r="J2619" t="s">
        <v>5657</v>
      </c>
      <c r="K2619" t="s">
        <v>5658</v>
      </c>
      <c r="L2619" t="s">
        <v>4717</v>
      </c>
    </row>
    <row r="2620">
      <c r="A2620" t="s">
        <v>2830</v>
      </c>
      <c r="B2620" t="s">
        <v>1942</v>
      </c>
      <c r="C2620" t="s">
        <v>1798</v>
      </c>
      <c r="D2620" t="s">
        <v>1939</v>
      </c>
      <c r="E2620" t="s">
        <v>1940</v>
      </c>
      <c r="F2620" t="s">
        <v>154</v>
      </c>
      <c r="G2620" t="s">
        <v>4715</v>
      </c>
      <c r="H2620" t="s">
        <v>5522</v>
      </c>
      <c r="I2620" t="s">
        <v>5715</v>
      </c>
      <c r="J2620" t="s">
        <v>5716</v>
      </c>
      <c r="K2620" t="s">
        <v>5717</v>
      </c>
      <c r="L2620" t="s">
        <v>4717</v>
      </c>
    </row>
    <row r="2621">
      <c r="A2621" t="s">
        <v>2830</v>
      </c>
      <c r="B2621" t="s">
        <v>1942</v>
      </c>
      <c r="C2621" t="s">
        <v>1798</v>
      </c>
      <c r="D2621" t="s">
        <v>1939</v>
      </c>
      <c r="E2621" t="s">
        <v>1940</v>
      </c>
      <c r="F2621" t="s">
        <v>154</v>
      </c>
      <c r="G2621" t="s">
        <v>4715</v>
      </c>
      <c r="H2621" t="s">
        <v>5522</v>
      </c>
      <c r="I2621" t="s">
        <v>5718</v>
      </c>
      <c r="J2621" t="s">
        <v>5719</v>
      </c>
      <c r="K2621" t="s">
        <v>5720</v>
      </c>
      <c r="L2621" t="s">
        <v>4717</v>
      </c>
    </row>
    <row r="2622">
      <c r="A2622" t="s">
        <v>2835</v>
      </c>
      <c r="B2622" t="s">
        <v>1949</v>
      </c>
      <c r="C2622" t="s">
        <v>1798</v>
      </c>
      <c r="D2622" t="s">
        <v>1939</v>
      </c>
      <c r="E2622" t="s">
        <v>1940</v>
      </c>
      <c r="F2622" t="s">
        <v>154</v>
      </c>
      <c r="G2622" t="s">
        <v>4715</v>
      </c>
      <c r="H2622" t="s">
        <v>5041</v>
      </c>
      <c r="I2622" t="s">
        <v>5614</v>
      </c>
      <c r="J2622" t="s">
        <v>5615</v>
      </c>
      <c r="K2622" t="s">
        <v>4169</v>
      </c>
      <c r="L2622" t="s">
        <v>4717</v>
      </c>
    </row>
    <row r="2623">
      <c r="A2623" t="s">
        <v>2835</v>
      </c>
      <c r="B2623" t="s">
        <v>1949</v>
      </c>
      <c r="C2623" t="s">
        <v>1798</v>
      </c>
      <c r="D2623" t="s">
        <v>1939</v>
      </c>
      <c r="E2623" t="s">
        <v>1940</v>
      </c>
      <c r="F2623" t="s">
        <v>154</v>
      </c>
      <c r="G2623" t="s">
        <v>4715</v>
      </c>
      <c r="H2623" t="s">
        <v>5616</v>
      </c>
      <c r="I2623" t="s">
        <v>5617</v>
      </c>
      <c r="J2623" t="s">
        <v>5618</v>
      </c>
      <c r="K2623" t="s">
        <v>5619</v>
      </c>
      <c r="L2623" t="s">
        <v>4717</v>
      </c>
    </row>
    <row r="2624">
      <c r="A2624" t="s">
        <v>2835</v>
      </c>
      <c r="B2624" t="s">
        <v>1949</v>
      </c>
      <c r="C2624" t="s">
        <v>1798</v>
      </c>
      <c r="D2624" t="s">
        <v>1939</v>
      </c>
      <c r="E2624" t="s">
        <v>1940</v>
      </c>
      <c r="F2624" t="s">
        <v>154</v>
      </c>
      <c r="G2624" t="s">
        <v>4715</v>
      </c>
      <c r="H2624" t="s">
        <v>5499</v>
      </c>
      <c r="I2624" t="s">
        <v>5620</v>
      </c>
      <c r="J2624" t="s">
        <v>5621</v>
      </c>
      <c r="K2624" t="s">
        <v>5622</v>
      </c>
      <c r="L2624" t="s">
        <v>4717</v>
      </c>
    </row>
    <row r="2625">
      <c r="A2625" t="s">
        <v>2835</v>
      </c>
      <c r="B2625" t="s">
        <v>1949</v>
      </c>
      <c r="C2625" t="s">
        <v>1798</v>
      </c>
      <c r="D2625" t="s">
        <v>1939</v>
      </c>
      <c r="E2625" t="s">
        <v>1940</v>
      </c>
      <c r="F2625" t="s">
        <v>154</v>
      </c>
      <c r="G2625" t="s">
        <v>4715</v>
      </c>
      <c r="H2625" t="s">
        <v>5623</v>
      </c>
      <c r="I2625" t="s">
        <v>5624</v>
      </c>
      <c r="J2625" t="s">
        <v>5625</v>
      </c>
      <c r="K2625" t="s">
        <v>5626</v>
      </c>
      <c r="L2625" t="s">
        <v>4717</v>
      </c>
    </row>
    <row r="2626">
      <c r="A2626" t="s">
        <v>2835</v>
      </c>
      <c r="B2626" t="s">
        <v>1949</v>
      </c>
      <c r="C2626" t="s">
        <v>1798</v>
      </c>
      <c r="D2626" t="s">
        <v>1939</v>
      </c>
      <c r="E2626" t="s">
        <v>1940</v>
      </c>
      <c r="F2626" t="s">
        <v>154</v>
      </c>
      <c r="G2626" t="s">
        <v>4715</v>
      </c>
      <c r="H2626" t="s">
        <v>3904</v>
      </c>
      <c r="I2626" t="s">
        <v>5627</v>
      </c>
      <c r="J2626" t="s">
        <v>5628</v>
      </c>
      <c r="K2626" t="s">
        <v>5629</v>
      </c>
      <c r="L2626" t="s">
        <v>4717</v>
      </c>
    </row>
    <row r="2627">
      <c r="A2627" t="s">
        <v>2835</v>
      </c>
      <c r="B2627" t="s">
        <v>1949</v>
      </c>
      <c r="C2627" t="s">
        <v>1798</v>
      </c>
      <c r="D2627" t="s">
        <v>1939</v>
      </c>
      <c r="E2627" t="s">
        <v>1940</v>
      </c>
      <c r="F2627" t="s">
        <v>154</v>
      </c>
      <c r="G2627" t="s">
        <v>4715</v>
      </c>
      <c r="H2627" t="s">
        <v>5630</v>
      </c>
      <c r="I2627" t="s">
        <v>5474</v>
      </c>
      <c r="J2627" t="s">
        <v>5631</v>
      </c>
      <c r="K2627" t="s">
        <v>5632</v>
      </c>
      <c r="L2627" t="s">
        <v>4717</v>
      </c>
    </row>
    <row r="2628">
      <c r="A2628" t="s">
        <v>2835</v>
      </c>
      <c r="B2628" t="s">
        <v>1949</v>
      </c>
      <c r="C2628" t="s">
        <v>1798</v>
      </c>
      <c r="D2628" t="s">
        <v>1939</v>
      </c>
      <c r="E2628" t="s">
        <v>1940</v>
      </c>
      <c r="F2628" t="s">
        <v>154</v>
      </c>
      <c r="G2628" t="s">
        <v>4715</v>
      </c>
      <c r="H2628" t="s">
        <v>5170</v>
      </c>
      <c r="I2628" t="s">
        <v>5171</v>
      </c>
      <c r="J2628" t="s">
        <v>5633</v>
      </c>
      <c r="K2628" t="s">
        <v>5634</v>
      </c>
      <c r="L2628" t="s">
        <v>4717</v>
      </c>
    </row>
    <row r="2629">
      <c r="A2629" t="s">
        <v>2835</v>
      </c>
      <c r="B2629" t="s">
        <v>1949</v>
      </c>
      <c r="C2629" t="s">
        <v>1798</v>
      </c>
      <c r="D2629" t="s">
        <v>1939</v>
      </c>
      <c r="E2629" t="s">
        <v>1940</v>
      </c>
      <c r="F2629" t="s">
        <v>154</v>
      </c>
      <c r="G2629" t="s">
        <v>4715</v>
      </c>
      <c r="H2629" t="s">
        <v>5157</v>
      </c>
      <c r="I2629" t="s">
        <v>5635</v>
      </c>
      <c r="J2629" t="s">
        <v>5636</v>
      </c>
      <c r="K2629" t="s">
        <v>5637</v>
      </c>
      <c r="L2629" t="s">
        <v>4717</v>
      </c>
    </row>
    <row r="2630">
      <c r="A2630" t="s">
        <v>2835</v>
      </c>
      <c r="B2630" t="s">
        <v>1949</v>
      </c>
      <c r="C2630" t="s">
        <v>1798</v>
      </c>
      <c r="D2630" t="s">
        <v>1939</v>
      </c>
      <c r="E2630" t="s">
        <v>1940</v>
      </c>
      <c r="F2630" t="s">
        <v>154</v>
      </c>
      <c r="G2630" t="s">
        <v>4715</v>
      </c>
      <c r="H2630" t="s">
        <v>5802</v>
      </c>
      <c r="I2630" t="s">
        <v>5463</v>
      </c>
      <c r="J2630" t="s">
        <v>5803</v>
      </c>
      <c r="K2630" t="s">
        <v>5804</v>
      </c>
      <c r="L2630" t="s">
        <v>4717</v>
      </c>
    </row>
    <row r="2631">
      <c r="A2631" t="s">
        <v>2835</v>
      </c>
      <c r="B2631" t="s">
        <v>1949</v>
      </c>
      <c r="C2631" t="s">
        <v>1798</v>
      </c>
      <c r="D2631" t="s">
        <v>1939</v>
      </c>
      <c r="E2631" t="s">
        <v>1940</v>
      </c>
      <c r="F2631" t="s">
        <v>154</v>
      </c>
      <c r="G2631" t="s">
        <v>4715</v>
      </c>
      <c r="H2631" t="s">
        <v>5802</v>
      </c>
      <c r="I2631" t="s">
        <v>5465</v>
      </c>
      <c r="J2631" t="s">
        <v>5805</v>
      </c>
      <c r="K2631" t="s">
        <v>5806</v>
      </c>
      <c r="L2631" t="s">
        <v>4717</v>
      </c>
    </row>
    <row r="2632">
      <c r="A2632" t="s">
        <v>2835</v>
      </c>
      <c r="B2632" t="s">
        <v>1949</v>
      </c>
      <c r="C2632" t="s">
        <v>1798</v>
      </c>
      <c r="D2632" t="s">
        <v>1939</v>
      </c>
      <c r="E2632" t="s">
        <v>1940</v>
      </c>
      <c r="F2632" t="s">
        <v>154</v>
      </c>
      <c r="G2632" t="s">
        <v>4715</v>
      </c>
      <c r="H2632" t="s">
        <v>5802</v>
      </c>
      <c r="I2632" t="s">
        <v>5467</v>
      </c>
      <c r="J2632" t="s">
        <v>5807</v>
      </c>
      <c r="K2632" t="s">
        <v>5808</v>
      </c>
      <c r="L2632" t="s">
        <v>4717</v>
      </c>
    </row>
    <row r="2633">
      <c r="A2633" t="s">
        <v>2835</v>
      </c>
      <c r="B2633" t="s">
        <v>1949</v>
      </c>
      <c r="C2633" t="s">
        <v>1798</v>
      </c>
      <c r="D2633" t="s">
        <v>1939</v>
      </c>
      <c r="E2633" t="s">
        <v>1940</v>
      </c>
      <c r="F2633" t="s">
        <v>154</v>
      </c>
      <c r="G2633" t="s">
        <v>4715</v>
      </c>
      <c r="H2633" t="s">
        <v>5522</v>
      </c>
      <c r="I2633" t="s">
        <v>5656</v>
      </c>
      <c r="J2633" t="s">
        <v>5657</v>
      </c>
      <c r="K2633" t="s">
        <v>5658</v>
      </c>
      <c r="L2633" t="s">
        <v>4717</v>
      </c>
    </row>
    <row r="2634">
      <c r="A2634" t="s">
        <v>2835</v>
      </c>
      <c r="B2634" t="s">
        <v>1949</v>
      </c>
      <c r="C2634" t="s">
        <v>1798</v>
      </c>
      <c r="D2634" t="s">
        <v>1939</v>
      </c>
      <c r="E2634" t="s">
        <v>1940</v>
      </c>
      <c r="F2634" t="s">
        <v>154</v>
      </c>
      <c r="G2634" t="s">
        <v>4715</v>
      </c>
      <c r="H2634" t="s">
        <v>5522</v>
      </c>
      <c r="I2634" t="s">
        <v>5715</v>
      </c>
      <c r="J2634" t="s">
        <v>5716</v>
      </c>
      <c r="K2634" t="s">
        <v>5717</v>
      </c>
      <c r="L2634" t="s">
        <v>4717</v>
      </c>
    </row>
    <row r="2635">
      <c r="A2635" t="s">
        <v>2835</v>
      </c>
      <c r="B2635" t="s">
        <v>1949</v>
      </c>
      <c r="C2635" t="s">
        <v>1798</v>
      </c>
      <c r="D2635" t="s">
        <v>1939</v>
      </c>
      <c r="E2635" t="s">
        <v>1940</v>
      </c>
      <c r="F2635" t="s">
        <v>154</v>
      </c>
      <c r="G2635" t="s">
        <v>4715</v>
      </c>
      <c r="H2635" t="s">
        <v>5522</v>
      </c>
      <c r="I2635" t="s">
        <v>5718</v>
      </c>
      <c r="J2635" t="s">
        <v>5719</v>
      </c>
      <c r="K2635" t="s">
        <v>5720</v>
      </c>
      <c r="L2635" t="s">
        <v>4717</v>
      </c>
    </row>
    <row r="2636">
      <c r="A2636" t="s">
        <v>2837</v>
      </c>
      <c r="B2636" t="s">
        <v>1955</v>
      </c>
      <c r="C2636" t="s">
        <v>1798</v>
      </c>
      <c r="D2636" t="s">
        <v>1939</v>
      </c>
      <c r="E2636" t="s">
        <v>1940</v>
      </c>
      <c r="F2636" t="s">
        <v>120</v>
      </c>
      <c r="G2636" t="s">
        <v>4715</v>
      </c>
      <c r="H2636" t="s">
        <v>5041</v>
      </c>
      <c r="I2636" t="s">
        <v>5614</v>
      </c>
      <c r="J2636" t="s">
        <v>5615</v>
      </c>
      <c r="K2636" t="s">
        <v>4169</v>
      </c>
      <c r="L2636" t="s">
        <v>4717</v>
      </c>
    </row>
    <row r="2637">
      <c r="A2637" t="s">
        <v>2837</v>
      </c>
      <c r="B2637" t="s">
        <v>1955</v>
      </c>
      <c r="C2637" t="s">
        <v>1798</v>
      </c>
      <c r="D2637" t="s">
        <v>1939</v>
      </c>
      <c r="E2637" t="s">
        <v>1940</v>
      </c>
      <c r="F2637" t="s">
        <v>120</v>
      </c>
      <c r="G2637" t="s">
        <v>4715</v>
      </c>
      <c r="H2637" t="s">
        <v>5616</v>
      </c>
      <c r="I2637" t="s">
        <v>5617</v>
      </c>
      <c r="J2637" t="s">
        <v>5618</v>
      </c>
      <c r="K2637" t="s">
        <v>5619</v>
      </c>
      <c r="L2637" t="s">
        <v>4717</v>
      </c>
    </row>
    <row r="2638">
      <c r="A2638" t="s">
        <v>2837</v>
      </c>
      <c r="B2638" t="s">
        <v>1955</v>
      </c>
      <c r="C2638" t="s">
        <v>1798</v>
      </c>
      <c r="D2638" t="s">
        <v>1939</v>
      </c>
      <c r="E2638" t="s">
        <v>1940</v>
      </c>
      <c r="F2638" t="s">
        <v>120</v>
      </c>
      <c r="G2638" t="s">
        <v>4715</v>
      </c>
      <c r="H2638" t="s">
        <v>5499</v>
      </c>
      <c r="I2638" t="s">
        <v>5620</v>
      </c>
      <c r="J2638" t="s">
        <v>5621</v>
      </c>
      <c r="K2638" t="s">
        <v>5622</v>
      </c>
      <c r="L2638" t="s">
        <v>4717</v>
      </c>
    </row>
    <row r="2639">
      <c r="A2639" t="s">
        <v>2837</v>
      </c>
      <c r="B2639" t="s">
        <v>1955</v>
      </c>
      <c r="C2639" t="s">
        <v>1798</v>
      </c>
      <c r="D2639" t="s">
        <v>1939</v>
      </c>
      <c r="E2639" t="s">
        <v>1940</v>
      </c>
      <c r="F2639" t="s">
        <v>120</v>
      </c>
      <c r="G2639" t="s">
        <v>4715</v>
      </c>
      <c r="H2639" t="s">
        <v>5623</v>
      </c>
      <c r="I2639" t="s">
        <v>5624</v>
      </c>
      <c r="J2639" t="s">
        <v>5625</v>
      </c>
      <c r="K2639" t="s">
        <v>5626</v>
      </c>
      <c r="L2639" t="s">
        <v>4717</v>
      </c>
    </row>
    <row r="2640">
      <c r="A2640" t="s">
        <v>2837</v>
      </c>
      <c r="B2640" t="s">
        <v>1955</v>
      </c>
      <c r="C2640" t="s">
        <v>1798</v>
      </c>
      <c r="D2640" t="s">
        <v>1939</v>
      </c>
      <c r="E2640" t="s">
        <v>1940</v>
      </c>
      <c r="F2640" t="s">
        <v>120</v>
      </c>
      <c r="G2640" t="s">
        <v>4715</v>
      </c>
      <c r="H2640" t="s">
        <v>3904</v>
      </c>
      <c r="I2640" t="s">
        <v>5627</v>
      </c>
      <c r="J2640" t="s">
        <v>5628</v>
      </c>
      <c r="K2640" t="s">
        <v>5629</v>
      </c>
      <c r="L2640" t="s">
        <v>4717</v>
      </c>
    </row>
    <row r="2641">
      <c r="A2641" t="s">
        <v>2837</v>
      </c>
      <c r="B2641" t="s">
        <v>1955</v>
      </c>
      <c r="C2641" t="s">
        <v>1798</v>
      </c>
      <c r="D2641" t="s">
        <v>1939</v>
      </c>
      <c r="E2641" t="s">
        <v>1940</v>
      </c>
      <c r="F2641" t="s">
        <v>120</v>
      </c>
      <c r="G2641" t="s">
        <v>4715</v>
      </c>
      <c r="H2641" t="s">
        <v>5630</v>
      </c>
      <c r="I2641" t="s">
        <v>5474</v>
      </c>
      <c r="J2641" t="s">
        <v>5631</v>
      </c>
      <c r="K2641" t="s">
        <v>5632</v>
      </c>
      <c r="L2641" t="s">
        <v>4717</v>
      </c>
    </row>
    <row r="2642">
      <c r="A2642" t="s">
        <v>2837</v>
      </c>
      <c r="B2642" t="s">
        <v>1955</v>
      </c>
      <c r="C2642" t="s">
        <v>1798</v>
      </c>
      <c r="D2642" t="s">
        <v>1939</v>
      </c>
      <c r="E2642" t="s">
        <v>1940</v>
      </c>
      <c r="F2642" t="s">
        <v>120</v>
      </c>
      <c r="G2642" t="s">
        <v>4715</v>
      </c>
      <c r="H2642" t="s">
        <v>5170</v>
      </c>
      <c r="I2642" t="s">
        <v>5171</v>
      </c>
      <c r="J2642" t="s">
        <v>5633</v>
      </c>
      <c r="K2642" t="s">
        <v>5634</v>
      </c>
      <c r="L2642" t="s">
        <v>4717</v>
      </c>
    </row>
    <row r="2643">
      <c r="A2643" t="s">
        <v>2837</v>
      </c>
      <c r="B2643" t="s">
        <v>1955</v>
      </c>
      <c r="C2643" t="s">
        <v>1798</v>
      </c>
      <c r="D2643" t="s">
        <v>1939</v>
      </c>
      <c r="E2643" t="s">
        <v>1940</v>
      </c>
      <c r="F2643" t="s">
        <v>120</v>
      </c>
      <c r="G2643" t="s">
        <v>4715</v>
      </c>
      <c r="H2643" t="s">
        <v>5157</v>
      </c>
      <c r="I2643" t="s">
        <v>5635</v>
      </c>
      <c r="J2643" t="s">
        <v>5636</v>
      </c>
      <c r="K2643" t="s">
        <v>5637</v>
      </c>
      <c r="L2643" t="s">
        <v>4717</v>
      </c>
    </row>
    <row r="2644">
      <c r="A2644" t="s">
        <v>2837</v>
      </c>
      <c r="B2644" t="s">
        <v>1955</v>
      </c>
      <c r="C2644" t="s">
        <v>1798</v>
      </c>
      <c r="D2644" t="s">
        <v>1939</v>
      </c>
      <c r="E2644" t="s">
        <v>1940</v>
      </c>
      <c r="F2644" t="s">
        <v>120</v>
      </c>
      <c r="G2644" t="s">
        <v>4715</v>
      </c>
      <c r="H2644" t="s">
        <v>5802</v>
      </c>
      <c r="I2644" t="s">
        <v>5463</v>
      </c>
      <c r="J2644" t="s">
        <v>5803</v>
      </c>
      <c r="K2644" t="s">
        <v>5804</v>
      </c>
      <c r="L2644" t="s">
        <v>4717</v>
      </c>
    </row>
    <row r="2645">
      <c r="A2645" t="s">
        <v>2837</v>
      </c>
      <c r="B2645" t="s">
        <v>1955</v>
      </c>
      <c r="C2645" t="s">
        <v>1798</v>
      </c>
      <c r="D2645" t="s">
        <v>1939</v>
      </c>
      <c r="E2645" t="s">
        <v>1940</v>
      </c>
      <c r="F2645" t="s">
        <v>120</v>
      </c>
      <c r="G2645" t="s">
        <v>4715</v>
      </c>
      <c r="H2645" t="s">
        <v>5802</v>
      </c>
      <c r="I2645" t="s">
        <v>5465</v>
      </c>
      <c r="J2645" t="s">
        <v>5805</v>
      </c>
      <c r="K2645" t="s">
        <v>5806</v>
      </c>
      <c r="L2645" t="s">
        <v>4717</v>
      </c>
    </row>
    <row r="2646">
      <c r="A2646" t="s">
        <v>2837</v>
      </c>
      <c r="B2646" t="s">
        <v>1955</v>
      </c>
      <c r="C2646" t="s">
        <v>1798</v>
      </c>
      <c r="D2646" t="s">
        <v>1939</v>
      </c>
      <c r="E2646" t="s">
        <v>1940</v>
      </c>
      <c r="F2646" t="s">
        <v>120</v>
      </c>
      <c r="G2646" t="s">
        <v>4715</v>
      </c>
      <c r="H2646" t="s">
        <v>5802</v>
      </c>
      <c r="I2646" t="s">
        <v>5467</v>
      </c>
      <c r="J2646" t="s">
        <v>5807</v>
      </c>
      <c r="K2646" t="s">
        <v>5808</v>
      </c>
      <c r="L2646" t="s">
        <v>4717</v>
      </c>
    </row>
    <row r="2647">
      <c r="A2647" t="s">
        <v>2837</v>
      </c>
      <c r="B2647" t="s">
        <v>1955</v>
      </c>
      <c r="C2647" t="s">
        <v>1798</v>
      </c>
      <c r="D2647" t="s">
        <v>1939</v>
      </c>
      <c r="E2647" t="s">
        <v>1940</v>
      </c>
      <c r="F2647" t="s">
        <v>120</v>
      </c>
      <c r="G2647" t="s">
        <v>4715</v>
      </c>
      <c r="H2647" t="s">
        <v>5522</v>
      </c>
      <c r="I2647" t="s">
        <v>5656</v>
      </c>
      <c r="J2647" t="s">
        <v>5657</v>
      </c>
      <c r="K2647" t="s">
        <v>5658</v>
      </c>
      <c r="L2647" t="s">
        <v>4717</v>
      </c>
    </row>
    <row r="2648">
      <c r="A2648" t="s">
        <v>2837</v>
      </c>
      <c r="B2648" t="s">
        <v>1955</v>
      </c>
      <c r="C2648" t="s">
        <v>1798</v>
      </c>
      <c r="D2648" t="s">
        <v>1939</v>
      </c>
      <c r="E2648" t="s">
        <v>1940</v>
      </c>
      <c r="F2648" t="s">
        <v>120</v>
      </c>
      <c r="G2648" t="s">
        <v>4715</v>
      </c>
      <c r="H2648" t="s">
        <v>5522</v>
      </c>
      <c r="I2648" t="s">
        <v>5715</v>
      </c>
      <c r="J2648" t="s">
        <v>5716</v>
      </c>
      <c r="K2648" t="s">
        <v>5717</v>
      </c>
      <c r="L2648" t="s">
        <v>4717</v>
      </c>
    </row>
    <row r="2649">
      <c r="A2649" t="s">
        <v>2837</v>
      </c>
      <c r="B2649" t="s">
        <v>1955</v>
      </c>
      <c r="C2649" t="s">
        <v>1798</v>
      </c>
      <c r="D2649" t="s">
        <v>1939</v>
      </c>
      <c r="E2649" t="s">
        <v>1940</v>
      </c>
      <c r="F2649" t="s">
        <v>120</v>
      </c>
      <c r="G2649" t="s">
        <v>4715</v>
      </c>
      <c r="H2649" t="s">
        <v>5522</v>
      </c>
      <c r="I2649" t="s">
        <v>5718</v>
      </c>
      <c r="J2649" t="s">
        <v>5719</v>
      </c>
      <c r="K2649" t="s">
        <v>5720</v>
      </c>
      <c r="L2649" t="s">
        <v>4717</v>
      </c>
    </row>
    <row r="2650">
      <c r="A2650" t="s">
        <v>2439</v>
      </c>
      <c r="B2650" t="s">
        <v>973</v>
      </c>
      <c r="C2650" t="s">
        <v>958</v>
      </c>
      <c r="D2650" t="s">
        <v>970</v>
      </c>
      <c r="E2650" t="s">
        <v>971</v>
      </c>
      <c r="F2650" t="s">
        <v>154</v>
      </c>
      <c r="H2650" t="s">
        <v>5041</v>
      </c>
      <c r="I2650" t="s">
        <v>5809</v>
      </c>
      <c r="J2650" t="s">
        <v>5810</v>
      </c>
      <c r="K2650" t="s">
        <v>5811</v>
      </c>
      <c r="L2650" t="s">
        <v>4717</v>
      </c>
    </row>
    <row r="2651">
      <c r="A2651" t="s">
        <v>2439</v>
      </c>
      <c r="B2651" t="s">
        <v>973</v>
      </c>
      <c r="C2651" t="s">
        <v>958</v>
      </c>
      <c r="D2651" t="s">
        <v>970</v>
      </c>
      <c r="E2651" t="s">
        <v>971</v>
      </c>
      <c r="F2651" t="s">
        <v>154</v>
      </c>
      <c r="H2651" t="s">
        <v>5616</v>
      </c>
      <c r="I2651" t="s">
        <v>5812</v>
      </c>
      <c r="J2651" t="s">
        <v>5813</v>
      </c>
      <c r="K2651" t="s">
        <v>5811</v>
      </c>
      <c r="L2651" t="s">
        <v>4717</v>
      </c>
    </row>
    <row r="2652">
      <c r="A2652" t="s">
        <v>2439</v>
      </c>
      <c r="B2652" t="s">
        <v>973</v>
      </c>
      <c r="C2652" t="s">
        <v>958</v>
      </c>
      <c r="D2652" t="s">
        <v>970</v>
      </c>
      <c r="E2652" t="s">
        <v>971</v>
      </c>
      <c r="F2652" t="s">
        <v>154</v>
      </c>
      <c r="H2652" t="s">
        <v>5814</v>
      </c>
      <c r="I2652" t="s">
        <v>5815</v>
      </c>
      <c r="J2652" t="s">
        <v>5816</v>
      </c>
      <c r="K2652" t="s">
        <v>5811</v>
      </c>
      <c r="L2652" t="s">
        <v>4717</v>
      </c>
    </row>
    <row r="2653">
      <c r="A2653" t="s">
        <v>2439</v>
      </c>
      <c r="B2653" t="s">
        <v>973</v>
      </c>
      <c r="C2653" t="s">
        <v>958</v>
      </c>
      <c r="D2653" t="s">
        <v>970</v>
      </c>
      <c r="E2653" t="s">
        <v>971</v>
      </c>
      <c r="F2653" t="s">
        <v>154</v>
      </c>
      <c r="H2653" t="s">
        <v>5814</v>
      </c>
      <c r="I2653" t="s">
        <v>5817</v>
      </c>
      <c r="J2653" t="s">
        <v>5818</v>
      </c>
      <c r="K2653" t="s">
        <v>5811</v>
      </c>
      <c r="L2653" t="s">
        <v>4717</v>
      </c>
    </row>
    <row r="2654">
      <c r="A2654" t="s">
        <v>2439</v>
      </c>
      <c r="B2654" t="s">
        <v>973</v>
      </c>
      <c r="C2654" t="s">
        <v>958</v>
      </c>
      <c r="D2654" t="s">
        <v>970</v>
      </c>
      <c r="E2654" t="s">
        <v>971</v>
      </c>
      <c r="F2654" t="s">
        <v>154</v>
      </c>
      <c r="H2654" t="s">
        <v>5603</v>
      </c>
      <c r="I2654" t="s">
        <v>5819</v>
      </c>
      <c r="J2654" t="s">
        <v>5820</v>
      </c>
      <c r="K2654" t="s">
        <v>5811</v>
      </c>
      <c r="L2654" t="s">
        <v>4717</v>
      </c>
    </row>
    <row r="2655">
      <c r="A2655" t="s">
        <v>2439</v>
      </c>
      <c r="B2655" t="s">
        <v>973</v>
      </c>
      <c r="C2655" t="s">
        <v>958</v>
      </c>
      <c r="D2655" t="s">
        <v>970</v>
      </c>
      <c r="E2655" t="s">
        <v>971</v>
      </c>
      <c r="F2655" t="s">
        <v>154</v>
      </c>
      <c r="H2655" t="s">
        <v>5499</v>
      </c>
      <c r="I2655" t="s">
        <v>5821</v>
      </c>
      <c r="J2655" t="s">
        <v>5822</v>
      </c>
      <c r="K2655" t="s">
        <v>5811</v>
      </c>
      <c r="L2655" t="s">
        <v>4717</v>
      </c>
    </row>
    <row r="2656">
      <c r="A2656" t="s">
        <v>2439</v>
      </c>
      <c r="B2656" t="s">
        <v>973</v>
      </c>
      <c r="C2656" t="s">
        <v>958</v>
      </c>
      <c r="D2656" t="s">
        <v>970</v>
      </c>
      <c r="E2656" t="s">
        <v>971</v>
      </c>
      <c r="F2656" t="s">
        <v>154</v>
      </c>
      <c r="H2656" t="s">
        <v>5623</v>
      </c>
      <c r="I2656" t="s">
        <v>5823</v>
      </c>
      <c r="J2656" t="s">
        <v>5824</v>
      </c>
      <c r="K2656" t="s">
        <v>5811</v>
      </c>
      <c r="L2656" t="s">
        <v>4717</v>
      </c>
    </row>
    <row r="2657">
      <c r="A2657" t="s">
        <v>2439</v>
      </c>
      <c r="B2657" t="s">
        <v>973</v>
      </c>
      <c r="C2657" t="s">
        <v>958</v>
      </c>
      <c r="D2657" t="s">
        <v>970</v>
      </c>
      <c r="E2657" t="s">
        <v>971</v>
      </c>
      <c r="F2657" t="s">
        <v>154</v>
      </c>
      <c r="H2657" t="s">
        <v>5181</v>
      </c>
      <c r="I2657" t="s">
        <v>5825</v>
      </c>
      <c r="J2657" t="s">
        <v>5826</v>
      </c>
      <c r="K2657" t="s">
        <v>5811</v>
      </c>
      <c r="L2657" t="s">
        <v>4717</v>
      </c>
    </row>
    <row r="2658">
      <c r="A2658" t="s">
        <v>2439</v>
      </c>
      <c r="B2658" t="s">
        <v>973</v>
      </c>
      <c r="C2658" t="s">
        <v>958</v>
      </c>
      <c r="D2658" t="s">
        <v>970</v>
      </c>
      <c r="E2658" t="s">
        <v>971</v>
      </c>
      <c r="F2658" t="s">
        <v>154</v>
      </c>
      <c r="H2658" t="s">
        <v>3904</v>
      </c>
      <c r="I2658" t="s">
        <v>5827</v>
      </c>
      <c r="J2658" t="s">
        <v>5828</v>
      </c>
      <c r="K2658" t="s">
        <v>5811</v>
      </c>
      <c r="L2658" t="s">
        <v>4717</v>
      </c>
    </row>
    <row r="2659">
      <c r="A2659" t="s">
        <v>2439</v>
      </c>
      <c r="B2659" t="s">
        <v>973</v>
      </c>
      <c r="C2659" t="s">
        <v>958</v>
      </c>
      <c r="D2659" t="s">
        <v>970</v>
      </c>
      <c r="E2659" t="s">
        <v>971</v>
      </c>
      <c r="F2659" t="s">
        <v>154</v>
      </c>
      <c r="H2659" t="s">
        <v>5157</v>
      </c>
      <c r="I2659" t="s">
        <v>5829</v>
      </c>
      <c r="J2659" t="s">
        <v>5830</v>
      </c>
      <c r="K2659" t="s">
        <v>5811</v>
      </c>
      <c r="L2659" t="s">
        <v>4717</v>
      </c>
    </row>
    <row r="2660">
      <c r="A2660" t="s">
        <v>2439</v>
      </c>
      <c r="B2660" t="s">
        <v>973</v>
      </c>
      <c r="C2660" t="s">
        <v>958</v>
      </c>
      <c r="D2660" t="s">
        <v>970</v>
      </c>
      <c r="E2660" t="s">
        <v>971</v>
      </c>
      <c r="F2660" t="s">
        <v>154</v>
      </c>
      <c r="H2660" t="s">
        <v>5170</v>
      </c>
      <c r="I2660" t="s">
        <v>5831</v>
      </c>
      <c r="J2660" t="s">
        <v>5832</v>
      </c>
      <c r="K2660" t="s">
        <v>5811</v>
      </c>
      <c r="L2660" t="s">
        <v>4717</v>
      </c>
    </row>
    <row r="2661">
      <c r="A2661" t="s">
        <v>2446</v>
      </c>
      <c r="B2661" t="s">
        <v>981</v>
      </c>
      <c r="C2661" t="s">
        <v>958</v>
      </c>
      <c r="D2661" t="s">
        <v>970</v>
      </c>
      <c r="E2661" t="s">
        <v>971</v>
      </c>
      <c r="F2661" t="s">
        <v>154</v>
      </c>
      <c r="H2661" t="s">
        <v>5041</v>
      </c>
      <c r="I2661" t="s">
        <v>5833</v>
      </c>
      <c r="J2661" t="s">
        <v>5810</v>
      </c>
      <c r="K2661" t="s">
        <v>5834</v>
      </c>
      <c r="L2661" t="s">
        <v>4717</v>
      </c>
    </row>
    <row r="2662">
      <c r="A2662" t="s">
        <v>2446</v>
      </c>
      <c r="B2662" t="s">
        <v>981</v>
      </c>
      <c r="C2662" t="s">
        <v>958</v>
      </c>
      <c r="D2662" t="s">
        <v>970</v>
      </c>
      <c r="E2662" t="s">
        <v>971</v>
      </c>
      <c r="F2662" t="s">
        <v>154</v>
      </c>
      <c r="H2662" t="s">
        <v>5616</v>
      </c>
      <c r="I2662" t="s">
        <v>5835</v>
      </c>
      <c r="J2662" t="s">
        <v>5813</v>
      </c>
      <c r="K2662" t="s">
        <v>5834</v>
      </c>
      <c r="L2662" t="s">
        <v>4717</v>
      </c>
    </row>
    <row r="2663">
      <c r="A2663" t="s">
        <v>2446</v>
      </c>
      <c r="B2663" t="s">
        <v>981</v>
      </c>
      <c r="C2663" t="s">
        <v>958</v>
      </c>
      <c r="D2663" t="s">
        <v>970</v>
      </c>
      <c r="E2663" t="s">
        <v>971</v>
      </c>
      <c r="F2663" t="s">
        <v>154</v>
      </c>
      <c r="H2663" t="s">
        <v>5814</v>
      </c>
      <c r="I2663" t="s">
        <v>5836</v>
      </c>
      <c r="J2663" t="s">
        <v>5816</v>
      </c>
      <c r="K2663" t="s">
        <v>5834</v>
      </c>
      <c r="L2663" t="s">
        <v>4717</v>
      </c>
    </row>
    <row r="2664">
      <c r="A2664" t="s">
        <v>2446</v>
      </c>
      <c r="B2664" t="s">
        <v>981</v>
      </c>
      <c r="C2664" t="s">
        <v>958</v>
      </c>
      <c r="D2664" t="s">
        <v>970</v>
      </c>
      <c r="E2664" t="s">
        <v>971</v>
      </c>
      <c r="F2664" t="s">
        <v>154</v>
      </c>
      <c r="H2664" t="s">
        <v>5814</v>
      </c>
      <c r="I2664" t="s">
        <v>5837</v>
      </c>
      <c r="J2664" t="s">
        <v>5818</v>
      </c>
      <c r="K2664" t="s">
        <v>5834</v>
      </c>
      <c r="L2664" t="s">
        <v>4717</v>
      </c>
    </row>
    <row r="2665">
      <c r="A2665" t="s">
        <v>2446</v>
      </c>
      <c r="B2665" t="s">
        <v>981</v>
      </c>
      <c r="C2665" t="s">
        <v>958</v>
      </c>
      <c r="D2665" t="s">
        <v>970</v>
      </c>
      <c r="E2665" t="s">
        <v>971</v>
      </c>
      <c r="F2665" t="s">
        <v>154</v>
      </c>
      <c r="H2665" t="s">
        <v>5603</v>
      </c>
      <c r="I2665" t="s">
        <v>5838</v>
      </c>
      <c r="J2665" t="s">
        <v>5820</v>
      </c>
      <c r="K2665" t="s">
        <v>5834</v>
      </c>
      <c r="L2665" t="s">
        <v>4717</v>
      </c>
    </row>
    <row r="2666">
      <c r="A2666" t="s">
        <v>2446</v>
      </c>
      <c r="B2666" t="s">
        <v>981</v>
      </c>
      <c r="C2666" t="s">
        <v>958</v>
      </c>
      <c r="D2666" t="s">
        <v>970</v>
      </c>
      <c r="E2666" t="s">
        <v>971</v>
      </c>
      <c r="F2666" t="s">
        <v>154</v>
      </c>
      <c r="H2666" t="s">
        <v>5499</v>
      </c>
      <c r="I2666" t="s">
        <v>5839</v>
      </c>
      <c r="J2666" t="s">
        <v>5822</v>
      </c>
      <c r="K2666" t="s">
        <v>5834</v>
      </c>
      <c r="L2666" t="s">
        <v>4717</v>
      </c>
    </row>
    <row r="2667">
      <c r="A2667" t="s">
        <v>2446</v>
      </c>
      <c r="B2667" t="s">
        <v>981</v>
      </c>
      <c r="C2667" t="s">
        <v>958</v>
      </c>
      <c r="D2667" t="s">
        <v>970</v>
      </c>
      <c r="E2667" t="s">
        <v>971</v>
      </c>
      <c r="F2667" t="s">
        <v>154</v>
      </c>
      <c r="H2667" t="s">
        <v>5623</v>
      </c>
      <c r="I2667" t="s">
        <v>5840</v>
      </c>
      <c r="J2667" t="s">
        <v>5824</v>
      </c>
      <c r="K2667" t="s">
        <v>5834</v>
      </c>
      <c r="L2667" t="s">
        <v>4717</v>
      </c>
    </row>
    <row r="2668">
      <c r="A2668" t="s">
        <v>2446</v>
      </c>
      <c r="B2668" t="s">
        <v>981</v>
      </c>
      <c r="C2668" t="s">
        <v>958</v>
      </c>
      <c r="D2668" t="s">
        <v>970</v>
      </c>
      <c r="E2668" t="s">
        <v>971</v>
      </c>
      <c r="F2668" t="s">
        <v>154</v>
      </c>
      <c r="H2668" t="s">
        <v>5181</v>
      </c>
      <c r="I2668" t="s">
        <v>5841</v>
      </c>
      <c r="J2668" t="s">
        <v>5826</v>
      </c>
      <c r="K2668" t="s">
        <v>5834</v>
      </c>
      <c r="L2668" t="s">
        <v>4717</v>
      </c>
    </row>
    <row r="2669">
      <c r="A2669" t="s">
        <v>2446</v>
      </c>
      <c r="B2669" t="s">
        <v>981</v>
      </c>
      <c r="C2669" t="s">
        <v>958</v>
      </c>
      <c r="D2669" t="s">
        <v>970</v>
      </c>
      <c r="E2669" t="s">
        <v>971</v>
      </c>
      <c r="F2669" t="s">
        <v>154</v>
      </c>
      <c r="H2669" t="s">
        <v>3904</v>
      </c>
      <c r="I2669" t="s">
        <v>5842</v>
      </c>
      <c r="J2669" t="s">
        <v>5828</v>
      </c>
      <c r="K2669" t="s">
        <v>5834</v>
      </c>
      <c r="L2669" t="s">
        <v>4717</v>
      </c>
    </row>
    <row r="2670">
      <c r="A2670" t="s">
        <v>2446</v>
      </c>
      <c r="B2670" t="s">
        <v>981</v>
      </c>
      <c r="C2670" t="s">
        <v>958</v>
      </c>
      <c r="D2670" t="s">
        <v>970</v>
      </c>
      <c r="E2670" t="s">
        <v>971</v>
      </c>
      <c r="F2670" t="s">
        <v>154</v>
      </c>
      <c r="H2670" t="s">
        <v>5157</v>
      </c>
      <c r="I2670" t="s">
        <v>5843</v>
      </c>
      <c r="J2670" t="s">
        <v>5830</v>
      </c>
      <c r="K2670" t="s">
        <v>5834</v>
      </c>
      <c r="L2670" t="s">
        <v>4717</v>
      </c>
    </row>
    <row r="2671">
      <c r="A2671" t="s">
        <v>2446</v>
      </c>
      <c r="B2671" t="s">
        <v>981</v>
      </c>
      <c r="C2671" t="s">
        <v>958</v>
      </c>
      <c r="D2671" t="s">
        <v>970</v>
      </c>
      <c r="E2671" t="s">
        <v>971</v>
      </c>
      <c r="F2671" t="s">
        <v>154</v>
      </c>
      <c r="H2671" t="s">
        <v>5170</v>
      </c>
      <c r="I2671" t="s">
        <v>5844</v>
      </c>
      <c r="J2671" t="s">
        <v>5832</v>
      </c>
      <c r="K2671" t="s">
        <v>5834</v>
      </c>
      <c r="L2671" t="s">
        <v>4717</v>
      </c>
    </row>
    <row r="2672">
      <c r="A2672" t="s">
        <v>2449</v>
      </c>
      <c r="B2672" t="s">
        <v>987</v>
      </c>
      <c r="C2672" t="s">
        <v>958</v>
      </c>
      <c r="D2672" t="s">
        <v>970</v>
      </c>
      <c r="E2672" t="s">
        <v>971</v>
      </c>
      <c r="F2672" t="s">
        <v>154</v>
      </c>
      <c r="H2672" t="s">
        <v>5041</v>
      </c>
      <c r="I2672" t="s">
        <v>5845</v>
      </c>
      <c r="J2672" t="s">
        <v>5810</v>
      </c>
      <c r="K2672" t="s">
        <v>5846</v>
      </c>
      <c r="L2672" t="s">
        <v>4717</v>
      </c>
    </row>
    <row r="2673">
      <c r="A2673" t="s">
        <v>2449</v>
      </c>
      <c r="B2673" t="s">
        <v>987</v>
      </c>
      <c r="C2673" t="s">
        <v>958</v>
      </c>
      <c r="D2673" t="s">
        <v>970</v>
      </c>
      <c r="E2673" t="s">
        <v>971</v>
      </c>
      <c r="F2673" t="s">
        <v>154</v>
      </c>
      <c r="H2673" t="s">
        <v>5616</v>
      </c>
      <c r="I2673" t="s">
        <v>5847</v>
      </c>
      <c r="J2673" t="s">
        <v>5813</v>
      </c>
      <c r="K2673" t="s">
        <v>5846</v>
      </c>
      <c r="L2673" t="s">
        <v>4717</v>
      </c>
    </row>
    <row r="2674">
      <c r="A2674" t="s">
        <v>2449</v>
      </c>
      <c r="B2674" t="s">
        <v>987</v>
      </c>
      <c r="C2674" t="s">
        <v>958</v>
      </c>
      <c r="D2674" t="s">
        <v>970</v>
      </c>
      <c r="E2674" t="s">
        <v>971</v>
      </c>
      <c r="F2674" t="s">
        <v>154</v>
      </c>
      <c r="H2674" t="s">
        <v>5814</v>
      </c>
      <c r="I2674" t="s">
        <v>5848</v>
      </c>
      <c r="J2674" t="s">
        <v>5816</v>
      </c>
      <c r="K2674" t="s">
        <v>5846</v>
      </c>
      <c r="L2674" t="s">
        <v>4717</v>
      </c>
    </row>
    <row r="2675">
      <c r="A2675" t="s">
        <v>2449</v>
      </c>
      <c r="B2675" t="s">
        <v>987</v>
      </c>
      <c r="C2675" t="s">
        <v>958</v>
      </c>
      <c r="D2675" t="s">
        <v>970</v>
      </c>
      <c r="E2675" t="s">
        <v>971</v>
      </c>
      <c r="F2675" t="s">
        <v>154</v>
      </c>
      <c r="H2675" t="s">
        <v>5814</v>
      </c>
      <c r="I2675" t="s">
        <v>5849</v>
      </c>
      <c r="J2675" t="s">
        <v>5818</v>
      </c>
      <c r="K2675" t="s">
        <v>5846</v>
      </c>
      <c r="L2675" t="s">
        <v>4717</v>
      </c>
    </row>
    <row r="2676">
      <c r="A2676" t="s">
        <v>2449</v>
      </c>
      <c r="B2676" t="s">
        <v>987</v>
      </c>
      <c r="C2676" t="s">
        <v>958</v>
      </c>
      <c r="D2676" t="s">
        <v>970</v>
      </c>
      <c r="E2676" t="s">
        <v>971</v>
      </c>
      <c r="F2676" t="s">
        <v>154</v>
      </c>
      <c r="H2676" t="s">
        <v>5603</v>
      </c>
      <c r="I2676" t="s">
        <v>5850</v>
      </c>
      <c r="J2676" t="s">
        <v>5820</v>
      </c>
      <c r="K2676" t="s">
        <v>5846</v>
      </c>
      <c r="L2676" t="s">
        <v>4717</v>
      </c>
    </row>
    <row r="2677">
      <c r="A2677" t="s">
        <v>2449</v>
      </c>
      <c r="B2677" t="s">
        <v>987</v>
      </c>
      <c r="C2677" t="s">
        <v>958</v>
      </c>
      <c r="D2677" t="s">
        <v>970</v>
      </c>
      <c r="E2677" t="s">
        <v>971</v>
      </c>
      <c r="F2677" t="s">
        <v>154</v>
      </c>
      <c r="H2677" t="s">
        <v>5499</v>
      </c>
      <c r="I2677" t="s">
        <v>5851</v>
      </c>
      <c r="J2677" t="s">
        <v>5822</v>
      </c>
      <c r="K2677" t="s">
        <v>5846</v>
      </c>
      <c r="L2677" t="s">
        <v>4717</v>
      </c>
    </row>
    <row r="2678">
      <c r="A2678" t="s">
        <v>2449</v>
      </c>
      <c r="B2678" t="s">
        <v>987</v>
      </c>
      <c r="C2678" t="s">
        <v>958</v>
      </c>
      <c r="D2678" t="s">
        <v>970</v>
      </c>
      <c r="E2678" t="s">
        <v>971</v>
      </c>
      <c r="F2678" t="s">
        <v>154</v>
      </c>
      <c r="H2678" t="s">
        <v>5623</v>
      </c>
      <c r="I2678" t="s">
        <v>5852</v>
      </c>
      <c r="J2678" t="s">
        <v>5824</v>
      </c>
      <c r="K2678" t="s">
        <v>5846</v>
      </c>
      <c r="L2678" t="s">
        <v>4717</v>
      </c>
    </row>
    <row r="2679">
      <c r="A2679" t="s">
        <v>2449</v>
      </c>
      <c r="B2679" t="s">
        <v>987</v>
      </c>
      <c r="C2679" t="s">
        <v>958</v>
      </c>
      <c r="D2679" t="s">
        <v>970</v>
      </c>
      <c r="E2679" t="s">
        <v>971</v>
      </c>
      <c r="F2679" t="s">
        <v>154</v>
      </c>
      <c r="H2679" t="s">
        <v>5181</v>
      </c>
      <c r="I2679" t="s">
        <v>5853</v>
      </c>
      <c r="J2679" t="s">
        <v>5826</v>
      </c>
      <c r="K2679" t="s">
        <v>5846</v>
      </c>
      <c r="L2679" t="s">
        <v>4717</v>
      </c>
    </row>
    <row r="2680">
      <c r="A2680" t="s">
        <v>2449</v>
      </c>
      <c r="B2680" t="s">
        <v>987</v>
      </c>
      <c r="C2680" t="s">
        <v>958</v>
      </c>
      <c r="D2680" t="s">
        <v>970</v>
      </c>
      <c r="E2680" t="s">
        <v>971</v>
      </c>
      <c r="F2680" t="s">
        <v>154</v>
      </c>
      <c r="H2680" t="s">
        <v>3904</v>
      </c>
      <c r="I2680" t="s">
        <v>5854</v>
      </c>
      <c r="J2680" t="s">
        <v>5828</v>
      </c>
      <c r="K2680" t="s">
        <v>5846</v>
      </c>
      <c r="L2680" t="s">
        <v>4717</v>
      </c>
    </row>
    <row r="2681">
      <c r="A2681" t="s">
        <v>2449</v>
      </c>
      <c r="B2681" t="s">
        <v>987</v>
      </c>
      <c r="C2681" t="s">
        <v>958</v>
      </c>
      <c r="D2681" t="s">
        <v>970</v>
      </c>
      <c r="E2681" t="s">
        <v>971</v>
      </c>
      <c r="F2681" t="s">
        <v>154</v>
      </c>
      <c r="H2681" t="s">
        <v>5157</v>
      </c>
      <c r="I2681" t="s">
        <v>5855</v>
      </c>
      <c r="J2681" t="s">
        <v>5830</v>
      </c>
      <c r="K2681" t="s">
        <v>5846</v>
      </c>
      <c r="L2681" t="s">
        <v>4717</v>
      </c>
    </row>
    <row r="2682">
      <c r="A2682" t="s">
        <v>2449</v>
      </c>
      <c r="B2682" t="s">
        <v>987</v>
      </c>
      <c r="C2682" t="s">
        <v>958</v>
      </c>
      <c r="D2682" t="s">
        <v>970</v>
      </c>
      <c r="E2682" t="s">
        <v>971</v>
      </c>
      <c r="F2682" t="s">
        <v>154</v>
      </c>
      <c r="H2682" t="s">
        <v>5170</v>
      </c>
      <c r="I2682" t="s">
        <v>5856</v>
      </c>
      <c r="J2682" t="s">
        <v>5832</v>
      </c>
      <c r="K2682" t="s">
        <v>5846</v>
      </c>
      <c r="L2682" t="s">
        <v>4717</v>
      </c>
    </row>
    <row r="2683">
      <c r="A2683" t="s">
        <v>2452</v>
      </c>
      <c r="B2683" t="s">
        <v>993</v>
      </c>
      <c r="C2683" t="s">
        <v>958</v>
      </c>
      <c r="D2683" t="s">
        <v>970</v>
      </c>
      <c r="E2683" t="s">
        <v>971</v>
      </c>
      <c r="F2683" t="s">
        <v>120</v>
      </c>
      <c r="H2683" t="s">
        <v>5041</v>
      </c>
      <c r="I2683" t="s">
        <v>5857</v>
      </c>
      <c r="J2683" t="s">
        <v>5810</v>
      </c>
      <c r="K2683" t="s">
        <v>5858</v>
      </c>
      <c r="L2683" t="s">
        <v>4717</v>
      </c>
    </row>
    <row r="2684">
      <c r="A2684" t="s">
        <v>2452</v>
      </c>
      <c r="B2684" t="s">
        <v>993</v>
      </c>
      <c r="C2684" t="s">
        <v>958</v>
      </c>
      <c r="D2684" t="s">
        <v>970</v>
      </c>
      <c r="E2684" t="s">
        <v>971</v>
      </c>
      <c r="F2684" t="s">
        <v>120</v>
      </c>
      <c r="H2684" t="s">
        <v>5616</v>
      </c>
      <c r="I2684" t="s">
        <v>5859</v>
      </c>
      <c r="J2684" t="s">
        <v>5813</v>
      </c>
      <c r="K2684" t="s">
        <v>5858</v>
      </c>
      <c r="L2684" t="s">
        <v>4717</v>
      </c>
    </row>
    <row r="2685">
      <c r="A2685" t="s">
        <v>2452</v>
      </c>
      <c r="B2685" t="s">
        <v>993</v>
      </c>
      <c r="C2685" t="s">
        <v>958</v>
      </c>
      <c r="D2685" t="s">
        <v>970</v>
      </c>
      <c r="E2685" t="s">
        <v>971</v>
      </c>
      <c r="F2685" t="s">
        <v>120</v>
      </c>
      <c r="H2685" t="s">
        <v>5814</v>
      </c>
      <c r="I2685" t="s">
        <v>5860</v>
      </c>
      <c r="J2685" t="s">
        <v>5816</v>
      </c>
      <c r="K2685" t="s">
        <v>5858</v>
      </c>
      <c r="L2685" t="s">
        <v>4717</v>
      </c>
    </row>
    <row r="2686">
      <c r="A2686" t="s">
        <v>2452</v>
      </c>
      <c r="B2686" t="s">
        <v>993</v>
      </c>
      <c r="C2686" t="s">
        <v>958</v>
      </c>
      <c r="D2686" t="s">
        <v>970</v>
      </c>
      <c r="E2686" t="s">
        <v>971</v>
      </c>
      <c r="F2686" t="s">
        <v>120</v>
      </c>
      <c r="H2686" t="s">
        <v>5814</v>
      </c>
      <c r="I2686" t="s">
        <v>5861</v>
      </c>
      <c r="J2686" t="s">
        <v>5818</v>
      </c>
      <c r="K2686" t="s">
        <v>5858</v>
      </c>
      <c r="L2686" t="s">
        <v>4717</v>
      </c>
    </row>
    <row r="2687">
      <c r="A2687" t="s">
        <v>2452</v>
      </c>
      <c r="B2687" t="s">
        <v>993</v>
      </c>
      <c r="C2687" t="s">
        <v>958</v>
      </c>
      <c r="D2687" t="s">
        <v>970</v>
      </c>
      <c r="E2687" t="s">
        <v>971</v>
      </c>
      <c r="F2687" t="s">
        <v>120</v>
      </c>
      <c r="H2687" t="s">
        <v>5603</v>
      </c>
      <c r="I2687" t="s">
        <v>5862</v>
      </c>
      <c r="J2687" t="s">
        <v>5820</v>
      </c>
      <c r="K2687" t="s">
        <v>5858</v>
      </c>
      <c r="L2687" t="s">
        <v>4717</v>
      </c>
    </row>
    <row r="2688">
      <c r="A2688" t="s">
        <v>2452</v>
      </c>
      <c r="B2688" t="s">
        <v>993</v>
      </c>
      <c r="C2688" t="s">
        <v>958</v>
      </c>
      <c r="D2688" t="s">
        <v>970</v>
      </c>
      <c r="E2688" t="s">
        <v>971</v>
      </c>
      <c r="F2688" t="s">
        <v>120</v>
      </c>
      <c r="H2688" t="s">
        <v>5499</v>
      </c>
      <c r="I2688" t="s">
        <v>5863</v>
      </c>
      <c r="J2688" t="s">
        <v>5822</v>
      </c>
      <c r="K2688" t="s">
        <v>5858</v>
      </c>
      <c r="L2688" t="s">
        <v>4717</v>
      </c>
    </row>
    <row r="2689">
      <c r="A2689" t="s">
        <v>2452</v>
      </c>
      <c r="B2689" t="s">
        <v>993</v>
      </c>
      <c r="C2689" t="s">
        <v>958</v>
      </c>
      <c r="D2689" t="s">
        <v>970</v>
      </c>
      <c r="E2689" t="s">
        <v>971</v>
      </c>
      <c r="F2689" t="s">
        <v>120</v>
      </c>
      <c r="H2689" t="s">
        <v>5623</v>
      </c>
      <c r="I2689" t="s">
        <v>5864</v>
      </c>
      <c r="J2689" t="s">
        <v>5824</v>
      </c>
      <c r="K2689" t="s">
        <v>5858</v>
      </c>
      <c r="L2689" t="s">
        <v>4717</v>
      </c>
    </row>
    <row r="2690">
      <c r="A2690" t="s">
        <v>2452</v>
      </c>
      <c r="B2690" t="s">
        <v>993</v>
      </c>
      <c r="C2690" t="s">
        <v>958</v>
      </c>
      <c r="D2690" t="s">
        <v>970</v>
      </c>
      <c r="E2690" t="s">
        <v>971</v>
      </c>
      <c r="F2690" t="s">
        <v>120</v>
      </c>
      <c r="H2690" t="s">
        <v>5181</v>
      </c>
      <c r="I2690" t="s">
        <v>5865</v>
      </c>
      <c r="J2690" t="s">
        <v>5826</v>
      </c>
      <c r="K2690" t="s">
        <v>5858</v>
      </c>
      <c r="L2690" t="s">
        <v>4717</v>
      </c>
    </row>
    <row r="2691">
      <c r="A2691" t="s">
        <v>2452</v>
      </c>
      <c r="B2691" t="s">
        <v>993</v>
      </c>
      <c r="C2691" t="s">
        <v>958</v>
      </c>
      <c r="D2691" t="s">
        <v>970</v>
      </c>
      <c r="E2691" t="s">
        <v>971</v>
      </c>
      <c r="F2691" t="s">
        <v>120</v>
      </c>
      <c r="H2691" t="s">
        <v>3904</v>
      </c>
      <c r="I2691" t="s">
        <v>5866</v>
      </c>
      <c r="J2691" t="s">
        <v>5828</v>
      </c>
      <c r="K2691" t="s">
        <v>5858</v>
      </c>
      <c r="L2691" t="s">
        <v>4717</v>
      </c>
    </row>
    <row r="2692">
      <c r="A2692" t="s">
        <v>2452</v>
      </c>
      <c r="B2692" t="s">
        <v>993</v>
      </c>
      <c r="C2692" t="s">
        <v>958</v>
      </c>
      <c r="D2692" t="s">
        <v>970</v>
      </c>
      <c r="E2692" t="s">
        <v>971</v>
      </c>
      <c r="F2692" t="s">
        <v>120</v>
      </c>
      <c r="H2692" t="s">
        <v>5157</v>
      </c>
      <c r="I2692" t="s">
        <v>5867</v>
      </c>
      <c r="J2692" t="s">
        <v>5830</v>
      </c>
      <c r="K2692" t="s">
        <v>5858</v>
      </c>
      <c r="L2692" t="s">
        <v>4717</v>
      </c>
    </row>
    <row r="2693">
      <c r="A2693" t="s">
        <v>2452</v>
      </c>
      <c r="B2693" t="s">
        <v>993</v>
      </c>
      <c r="C2693" t="s">
        <v>958</v>
      </c>
      <c r="D2693" t="s">
        <v>970</v>
      </c>
      <c r="E2693" t="s">
        <v>971</v>
      </c>
      <c r="F2693" t="s">
        <v>120</v>
      </c>
      <c r="H2693" t="s">
        <v>5170</v>
      </c>
      <c r="I2693" t="s">
        <v>5868</v>
      </c>
      <c r="J2693" t="s">
        <v>5832</v>
      </c>
      <c r="K2693" t="s">
        <v>5858</v>
      </c>
      <c r="L2693" t="s">
        <v>4717</v>
      </c>
    </row>
    <row r="2694">
      <c r="A2694" t="s">
        <v>2455</v>
      </c>
      <c r="B2694" t="s">
        <v>1001</v>
      </c>
      <c r="C2694" t="s">
        <v>958</v>
      </c>
      <c r="D2694" t="s">
        <v>970</v>
      </c>
      <c r="E2694" t="s">
        <v>971</v>
      </c>
      <c r="F2694" t="s">
        <v>120</v>
      </c>
      <c r="H2694" t="s">
        <v>5041</v>
      </c>
      <c r="I2694" t="s">
        <v>5869</v>
      </c>
      <c r="J2694" t="s">
        <v>5810</v>
      </c>
      <c r="K2694" t="s">
        <v>5870</v>
      </c>
      <c r="L2694" t="s">
        <v>4717</v>
      </c>
    </row>
    <row r="2695">
      <c r="A2695" t="s">
        <v>2455</v>
      </c>
      <c r="B2695" t="s">
        <v>1001</v>
      </c>
      <c r="C2695" t="s">
        <v>958</v>
      </c>
      <c r="D2695" t="s">
        <v>970</v>
      </c>
      <c r="E2695" t="s">
        <v>971</v>
      </c>
      <c r="F2695" t="s">
        <v>120</v>
      </c>
      <c r="H2695" t="s">
        <v>5616</v>
      </c>
      <c r="I2695" t="s">
        <v>5871</v>
      </c>
      <c r="J2695" t="s">
        <v>5813</v>
      </c>
      <c r="K2695" t="s">
        <v>5870</v>
      </c>
      <c r="L2695" t="s">
        <v>4717</v>
      </c>
    </row>
    <row r="2696">
      <c r="A2696" t="s">
        <v>2455</v>
      </c>
      <c r="B2696" t="s">
        <v>1001</v>
      </c>
      <c r="C2696" t="s">
        <v>958</v>
      </c>
      <c r="D2696" t="s">
        <v>970</v>
      </c>
      <c r="E2696" t="s">
        <v>971</v>
      </c>
      <c r="F2696" t="s">
        <v>120</v>
      </c>
      <c r="H2696" t="s">
        <v>5814</v>
      </c>
      <c r="I2696" t="s">
        <v>5872</v>
      </c>
      <c r="J2696" t="s">
        <v>5816</v>
      </c>
      <c r="K2696" t="s">
        <v>5870</v>
      </c>
      <c r="L2696" t="s">
        <v>4717</v>
      </c>
    </row>
    <row r="2697">
      <c r="A2697" t="s">
        <v>2455</v>
      </c>
      <c r="B2697" t="s">
        <v>1001</v>
      </c>
      <c r="C2697" t="s">
        <v>958</v>
      </c>
      <c r="D2697" t="s">
        <v>970</v>
      </c>
      <c r="E2697" t="s">
        <v>971</v>
      </c>
      <c r="F2697" t="s">
        <v>120</v>
      </c>
      <c r="H2697" t="s">
        <v>5814</v>
      </c>
      <c r="I2697" t="s">
        <v>5873</v>
      </c>
      <c r="J2697" t="s">
        <v>5818</v>
      </c>
      <c r="K2697" t="s">
        <v>5870</v>
      </c>
      <c r="L2697" t="s">
        <v>4717</v>
      </c>
    </row>
    <row r="2698">
      <c r="A2698" t="s">
        <v>2455</v>
      </c>
      <c r="B2698" t="s">
        <v>1001</v>
      </c>
      <c r="C2698" t="s">
        <v>958</v>
      </c>
      <c r="D2698" t="s">
        <v>970</v>
      </c>
      <c r="E2698" t="s">
        <v>971</v>
      </c>
      <c r="F2698" t="s">
        <v>120</v>
      </c>
      <c r="H2698" t="s">
        <v>5603</v>
      </c>
      <c r="I2698" t="s">
        <v>5874</v>
      </c>
      <c r="J2698" t="s">
        <v>5820</v>
      </c>
      <c r="K2698" t="s">
        <v>5870</v>
      </c>
      <c r="L2698" t="s">
        <v>4717</v>
      </c>
    </row>
    <row r="2699">
      <c r="A2699" t="s">
        <v>2455</v>
      </c>
      <c r="B2699" t="s">
        <v>1001</v>
      </c>
      <c r="C2699" t="s">
        <v>958</v>
      </c>
      <c r="D2699" t="s">
        <v>970</v>
      </c>
      <c r="E2699" t="s">
        <v>971</v>
      </c>
      <c r="F2699" t="s">
        <v>120</v>
      </c>
      <c r="H2699" t="s">
        <v>5499</v>
      </c>
      <c r="I2699" t="s">
        <v>5875</v>
      </c>
      <c r="J2699" t="s">
        <v>5822</v>
      </c>
      <c r="K2699" t="s">
        <v>5870</v>
      </c>
      <c r="L2699" t="s">
        <v>4717</v>
      </c>
    </row>
    <row r="2700">
      <c r="A2700" t="s">
        <v>2455</v>
      </c>
      <c r="B2700" t="s">
        <v>1001</v>
      </c>
      <c r="C2700" t="s">
        <v>958</v>
      </c>
      <c r="D2700" t="s">
        <v>970</v>
      </c>
      <c r="E2700" t="s">
        <v>971</v>
      </c>
      <c r="F2700" t="s">
        <v>120</v>
      </c>
      <c r="H2700" t="s">
        <v>5623</v>
      </c>
      <c r="I2700" t="s">
        <v>5876</v>
      </c>
      <c r="J2700" t="s">
        <v>5824</v>
      </c>
      <c r="K2700" t="s">
        <v>5870</v>
      </c>
      <c r="L2700" t="s">
        <v>4717</v>
      </c>
    </row>
    <row r="2701">
      <c r="A2701" t="s">
        <v>2455</v>
      </c>
      <c r="B2701" t="s">
        <v>1001</v>
      </c>
      <c r="C2701" t="s">
        <v>958</v>
      </c>
      <c r="D2701" t="s">
        <v>970</v>
      </c>
      <c r="E2701" t="s">
        <v>971</v>
      </c>
      <c r="F2701" t="s">
        <v>120</v>
      </c>
      <c r="H2701" t="s">
        <v>5181</v>
      </c>
      <c r="I2701" t="s">
        <v>5877</v>
      </c>
      <c r="J2701" t="s">
        <v>5826</v>
      </c>
      <c r="K2701" t="s">
        <v>5870</v>
      </c>
      <c r="L2701" t="s">
        <v>4717</v>
      </c>
    </row>
    <row r="2702">
      <c r="A2702" t="s">
        <v>2455</v>
      </c>
      <c r="B2702" t="s">
        <v>1001</v>
      </c>
      <c r="C2702" t="s">
        <v>958</v>
      </c>
      <c r="D2702" t="s">
        <v>970</v>
      </c>
      <c r="E2702" t="s">
        <v>971</v>
      </c>
      <c r="F2702" t="s">
        <v>120</v>
      </c>
      <c r="H2702" t="s">
        <v>3904</v>
      </c>
      <c r="I2702" t="s">
        <v>5878</v>
      </c>
      <c r="J2702" t="s">
        <v>5828</v>
      </c>
      <c r="K2702" t="s">
        <v>5870</v>
      </c>
      <c r="L2702" t="s">
        <v>4717</v>
      </c>
    </row>
    <row r="2703">
      <c r="A2703" t="s">
        <v>2455</v>
      </c>
      <c r="B2703" t="s">
        <v>1001</v>
      </c>
      <c r="C2703" t="s">
        <v>958</v>
      </c>
      <c r="D2703" t="s">
        <v>970</v>
      </c>
      <c r="E2703" t="s">
        <v>971</v>
      </c>
      <c r="F2703" t="s">
        <v>120</v>
      </c>
      <c r="H2703" t="s">
        <v>5157</v>
      </c>
      <c r="I2703" t="s">
        <v>5879</v>
      </c>
      <c r="J2703" t="s">
        <v>5830</v>
      </c>
      <c r="K2703" t="s">
        <v>5870</v>
      </c>
      <c r="L2703" t="s">
        <v>4717</v>
      </c>
    </row>
    <row r="2704">
      <c r="A2704" t="s">
        <v>2455</v>
      </c>
      <c r="B2704" t="s">
        <v>1001</v>
      </c>
      <c r="C2704" t="s">
        <v>958</v>
      </c>
      <c r="D2704" t="s">
        <v>970</v>
      </c>
      <c r="E2704" t="s">
        <v>971</v>
      </c>
      <c r="F2704" t="s">
        <v>120</v>
      </c>
      <c r="H2704" t="s">
        <v>5170</v>
      </c>
      <c r="I2704" t="s">
        <v>5880</v>
      </c>
      <c r="J2704" t="s">
        <v>5832</v>
      </c>
      <c r="K2704" t="s">
        <v>5870</v>
      </c>
      <c r="L2704" t="s">
        <v>4717</v>
      </c>
    </row>
    <row r="2705">
      <c r="A2705" t="s">
        <v>2458</v>
      </c>
      <c r="B2705" t="s">
        <v>1007</v>
      </c>
      <c r="C2705" t="s">
        <v>958</v>
      </c>
      <c r="D2705" t="s">
        <v>970</v>
      </c>
      <c r="E2705" t="s">
        <v>971</v>
      </c>
      <c r="F2705" t="s">
        <v>120</v>
      </c>
      <c r="H2705" t="s">
        <v>5041</v>
      </c>
      <c r="I2705" t="s">
        <v>5881</v>
      </c>
      <c r="J2705" t="s">
        <v>5810</v>
      </c>
      <c r="K2705" t="s">
        <v>5882</v>
      </c>
      <c r="L2705" t="s">
        <v>4717</v>
      </c>
    </row>
    <row r="2706">
      <c r="A2706" t="s">
        <v>2458</v>
      </c>
      <c r="B2706" t="s">
        <v>1007</v>
      </c>
      <c r="C2706" t="s">
        <v>958</v>
      </c>
      <c r="D2706" t="s">
        <v>970</v>
      </c>
      <c r="E2706" t="s">
        <v>971</v>
      </c>
      <c r="F2706" t="s">
        <v>120</v>
      </c>
      <c r="H2706" t="s">
        <v>5616</v>
      </c>
      <c r="I2706" t="s">
        <v>5883</v>
      </c>
      <c r="J2706" t="s">
        <v>5813</v>
      </c>
      <c r="K2706" t="s">
        <v>5882</v>
      </c>
      <c r="L2706" t="s">
        <v>4717</v>
      </c>
    </row>
    <row r="2707">
      <c r="A2707" t="s">
        <v>2458</v>
      </c>
      <c r="B2707" t="s">
        <v>1007</v>
      </c>
      <c r="C2707" t="s">
        <v>958</v>
      </c>
      <c r="D2707" t="s">
        <v>970</v>
      </c>
      <c r="E2707" t="s">
        <v>971</v>
      </c>
      <c r="F2707" t="s">
        <v>120</v>
      </c>
      <c r="H2707" t="s">
        <v>5814</v>
      </c>
      <c r="I2707" t="s">
        <v>5884</v>
      </c>
      <c r="J2707" t="s">
        <v>5816</v>
      </c>
      <c r="K2707" t="s">
        <v>5882</v>
      </c>
      <c r="L2707" t="s">
        <v>4717</v>
      </c>
    </row>
    <row r="2708">
      <c r="A2708" t="s">
        <v>2458</v>
      </c>
      <c r="B2708" t="s">
        <v>1007</v>
      </c>
      <c r="C2708" t="s">
        <v>958</v>
      </c>
      <c r="D2708" t="s">
        <v>970</v>
      </c>
      <c r="E2708" t="s">
        <v>971</v>
      </c>
      <c r="F2708" t="s">
        <v>120</v>
      </c>
      <c r="H2708" t="s">
        <v>5814</v>
      </c>
      <c r="I2708" t="s">
        <v>5885</v>
      </c>
      <c r="J2708" t="s">
        <v>5818</v>
      </c>
      <c r="K2708" t="s">
        <v>5882</v>
      </c>
      <c r="L2708" t="s">
        <v>4717</v>
      </c>
    </row>
    <row r="2709">
      <c r="A2709" t="s">
        <v>2458</v>
      </c>
      <c r="B2709" t="s">
        <v>1007</v>
      </c>
      <c r="C2709" t="s">
        <v>958</v>
      </c>
      <c r="D2709" t="s">
        <v>970</v>
      </c>
      <c r="E2709" t="s">
        <v>971</v>
      </c>
      <c r="F2709" t="s">
        <v>120</v>
      </c>
      <c r="H2709" t="s">
        <v>5603</v>
      </c>
      <c r="I2709" t="s">
        <v>5886</v>
      </c>
      <c r="J2709" t="s">
        <v>5820</v>
      </c>
      <c r="K2709" t="s">
        <v>5882</v>
      </c>
      <c r="L2709" t="s">
        <v>4717</v>
      </c>
    </row>
    <row r="2710">
      <c r="A2710" t="s">
        <v>2458</v>
      </c>
      <c r="B2710" t="s">
        <v>1007</v>
      </c>
      <c r="C2710" t="s">
        <v>958</v>
      </c>
      <c r="D2710" t="s">
        <v>970</v>
      </c>
      <c r="E2710" t="s">
        <v>971</v>
      </c>
      <c r="F2710" t="s">
        <v>120</v>
      </c>
      <c r="H2710" t="s">
        <v>5499</v>
      </c>
      <c r="I2710" t="s">
        <v>5887</v>
      </c>
      <c r="J2710" t="s">
        <v>5822</v>
      </c>
      <c r="K2710" t="s">
        <v>5882</v>
      </c>
      <c r="L2710" t="s">
        <v>4717</v>
      </c>
    </row>
    <row r="2711">
      <c r="A2711" t="s">
        <v>2458</v>
      </c>
      <c r="B2711" t="s">
        <v>1007</v>
      </c>
      <c r="C2711" t="s">
        <v>958</v>
      </c>
      <c r="D2711" t="s">
        <v>970</v>
      </c>
      <c r="E2711" t="s">
        <v>971</v>
      </c>
      <c r="F2711" t="s">
        <v>120</v>
      </c>
      <c r="H2711" t="s">
        <v>5623</v>
      </c>
      <c r="I2711" t="s">
        <v>5888</v>
      </c>
      <c r="J2711" t="s">
        <v>5824</v>
      </c>
      <c r="K2711" t="s">
        <v>5882</v>
      </c>
      <c r="L2711" t="s">
        <v>4717</v>
      </c>
    </row>
    <row r="2712">
      <c r="A2712" t="s">
        <v>2458</v>
      </c>
      <c r="B2712" t="s">
        <v>1007</v>
      </c>
      <c r="C2712" t="s">
        <v>958</v>
      </c>
      <c r="D2712" t="s">
        <v>970</v>
      </c>
      <c r="E2712" t="s">
        <v>971</v>
      </c>
      <c r="F2712" t="s">
        <v>120</v>
      </c>
      <c r="H2712" t="s">
        <v>5181</v>
      </c>
      <c r="I2712" t="s">
        <v>5889</v>
      </c>
      <c r="J2712" t="s">
        <v>5826</v>
      </c>
      <c r="K2712" t="s">
        <v>5882</v>
      </c>
      <c r="L2712" t="s">
        <v>4717</v>
      </c>
    </row>
    <row r="2713">
      <c r="A2713" t="s">
        <v>2458</v>
      </c>
      <c r="B2713" t="s">
        <v>1007</v>
      </c>
      <c r="C2713" t="s">
        <v>958</v>
      </c>
      <c r="D2713" t="s">
        <v>970</v>
      </c>
      <c r="E2713" t="s">
        <v>971</v>
      </c>
      <c r="F2713" t="s">
        <v>120</v>
      </c>
      <c r="H2713" t="s">
        <v>3904</v>
      </c>
      <c r="I2713" t="s">
        <v>5890</v>
      </c>
      <c r="J2713" t="s">
        <v>5828</v>
      </c>
      <c r="K2713" t="s">
        <v>5882</v>
      </c>
      <c r="L2713" t="s">
        <v>4717</v>
      </c>
    </row>
    <row r="2714">
      <c r="A2714" t="s">
        <v>2458</v>
      </c>
      <c r="B2714" t="s">
        <v>1007</v>
      </c>
      <c r="C2714" t="s">
        <v>958</v>
      </c>
      <c r="D2714" t="s">
        <v>970</v>
      </c>
      <c r="E2714" t="s">
        <v>971</v>
      </c>
      <c r="F2714" t="s">
        <v>120</v>
      </c>
      <c r="H2714" t="s">
        <v>5157</v>
      </c>
      <c r="I2714" t="s">
        <v>5891</v>
      </c>
      <c r="J2714" t="s">
        <v>5830</v>
      </c>
      <c r="K2714" t="s">
        <v>5882</v>
      </c>
      <c r="L2714" t="s">
        <v>4717</v>
      </c>
    </row>
    <row r="2715">
      <c r="A2715" t="s">
        <v>2458</v>
      </c>
      <c r="B2715" t="s">
        <v>1007</v>
      </c>
      <c r="C2715" t="s">
        <v>958</v>
      </c>
      <c r="D2715" t="s">
        <v>970</v>
      </c>
      <c r="E2715" t="s">
        <v>971</v>
      </c>
      <c r="F2715" t="s">
        <v>120</v>
      </c>
      <c r="H2715" t="s">
        <v>5170</v>
      </c>
      <c r="I2715" t="s">
        <v>5892</v>
      </c>
      <c r="J2715" t="s">
        <v>5832</v>
      </c>
      <c r="K2715" t="s">
        <v>5882</v>
      </c>
      <c r="L2715" t="s">
        <v>4717</v>
      </c>
    </row>
    <row r="2716">
      <c r="A2716" t="s">
        <v>2486</v>
      </c>
      <c r="B2716" t="s">
        <v>1074</v>
      </c>
      <c r="C2716" t="s">
        <v>958</v>
      </c>
      <c r="D2716" t="s">
        <v>970</v>
      </c>
      <c r="E2716" t="s">
        <v>1072</v>
      </c>
      <c r="F2716" t="s">
        <v>120</v>
      </c>
      <c r="H2716" t="s">
        <v>5041</v>
      </c>
      <c r="I2716" t="s">
        <v>5893</v>
      </c>
      <c r="J2716" t="s">
        <v>5810</v>
      </c>
      <c r="K2716" t="s">
        <v>5894</v>
      </c>
      <c r="L2716" t="s">
        <v>4717</v>
      </c>
    </row>
    <row r="2717">
      <c r="A2717" t="s">
        <v>2486</v>
      </c>
      <c r="B2717" t="s">
        <v>1074</v>
      </c>
      <c r="C2717" t="s">
        <v>958</v>
      </c>
      <c r="D2717" t="s">
        <v>970</v>
      </c>
      <c r="E2717" t="s">
        <v>1072</v>
      </c>
      <c r="F2717" t="s">
        <v>120</v>
      </c>
      <c r="H2717" t="s">
        <v>5616</v>
      </c>
      <c r="I2717" t="s">
        <v>5895</v>
      </c>
      <c r="J2717" t="s">
        <v>5813</v>
      </c>
      <c r="K2717" t="s">
        <v>5894</v>
      </c>
      <c r="L2717" t="s">
        <v>4717</v>
      </c>
    </row>
    <row r="2718">
      <c r="A2718" t="s">
        <v>2486</v>
      </c>
      <c r="B2718" t="s">
        <v>1074</v>
      </c>
      <c r="C2718" t="s">
        <v>958</v>
      </c>
      <c r="D2718" t="s">
        <v>970</v>
      </c>
      <c r="E2718" t="s">
        <v>1072</v>
      </c>
      <c r="F2718" t="s">
        <v>120</v>
      </c>
      <c r="H2718" t="s">
        <v>5814</v>
      </c>
      <c r="I2718" t="s">
        <v>5896</v>
      </c>
      <c r="J2718" t="s">
        <v>5816</v>
      </c>
      <c r="K2718" t="s">
        <v>5894</v>
      </c>
      <c r="L2718" t="s">
        <v>4717</v>
      </c>
    </row>
    <row r="2719">
      <c r="A2719" t="s">
        <v>2486</v>
      </c>
      <c r="B2719" t="s">
        <v>1074</v>
      </c>
      <c r="C2719" t="s">
        <v>958</v>
      </c>
      <c r="D2719" t="s">
        <v>970</v>
      </c>
      <c r="E2719" t="s">
        <v>1072</v>
      </c>
      <c r="F2719" t="s">
        <v>120</v>
      </c>
      <c r="H2719" t="s">
        <v>5814</v>
      </c>
      <c r="I2719" t="s">
        <v>5897</v>
      </c>
      <c r="J2719" t="s">
        <v>5818</v>
      </c>
      <c r="K2719" t="s">
        <v>5894</v>
      </c>
      <c r="L2719" t="s">
        <v>4717</v>
      </c>
    </row>
    <row r="2720">
      <c r="A2720" t="s">
        <v>2486</v>
      </c>
      <c r="B2720" t="s">
        <v>1074</v>
      </c>
      <c r="C2720" t="s">
        <v>958</v>
      </c>
      <c r="D2720" t="s">
        <v>970</v>
      </c>
      <c r="E2720" t="s">
        <v>1072</v>
      </c>
      <c r="F2720" t="s">
        <v>120</v>
      </c>
      <c r="H2720" t="s">
        <v>5603</v>
      </c>
      <c r="I2720" t="s">
        <v>5898</v>
      </c>
      <c r="J2720" t="s">
        <v>5820</v>
      </c>
      <c r="K2720" t="s">
        <v>5894</v>
      </c>
      <c r="L2720" t="s">
        <v>4717</v>
      </c>
    </row>
    <row r="2721">
      <c r="A2721" t="s">
        <v>2486</v>
      </c>
      <c r="B2721" t="s">
        <v>1074</v>
      </c>
      <c r="C2721" t="s">
        <v>958</v>
      </c>
      <c r="D2721" t="s">
        <v>970</v>
      </c>
      <c r="E2721" t="s">
        <v>1072</v>
      </c>
      <c r="F2721" t="s">
        <v>120</v>
      </c>
      <c r="H2721" t="s">
        <v>5499</v>
      </c>
      <c r="I2721" t="s">
        <v>5899</v>
      </c>
      <c r="J2721" t="s">
        <v>5822</v>
      </c>
      <c r="K2721" t="s">
        <v>5894</v>
      </c>
      <c r="L2721" t="s">
        <v>4717</v>
      </c>
    </row>
    <row r="2722">
      <c r="A2722" t="s">
        <v>2486</v>
      </c>
      <c r="B2722" t="s">
        <v>1074</v>
      </c>
      <c r="C2722" t="s">
        <v>958</v>
      </c>
      <c r="D2722" t="s">
        <v>970</v>
      </c>
      <c r="E2722" t="s">
        <v>1072</v>
      </c>
      <c r="F2722" t="s">
        <v>120</v>
      </c>
      <c r="H2722" t="s">
        <v>5623</v>
      </c>
      <c r="I2722" t="s">
        <v>5900</v>
      </c>
      <c r="J2722" t="s">
        <v>5824</v>
      </c>
      <c r="K2722" t="s">
        <v>5894</v>
      </c>
      <c r="L2722" t="s">
        <v>4717</v>
      </c>
    </row>
    <row r="2723">
      <c r="A2723" t="s">
        <v>2486</v>
      </c>
      <c r="B2723" t="s">
        <v>1074</v>
      </c>
      <c r="C2723" t="s">
        <v>958</v>
      </c>
      <c r="D2723" t="s">
        <v>970</v>
      </c>
      <c r="E2723" t="s">
        <v>1072</v>
      </c>
      <c r="F2723" t="s">
        <v>120</v>
      </c>
      <c r="H2723" t="s">
        <v>5181</v>
      </c>
      <c r="I2723" t="s">
        <v>5901</v>
      </c>
      <c r="J2723" t="s">
        <v>5826</v>
      </c>
      <c r="K2723" t="s">
        <v>5894</v>
      </c>
      <c r="L2723" t="s">
        <v>4717</v>
      </c>
    </row>
    <row r="2724">
      <c r="A2724" t="s">
        <v>2486</v>
      </c>
      <c r="B2724" t="s">
        <v>1074</v>
      </c>
      <c r="C2724" t="s">
        <v>958</v>
      </c>
      <c r="D2724" t="s">
        <v>970</v>
      </c>
      <c r="E2724" t="s">
        <v>1072</v>
      </c>
      <c r="F2724" t="s">
        <v>120</v>
      </c>
      <c r="H2724" t="s">
        <v>3904</v>
      </c>
      <c r="I2724" t="s">
        <v>5902</v>
      </c>
      <c r="J2724" t="s">
        <v>5828</v>
      </c>
      <c r="K2724" t="s">
        <v>5894</v>
      </c>
      <c r="L2724" t="s">
        <v>4717</v>
      </c>
    </row>
    <row r="2725">
      <c r="A2725" t="s">
        <v>2486</v>
      </c>
      <c r="B2725" t="s">
        <v>1074</v>
      </c>
      <c r="C2725" t="s">
        <v>958</v>
      </c>
      <c r="D2725" t="s">
        <v>970</v>
      </c>
      <c r="E2725" t="s">
        <v>1072</v>
      </c>
      <c r="F2725" t="s">
        <v>120</v>
      </c>
      <c r="H2725" t="s">
        <v>5157</v>
      </c>
      <c r="I2725" t="s">
        <v>5903</v>
      </c>
      <c r="J2725" t="s">
        <v>5830</v>
      </c>
      <c r="K2725" t="s">
        <v>5894</v>
      </c>
      <c r="L2725" t="s">
        <v>4717</v>
      </c>
    </row>
    <row r="2726">
      <c r="A2726" t="s">
        <v>2486</v>
      </c>
      <c r="B2726" t="s">
        <v>1074</v>
      </c>
      <c r="C2726" t="s">
        <v>958</v>
      </c>
      <c r="D2726" t="s">
        <v>970</v>
      </c>
      <c r="E2726" t="s">
        <v>1072</v>
      </c>
      <c r="F2726" t="s">
        <v>120</v>
      </c>
      <c r="H2726" t="s">
        <v>5170</v>
      </c>
      <c r="I2726" t="s">
        <v>5904</v>
      </c>
      <c r="J2726" t="s">
        <v>5832</v>
      </c>
      <c r="K2726" t="s">
        <v>5894</v>
      </c>
      <c r="L2726" t="s">
        <v>4717</v>
      </c>
    </row>
    <row r="2727">
      <c r="A2727" t="s">
        <v>2667</v>
      </c>
      <c r="B2727" t="s">
        <v>1524</v>
      </c>
      <c r="C2727" t="s">
        <v>958</v>
      </c>
      <c r="D2727" t="s">
        <v>1521</v>
      </c>
      <c r="E2727" t="s">
        <v>1522</v>
      </c>
      <c r="F2727" t="s">
        <v>120</v>
      </c>
      <c r="G2727" t="s">
        <v>4715</v>
      </c>
      <c r="H2727" t="s">
        <v>5041</v>
      </c>
      <c r="I2727" t="s">
        <v>5905</v>
      </c>
      <c r="J2727" t="s">
        <v>5810</v>
      </c>
      <c r="K2727" t="s">
        <v>5906</v>
      </c>
      <c r="L2727" t="s">
        <v>4717</v>
      </c>
    </row>
    <row r="2728">
      <c r="A2728" t="s">
        <v>2667</v>
      </c>
      <c r="B2728" t="s">
        <v>1524</v>
      </c>
      <c r="C2728" t="s">
        <v>958</v>
      </c>
      <c r="D2728" t="s">
        <v>1521</v>
      </c>
      <c r="E2728" t="s">
        <v>1522</v>
      </c>
      <c r="F2728" t="s">
        <v>120</v>
      </c>
      <c r="G2728" t="s">
        <v>4715</v>
      </c>
      <c r="H2728" t="s">
        <v>5616</v>
      </c>
      <c r="I2728" t="s">
        <v>5907</v>
      </c>
      <c r="J2728" t="s">
        <v>5813</v>
      </c>
      <c r="K2728" t="s">
        <v>5906</v>
      </c>
      <c r="L2728" t="s">
        <v>4717</v>
      </c>
    </row>
    <row r="2729">
      <c r="A2729" t="s">
        <v>2667</v>
      </c>
      <c r="B2729" t="s">
        <v>1524</v>
      </c>
      <c r="C2729" t="s">
        <v>958</v>
      </c>
      <c r="D2729" t="s">
        <v>1521</v>
      </c>
      <c r="E2729" t="s">
        <v>1522</v>
      </c>
      <c r="F2729" t="s">
        <v>120</v>
      </c>
      <c r="G2729" t="s">
        <v>4715</v>
      </c>
      <c r="H2729" t="s">
        <v>5616</v>
      </c>
      <c r="I2729" t="s">
        <v>5908</v>
      </c>
      <c r="J2729" t="s">
        <v>5909</v>
      </c>
      <c r="K2729" t="s">
        <v>5906</v>
      </c>
      <c r="L2729" t="s">
        <v>4717</v>
      </c>
    </row>
    <row r="2730">
      <c r="A2730" t="s">
        <v>2667</v>
      </c>
      <c r="B2730" t="s">
        <v>1524</v>
      </c>
      <c r="C2730" t="s">
        <v>958</v>
      </c>
      <c r="D2730" t="s">
        <v>1521</v>
      </c>
      <c r="E2730" t="s">
        <v>1522</v>
      </c>
      <c r="F2730" t="s">
        <v>120</v>
      </c>
      <c r="G2730" t="s">
        <v>4715</v>
      </c>
      <c r="H2730" t="s">
        <v>5616</v>
      </c>
      <c r="I2730" t="s">
        <v>5910</v>
      </c>
      <c r="J2730" t="s">
        <v>5911</v>
      </c>
      <c r="K2730" t="s">
        <v>5906</v>
      </c>
      <c r="L2730" t="s">
        <v>4717</v>
      </c>
    </row>
    <row r="2731">
      <c r="A2731" t="s">
        <v>2667</v>
      </c>
      <c r="B2731" t="s">
        <v>1524</v>
      </c>
      <c r="C2731" t="s">
        <v>958</v>
      </c>
      <c r="D2731" t="s">
        <v>1521</v>
      </c>
      <c r="E2731" t="s">
        <v>1522</v>
      </c>
      <c r="F2731" t="s">
        <v>120</v>
      </c>
      <c r="G2731" t="s">
        <v>4715</v>
      </c>
      <c r="H2731" t="s">
        <v>5157</v>
      </c>
      <c r="I2731" t="s">
        <v>5912</v>
      </c>
      <c r="J2731" t="s">
        <v>5913</v>
      </c>
      <c r="K2731" t="s">
        <v>5906</v>
      </c>
      <c r="L2731" t="s">
        <v>4717</v>
      </c>
    </row>
    <row r="2732">
      <c r="A2732" t="s">
        <v>2667</v>
      </c>
      <c r="B2732" t="s">
        <v>1524</v>
      </c>
      <c r="C2732" t="s">
        <v>958</v>
      </c>
      <c r="D2732" t="s">
        <v>1521</v>
      </c>
      <c r="E2732" t="s">
        <v>1522</v>
      </c>
      <c r="F2732" t="s">
        <v>120</v>
      </c>
      <c r="G2732" t="s">
        <v>4715</v>
      </c>
      <c r="H2732" t="s">
        <v>5170</v>
      </c>
      <c r="I2732" t="s">
        <v>5914</v>
      </c>
      <c r="J2732" t="s">
        <v>5915</v>
      </c>
      <c r="K2732" t="s">
        <v>5906</v>
      </c>
      <c r="L2732" t="s">
        <v>4717</v>
      </c>
    </row>
    <row r="2733">
      <c r="A2733" t="s">
        <v>2671</v>
      </c>
      <c r="B2733" t="s">
        <v>1532</v>
      </c>
      <c r="C2733" t="s">
        <v>958</v>
      </c>
      <c r="D2733" t="s">
        <v>1521</v>
      </c>
      <c r="E2733" t="s">
        <v>1522</v>
      </c>
      <c r="F2733" t="s">
        <v>120</v>
      </c>
      <c r="G2733" t="s">
        <v>4715</v>
      </c>
      <c r="H2733" t="s">
        <v>5041</v>
      </c>
      <c r="I2733" t="s">
        <v>5916</v>
      </c>
      <c r="J2733" t="s">
        <v>5810</v>
      </c>
      <c r="K2733" t="s">
        <v>5616</v>
      </c>
      <c r="L2733" t="s">
        <v>4717</v>
      </c>
    </row>
    <row r="2734">
      <c r="A2734" t="s">
        <v>2671</v>
      </c>
      <c r="B2734" t="s">
        <v>1532</v>
      </c>
      <c r="C2734" t="s">
        <v>958</v>
      </c>
      <c r="D2734" t="s">
        <v>1521</v>
      </c>
      <c r="E2734" t="s">
        <v>1522</v>
      </c>
      <c r="F2734" t="s">
        <v>120</v>
      </c>
      <c r="G2734" t="s">
        <v>4715</v>
      </c>
      <c r="H2734" t="s">
        <v>5616</v>
      </c>
      <c r="I2734" t="s">
        <v>5917</v>
      </c>
      <c r="J2734" t="s">
        <v>5813</v>
      </c>
      <c r="K2734" t="s">
        <v>5616</v>
      </c>
      <c r="L2734" t="s">
        <v>4717</v>
      </c>
    </row>
    <row r="2735">
      <c r="A2735" t="s">
        <v>2671</v>
      </c>
      <c r="B2735" t="s">
        <v>1532</v>
      </c>
      <c r="C2735" t="s">
        <v>958</v>
      </c>
      <c r="D2735" t="s">
        <v>1521</v>
      </c>
      <c r="E2735" t="s">
        <v>1522</v>
      </c>
      <c r="F2735" t="s">
        <v>120</v>
      </c>
      <c r="G2735" t="s">
        <v>4715</v>
      </c>
      <c r="H2735" t="s">
        <v>5616</v>
      </c>
      <c r="I2735" t="s">
        <v>5918</v>
      </c>
      <c r="J2735" t="s">
        <v>5909</v>
      </c>
      <c r="K2735" t="s">
        <v>5616</v>
      </c>
      <c r="L2735" t="s">
        <v>4717</v>
      </c>
    </row>
    <row r="2736">
      <c r="A2736" t="s">
        <v>2671</v>
      </c>
      <c r="B2736" t="s">
        <v>1532</v>
      </c>
      <c r="C2736" t="s">
        <v>958</v>
      </c>
      <c r="D2736" t="s">
        <v>1521</v>
      </c>
      <c r="E2736" t="s">
        <v>1522</v>
      </c>
      <c r="F2736" t="s">
        <v>120</v>
      </c>
      <c r="G2736" t="s">
        <v>4715</v>
      </c>
      <c r="H2736" t="s">
        <v>5616</v>
      </c>
      <c r="I2736" t="s">
        <v>5919</v>
      </c>
      <c r="J2736" t="s">
        <v>5911</v>
      </c>
      <c r="K2736" t="s">
        <v>5616</v>
      </c>
      <c r="L2736" t="s">
        <v>4717</v>
      </c>
    </row>
    <row r="2737">
      <c r="A2737" t="s">
        <v>2671</v>
      </c>
      <c r="B2737" t="s">
        <v>1532</v>
      </c>
      <c r="C2737" t="s">
        <v>958</v>
      </c>
      <c r="D2737" t="s">
        <v>1521</v>
      </c>
      <c r="E2737" t="s">
        <v>1522</v>
      </c>
      <c r="F2737" t="s">
        <v>120</v>
      </c>
      <c r="G2737" t="s">
        <v>4715</v>
      </c>
      <c r="H2737" t="s">
        <v>5157</v>
      </c>
      <c r="I2737" t="s">
        <v>5920</v>
      </c>
      <c r="J2737" t="s">
        <v>5913</v>
      </c>
      <c r="K2737" t="s">
        <v>5616</v>
      </c>
      <c r="L2737" t="s">
        <v>4717</v>
      </c>
    </row>
    <row r="2738">
      <c r="A2738" t="s">
        <v>2671</v>
      </c>
      <c r="B2738" t="s">
        <v>1532</v>
      </c>
      <c r="C2738" t="s">
        <v>958</v>
      </c>
      <c r="D2738" t="s">
        <v>1521</v>
      </c>
      <c r="E2738" t="s">
        <v>1522</v>
      </c>
      <c r="F2738" t="s">
        <v>120</v>
      </c>
      <c r="G2738" t="s">
        <v>4715</v>
      </c>
      <c r="H2738" t="s">
        <v>5170</v>
      </c>
      <c r="I2738" t="s">
        <v>5921</v>
      </c>
      <c r="J2738" t="s">
        <v>5915</v>
      </c>
      <c r="K2738" t="s">
        <v>5616</v>
      </c>
      <c r="L2738" t="s">
        <v>4717</v>
      </c>
    </row>
    <row r="2739">
      <c r="A2739" t="s">
        <v>2674</v>
      </c>
      <c r="B2739" t="s">
        <v>1539</v>
      </c>
      <c r="C2739" t="s">
        <v>958</v>
      </c>
      <c r="D2739" t="s">
        <v>1521</v>
      </c>
      <c r="E2739" t="s">
        <v>1522</v>
      </c>
      <c r="F2739" t="s">
        <v>120</v>
      </c>
      <c r="G2739" t="s">
        <v>4715</v>
      </c>
      <c r="H2739" t="s">
        <v>5041</v>
      </c>
      <c r="I2739" t="s">
        <v>5922</v>
      </c>
      <c r="J2739" t="s">
        <v>5810</v>
      </c>
      <c r="K2739" t="s">
        <v>5923</v>
      </c>
      <c r="L2739" t="s">
        <v>4717</v>
      </c>
    </row>
    <row r="2740">
      <c r="A2740" t="s">
        <v>2674</v>
      </c>
      <c r="B2740" t="s">
        <v>1539</v>
      </c>
      <c r="C2740" t="s">
        <v>958</v>
      </c>
      <c r="D2740" t="s">
        <v>1521</v>
      </c>
      <c r="E2740" t="s">
        <v>1522</v>
      </c>
      <c r="F2740" t="s">
        <v>120</v>
      </c>
      <c r="G2740" t="s">
        <v>4715</v>
      </c>
      <c r="H2740" t="s">
        <v>5616</v>
      </c>
      <c r="I2740" t="s">
        <v>5924</v>
      </c>
      <c r="J2740" t="s">
        <v>5813</v>
      </c>
      <c r="K2740" t="s">
        <v>5923</v>
      </c>
      <c r="L2740" t="s">
        <v>4717</v>
      </c>
    </row>
    <row r="2741">
      <c r="A2741" t="s">
        <v>2674</v>
      </c>
      <c r="B2741" t="s">
        <v>1539</v>
      </c>
      <c r="C2741" t="s">
        <v>958</v>
      </c>
      <c r="D2741" t="s">
        <v>1521</v>
      </c>
      <c r="E2741" t="s">
        <v>1522</v>
      </c>
      <c r="F2741" t="s">
        <v>120</v>
      </c>
      <c r="G2741" t="s">
        <v>4715</v>
      </c>
      <c r="H2741" t="s">
        <v>5616</v>
      </c>
      <c r="I2741" t="s">
        <v>5925</v>
      </c>
      <c r="J2741" t="s">
        <v>5909</v>
      </c>
      <c r="K2741" t="s">
        <v>5923</v>
      </c>
      <c r="L2741" t="s">
        <v>4717</v>
      </c>
    </row>
    <row r="2742">
      <c r="A2742" t="s">
        <v>2674</v>
      </c>
      <c r="B2742" t="s">
        <v>1539</v>
      </c>
      <c r="C2742" t="s">
        <v>958</v>
      </c>
      <c r="D2742" t="s">
        <v>1521</v>
      </c>
      <c r="E2742" t="s">
        <v>1522</v>
      </c>
      <c r="F2742" t="s">
        <v>120</v>
      </c>
      <c r="G2742" t="s">
        <v>4715</v>
      </c>
      <c r="H2742" t="s">
        <v>5616</v>
      </c>
      <c r="I2742" t="s">
        <v>5926</v>
      </c>
      <c r="J2742" t="s">
        <v>5911</v>
      </c>
      <c r="K2742" t="s">
        <v>5923</v>
      </c>
      <c r="L2742" t="s">
        <v>4717</v>
      </c>
    </row>
    <row r="2743">
      <c r="A2743" t="s">
        <v>2674</v>
      </c>
      <c r="B2743" t="s">
        <v>1539</v>
      </c>
      <c r="C2743" t="s">
        <v>958</v>
      </c>
      <c r="D2743" t="s">
        <v>1521</v>
      </c>
      <c r="E2743" t="s">
        <v>1522</v>
      </c>
      <c r="F2743" t="s">
        <v>120</v>
      </c>
      <c r="G2743" t="s">
        <v>4715</v>
      </c>
      <c r="H2743" t="s">
        <v>5157</v>
      </c>
      <c r="I2743" t="s">
        <v>5927</v>
      </c>
      <c r="J2743" t="s">
        <v>5913</v>
      </c>
      <c r="K2743" t="s">
        <v>5923</v>
      </c>
      <c r="L2743" t="s">
        <v>4717</v>
      </c>
    </row>
    <row r="2744">
      <c r="A2744" t="s">
        <v>2674</v>
      </c>
      <c r="B2744" t="s">
        <v>1539</v>
      </c>
      <c r="C2744" t="s">
        <v>958</v>
      </c>
      <c r="D2744" t="s">
        <v>1521</v>
      </c>
      <c r="E2744" t="s">
        <v>1522</v>
      </c>
      <c r="F2744" t="s">
        <v>120</v>
      </c>
      <c r="G2744" t="s">
        <v>4715</v>
      </c>
      <c r="H2744" t="s">
        <v>5170</v>
      </c>
      <c r="I2744" t="s">
        <v>5928</v>
      </c>
      <c r="J2744" t="s">
        <v>5915</v>
      </c>
      <c r="K2744" t="s">
        <v>5923</v>
      </c>
      <c r="L2744" t="s">
        <v>4717</v>
      </c>
    </row>
    <row r="2745">
      <c r="A2745" t="s">
        <v>2677</v>
      </c>
      <c r="B2745" t="s">
        <v>1547</v>
      </c>
      <c r="C2745" t="s">
        <v>958</v>
      </c>
      <c r="D2745" t="s">
        <v>1521</v>
      </c>
      <c r="E2745" t="s">
        <v>1522</v>
      </c>
      <c r="F2745" t="s">
        <v>120</v>
      </c>
      <c r="G2745" t="s">
        <v>4715</v>
      </c>
      <c r="H2745" t="s">
        <v>5041</v>
      </c>
      <c r="I2745" t="s">
        <v>5929</v>
      </c>
      <c r="J2745" t="s">
        <v>5810</v>
      </c>
      <c r="K2745" t="s">
        <v>5930</v>
      </c>
      <c r="L2745" t="s">
        <v>4717</v>
      </c>
    </row>
    <row r="2746">
      <c r="A2746" t="s">
        <v>2677</v>
      </c>
      <c r="B2746" t="s">
        <v>1547</v>
      </c>
      <c r="C2746" t="s">
        <v>958</v>
      </c>
      <c r="D2746" t="s">
        <v>1521</v>
      </c>
      <c r="E2746" t="s">
        <v>1522</v>
      </c>
      <c r="F2746" t="s">
        <v>120</v>
      </c>
      <c r="G2746" t="s">
        <v>4715</v>
      </c>
      <c r="H2746" t="s">
        <v>5616</v>
      </c>
      <c r="I2746" t="s">
        <v>5931</v>
      </c>
      <c r="J2746" t="s">
        <v>5813</v>
      </c>
      <c r="K2746" t="s">
        <v>5930</v>
      </c>
      <c r="L2746" t="s">
        <v>4717</v>
      </c>
    </row>
    <row r="2747">
      <c r="A2747" t="s">
        <v>2677</v>
      </c>
      <c r="B2747" t="s">
        <v>1547</v>
      </c>
      <c r="C2747" t="s">
        <v>958</v>
      </c>
      <c r="D2747" t="s">
        <v>1521</v>
      </c>
      <c r="E2747" t="s">
        <v>1522</v>
      </c>
      <c r="F2747" t="s">
        <v>120</v>
      </c>
      <c r="G2747" t="s">
        <v>4715</v>
      </c>
      <c r="H2747" t="s">
        <v>5616</v>
      </c>
      <c r="I2747" t="s">
        <v>5932</v>
      </c>
      <c r="J2747" t="s">
        <v>5909</v>
      </c>
      <c r="K2747" t="s">
        <v>5930</v>
      </c>
      <c r="L2747" t="s">
        <v>4717</v>
      </c>
    </row>
    <row r="2748">
      <c r="A2748" t="s">
        <v>2677</v>
      </c>
      <c r="B2748" t="s">
        <v>1547</v>
      </c>
      <c r="C2748" t="s">
        <v>958</v>
      </c>
      <c r="D2748" t="s">
        <v>1521</v>
      </c>
      <c r="E2748" t="s">
        <v>1522</v>
      </c>
      <c r="F2748" t="s">
        <v>120</v>
      </c>
      <c r="G2748" t="s">
        <v>4715</v>
      </c>
      <c r="H2748" t="s">
        <v>5616</v>
      </c>
      <c r="I2748" t="s">
        <v>5933</v>
      </c>
      <c r="J2748" t="s">
        <v>5911</v>
      </c>
      <c r="K2748" t="s">
        <v>5930</v>
      </c>
      <c r="L2748" t="s">
        <v>4717</v>
      </c>
    </row>
    <row r="2749">
      <c r="A2749" t="s">
        <v>2677</v>
      </c>
      <c r="B2749" t="s">
        <v>1547</v>
      </c>
      <c r="C2749" t="s">
        <v>958</v>
      </c>
      <c r="D2749" t="s">
        <v>1521</v>
      </c>
      <c r="E2749" t="s">
        <v>1522</v>
      </c>
      <c r="F2749" t="s">
        <v>120</v>
      </c>
      <c r="G2749" t="s">
        <v>4715</v>
      </c>
      <c r="H2749" t="s">
        <v>5157</v>
      </c>
      <c r="I2749" t="s">
        <v>5934</v>
      </c>
      <c r="J2749" t="s">
        <v>5913</v>
      </c>
      <c r="K2749" t="s">
        <v>5930</v>
      </c>
      <c r="L2749" t="s">
        <v>4717</v>
      </c>
    </row>
    <row r="2750">
      <c r="A2750" t="s">
        <v>2677</v>
      </c>
      <c r="B2750" t="s">
        <v>1547</v>
      </c>
      <c r="C2750" t="s">
        <v>958</v>
      </c>
      <c r="D2750" t="s">
        <v>1521</v>
      </c>
      <c r="E2750" t="s">
        <v>1522</v>
      </c>
      <c r="F2750" t="s">
        <v>120</v>
      </c>
      <c r="G2750" t="s">
        <v>4715</v>
      </c>
      <c r="H2750" t="s">
        <v>5170</v>
      </c>
      <c r="I2750" t="s">
        <v>5935</v>
      </c>
      <c r="J2750" t="s">
        <v>5915</v>
      </c>
      <c r="K2750" t="s">
        <v>5930</v>
      </c>
      <c r="L2750" t="s">
        <v>4717</v>
      </c>
    </row>
    <row r="2751">
      <c r="A2751" t="s">
        <v>2680</v>
      </c>
      <c r="B2751" t="s">
        <v>1555</v>
      </c>
      <c r="C2751" t="s">
        <v>958</v>
      </c>
      <c r="D2751" t="s">
        <v>1521</v>
      </c>
      <c r="E2751" t="s">
        <v>1522</v>
      </c>
      <c r="F2751" t="s">
        <v>120</v>
      </c>
      <c r="G2751" t="s">
        <v>4715</v>
      </c>
      <c r="H2751" t="s">
        <v>5041</v>
      </c>
      <c r="I2751" t="s">
        <v>5936</v>
      </c>
      <c r="J2751" t="s">
        <v>5810</v>
      </c>
      <c r="K2751" t="s">
        <v>5937</v>
      </c>
      <c r="L2751" t="s">
        <v>4717</v>
      </c>
    </row>
    <row r="2752">
      <c r="A2752" t="s">
        <v>2680</v>
      </c>
      <c r="B2752" t="s">
        <v>1555</v>
      </c>
      <c r="C2752" t="s">
        <v>958</v>
      </c>
      <c r="D2752" t="s">
        <v>1521</v>
      </c>
      <c r="E2752" t="s">
        <v>1522</v>
      </c>
      <c r="F2752" t="s">
        <v>120</v>
      </c>
      <c r="G2752" t="s">
        <v>4715</v>
      </c>
      <c r="H2752" t="s">
        <v>5616</v>
      </c>
      <c r="I2752" t="s">
        <v>5938</v>
      </c>
      <c r="J2752" t="s">
        <v>5813</v>
      </c>
      <c r="K2752" t="s">
        <v>5937</v>
      </c>
      <c r="L2752" t="s">
        <v>4717</v>
      </c>
    </row>
    <row r="2753">
      <c r="A2753" t="s">
        <v>2680</v>
      </c>
      <c r="B2753" t="s">
        <v>1555</v>
      </c>
      <c r="C2753" t="s">
        <v>958</v>
      </c>
      <c r="D2753" t="s">
        <v>1521</v>
      </c>
      <c r="E2753" t="s">
        <v>1522</v>
      </c>
      <c r="F2753" t="s">
        <v>120</v>
      </c>
      <c r="G2753" t="s">
        <v>4715</v>
      </c>
      <c r="H2753" t="s">
        <v>5616</v>
      </c>
      <c r="I2753" t="s">
        <v>5939</v>
      </c>
      <c r="J2753" t="s">
        <v>5909</v>
      </c>
      <c r="K2753" t="s">
        <v>5937</v>
      </c>
      <c r="L2753" t="s">
        <v>4717</v>
      </c>
    </row>
    <row r="2754">
      <c r="A2754" t="s">
        <v>2680</v>
      </c>
      <c r="B2754" t="s">
        <v>1555</v>
      </c>
      <c r="C2754" t="s">
        <v>958</v>
      </c>
      <c r="D2754" t="s">
        <v>1521</v>
      </c>
      <c r="E2754" t="s">
        <v>1522</v>
      </c>
      <c r="F2754" t="s">
        <v>120</v>
      </c>
      <c r="G2754" t="s">
        <v>4715</v>
      </c>
      <c r="H2754" t="s">
        <v>5616</v>
      </c>
      <c r="I2754" t="s">
        <v>5940</v>
      </c>
      <c r="J2754" t="s">
        <v>5911</v>
      </c>
      <c r="K2754" t="s">
        <v>5937</v>
      </c>
      <c r="L2754" t="s">
        <v>4717</v>
      </c>
    </row>
    <row r="2755">
      <c r="A2755" t="s">
        <v>2680</v>
      </c>
      <c r="B2755" t="s">
        <v>1555</v>
      </c>
      <c r="C2755" t="s">
        <v>958</v>
      </c>
      <c r="D2755" t="s">
        <v>1521</v>
      </c>
      <c r="E2755" t="s">
        <v>1522</v>
      </c>
      <c r="F2755" t="s">
        <v>120</v>
      </c>
      <c r="G2755" t="s">
        <v>4715</v>
      </c>
      <c r="H2755" t="s">
        <v>5157</v>
      </c>
      <c r="I2755" t="s">
        <v>5941</v>
      </c>
      <c r="J2755" t="s">
        <v>5913</v>
      </c>
      <c r="K2755" t="s">
        <v>5937</v>
      </c>
      <c r="L2755" t="s">
        <v>4717</v>
      </c>
    </row>
    <row r="2756">
      <c r="A2756" t="s">
        <v>2680</v>
      </c>
      <c r="B2756" t="s">
        <v>1555</v>
      </c>
      <c r="C2756" t="s">
        <v>958</v>
      </c>
      <c r="D2756" t="s">
        <v>1521</v>
      </c>
      <c r="E2756" t="s">
        <v>1522</v>
      </c>
      <c r="F2756" t="s">
        <v>120</v>
      </c>
      <c r="G2756" t="s">
        <v>4715</v>
      </c>
      <c r="H2756" t="s">
        <v>5170</v>
      </c>
      <c r="I2756" t="s">
        <v>5942</v>
      </c>
      <c r="J2756" t="s">
        <v>5915</v>
      </c>
      <c r="K2756" t="s">
        <v>5937</v>
      </c>
      <c r="L2756" t="s">
        <v>4717</v>
      </c>
    </row>
    <row r="2757">
      <c r="A2757" t="s">
        <v>2683</v>
      </c>
      <c r="B2757" t="s">
        <v>1566</v>
      </c>
      <c r="C2757" t="s">
        <v>958</v>
      </c>
      <c r="D2757" t="s">
        <v>1563</v>
      </c>
      <c r="E2757" t="s">
        <v>1564</v>
      </c>
      <c r="F2757" t="s">
        <v>120</v>
      </c>
      <c r="G2757" t="s">
        <v>4715</v>
      </c>
      <c r="H2757" t="s">
        <v>5041</v>
      </c>
      <c r="I2757" t="s">
        <v>5943</v>
      </c>
      <c r="J2757" t="s">
        <v>5810</v>
      </c>
      <c r="K2757" t="s">
        <v>5944</v>
      </c>
      <c r="L2757" t="s">
        <v>4717</v>
      </c>
    </row>
    <row r="2758">
      <c r="A2758" t="s">
        <v>2683</v>
      </c>
      <c r="B2758" t="s">
        <v>1566</v>
      </c>
      <c r="C2758" t="s">
        <v>958</v>
      </c>
      <c r="D2758" t="s">
        <v>1563</v>
      </c>
      <c r="E2758" t="s">
        <v>1564</v>
      </c>
      <c r="F2758" t="s">
        <v>120</v>
      </c>
      <c r="G2758" t="s">
        <v>4715</v>
      </c>
      <c r="H2758" t="s">
        <v>5616</v>
      </c>
      <c r="I2758" t="s">
        <v>5945</v>
      </c>
      <c r="J2758" t="s">
        <v>5813</v>
      </c>
      <c r="K2758" t="s">
        <v>5944</v>
      </c>
      <c r="L2758" t="s">
        <v>4717</v>
      </c>
    </row>
    <row r="2759">
      <c r="A2759" t="s">
        <v>2683</v>
      </c>
      <c r="B2759" t="s">
        <v>1566</v>
      </c>
      <c r="C2759" t="s">
        <v>958</v>
      </c>
      <c r="D2759" t="s">
        <v>1563</v>
      </c>
      <c r="E2759" t="s">
        <v>1564</v>
      </c>
      <c r="F2759" t="s">
        <v>120</v>
      </c>
      <c r="G2759" t="s">
        <v>4715</v>
      </c>
      <c r="H2759" t="s">
        <v>5616</v>
      </c>
      <c r="I2759" t="s">
        <v>5946</v>
      </c>
      <c r="J2759" t="s">
        <v>5909</v>
      </c>
      <c r="K2759" t="s">
        <v>5944</v>
      </c>
      <c r="L2759" t="s">
        <v>4717</v>
      </c>
    </row>
    <row r="2760">
      <c r="A2760" t="s">
        <v>2683</v>
      </c>
      <c r="B2760" t="s">
        <v>1566</v>
      </c>
      <c r="C2760" t="s">
        <v>958</v>
      </c>
      <c r="D2760" t="s">
        <v>1563</v>
      </c>
      <c r="E2760" t="s">
        <v>1564</v>
      </c>
      <c r="F2760" t="s">
        <v>120</v>
      </c>
      <c r="G2760" t="s">
        <v>4715</v>
      </c>
      <c r="H2760" t="s">
        <v>5616</v>
      </c>
      <c r="I2760" t="s">
        <v>5947</v>
      </c>
      <c r="J2760" t="s">
        <v>5911</v>
      </c>
      <c r="K2760" t="s">
        <v>5944</v>
      </c>
      <c r="L2760" t="s">
        <v>4717</v>
      </c>
    </row>
    <row r="2761">
      <c r="A2761" t="s">
        <v>2683</v>
      </c>
      <c r="B2761" t="s">
        <v>1566</v>
      </c>
      <c r="C2761" t="s">
        <v>958</v>
      </c>
      <c r="D2761" t="s">
        <v>1563</v>
      </c>
      <c r="E2761" t="s">
        <v>1564</v>
      </c>
      <c r="F2761" t="s">
        <v>120</v>
      </c>
      <c r="G2761" t="s">
        <v>4715</v>
      </c>
      <c r="H2761" t="s">
        <v>5157</v>
      </c>
      <c r="I2761" t="s">
        <v>5948</v>
      </c>
      <c r="J2761" t="s">
        <v>5913</v>
      </c>
      <c r="K2761" t="s">
        <v>5944</v>
      </c>
      <c r="L2761" t="s">
        <v>4717</v>
      </c>
    </row>
    <row r="2762">
      <c r="A2762" t="s">
        <v>2683</v>
      </c>
      <c r="B2762" t="s">
        <v>1566</v>
      </c>
      <c r="C2762" t="s">
        <v>958</v>
      </c>
      <c r="D2762" t="s">
        <v>1563</v>
      </c>
      <c r="E2762" t="s">
        <v>1564</v>
      </c>
      <c r="F2762" t="s">
        <v>120</v>
      </c>
      <c r="G2762" t="s">
        <v>4715</v>
      </c>
      <c r="H2762" t="s">
        <v>5170</v>
      </c>
      <c r="I2762" t="s">
        <v>5949</v>
      </c>
      <c r="J2762" t="s">
        <v>5915</v>
      </c>
      <c r="K2762" t="s">
        <v>5944</v>
      </c>
      <c r="L2762" t="s">
        <v>4717</v>
      </c>
    </row>
    <row r="2763">
      <c r="A2763" t="s">
        <v>2686</v>
      </c>
      <c r="B2763" t="s">
        <v>1532</v>
      </c>
      <c r="C2763" t="s">
        <v>958</v>
      </c>
      <c r="D2763" t="s">
        <v>1563</v>
      </c>
      <c r="E2763" t="s">
        <v>1564</v>
      </c>
      <c r="F2763" t="s">
        <v>120</v>
      </c>
      <c r="G2763" t="s">
        <v>4715</v>
      </c>
      <c r="H2763" t="s">
        <v>5041</v>
      </c>
      <c r="I2763" t="s">
        <v>5916</v>
      </c>
      <c r="J2763" t="s">
        <v>5810</v>
      </c>
      <c r="K2763" t="s">
        <v>5616</v>
      </c>
      <c r="L2763" t="s">
        <v>4717</v>
      </c>
    </row>
    <row r="2764">
      <c r="A2764" t="s">
        <v>2686</v>
      </c>
      <c r="B2764" t="s">
        <v>1532</v>
      </c>
      <c r="C2764" t="s">
        <v>958</v>
      </c>
      <c r="D2764" t="s">
        <v>1563</v>
      </c>
      <c r="E2764" t="s">
        <v>1564</v>
      </c>
      <c r="F2764" t="s">
        <v>120</v>
      </c>
      <c r="G2764" t="s">
        <v>4715</v>
      </c>
      <c r="H2764" t="s">
        <v>5616</v>
      </c>
      <c r="I2764" t="s">
        <v>5917</v>
      </c>
      <c r="J2764" t="s">
        <v>5813</v>
      </c>
      <c r="K2764" t="s">
        <v>5616</v>
      </c>
      <c r="L2764" t="s">
        <v>4717</v>
      </c>
    </row>
    <row r="2765">
      <c r="A2765" t="s">
        <v>2686</v>
      </c>
      <c r="B2765" t="s">
        <v>1532</v>
      </c>
      <c r="C2765" t="s">
        <v>958</v>
      </c>
      <c r="D2765" t="s">
        <v>1563</v>
      </c>
      <c r="E2765" t="s">
        <v>1564</v>
      </c>
      <c r="F2765" t="s">
        <v>120</v>
      </c>
      <c r="G2765" t="s">
        <v>4715</v>
      </c>
      <c r="H2765" t="s">
        <v>5616</v>
      </c>
      <c r="I2765" t="s">
        <v>5918</v>
      </c>
      <c r="J2765" t="s">
        <v>5909</v>
      </c>
      <c r="K2765" t="s">
        <v>5616</v>
      </c>
      <c r="L2765" t="s">
        <v>4717</v>
      </c>
    </row>
    <row r="2766">
      <c r="A2766" t="s">
        <v>2686</v>
      </c>
      <c r="B2766" t="s">
        <v>1532</v>
      </c>
      <c r="C2766" t="s">
        <v>958</v>
      </c>
      <c r="D2766" t="s">
        <v>1563</v>
      </c>
      <c r="E2766" t="s">
        <v>1564</v>
      </c>
      <c r="F2766" t="s">
        <v>120</v>
      </c>
      <c r="G2766" t="s">
        <v>4715</v>
      </c>
      <c r="H2766" t="s">
        <v>5616</v>
      </c>
      <c r="I2766" t="s">
        <v>5919</v>
      </c>
      <c r="J2766" t="s">
        <v>5911</v>
      </c>
      <c r="K2766" t="s">
        <v>5616</v>
      </c>
      <c r="L2766" t="s">
        <v>4717</v>
      </c>
    </row>
    <row r="2767">
      <c r="A2767" t="s">
        <v>2686</v>
      </c>
      <c r="B2767" t="s">
        <v>1532</v>
      </c>
      <c r="C2767" t="s">
        <v>958</v>
      </c>
      <c r="D2767" t="s">
        <v>1563</v>
      </c>
      <c r="E2767" t="s">
        <v>1564</v>
      </c>
      <c r="F2767" t="s">
        <v>120</v>
      </c>
      <c r="G2767" t="s">
        <v>4715</v>
      </c>
      <c r="H2767" t="s">
        <v>5157</v>
      </c>
      <c r="I2767" t="s">
        <v>5920</v>
      </c>
      <c r="J2767" t="s">
        <v>5913</v>
      </c>
      <c r="K2767" t="s">
        <v>5616</v>
      </c>
      <c r="L2767" t="s">
        <v>4717</v>
      </c>
    </row>
    <row r="2768">
      <c r="A2768" t="s">
        <v>2686</v>
      </c>
      <c r="B2768" t="s">
        <v>1532</v>
      </c>
      <c r="C2768" t="s">
        <v>958</v>
      </c>
      <c r="D2768" t="s">
        <v>1563</v>
      </c>
      <c r="E2768" t="s">
        <v>1564</v>
      </c>
      <c r="F2768" t="s">
        <v>120</v>
      </c>
      <c r="G2768" t="s">
        <v>4715</v>
      </c>
      <c r="H2768" t="s">
        <v>5170</v>
      </c>
      <c r="I2768" t="s">
        <v>5921</v>
      </c>
      <c r="J2768" t="s">
        <v>5915</v>
      </c>
      <c r="K2768" t="s">
        <v>5616</v>
      </c>
      <c r="L2768" t="s">
        <v>4717</v>
      </c>
    </row>
    <row r="2769">
      <c r="A2769" t="s">
        <v>2689</v>
      </c>
      <c r="B2769" t="s">
        <v>1578</v>
      </c>
      <c r="C2769" t="s">
        <v>958</v>
      </c>
      <c r="D2769" t="s">
        <v>1563</v>
      </c>
      <c r="E2769" t="s">
        <v>1564</v>
      </c>
      <c r="F2769" t="s">
        <v>120</v>
      </c>
      <c r="G2769" t="s">
        <v>4715</v>
      </c>
      <c r="H2769" t="s">
        <v>5041</v>
      </c>
      <c r="I2769" t="s">
        <v>5950</v>
      </c>
      <c r="J2769" t="s">
        <v>5810</v>
      </c>
      <c r="K2769" t="s">
        <v>5951</v>
      </c>
      <c r="L2769" t="s">
        <v>4717</v>
      </c>
    </row>
    <row r="2770">
      <c r="A2770" t="s">
        <v>2689</v>
      </c>
      <c r="B2770" t="s">
        <v>1578</v>
      </c>
      <c r="C2770" t="s">
        <v>958</v>
      </c>
      <c r="D2770" t="s">
        <v>1563</v>
      </c>
      <c r="E2770" t="s">
        <v>1564</v>
      </c>
      <c r="F2770" t="s">
        <v>120</v>
      </c>
      <c r="G2770" t="s">
        <v>4715</v>
      </c>
      <c r="H2770" t="s">
        <v>5616</v>
      </c>
      <c r="I2770" t="s">
        <v>5952</v>
      </c>
      <c r="J2770" t="s">
        <v>5813</v>
      </c>
      <c r="K2770" t="s">
        <v>5951</v>
      </c>
      <c r="L2770" t="s">
        <v>4717</v>
      </c>
    </row>
    <row r="2771">
      <c r="A2771" t="s">
        <v>2689</v>
      </c>
      <c r="B2771" t="s">
        <v>1578</v>
      </c>
      <c r="C2771" t="s">
        <v>958</v>
      </c>
      <c r="D2771" t="s">
        <v>1563</v>
      </c>
      <c r="E2771" t="s">
        <v>1564</v>
      </c>
      <c r="F2771" t="s">
        <v>120</v>
      </c>
      <c r="G2771" t="s">
        <v>4715</v>
      </c>
      <c r="H2771" t="s">
        <v>5616</v>
      </c>
      <c r="I2771" t="s">
        <v>5953</v>
      </c>
      <c r="J2771" t="s">
        <v>5909</v>
      </c>
      <c r="K2771" t="s">
        <v>5951</v>
      </c>
      <c r="L2771" t="s">
        <v>4717</v>
      </c>
    </row>
    <row r="2772">
      <c r="A2772" t="s">
        <v>2689</v>
      </c>
      <c r="B2772" t="s">
        <v>1578</v>
      </c>
      <c r="C2772" t="s">
        <v>958</v>
      </c>
      <c r="D2772" t="s">
        <v>1563</v>
      </c>
      <c r="E2772" t="s">
        <v>1564</v>
      </c>
      <c r="F2772" t="s">
        <v>120</v>
      </c>
      <c r="G2772" t="s">
        <v>4715</v>
      </c>
      <c r="H2772" t="s">
        <v>5616</v>
      </c>
      <c r="I2772" t="s">
        <v>5954</v>
      </c>
      <c r="J2772" t="s">
        <v>5911</v>
      </c>
      <c r="K2772" t="s">
        <v>5951</v>
      </c>
      <c r="L2772" t="s">
        <v>4717</v>
      </c>
    </row>
    <row r="2773">
      <c r="A2773" t="s">
        <v>2689</v>
      </c>
      <c r="B2773" t="s">
        <v>1578</v>
      </c>
      <c r="C2773" t="s">
        <v>958</v>
      </c>
      <c r="D2773" t="s">
        <v>1563</v>
      </c>
      <c r="E2773" t="s">
        <v>1564</v>
      </c>
      <c r="F2773" t="s">
        <v>120</v>
      </c>
      <c r="G2773" t="s">
        <v>4715</v>
      </c>
      <c r="H2773" t="s">
        <v>5157</v>
      </c>
      <c r="I2773" t="s">
        <v>5955</v>
      </c>
      <c r="J2773" t="s">
        <v>5913</v>
      </c>
      <c r="K2773" t="s">
        <v>5951</v>
      </c>
      <c r="L2773" t="s">
        <v>4717</v>
      </c>
    </row>
    <row r="2774">
      <c r="A2774" t="s">
        <v>2689</v>
      </c>
      <c r="B2774" t="s">
        <v>1578</v>
      </c>
      <c r="C2774" t="s">
        <v>958</v>
      </c>
      <c r="D2774" t="s">
        <v>1563</v>
      </c>
      <c r="E2774" t="s">
        <v>1564</v>
      </c>
      <c r="F2774" t="s">
        <v>120</v>
      </c>
      <c r="G2774" t="s">
        <v>4715</v>
      </c>
      <c r="H2774" t="s">
        <v>5170</v>
      </c>
      <c r="I2774" t="s">
        <v>5956</v>
      </c>
      <c r="J2774" t="s">
        <v>5915</v>
      </c>
      <c r="K2774" t="s">
        <v>5951</v>
      </c>
      <c r="L2774" t="s">
        <v>4717</v>
      </c>
    </row>
    <row r="2775">
      <c r="A2775" t="s">
        <v>2692</v>
      </c>
      <c r="B2775" t="s">
        <v>1586</v>
      </c>
      <c r="C2775" t="s">
        <v>958</v>
      </c>
      <c r="D2775" t="s">
        <v>1563</v>
      </c>
      <c r="E2775" t="s">
        <v>1564</v>
      </c>
      <c r="F2775" t="s">
        <v>120</v>
      </c>
      <c r="G2775" t="s">
        <v>4715</v>
      </c>
      <c r="H2775" t="s">
        <v>5041</v>
      </c>
      <c r="I2775" t="s">
        <v>5957</v>
      </c>
      <c r="J2775" t="s">
        <v>5810</v>
      </c>
      <c r="K2775" t="s">
        <v>5958</v>
      </c>
      <c r="L2775" t="s">
        <v>4717</v>
      </c>
    </row>
    <row r="2776">
      <c r="A2776" t="s">
        <v>2692</v>
      </c>
      <c r="B2776" t="s">
        <v>1586</v>
      </c>
      <c r="C2776" t="s">
        <v>958</v>
      </c>
      <c r="D2776" t="s">
        <v>1563</v>
      </c>
      <c r="E2776" t="s">
        <v>1564</v>
      </c>
      <c r="F2776" t="s">
        <v>120</v>
      </c>
      <c r="G2776" t="s">
        <v>4715</v>
      </c>
      <c r="H2776" t="s">
        <v>5616</v>
      </c>
      <c r="I2776" t="s">
        <v>5959</v>
      </c>
      <c r="J2776" t="s">
        <v>5813</v>
      </c>
      <c r="K2776" t="s">
        <v>5958</v>
      </c>
      <c r="L2776" t="s">
        <v>4717</v>
      </c>
    </row>
    <row r="2777">
      <c r="A2777" t="s">
        <v>2692</v>
      </c>
      <c r="B2777" t="s">
        <v>1586</v>
      </c>
      <c r="C2777" t="s">
        <v>958</v>
      </c>
      <c r="D2777" t="s">
        <v>1563</v>
      </c>
      <c r="E2777" t="s">
        <v>1564</v>
      </c>
      <c r="F2777" t="s">
        <v>120</v>
      </c>
      <c r="G2777" t="s">
        <v>4715</v>
      </c>
      <c r="H2777" t="s">
        <v>5616</v>
      </c>
      <c r="I2777" t="s">
        <v>5960</v>
      </c>
      <c r="J2777" t="s">
        <v>5909</v>
      </c>
      <c r="K2777" t="s">
        <v>5958</v>
      </c>
      <c r="L2777" t="s">
        <v>4717</v>
      </c>
    </row>
    <row r="2778">
      <c r="A2778" t="s">
        <v>2692</v>
      </c>
      <c r="B2778" t="s">
        <v>1586</v>
      </c>
      <c r="C2778" t="s">
        <v>958</v>
      </c>
      <c r="D2778" t="s">
        <v>1563</v>
      </c>
      <c r="E2778" t="s">
        <v>1564</v>
      </c>
      <c r="F2778" t="s">
        <v>120</v>
      </c>
      <c r="G2778" t="s">
        <v>4715</v>
      </c>
      <c r="H2778" t="s">
        <v>5616</v>
      </c>
      <c r="I2778" t="s">
        <v>5961</v>
      </c>
      <c r="J2778" t="s">
        <v>5911</v>
      </c>
      <c r="K2778" t="s">
        <v>5958</v>
      </c>
      <c r="L2778" t="s">
        <v>4717</v>
      </c>
    </row>
    <row r="2779">
      <c r="A2779" t="s">
        <v>2692</v>
      </c>
      <c r="B2779" t="s">
        <v>1586</v>
      </c>
      <c r="C2779" t="s">
        <v>958</v>
      </c>
      <c r="D2779" t="s">
        <v>1563</v>
      </c>
      <c r="E2779" t="s">
        <v>1564</v>
      </c>
      <c r="F2779" t="s">
        <v>120</v>
      </c>
      <c r="G2779" t="s">
        <v>4715</v>
      </c>
      <c r="H2779" t="s">
        <v>5157</v>
      </c>
      <c r="I2779" t="s">
        <v>5962</v>
      </c>
      <c r="J2779" t="s">
        <v>5913</v>
      </c>
      <c r="K2779" t="s">
        <v>5958</v>
      </c>
      <c r="L2779" t="s">
        <v>4717</v>
      </c>
    </row>
    <row r="2780">
      <c r="A2780" t="s">
        <v>2692</v>
      </c>
      <c r="B2780" t="s">
        <v>1586</v>
      </c>
      <c r="C2780" t="s">
        <v>958</v>
      </c>
      <c r="D2780" t="s">
        <v>1563</v>
      </c>
      <c r="E2780" t="s">
        <v>1564</v>
      </c>
      <c r="F2780" t="s">
        <v>120</v>
      </c>
      <c r="G2780" t="s">
        <v>4715</v>
      </c>
      <c r="H2780" t="s">
        <v>5170</v>
      </c>
      <c r="I2780" t="s">
        <v>5963</v>
      </c>
      <c r="J2780" t="s">
        <v>5915</v>
      </c>
      <c r="K2780" t="s">
        <v>5958</v>
      </c>
      <c r="L2780" t="s">
        <v>4717</v>
      </c>
    </row>
    <row r="2781">
      <c r="A2781" t="s">
        <v>2695</v>
      </c>
      <c r="B2781" t="s">
        <v>1596</v>
      </c>
      <c r="C2781" t="s">
        <v>958</v>
      </c>
      <c r="D2781" t="s">
        <v>1593</v>
      </c>
      <c r="E2781" t="s">
        <v>1594</v>
      </c>
      <c r="F2781" t="s">
        <v>120</v>
      </c>
      <c r="G2781" t="s">
        <v>4715</v>
      </c>
      <c r="H2781" t="s">
        <v>5041</v>
      </c>
      <c r="I2781" t="s">
        <v>5964</v>
      </c>
      <c r="J2781" t="s">
        <v>5810</v>
      </c>
      <c r="K2781" t="s">
        <v>5965</v>
      </c>
      <c r="L2781" t="s">
        <v>4717</v>
      </c>
    </row>
    <row r="2782">
      <c r="A2782" t="s">
        <v>2695</v>
      </c>
      <c r="B2782" t="s">
        <v>1596</v>
      </c>
      <c r="C2782" t="s">
        <v>958</v>
      </c>
      <c r="D2782" t="s">
        <v>1593</v>
      </c>
      <c r="E2782" t="s">
        <v>1594</v>
      </c>
      <c r="F2782" t="s">
        <v>120</v>
      </c>
      <c r="G2782" t="s">
        <v>4715</v>
      </c>
      <c r="H2782" t="s">
        <v>5616</v>
      </c>
      <c r="I2782" t="s">
        <v>5966</v>
      </c>
      <c r="J2782" t="s">
        <v>5813</v>
      </c>
      <c r="K2782" t="s">
        <v>5965</v>
      </c>
      <c r="L2782" t="s">
        <v>4717</v>
      </c>
    </row>
    <row r="2783">
      <c r="A2783" t="s">
        <v>2695</v>
      </c>
      <c r="B2783" t="s">
        <v>1596</v>
      </c>
      <c r="C2783" t="s">
        <v>958</v>
      </c>
      <c r="D2783" t="s">
        <v>1593</v>
      </c>
      <c r="E2783" t="s">
        <v>1594</v>
      </c>
      <c r="F2783" t="s">
        <v>120</v>
      </c>
      <c r="G2783" t="s">
        <v>4715</v>
      </c>
      <c r="H2783" t="s">
        <v>5616</v>
      </c>
      <c r="I2783" t="s">
        <v>5967</v>
      </c>
      <c r="J2783" t="s">
        <v>5909</v>
      </c>
      <c r="K2783" t="s">
        <v>5965</v>
      </c>
      <c r="L2783" t="s">
        <v>4717</v>
      </c>
    </row>
    <row r="2784">
      <c r="A2784" t="s">
        <v>2695</v>
      </c>
      <c r="B2784" t="s">
        <v>1596</v>
      </c>
      <c r="C2784" t="s">
        <v>958</v>
      </c>
      <c r="D2784" t="s">
        <v>1593</v>
      </c>
      <c r="E2784" t="s">
        <v>1594</v>
      </c>
      <c r="F2784" t="s">
        <v>120</v>
      </c>
      <c r="G2784" t="s">
        <v>4715</v>
      </c>
      <c r="H2784" t="s">
        <v>5616</v>
      </c>
      <c r="I2784" t="s">
        <v>5968</v>
      </c>
      <c r="J2784" t="s">
        <v>5911</v>
      </c>
      <c r="K2784" t="s">
        <v>5965</v>
      </c>
      <c r="L2784" t="s">
        <v>4717</v>
      </c>
    </row>
    <row r="2785">
      <c r="A2785" t="s">
        <v>2695</v>
      </c>
      <c r="B2785" t="s">
        <v>1596</v>
      </c>
      <c r="C2785" t="s">
        <v>958</v>
      </c>
      <c r="D2785" t="s">
        <v>1593</v>
      </c>
      <c r="E2785" t="s">
        <v>1594</v>
      </c>
      <c r="F2785" t="s">
        <v>120</v>
      </c>
      <c r="G2785" t="s">
        <v>4715</v>
      </c>
      <c r="H2785" t="s">
        <v>5157</v>
      </c>
      <c r="I2785" t="s">
        <v>5969</v>
      </c>
      <c r="J2785" t="s">
        <v>5913</v>
      </c>
      <c r="K2785" t="s">
        <v>5965</v>
      </c>
      <c r="L2785" t="s">
        <v>4717</v>
      </c>
    </row>
    <row r="2786">
      <c r="A2786" t="s">
        <v>2695</v>
      </c>
      <c r="B2786" t="s">
        <v>1596</v>
      </c>
      <c r="C2786" t="s">
        <v>958</v>
      </c>
      <c r="D2786" t="s">
        <v>1593</v>
      </c>
      <c r="E2786" t="s">
        <v>1594</v>
      </c>
      <c r="F2786" t="s">
        <v>120</v>
      </c>
      <c r="G2786" t="s">
        <v>4715</v>
      </c>
      <c r="H2786" t="s">
        <v>5170</v>
      </c>
      <c r="I2786" t="s">
        <v>5970</v>
      </c>
      <c r="J2786" t="s">
        <v>5915</v>
      </c>
      <c r="K2786" t="s">
        <v>5965</v>
      </c>
      <c r="L2786" t="s">
        <v>4717</v>
      </c>
    </row>
    <row r="2787">
      <c r="A2787" t="s">
        <v>2698</v>
      </c>
      <c r="B2787" t="s">
        <v>1604</v>
      </c>
      <c r="C2787" t="s">
        <v>958</v>
      </c>
      <c r="D2787" t="s">
        <v>1593</v>
      </c>
      <c r="E2787" t="s">
        <v>1594</v>
      </c>
      <c r="F2787" t="s">
        <v>120</v>
      </c>
      <c r="G2787" t="s">
        <v>4715</v>
      </c>
      <c r="H2787" t="s">
        <v>5041</v>
      </c>
      <c r="I2787" t="s">
        <v>5971</v>
      </c>
      <c r="J2787" t="s">
        <v>5810</v>
      </c>
      <c r="K2787" t="s">
        <v>5972</v>
      </c>
      <c r="L2787" t="s">
        <v>4717</v>
      </c>
    </row>
    <row r="2788">
      <c r="A2788" t="s">
        <v>2698</v>
      </c>
      <c r="B2788" t="s">
        <v>1604</v>
      </c>
      <c r="C2788" t="s">
        <v>958</v>
      </c>
      <c r="D2788" t="s">
        <v>1593</v>
      </c>
      <c r="E2788" t="s">
        <v>1594</v>
      </c>
      <c r="F2788" t="s">
        <v>120</v>
      </c>
      <c r="G2788" t="s">
        <v>4715</v>
      </c>
      <c r="H2788" t="s">
        <v>5616</v>
      </c>
      <c r="I2788" t="s">
        <v>5973</v>
      </c>
      <c r="J2788" t="s">
        <v>5813</v>
      </c>
      <c r="K2788" t="s">
        <v>5972</v>
      </c>
      <c r="L2788" t="s">
        <v>4717</v>
      </c>
    </row>
    <row r="2789">
      <c r="A2789" t="s">
        <v>2698</v>
      </c>
      <c r="B2789" t="s">
        <v>1604</v>
      </c>
      <c r="C2789" t="s">
        <v>958</v>
      </c>
      <c r="D2789" t="s">
        <v>1593</v>
      </c>
      <c r="E2789" t="s">
        <v>1594</v>
      </c>
      <c r="F2789" t="s">
        <v>120</v>
      </c>
      <c r="G2789" t="s">
        <v>4715</v>
      </c>
      <c r="H2789" t="s">
        <v>5616</v>
      </c>
      <c r="I2789" t="s">
        <v>5974</v>
      </c>
      <c r="J2789" t="s">
        <v>5909</v>
      </c>
      <c r="K2789" t="s">
        <v>5972</v>
      </c>
      <c r="L2789" t="s">
        <v>4717</v>
      </c>
    </row>
    <row r="2790">
      <c r="A2790" t="s">
        <v>2698</v>
      </c>
      <c r="B2790" t="s">
        <v>1604</v>
      </c>
      <c r="C2790" t="s">
        <v>958</v>
      </c>
      <c r="D2790" t="s">
        <v>1593</v>
      </c>
      <c r="E2790" t="s">
        <v>1594</v>
      </c>
      <c r="F2790" t="s">
        <v>120</v>
      </c>
      <c r="G2790" t="s">
        <v>4715</v>
      </c>
      <c r="H2790" t="s">
        <v>5616</v>
      </c>
      <c r="I2790" t="s">
        <v>5975</v>
      </c>
      <c r="J2790" t="s">
        <v>5911</v>
      </c>
      <c r="K2790" t="s">
        <v>5972</v>
      </c>
      <c r="L2790" t="s">
        <v>4717</v>
      </c>
    </row>
    <row r="2791">
      <c r="A2791" t="s">
        <v>2698</v>
      </c>
      <c r="B2791" t="s">
        <v>1604</v>
      </c>
      <c r="C2791" t="s">
        <v>958</v>
      </c>
      <c r="D2791" t="s">
        <v>1593</v>
      </c>
      <c r="E2791" t="s">
        <v>1594</v>
      </c>
      <c r="F2791" t="s">
        <v>120</v>
      </c>
      <c r="G2791" t="s">
        <v>4715</v>
      </c>
      <c r="H2791" t="s">
        <v>5157</v>
      </c>
      <c r="I2791" t="s">
        <v>5976</v>
      </c>
      <c r="J2791" t="s">
        <v>5913</v>
      </c>
      <c r="K2791" t="s">
        <v>5972</v>
      </c>
      <c r="L2791" t="s">
        <v>4717</v>
      </c>
    </row>
    <row r="2792">
      <c r="A2792" t="s">
        <v>2698</v>
      </c>
      <c r="B2792" t="s">
        <v>1604</v>
      </c>
      <c r="C2792" t="s">
        <v>958</v>
      </c>
      <c r="D2792" t="s">
        <v>1593</v>
      </c>
      <c r="E2792" t="s">
        <v>1594</v>
      </c>
      <c r="F2792" t="s">
        <v>120</v>
      </c>
      <c r="G2792" t="s">
        <v>4715</v>
      </c>
      <c r="H2792" t="s">
        <v>5170</v>
      </c>
      <c r="I2792" t="s">
        <v>5977</v>
      </c>
      <c r="J2792" t="s">
        <v>5915</v>
      </c>
      <c r="K2792" t="s">
        <v>5972</v>
      </c>
      <c r="L2792" t="s">
        <v>4717</v>
      </c>
    </row>
    <row r="2793">
      <c r="A2793" t="s">
        <v>2701</v>
      </c>
      <c r="B2793" t="s">
        <v>1612</v>
      </c>
      <c r="C2793" t="s">
        <v>958</v>
      </c>
      <c r="D2793" t="s">
        <v>1593</v>
      </c>
      <c r="E2793" t="s">
        <v>1594</v>
      </c>
      <c r="F2793" t="s">
        <v>120</v>
      </c>
      <c r="G2793" t="s">
        <v>4715</v>
      </c>
      <c r="H2793" t="s">
        <v>5041</v>
      </c>
      <c r="I2793" t="s">
        <v>5978</v>
      </c>
      <c r="J2793" t="s">
        <v>5810</v>
      </c>
      <c r="K2793" t="s">
        <v>5979</v>
      </c>
      <c r="L2793" t="s">
        <v>4717</v>
      </c>
    </row>
    <row r="2794">
      <c r="A2794" t="s">
        <v>2701</v>
      </c>
      <c r="B2794" t="s">
        <v>1612</v>
      </c>
      <c r="C2794" t="s">
        <v>958</v>
      </c>
      <c r="D2794" t="s">
        <v>1593</v>
      </c>
      <c r="E2794" t="s">
        <v>1594</v>
      </c>
      <c r="F2794" t="s">
        <v>120</v>
      </c>
      <c r="G2794" t="s">
        <v>4715</v>
      </c>
      <c r="H2794" t="s">
        <v>5616</v>
      </c>
      <c r="I2794" t="s">
        <v>5980</v>
      </c>
      <c r="J2794" t="s">
        <v>5813</v>
      </c>
      <c r="K2794" t="s">
        <v>5979</v>
      </c>
      <c r="L2794" t="s">
        <v>4717</v>
      </c>
    </row>
    <row r="2795">
      <c r="A2795" t="s">
        <v>2701</v>
      </c>
      <c r="B2795" t="s">
        <v>1612</v>
      </c>
      <c r="C2795" t="s">
        <v>958</v>
      </c>
      <c r="D2795" t="s">
        <v>1593</v>
      </c>
      <c r="E2795" t="s">
        <v>1594</v>
      </c>
      <c r="F2795" t="s">
        <v>120</v>
      </c>
      <c r="G2795" t="s">
        <v>4715</v>
      </c>
      <c r="H2795" t="s">
        <v>5616</v>
      </c>
      <c r="I2795" t="s">
        <v>5981</v>
      </c>
      <c r="J2795" t="s">
        <v>5909</v>
      </c>
      <c r="K2795" t="s">
        <v>5979</v>
      </c>
      <c r="L2795" t="s">
        <v>4717</v>
      </c>
    </row>
    <row r="2796">
      <c r="A2796" t="s">
        <v>2701</v>
      </c>
      <c r="B2796" t="s">
        <v>1612</v>
      </c>
      <c r="C2796" t="s">
        <v>958</v>
      </c>
      <c r="D2796" t="s">
        <v>1593</v>
      </c>
      <c r="E2796" t="s">
        <v>1594</v>
      </c>
      <c r="F2796" t="s">
        <v>120</v>
      </c>
      <c r="G2796" t="s">
        <v>4715</v>
      </c>
      <c r="H2796" t="s">
        <v>5616</v>
      </c>
      <c r="I2796" t="s">
        <v>5982</v>
      </c>
      <c r="J2796" t="s">
        <v>5911</v>
      </c>
      <c r="K2796" t="s">
        <v>5979</v>
      </c>
      <c r="L2796" t="s">
        <v>4717</v>
      </c>
    </row>
    <row r="2797">
      <c r="A2797" t="s">
        <v>2701</v>
      </c>
      <c r="B2797" t="s">
        <v>1612</v>
      </c>
      <c r="C2797" t="s">
        <v>958</v>
      </c>
      <c r="D2797" t="s">
        <v>1593</v>
      </c>
      <c r="E2797" t="s">
        <v>1594</v>
      </c>
      <c r="F2797" t="s">
        <v>120</v>
      </c>
      <c r="G2797" t="s">
        <v>4715</v>
      </c>
      <c r="H2797" t="s">
        <v>5157</v>
      </c>
      <c r="I2797" t="s">
        <v>5983</v>
      </c>
      <c r="J2797" t="s">
        <v>5913</v>
      </c>
      <c r="K2797" t="s">
        <v>5979</v>
      </c>
      <c r="L2797" t="s">
        <v>4717</v>
      </c>
    </row>
    <row r="2798">
      <c r="A2798" t="s">
        <v>2701</v>
      </c>
      <c r="B2798" t="s">
        <v>1612</v>
      </c>
      <c r="C2798" t="s">
        <v>958</v>
      </c>
      <c r="D2798" t="s">
        <v>1593</v>
      </c>
      <c r="E2798" t="s">
        <v>1594</v>
      </c>
      <c r="F2798" t="s">
        <v>120</v>
      </c>
      <c r="G2798" t="s">
        <v>4715</v>
      </c>
      <c r="H2798" t="s">
        <v>5170</v>
      </c>
      <c r="I2798" t="s">
        <v>5984</v>
      </c>
      <c r="J2798" t="s">
        <v>5915</v>
      </c>
      <c r="K2798" t="s">
        <v>5979</v>
      </c>
      <c r="L2798" t="s">
        <v>4717</v>
      </c>
    </row>
    <row r="2799">
      <c r="A2799" t="s">
        <v>2704</v>
      </c>
      <c r="B2799" t="s">
        <v>1620</v>
      </c>
      <c r="C2799" t="s">
        <v>958</v>
      </c>
      <c r="D2799" t="s">
        <v>1593</v>
      </c>
      <c r="E2799" t="s">
        <v>1594</v>
      </c>
      <c r="F2799" t="s">
        <v>120</v>
      </c>
      <c r="G2799" t="s">
        <v>4715</v>
      </c>
      <c r="H2799" t="s">
        <v>5041</v>
      </c>
      <c r="I2799" t="s">
        <v>5985</v>
      </c>
      <c r="J2799" t="s">
        <v>5810</v>
      </c>
      <c r="K2799" t="s">
        <v>5986</v>
      </c>
      <c r="L2799" t="s">
        <v>4717</v>
      </c>
    </row>
    <row r="2800">
      <c r="A2800" t="s">
        <v>2704</v>
      </c>
      <c r="B2800" t="s">
        <v>1620</v>
      </c>
      <c r="C2800" t="s">
        <v>958</v>
      </c>
      <c r="D2800" t="s">
        <v>1593</v>
      </c>
      <c r="E2800" t="s">
        <v>1594</v>
      </c>
      <c r="F2800" t="s">
        <v>120</v>
      </c>
      <c r="G2800" t="s">
        <v>4715</v>
      </c>
      <c r="H2800" t="s">
        <v>5616</v>
      </c>
      <c r="I2800" t="s">
        <v>5987</v>
      </c>
      <c r="J2800" t="s">
        <v>5813</v>
      </c>
      <c r="K2800" t="s">
        <v>5986</v>
      </c>
      <c r="L2800" t="s">
        <v>4717</v>
      </c>
    </row>
    <row r="2801">
      <c r="A2801" t="s">
        <v>2704</v>
      </c>
      <c r="B2801" t="s">
        <v>1620</v>
      </c>
      <c r="C2801" t="s">
        <v>958</v>
      </c>
      <c r="D2801" t="s">
        <v>1593</v>
      </c>
      <c r="E2801" t="s">
        <v>1594</v>
      </c>
      <c r="F2801" t="s">
        <v>120</v>
      </c>
      <c r="G2801" t="s">
        <v>4715</v>
      </c>
      <c r="H2801" t="s">
        <v>5616</v>
      </c>
      <c r="I2801" t="s">
        <v>5988</v>
      </c>
      <c r="J2801" t="s">
        <v>5909</v>
      </c>
      <c r="K2801" t="s">
        <v>5986</v>
      </c>
      <c r="L2801" t="s">
        <v>4717</v>
      </c>
    </row>
    <row r="2802">
      <c r="A2802" t="s">
        <v>2704</v>
      </c>
      <c r="B2802" t="s">
        <v>1620</v>
      </c>
      <c r="C2802" t="s">
        <v>958</v>
      </c>
      <c r="D2802" t="s">
        <v>1593</v>
      </c>
      <c r="E2802" t="s">
        <v>1594</v>
      </c>
      <c r="F2802" t="s">
        <v>120</v>
      </c>
      <c r="G2802" t="s">
        <v>4715</v>
      </c>
      <c r="H2802" t="s">
        <v>5616</v>
      </c>
      <c r="I2802" t="s">
        <v>5989</v>
      </c>
      <c r="J2802" t="s">
        <v>5911</v>
      </c>
      <c r="K2802" t="s">
        <v>5986</v>
      </c>
      <c r="L2802" t="s">
        <v>4717</v>
      </c>
    </row>
    <row r="2803">
      <c r="A2803" t="s">
        <v>2704</v>
      </c>
      <c r="B2803" t="s">
        <v>1620</v>
      </c>
      <c r="C2803" t="s">
        <v>958</v>
      </c>
      <c r="D2803" t="s">
        <v>1593</v>
      </c>
      <c r="E2803" t="s">
        <v>1594</v>
      </c>
      <c r="F2803" t="s">
        <v>120</v>
      </c>
      <c r="G2803" t="s">
        <v>4715</v>
      </c>
      <c r="H2803" t="s">
        <v>5157</v>
      </c>
      <c r="I2803" t="s">
        <v>5990</v>
      </c>
      <c r="J2803" t="s">
        <v>5913</v>
      </c>
      <c r="K2803" t="s">
        <v>5986</v>
      </c>
      <c r="L2803" t="s">
        <v>4717</v>
      </c>
    </row>
    <row r="2804">
      <c r="A2804" t="s">
        <v>2704</v>
      </c>
      <c r="B2804" t="s">
        <v>1620</v>
      </c>
      <c r="C2804" t="s">
        <v>958</v>
      </c>
      <c r="D2804" t="s">
        <v>1593</v>
      </c>
      <c r="E2804" t="s">
        <v>1594</v>
      </c>
      <c r="F2804" t="s">
        <v>120</v>
      </c>
      <c r="G2804" t="s">
        <v>4715</v>
      </c>
      <c r="H2804" t="s">
        <v>5170</v>
      </c>
      <c r="I2804" t="s">
        <v>5991</v>
      </c>
      <c r="J2804" t="s">
        <v>5915</v>
      </c>
      <c r="K2804" t="s">
        <v>5986</v>
      </c>
      <c r="L2804" t="s">
        <v>4717</v>
      </c>
    </row>
    <row r="2805">
      <c r="A2805" t="s">
        <v>2739</v>
      </c>
      <c r="B2805" t="s">
        <v>1696</v>
      </c>
      <c r="C2805" t="s">
        <v>1628</v>
      </c>
      <c r="D2805" t="s">
        <v>1668</v>
      </c>
      <c r="E2805" t="s">
        <v>1669</v>
      </c>
      <c r="F2805" t="s">
        <v>154</v>
      </c>
      <c r="H2805" t="s">
        <v>5041</v>
      </c>
      <c r="I2805" t="s">
        <v>5992</v>
      </c>
      <c r="J2805" t="s">
        <v>5810</v>
      </c>
      <c r="K2805" t="s">
        <v>5993</v>
      </c>
      <c r="L2805" t="s">
        <v>4717</v>
      </c>
    </row>
    <row r="2806">
      <c r="A2806" t="s">
        <v>2739</v>
      </c>
      <c r="B2806" t="s">
        <v>1696</v>
      </c>
      <c r="C2806" t="s">
        <v>1628</v>
      </c>
      <c r="D2806" t="s">
        <v>1668</v>
      </c>
      <c r="E2806" t="s">
        <v>1669</v>
      </c>
      <c r="F2806" t="s">
        <v>154</v>
      </c>
      <c r="H2806" t="s">
        <v>5616</v>
      </c>
      <c r="I2806" t="s">
        <v>5994</v>
      </c>
      <c r="J2806" t="s">
        <v>5813</v>
      </c>
      <c r="K2806" t="s">
        <v>5993</v>
      </c>
      <c r="L2806" t="s">
        <v>4717</v>
      </c>
    </row>
    <row r="2807">
      <c r="A2807" t="s">
        <v>2739</v>
      </c>
      <c r="B2807" t="s">
        <v>1696</v>
      </c>
      <c r="C2807" t="s">
        <v>1628</v>
      </c>
      <c r="D2807" t="s">
        <v>1668</v>
      </c>
      <c r="E2807" t="s">
        <v>1669</v>
      </c>
      <c r="F2807" t="s">
        <v>154</v>
      </c>
      <c r="H2807" t="s">
        <v>5995</v>
      </c>
      <c r="I2807" t="s">
        <v>5996</v>
      </c>
      <c r="J2807" t="s">
        <v>5997</v>
      </c>
      <c r="K2807" t="s">
        <v>5993</v>
      </c>
      <c r="L2807" t="s">
        <v>4717</v>
      </c>
    </row>
    <row r="2808">
      <c r="A2808" t="s">
        <v>2739</v>
      </c>
      <c r="B2808" t="s">
        <v>1696</v>
      </c>
      <c r="C2808" t="s">
        <v>1628</v>
      </c>
      <c r="D2808" t="s">
        <v>1668</v>
      </c>
      <c r="E2808" t="s">
        <v>1669</v>
      </c>
      <c r="F2808" t="s">
        <v>154</v>
      </c>
      <c r="H2808" t="s">
        <v>5616</v>
      </c>
      <c r="I2808" t="s">
        <v>5998</v>
      </c>
      <c r="J2808" t="s">
        <v>5999</v>
      </c>
      <c r="K2808" t="s">
        <v>5993</v>
      </c>
      <c r="L2808" t="s">
        <v>4717</v>
      </c>
    </row>
    <row r="2809">
      <c r="A2809" t="s">
        <v>2739</v>
      </c>
      <c r="B2809" t="s">
        <v>1696</v>
      </c>
      <c r="C2809" t="s">
        <v>1628</v>
      </c>
      <c r="D2809" t="s">
        <v>1668</v>
      </c>
      <c r="E2809" t="s">
        <v>1669</v>
      </c>
      <c r="F2809" t="s">
        <v>154</v>
      </c>
      <c r="H2809" t="s">
        <v>6000</v>
      </c>
      <c r="I2809" t="s">
        <v>6001</v>
      </c>
      <c r="J2809" t="s">
        <v>6002</v>
      </c>
      <c r="K2809" t="s">
        <v>5993</v>
      </c>
      <c r="L2809" t="s">
        <v>4717</v>
      </c>
    </row>
    <row r="2810">
      <c r="A2810" t="s">
        <v>2739</v>
      </c>
      <c r="B2810" t="s">
        <v>1696</v>
      </c>
      <c r="C2810" t="s">
        <v>1628</v>
      </c>
      <c r="D2810" t="s">
        <v>1668</v>
      </c>
      <c r="E2810" t="s">
        <v>1669</v>
      </c>
      <c r="F2810" t="s">
        <v>154</v>
      </c>
      <c r="H2810" t="s">
        <v>3904</v>
      </c>
      <c r="I2810" t="s">
        <v>6003</v>
      </c>
      <c r="J2810" t="s">
        <v>6004</v>
      </c>
      <c r="K2810" t="s">
        <v>5993</v>
      </c>
      <c r="L2810" t="s">
        <v>4717</v>
      </c>
    </row>
    <row r="2811">
      <c r="A2811" t="s">
        <v>2739</v>
      </c>
      <c r="B2811" t="s">
        <v>1696</v>
      </c>
      <c r="C2811" t="s">
        <v>1628</v>
      </c>
      <c r="D2811" t="s">
        <v>1668</v>
      </c>
      <c r="E2811" t="s">
        <v>1669</v>
      </c>
      <c r="F2811" t="s">
        <v>154</v>
      </c>
      <c r="H2811" t="s">
        <v>5157</v>
      </c>
      <c r="I2811" t="s">
        <v>6005</v>
      </c>
      <c r="J2811" t="s">
        <v>6006</v>
      </c>
      <c r="K2811" t="s">
        <v>5993</v>
      </c>
      <c r="L2811" t="s">
        <v>4717</v>
      </c>
    </row>
    <row r="2812">
      <c r="A2812" t="s">
        <v>2739</v>
      </c>
      <c r="B2812" t="s">
        <v>1696</v>
      </c>
      <c r="C2812" t="s">
        <v>1628</v>
      </c>
      <c r="D2812" t="s">
        <v>1668</v>
      </c>
      <c r="E2812" t="s">
        <v>1669</v>
      </c>
      <c r="F2812" t="s">
        <v>154</v>
      </c>
      <c r="H2812" t="s">
        <v>5170</v>
      </c>
      <c r="I2812" t="s">
        <v>6007</v>
      </c>
      <c r="J2812" t="s">
        <v>6008</v>
      </c>
      <c r="K2812" t="s">
        <v>5993</v>
      </c>
      <c r="L2812" t="s">
        <v>4717</v>
      </c>
    </row>
    <row r="2813">
      <c r="A2813" t="s">
        <v>2772</v>
      </c>
      <c r="B2813" t="s">
        <v>1777</v>
      </c>
      <c r="C2813" t="s">
        <v>1628</v>
      </c>
      <c r="D2813" t="s">
        <v>1774</v>
      </c>
      <c r="E2813" t="s">
        <v>1775</v>
      </c>
      <c r="F2813" t="s">
        <v>129</v>
      </c>
      <c r="G2813" t="s">
        <v>4715</v>
      </c>
      <c r="H2813" t="s">
        <v>5041</v>
      </c>
      <c r="I2813" t="s">
        <v>6009</v>
      </c>
      <c r="J2813" t="s">
        <v>5810</v>
      </c>
      <c r="K2813" t="s">
        <v>4178</v>
      </c>
      <c r="L2813" t="s">
        <v>4717</v>
      </c>
    </row>
    <row r="2814">
      <c r="A2814" t="s">
        <v>2772</v>
      </c>
      <c r="B2814" t="s">
        <v>1777</v>
      </c>
      <c r="C2814" t="s">
        <v>1628</v>
      </c>
      <c r="D2814" t="s">
        <v>1774</v>
      </c>
      <c r="E2814" t="s">
        <v>1775</v>
      </c>
      <c r="F2814" t="s">
        <v>129</v>
      </c>
      <c r="G2814" t="s">
        <v>4715</v>
      </c>
      <c r="H2814" t="s">
        <v>5616</v>
      </c>
      <c r="I2814" t="s">
        <v>6010</v>
      </c>
      <c r="J2814" t="s">
        <v>5813</v>
      </c>
      <c r="K2814" t="s">
        <v>4178</v>
      </c>
      <c r="L2814" t="s">
        <v>4717</v>
      </c>
    </row>
    <row r="2815">
      <c r="A2815" t="s">
        <v>2772</v>
      </c>
      <c r="B2815" t="s">
        <v>1777</v>
      </c>
      <c r="C2815" t="s">
        <v>1628</v>
      </c>
      <c r="D2815" t="s">
        <v>1774</v>
      </c>
      <c r="E2815" t="s">
        <v>1775</v>
      </c>
      <c r="F2815" t="s">
        <v>129</v>
      </c>
      <c r="G2815" t="s">
        <v>4715</v>
      </c>
      <c r="H2815" t="s">
        <v>5616</v>
      </c>
      <c r="I2815" t="s">
        <v>6011</v>
      </c>
      <c r="J2815" t="s">
        <v>5909</v>
      </c>
      <c r="K2815" t="s">
        <v>4178</v>
      </c>
      <c r="L2815" t="s">
        <v>4717</v>
      </c>
    </row>
    <row r="2816">
      <c r="A2816" t="s">
        <v>2772</v>
      </c>
      <c r="B2816" t="s">
        <v>1777</v>
      </c>
      <c r="C2816" t="s">
        <v>1628</v>
      </c>
      <c r="D2816" t="s">
        <v>1774</v>
      </c>
      <c r="E2816" t="s">
        <v>1775</v>
      </c>
      <c r="F2816" t="s">
        <v>129</v>
      </c>
      <c r="G2816" t="s">
        <v>4715</v>
      </c>
      <c r="H2816" t="s">
        <v>5616</v>
      </c>
      <c r="I2816" t="s">
        <v>6012</v>
      </c>
      <c r="J2816" t="s">
        <v>5911</v>
      </c>
      <c r="K2816" t="s">
        <v>4178</v>
      </c>
      <c r="L2816" t="s">
        <v>4717</v>
      </c>
    </row>
    <row r="2817">
      <c r="A2817" t="s">
        <v>2772</v>
      </c>
      <c r="B2817" t="s">
        <v>1777</v>
      </c>
      <c r="C2817" t="s">
        <v>1628</v>
      </c>
      <c r="D2817" t="s">
        <v>1774</v>
      </c>
      <c r="E2817" t="s">
        <v>1775</v>
      </c>
      <c r="F2817" t="s">
        <v>129</v>
      </c>
      <c r="G2817" t="s">
        <v>4715</v>
      </c>
      <c r="H2817" t="s">
        <v>5157</v>
      </c>
      <c r="I2817" t="s">
        <v>6013</v>
      </c>
      <c r="J2817" t="s">
        <v>5913</v>
      </c>
      <c r="K2817" t="s">
        <v>4178</v>
      </c>
      <c r="L2817" t="s">
        <v>4717</v>
      </c>
    </row>
    <row r="2818">
      <c r="A2818" t="s">
        <v>2772</v>
      </c>
      <c r="B2818" t="s">
        <v>1777</v>
      </c>
      <c r="C2818" t="s">
        <v>1628</v>
      </c>
      <c r="D2818" t="s">
        <v>1774</v>
      </c>
      <c r="E2818" t="s">
        <v>1775</v>
      </c>
      <c r="F2818" t="s">
        <v>129</v>
      </c>
      <c r="G2818" t="s">
        <v>4715</v>
      </c>
      <c r="H2818" t="s">
        <v>5170</v>
      </c>
      <c r="I2818" t="s">
        <v>6014</v>
      </c>
      <c r="J2818" t="s">
        <v>5915</v>
      </c>
      <c r="K2818" t="s">
        <v>4178</v>
      </c>
      <c r="L2818" t="s">
        <v>4717</v>
      </c>
    </row>
    <row r="2819">
      <c r="A2819" t="s">
        <v>2776</v>
      </c>
      <c r="B2819" t="s">
        <v>1785</v>
      </c>
      <c r="C2819" t="s">
        <v>1628</v>
      </c>
      <c r="D2819" t="s">
        <v>1774</v>
      </c>
      <c r="E2819" t="s">
        <v>1775</v>
      </c>
      <c r="F2819" t="s">
        <v>154</v>
      </c>
      <c r="G2819" t="s">
        <v>4715</v>
      </c>
      <c r="H2819" t="s">
        <v>5041</v>
      </c>
      <c r="I2819" t="s">
        <v>6015</v>
      </c>
      <c r="J2819" t="s">
        <v>5810</v>
      </c>
      <c r="K2819" t="s">
        <v>6016</v>
      </c>
      <c r="L2819" t="s">
        <v>4717</v>
      </c>
    </row>
    <row r="2820">
      <c r="A2820" t="s">
        <v>2776</v>
      </c>
      <c r="B2820" t="s">
        <v>1785</v>
      </c>
      <c r="C2820" t="s">
        <v>1628</v>
      </c>
      <c r="D2820" t="s">
        <v>1774</v>
      </c>
      <c r="E2820" t="s">
        <v>1775</v>
      </c>
      <c r="F2820" t="s">
        <v>154</v>
      </c>
      <c r="G2820" t="s">
        <v>4715</v>
      </c>
      <c r="H2820" t="s">
        <v>5616</v>
      </c>
      <c r="I2820" t="s">
        <v>6017</v>
      </c>
      <c r="J2820" t="s">
        <v>5813</v>
      </c>
      <c r="K2820" t="s">
        <v>6016</v>
      </c>
      <c r="L2820" t="s">
        <v>4717</v>
      </c>
    </row>
    <row r="2821">
      <c r="A2821" t="s">
        <v>2776</v>
      </c>
      <c r="B2821" t="s">
        <v>1785</v>
      </c>
      <c r="C2821" t="s">
        <v>1628</v>
      </c>
      <c r="D2821" t="s">
        <v>1774</v>
      </c>
      <c r="E2821" t="s">
        <v>1775</v>
      </c>
      <c r="F2821" t="s">
        <v>154</v>
      </c>
      <c r="G2821" t="s">
        <v>4715</v>
      </c>
      <c r="H2821" t="s">
        <v>5616</v>
      </c>
      <c r="I2821" t="s">
        <v>6018</v>
      </c>
      <c r="J2821" t="s">
        <v>5909</v>
      </c>
      <c r="K2821" t="s">
        <v>6016</v>
      </c>
      <c r="L2821" t="s">
        <v>4717</v>
      </c>
    </row>
    <row r="2822">
      <c r="A2822" t="s">
        <v>2776</v>
      </c>
      <c r="B2822" t="s">
        <v>1785</v>
      </c>
      <c r="C2822" t="s">
        <v>1628</v>
      </c>
      <c r="D2822" t="s">
        <v>1774</v>
      </c>
      <c r="E2822" t="s">
        <v>1775</v>
      </c>
      <c r="F2822" t="s">
        <v>154</v>
      </c>
      <c r="G2822" t="s">
        <v>4715</v>
      </c>
      <c r="H2822" t="s">
        <v>5616</v>
      </c>
      <c r="I2822" t="s">
        <v>6019</v>
      </c>
      <c r="J2822" t="s">
        <v>5911</v>
      </c>
      <c r="K2822" t="s">
        <v>6016</v>
      </c>
      <c r="L2822" t="s">
        <v>4717</v>
      </c>
    </row>
    <row r="2823">
      <c r="A2823" t="s">
        <v>2776</v>
      </c>
      <c r="B2823" t="s">
        <v>1785</v>
      </c>
      <c r="C2823" t="s">
        <v>1628</v>
      </c>
      <c r="D2823" t="s">
        <v>1774</v>
      </c>
      <c r="E2823" t="s">
        <v>1775</v>
      </c>
      <c r="F2823" t="s">
        <v>154</v>
      </c>
      <c r="G2823" t="s">
        <v>4715</v>
      </c>
      <c r="H2823" t="s">
        <v>5157</v>
      </c>
      <c r="I2823" t="s">
        <v>6020</v>
      </c>
      <c r="J2823" t="s">
        <v>5913</v>
      </c>
      <c r="K2823" t="s">
        <v>6016</v>
      </c>
      <c r="L2823" t="s">
        <v>4717</v>
      </c>
    </row>
    <row r="2824">
      <c r="A2824" t="s">
        <v>2776</v>
      </c>
      <c r="B2824" t="s">
        <v>1785</v>
      </c>
      <c r="C2824" t="s">
        <v>1628</v>
      </c>
      <c r="D2824" t="s">
        <v>1774</v>
      </c>
      <c r="E2824" t="s">
        <v>1775</v>
      </c>
      <c r="F2824" t="s">
        <v>154</v>
      </c>
      <c r="G2824" t="s">
        <v>4715</v>
      </c>
      <c r="H2824" t="s">
        <v>5170</v>
      </c>
      <c r="I2824" t="s">
        <v>6021</v>
      </c>
      <c r="J2824" t="s">
        <v>5915</v>
      </c>
      <c r="K2824" t="s">
        <v>6016</v>
      </c>
      <c r="L2824" t="s">
        <v>4717</v>
      </c>
    </row>
    <row r="2825">
      <c r="A2825" t="s">
        <v>2779</v>
      </c>
      <c r="B2825" t="s">
        <v>1792</v>
      </c>
      <c r="C2825" t="s">
        <v>1628</v>
      </c>
      <c r="D2825" t="s">
        <v>1774</v>
      </c>
      <c r="E2825" t="s">
        <v>1775</v>
      </c>
      <c r="F2825" t="s">
        <v>154</v>
      </c>
      <c r="G2825" t="s">
        <v>4715</v>
      </c>
      <c r="H2825" t="s">
        <v>5041</v>
      </c>
      <c r="I2825" t="s">
        <v>6022</v>
      </c>
      <c r="J2825" t="s">
        <v>5810</v>
      </c>
      <c r="K2825" t="s">
        <v>3901</v>
      </c>
      <c r="L2825" t="s">
        <v>4717</v>
      </c>
    </row>
    <row r="2826">
      <c r="A2826" t="s">
        <v>2779</v>
      </c>
      <c r="B2826" t="s">
        <v>1792</v>
      </c>
      <c r="C2826" t="s">
        <v>1628</v>
      </c>
      <c r="D2826" t="s">
        <v>1774</v>
      </c>
      <c r="E2826" t="s">
        <v>1775</v>
      </c>
      <c r="F2826" t="s">
        <v>154</v>
      </c>
      <c r="G2826" t="s">
        <v>4715</v>
      </c>
      <c r="H2826" t="s">
        <v>5616</v>
      </c>
      <c r="I2826" t="s">
        <v>6023</v>
      </c>
      <c r="J2826" t="s">
        <v>5813</v>
      </c>
      <c r="K2826" t="s">
        <v>3901</v>
      </c>
      <c r="L2826" t="s">
        <v>4717</v>
      </c>
    </row>
    <row r="2827">
      <c r="A2827" t="s">
        <v>2779</v>
      </c>
      <c r="B2827" t="s">
        <v>1792</v>
      </c>
      <c r="C2827" t="s">
        <v>1628</v>
      </c>
      <c r="D2827" t="s">
        <v>1774</v>
      </c>
      <c r="E2827" t="s">
        <v>1775</v>
      </c>
      <c r="F2827" t="s">
        <v>154</v>
      </c>
      <c r="G2827" t="s">
        <v>4715</v>
      </c>
      <c r="H2827" t="s">
        <v>5616</v>
      </c>
      <c r="I2827" t="s">
        <v>6024</v>
      </c>
      <c r="J2827" t="s">
        <v>5909</v>
      </c>
      <c r="K2827" t="s">
        <v>3901</v>
      </c>
      <c r="L2827" t="s">
        <v>4717</v>
      </c>
    </row>
    <row r="2828">
      <c r="A2828" t="s">
        <v>2779</v>
      </c>
      <c r="B2828" t="s">
        <v>1792</v>
      </c>
      <c r="C2828" t="s">
        <v>1628</v>
      </c>
      <c r="D2828" t="s">
        <v>1774</v>
      </c>
      <c r="E2828" t="s">
        <v>1775</v>
      </c>
      <c r="F2828" t="s">
        <v>154</v>
      </c>
      <c r="G2828" t="s">
        <v>4715</v>
      </c>
      <c r="H2828" t="s">
        <v>5616</v>
      </c>
      <c r="I2828" t="s">
        <v>6025</v>
      </c>
      <c r="J2828" t="s">
        <v>5911</v>
      </c>
      <c r="K2828" t="s">
        <v>3901</v>
      </c>
      <c r="L2828" t="s">
        <v>4717</v>
      </c>
    </row>
    <row r="2829">
      <c r="A2829" t="s">
        <v>2779</v>
      </c>
      <c r="B2829" t="s">
        <v>1792</v>
      </c>
      <c r="C2829" t="s">
        <v>1628</v>
      </c>
      <c r="D2829" t="s">
        <v>1774</v>
      </c>
      <c r="E2829" t="s">
        <v>1775</v>
      </c>
      <c r="F2829" t="s">
        <v>154</v>
      </c>
      <c r="G2829" t="s">
        <v>4715</v>
      </c>
      <c r="H2829" t="s">
        <v>5157</v>
      </c>
      <c r="I2829" t="s">
        <v>6026</v>
      </c>
      <c r="J2829" t="s">
        <v>5913</v>
      </c>
      <c r="K2829" t="s">
        <v>3901</v>
      </c>
      <c r="L2829" t="s">
        <v>4717</v>
      </c>
    </row>
    <row r="2830">
      <c r="A2830" t="s">
        <v>2779</v>
      </c>
      <c r="B2830" t="s">
        <v>1792</v>
      </c>
      <c r="C2830" t="s">
        <v>1628</v>
      </c>
      <c r="D2830" t="s">
        <v>1774</v>
      </c>
      <c r="E2830" t="s">
        <v>1775</v>
      </c>
      <c r="F2830" t="s">
        <v>154</v>
      </c>
      <c r="G2830" t="s">
        <v>4715</v>
      </c>
      <c r="H2830" t="s">
        <v>5170</v>
      </c>
      <c r="I2830" t="s">
        <v>6027</v>
      </c>
      <c r="J2830" t="s">
        <v>5915</v>
      </c>
      <c r="K2830" t="s">
        <v>3901</v>
      </c>
      <c r="L2830" t="s">
        <v>4717</v>
      </c>
    </row>
    <row r="2831">
      <c r="A2831" t="s">
        <v>2782</v>
      </c>
      <c r="B2831" t="s">
        <v>1802</v>
      </c>
      <c r="C2831" t="s">
        <v>1798</v>
      </c>
      <c r="D2831" t="s">
        <v>1799</v>
      </c>
      <c r="E2831" t="s">
        <v>1800</v>
      </c>
      <c r="F2831" t="s">
        <v>154</v>
      </c>
      <c r="H2831" t="s">
        <v>5041</v>
      </c>
      <c r="I2831" t="s">
        <v>6028</v>
      </c>
      <c r="J2831" t="s">
        <v>5810</v>
      </c>
      <c r="K2831" t="s">
        <v>6029</v>
      </c>
      <c r="L2831" t="s">
        <v>4717</v>
      </c>
    </row>
    <row r="2832">
      <c r="A2832" t="s">
        <v>2782</v>
      </c>
      <c r="B2832" t="s">
        <v>1802</v>
      </c>
      <c r="C2832" t="s">
        <v>1798</v>
      </c>
      <c r="D2832" t="s">
        <v>1799</v>
      </c>
      <c r="E2832" t="s">
        <v>1800</v>
      </c>
      <c r="F2832" t="s">
        <v>154</v>
      </c>
      <c r="H2832" t="s">
        <v>5616</v>
      </c>
      <c r="I2832" t="s">
        <v>6030</v>
      </c>
      <c r="J2832" t="s">
        <v>5813</v>
      </c>
      <c r="K2832" t="s">
        <v>6029</v>
      </c>
      <c r="L2832" t="s">
        <v>4717</v>
      </c>
    </row>
    <row r="2833">
      <c r="A2833" t="s">
        <v>2782</v>
      </c>
      <c r="B2833" t="s">
        <v>1802</v>
      </c>
      <c r="C2833" t="s">
        <v>1798</v>
      </c>
      <c r="D2833" t="s">
        <v>1799</v>
      </c>
      <c r="E2833" t="s">
        <v>1800</v>
      </c>
      <c r="F2833" t="s">
        <v>154</v>
      </c>
      <c r="H2833" t="s">
        <v>5571</v>
      </c>
      <c r="I2833" t="s">
        <v>6031</v>
      </c>
      <c r="J2833" t="s">
        <v>6032</v>
      </c>
      <c r="K2833" t="s">
        <v>6029</v>
      </c>
      <c r="L2833" t="s">
        <v>4717</v>
      </c>
    </row>
    <row r="2834">
      <c r="A2834" t="s">
        <v>2782</v>
      </c>
      <c r="B2834" t="s">
        <v>1802</v>
      </c>
      <c r="C2834" t="s">
        <v>1798</v>
      </c>
      <c r="D2834" t="s">
        <v>1799</v>
      </c>
      <c r="E2834" t="s">
        <v>1800</v>
      </c>
      <c r="F2834" t="s">
        <v>154</v>
      </c>
      <c r="H2834" t="s">
        <v>6033</v>
      </c>
      <c r="I2834" t="s">
        <v>6034</v>
      </c>
      <c r="J2834" t="s">
        <v>6035</v>
      </c>
      <c r="K2834" t="s">
        <v>6029</v>
      </c>
      <c r="L2834" t="s">
        <v>4717</v>
      </c>
    </row>
    <row r="2835">
      <c r="A2835" t="s">
        <v>2782</v>
      </c>
      <c r="B2835" t="s">
        <v>1802</v>
      </c>
      <c r="C2835" t="s">
        <v>1798</v>
      </c>
      <c r="D2835" t="s">
        <v>1799</v>
      </c>
      <c r="E2835" t="s">
        <v>1800</v>
      </c>
      <c r="F2835" t="s">
        <v>154</v>
      </c>
      <c r="H2835" t="s">
        <v>5499</v>
      </c>
      <c r="I2835" t="s">
        <v>6036</v>
      </c>
      <c r="J2835" t="s">
        <v>6037</v>
      </c>
      <c r="K2835" t="s">
        <v>6029</v>
      </c>
      <c r="L2835" t="s">
        <v>4717</v>
      </c>
    </row>
    <row r="2836">
      <c r="A2836" t="s">
        <v>2782</v>
      </c>
      <c r="B2836" t="s">
        <v>1802</v>
      </c>
      <c r="C2836" t="s">
        <v>1798</v>
      </c>
      <c r="D2836" t="s">
        <v>1799</v>
      </c>
      <c r="E2836" t="s">
        <v>1800</v>
      </c>
      <c r="F2836" t="s">
        <v>154</v>
      </c>
      <c r="H2836" t="s">
        <v>6038</v>
      </c>
      <c r="I2836" t="s">
        <v>6039</v>
      </c>
      <c r="J2836" t="s">
        <v>6040</v>
      </c>
      <c r="K2836" t="s">
        <v>6029</v>
      </c>
      <c r="L2836" t="s">
        <v>4717</v>
      </c>
    </row>
    <row r="2837">
      <c r="A2837" t="s">
        <v>2782</v>
      </c>
      <c r="B2837" t="s">
        <v>1802</v>
      </c>
      <c r="C2837" t="s">
        <v>1798</v>
      </c>
      <c r="D2837" t="s">
        <v>1799</v>
      </c>
      <c r="E2837" t="s">
        <v>1800</v>
      </c>
      <c r="F2837" t="s">
        <v>154</v>
      </c>
      <c r="H2837" t="s">
        <v>3904</v>
      </c>
      <c r="I2837" t="s">
        <v>6041</v>
      </c>
      <c r="J2837" t="s">
        <v>6042</v>
      </c>
      <c r="K2837" t="s">
        <v>6029</v>
      </c>
      <c r="L2837" t="s">
        <v>4717</v>
      </c>
    </row>
    <row r="2838">
      <c r="A2838" t="s">
        <v>2782</v>
      </c>
      <c r="B2838" t="s">
        <v>1802</v>
      </c>
      <c r="C2838" t="s">
        <v>1798</v>
      </c>
      <c r="D2838" t="s">
        <v>1799</v>
      </c>
      <c r="E2838" t="s">
        <v>1800</v>
      </c>
      <c r="F2838" t="s">
        <v>154</v>
      </c>
      <c r="H2838" t="s">
        <v>5157</v>
      </c>
      <c r="I2838" t="s">
        <v>6043</v>
      </c>
      <c r="J2838" t="s">
        <v>6044</v>
      </c>
      <c r="K2838" t="s">
        <v>6029</v>
      </c>
      <c r="L2838" t="s">
        <v>4717</v>
      </c>
    </row>
    <row r="2839">
      <c r="A2839" t="s">
        <v>2782</v>
      </c>
      <c r="B2839" t="s">
        <v>1802</v>
      </c>
      <c r="C2839" t="s">
        <v>1798</v>
      </c>
      <c r="D2839" t="s">
        <v>1799</v>
      </c>
      <c r="E2839" t="s">
        <v>1800</v>
      </c>
      <c r="F2839" t="s">
        <v>154</v>
      </c>
      <c r="H2839" t="s">
        <v>5170</v>
      </c>
      <c r="I2839" t="s">
        <v>6045</v>
      </c>
      <c r="J2839" t="s">
        <v>6046</v>
      </c>
      <c r="K2839" t="s">
        <v>6029</v>
      </c>
      <c r="L2839" t="s">
        <v>4717</v>
      </c>
    </row>
    <row r="2840">
      <c r="A2840" t="s">
        <v>3069</v>
      </c>
      <c r="B2840" t="s">
        <v>3072</v>
      </c>
      <c r="C2840" t="s">
        <v>958</v>
      </c>
      <c r="D2840" t="s">
        <v>1198</v>
      </c>
      <c r="E2840" t="s">
        <v>3070</v>
      </c>
      <c r="F2840" t="s">
        <v>120</v>
      </c>
      <c r="H2840" t="s">
        <v>5041</v>
      </c>
      <c r="I2840" t="s">
        <v>6047</v>
      </c>
      <c r="J2840" t="s">
        <v>5810</v>
      </c>
      <c r="K2840" t="s">
        <v>1998</v>
      </c>
      <c r="L2840" t="s">
        <v>4717</v>
      </c>
    </row>
    <row r="2841">
      <c r="A2841" t="s">
        <v>3069</v>
      </c>
      <c r="B2841" t="s">
        <v>3072</v>
      </c>
      <c r="C2841" t="s">
        <v>958</v>
      </c>
      <c r="D2841" t="s">
        <v>1198</v>
      </c>
      <c r="E2841" t="s">
        <v>3070</v>
      </c>
      <c r="F2841" t="s">
        <v>120</v>
      </c>
      <c r="H2841" t="s">
        <v>5616</v>
      </c>
      <c r="I2841" t="s">
        <v>6048</v>
      </c>
      <c r="J2841" t="s">
        <v>5813</v>
      </c>
      <c r="K2841" t="s">
        <v>1998</v>
      </c>
      <c r="L2841" t="s">
        <v>4717</v>
      </c>
    </row>
    <row r="2842">
      <c r="A2842" t="s">
        <v>3069</v>
      </c>
      <c r="B2842" t="s">
        <v>3072</v>
      </c>
      <c r="C2842" t="s">
        <v>958</v>
      </c>
      <c r="D2842" t="s">
        <v>1198</v>
      </c>
      <c r="E2842" t="s">
        <v>3070</v>
      </c>
      <c r="F2842" t="s">
        <v>120</v>
      </c>
      <c r="H2842" t="s">
        <v>6049</v>
      </c>
      <c r="I2842" t="s">
        <v>6050</v>
      </c>
      <c r="J2842" t="s">
        <v>6051</v>
      </c>
      <c r="K2842" t="s">
        <v>1998</v>
      </c>
      <c r="L2842" t="s">
        <v>4717</v>
      </c>
    </row>
    <row r="2843">
      <c r="A2843" t="s">
        <v>3069</v>
      </c>
      <c r="B2843" t="s">
        <v>3072</v>
      </c>
      <c r="C2843" t="s">
        <v>958</v>
      </c>
      <c r="D2843" t="s">
        <v>1198</v>
      </c>
      <c r="E2843" t="s">
        <v>3070</v>
      </c>
      <c r="F2843" t="s">
        <v>120</v>
      </c>
      <c r="H2843" t="s">
        <v>6052</v>
      </c>
      <c r="I2843" t="s">
        <v>6053</v>
      </c>
      <c r="J2843" t="s">
        <v>6054</v>
      </c>
      <c r="K2843" t="s">
        <v>1998</v>
      </c>
      <c r="L2843" t="s">
        <v>4717</v>
      </c>
    </row>
    <row r="2844">
      <c r="A2844" t="s">
        <v>3069</v>
      </c>
      <c r="B2844" t="s">
        <v>3072</v>
      </c>
      <c r="C2844" t="s">
        <v>958</v>
      </c>
      <c r="D2844" t="s">
        <v>1198</v>
      </c>
      <c r="E2844" t="s">
        <v>3070</v>
      </c>
      <c r="F2844" t="s">
        <v>120</v>
      </c>
      <c r="H2844" t="s">
        <v>6055</v>
      </c>
      <c r="I2844" t="s">
        <v>6056</v>
      </c>
      <c r="J2844" t="s">
        <v>6057</v>
      </c>
      <c r="K2844" t="s">
        <v>1998</v>
      </c>
      <c r="L2844" t="s">
        <v>4717</v>
      </c>
    </row>
    <row r="2845">
      <c r="A2845" t="s">
        <v>3069</v>
      </c>
      <c r="B2845" t="s">
        <v>3072</v>
      </c>
      <c r="C2845" t="s">
        <v>958</v>
      </c>
      <c r="D2845" t="s">
        <v>1198</v>
      </c>
      <c r="E2845" t="s">
        <v>3070</v>
      </c>
      <c r="F2845" t="s">
        <v>120</v>
      </c>
      <c r="H2845" t="s">
        <v>5603</v>
      </c>
      <c r="I2845" t="s">
        <v>6058</v>
      </c>
      <c r="J2845" t="s">
        <v>6059</v>
      </c>
      <c r="K2845" t="s">
        <v>1998</v>
      </c>
      <c r="L2845" t="s">
        <v>4717</v>
      </c>
    </row>
    <row r="2846">
      <c r="A2846" t="s">
        <v>3069</v>
      </c>
      <c r="B2846" t="s">
        <v>3072</v>
      </c>
      <c r="C2846" t="s">
        <v>958</v>
      </c>
      <c r="D2846" t="s">
        <v>1198</v>
      </c>
      <c r="E2846" t="s">
        <v>3070</v>
      </c>
      <c r="F2846" t="s">
        <v>120</v>
      </c>
      <c r="H2846" t="s">
        <v>1277</v>
      </c>
      <c r="I2846" t="s">
        <v>6060</v>
      </c>
      <c r="J2846" t="s">
        <v>6061</v>
      </c>
      <c r="K2846" t="s">
        <v>1998</v>
      </c>
      <c r="L2846" t="s">
        <v>4717</v>
      </c>
    </row>
    <row r="2847">
      <c r="A2847" t="s">
        <v>3069</v>
      </c>
      <c r="B2847" t="s">
        <v>3072</v>
      </c>
      <c r="C2847" t="s">
        <v>958</v>
      </c>
      <c r="D2847" t="s">
        <v>1198</v>
      </c>
      <c r="E2847" t="s">
        <v>3070</v>
      </c>
      <c r="F2847" t="s">
        <v>120</v>
      </c>
      <c r="H2847" t="s">
        <v>5181</v>
      </c>
      <c r="I2847" t="s">
        <v>6062</v>
      </c>
      <c r="J2847" t="s">
        <v>6063</v>
      </c>
      <c r="K2847" t="s">
        <v>1998</v>
      </c>
      <c r="L2847" t="s">
        <v>4717</v>
      </c>
    </row>
    <row r="2848">
      <c r="A2848" t="s">
        <v>3069</v>
      </c>
      <c r="B2848" t="s">
        <v>3072</v>
      </c>
      <c r="C2848" t="s">
        <v>958</v>
      </c>
      <c r="D2848" t="s">
        <v>1198</v>
      </c>
      <c r="E2848" t="s">
        <v>3070</v>
      </c>
      <c r="F2848" t="s">
        <v>120</v>
      </c>
      <c r="H2848" t="s">
        <v>5157</v>
      </c>
      <c r="I2848" t="s">
        <v>6064</v>
      </c>
      <c r="J2848" t="s">
        <v>6065</v>
      </c>
      <c r="K2848" t="s">
        <v>1998</v>
      </c>
      <c r="L2848" t="s">
        <v>4717</v>
      </c>
    </row>
    <row r="2849">
      <c r="A2849" t="s">
        <v>3069</v>
      </c>
      <c r="B2849" t="s">
        <v>3072</v>
      </c>
      <c r="C2849" t="s">
        <v>958</v>
      </c>
      <c r="D2849" t="s">
        <v>1198</v>
      </c>
      <c r="E2849" t="s">
        <v>3070</v>
      </c>
      <c r="F2849" t="s">
        <v>120</v>
      </c>
      <c r="H2849" t="s">
        <v>5170</v>
      </c>
      <c r="I2849" t="s">
        <v>6066</v>
      </c>
      <c r="J2849" t="s">
        <v>6067</v>
      </c>
      <c r="K2849" t="s">
        <v>1998</v>
      </c>
      <c r="L2849" t="s">
        <v>4717</v>
      </c>
    </row>
    <row r="2850">
      <c r="A2850" t="s">
        <v>3086</v>
      </c>
      <c r="B2850" t="s">
        <v>3088</v>
      </c>
      <c r="C2850" t="s">
        <v>958</v>
      </c>
      <c r="D2850" t="s">
        <v>1198</v>
      </c>
      <c r="E2850" t="s">
        <v>3070</v>
      </c>
      <c r="F2850" t="s">
        <v>120</v>
      </c>
      <c r="H2850" t="s">
        <v>5041</v>
      </c>
      <c r="I2850" t="s">
        <v>6068</v>
      </c>
      <c r="J2850" t="s">
        <v>5810</v>
      </c>
      <c r="K2850" t="s">
        <v>6069</v>
      </c>
      <c r="L2850" t="s">
        <v>4717</v>
      </c>
    </row>
    <row r="2851">
      <c r="A2851" t="s">
        <v>3086</v>
      </c>
      <c r="B2851" t="s">
        <v>3088</v>
      </c>
      <c r="C2851" t="s">
        <v>958</v>
      </c>
      <c r="D2851" t="s">
        <v>1198</v>
      </c>
      <c r="E2851" t="s">
        <v>3070</v>
      </c>
      <c r="F2851" t="s">
        <v>120</v>
      </c>
      <c r="H2851" t="s">
        <v>5616</v>
      </c>
      <c r="I2851" t="s">
        <v>6070</v>
      </c>
      <c r="J2851" t="s">
        <v>5813</v>
      </c>
      <c r="K2851" t="s">
        <v>6069</v>
      </c>
      <c r="L2851" t="s">
        <v>4717</v>
      </c>
    </row>
    <row r="2852">
      <c r="A2852" t="s">
        <v>3086</v>
      </c>
      <c r="B2852" t="s">
        <v>3088</v>
      </c>
      <c r="C2852" t="s">
        <v>958</v>
      </c>
      <c r="D2852" t="s">
        <v>1198</v>
      </c>
      <c r="E2852" t="s">
        <v>3070</v>
      </c>
      <c r="F2852" t="s">
        <v>120</v>
      </c>
      <c r="H2852" t="s">
        <v>6049</v>
      </c>
      <c r="I2852" t="s">
        <v>6071</v>
      </c>
      <c r="J2852" t="s">
        <v>6051</v>
      </c>
      <c r="K2852" t="s">
        <v>6069</v>
      </c>
      <c r="L2852" t="s">
        <v>4717</v>
      </c>
    </row>
    <row r="2853">
      <c r="A2853" t="s">
        <v>3086</v>
      </c>
      <c r="B2853" t="s">
        <v>3088</v>
      </c>
      <c r="C2853" t="s">
        <v>958</v>
      </c>
      <c r="D2853" t="s">
        <v>1198</v>
      </c>
      <c r="E2853" t="s">
        <v>3070</v>
      </c>
      <c r="F2853" t="s">
        <v>120</v>
      </c>
      <c r="H2853" t="s">
        <v>6052</v>
      </c>
      <c r="I2853" t="s">
        <v>6072</v>
      </c>
      <c r="J2853" t="s">
        <v>6054</v>
      </c>
      <c r="K2853" t="s">
        <v>6069</v>
      </c>
      <c r="L2853" t="s">
        <v>4717</v>
      </c>
    </row>
    <row r="2854">
      <c r="A2854" t="s">
        <v>3086</v>
      </c>
      <c r="B2854" t="s">
        <v>3088</v>
      </c>
      <c r="C2854" t="s">
        <v>958</v>
      </c>
      <c r="D2854" t="s">
        <v>1198</v>
      </c>
      <c r="E2854" t="s">
        <v>3070</v>
      </c>
      <c r="F2854" t="s">
        <v>120</v>
      </c>
      <c r="H2854" t="s">
        <v>6055</v>
      </c>
      <c r="I2854" t="s">
        <v>6073</v>
      </c>
      <c r="J2854" t="s">
        <v>6057</v>
      </c>
      <c r="K2854" t="s">
        <v>6069</v>
      </c>
      <c r="L2854" t="s">
        <v>4717</v>
      </c>
    </row>
    <row r="2855">
      <c r="A2855" t="s">
        <v>3086</v>
      </c>
      <c r="B2855" t="s">
        <v>3088</v>
      </c>
      <c r="C2855" t="s">
        <v>958</v>
      </c>
      <c r="D2855" t="s">
        <v>1198</v>
      </c>
      <c r="E2855" t="s">
        <v>3070</v>
      </c>
      <c r="F2855" t="s">
        <v>120</v>
      </c>
      <c r="H2855" t="s">
        <v>5603</v>
      </c>
      <c r="I2855" t="s">
        <v>6074</v>
      </c>
      <c r="J2855" t="s">
        <v>6059</v>
      </c>
      <c r="K2855" t="s">
        <v>6069</v>
      </c>
      <c r="L2855" t="s">
        <v>4717</v>
      </c>
    </row>
    <row r="2856">
      <c r="A2856" t="s">
        <v>3086</v>
      </c>
      <c r="B2856" t="s">
        <v>3088</v>
      </c>
      <c r="C2856" t="s">
        <v>958</v>
      </c>
      <c r="D2856" t="s">
        <v>1198</v>
      </c>
      <c r="E2856" t="s">
        <v>3070</v>
      </c>
      <c r="F2856" t="s">
        <v>120</v>
      </c>
      <c r="H2856" t="s">
        <v>1277</v>
      </c>
      <c r="I2856" t="s">
        <v>6075</v>
      </c>
      <c r="J2856" t="s">
        <v>6061</v>
      </c>
      <c r="K2856" t="s">
        <v>6069</v>
      </c>
      <c r="L2856" t="s">
        <v>4717</v>
      </c>
    </row>
    <row r="2857">
      <c r="A2857" t="s">
        <v>3086</v>
      </c>
      <c r="B2857" t="s">
        <v>3088</v>
      </c>
      <c r="C2857" t="s">
        <v>958</v>
      </c>
      <c r="D2857" t="s">
        <v>1198</v>
      </c>
      <c r="E2857" t="s">
        <v>3070</v>
      </c>
      <c r="F2857" t="s">
        <v>120</v>
      </c>
      <c r="H2857" t="s">
        <v>5181</v>
      </c>
      <c r="I2857" t="s">
        <v>6076</v>
      </c>
      <c r="J2857" t="s">
        <v>6063</v>
      </c>
      <c r="K2857" t="s">
        <v>6069</v>
      </c>
      <c r="L2857" t="s">
        <v>4717</v>
      </c>
    </row>
    <row r="2858">
      <c r="A2858" t="s">
        <v>3086</v>
      </c>
      <c r="B2858" t="s">
        <v>3088</v>
      </c>
      <c r="C2858" t="s">
        <v>958</v>
      </c>
      <c r="D2858" t="s">
        <v>1198</v>
      </c>
      <c r="E2858" t="s">
        <v>3070</v>
      </c>
      <c r="F2858" t="s">
        <v>120</v>
      </c>
      <c r="H2858" t="s">
        <v>5157</v>
      </c>
      <c r="I2858" t="s">
        <v>6077</v>
      </c>
      <c r="J2858" t="s">
        <v>6065</v>
      </c>
      <c r="K2858" t="s">
        <v>6069</v>
      </c>
      <c r="L2858" t="s">
        <v>4717</v>
      </c>
    </row>
    <row r="2859">
      <c r="A2859" t="s">
        <v>3086</v>
      </c>
      <c r="B2859" t="s">
        <v>3088</v>
      </c>
      <c r="C2859" t="s">
        <v>958</v>
      </c>
      <c r="D2859" t="s">
        <v>1198</v>
      </c>
      <c r="E2859" t="s">
        <v>3070</v>
      </c>
      <c r="F2859" t="s">
        <v>120</v>
      </c>
      <c r="H2859" t="s">
        <v>5170</v>
      </c>
      <c r="I2859" t="s">
        <v>6078</v>
      </c>
      <c r="J2859" t="s">
        <v>6067</v>
      </c>
      <c r="K2859" t="s">
        <v>6069</v>
      </c>
      <c r="L2859" t="s">
        <v>4717</v>
      </c>
    </row>
    <row r="2860">
      <c r="A2860" t="s">
        <v>3099</v>
      </c>
      <c r="B2860" t="s">
        <v>3101</v>
      </c>
      <c r="C2860" t="s">
        <v>958</v>
      </c>
      <c r="D2860" t="s">
        <v>1198</v>
      </c>
      <c r="E2860" t="s">
        <v>3070</v>
      </c>
      <c r="F2860" t="s">
        <v>120</v>
      </c>
      <c r="H2860" t="s">
        <v>5041</v>
      </c>
      <c r="I2860" t="s">
        <v>6079</v>
      </c>
      <c r="J2860" t="s">
        <v>5810</v>
      </c>
      <c r="K2860" t="s">
        <v>6080</v>
      </c>
      <c r="L2860" t="s">
        <v>4717</v>
      </c>
    </row>
    <row r="2861">
      <c r="A2861" t="s">
        <v>3099</v>
      </c>
      <c r="B2861" t="s">
        <v>3101</v>
      </c>
      <c r="C2861" t="s">
        <v>958</v>
      </c>
      <c r="D2861" t="s">
        <v>1198</v>
      </c>
      <c r="E2861" t="s">
        <v>3070</v>
      </c>
      <c r="F2861" t="s">
        <v>120</v>
      </c>
      <c r="H2861" t="s">
        <v>5616</v>
      </c>
      <c r="I2861" t="s">
        <v>6081</v>
      </c>
      <c r="J2861" t="s">
        <v>5813</v>
      </c>
      <c r="K2861" t="s">
        <v>6080</v>
      </c>
      <c r="L2861" t="s">
        <v>4717</v>
      </c>
    </row>
    <row r="2862">
      <c r="A2862" t="s">
        <v>3099</v>
      </c>
      <c r="B2862" t="s">
        <v>3101</v>
      </c>
      <c r="C2862" t="s">
        <v>958</v>
      </c>
      <c r="D2862" t="s">
        <v>1198</v>
      </c>
      <c r="E2862" t="s">
        <v>3070</v>
      </c>
      <c r="F2862" t="s">
        <v>120</v>
      </c>
      <c r="H2862" t="s">
        <v>6049</v>
      </c>
      <c r="I2862" t="s">
        <v>6082</v>
      </c>
      <c r="J2862" t="s">
        <v>6051</v>
      </c>
      <c r="K2862" t="s">
        <v>6080</v>
      </c>
      <c r="L2862" t="s">
        <v>4717</v>
      </c>
    </row>
    <row r="2863">
      <c r="A2863" t="s">
        <v>3099</v>
      </c>
      <c r="B2863" t="s">
        <v>3101</v>
      </c>
      <c r="C2863" t="s">
        <v>958</v>
      </c>
      <c r="D2863" t="s">
        <v>1198</v>
      </c>
      <c r="E2863" t="s">
        <v>3070</v>
      </c>
      <c r="F2863" t="s">
        <v>120</v>
      </c>
      <c r="H2863" t="s">
        <v>6052</v>
      </c>
      <c r="I2863" t="s">
        <v>6083</v>
      </c>
      <c r="J2863" t="s">
        <v>6054</v>
      </c>
      <c r="K2863" t="s">
        <v>6080</v>
      </c>
      <c r="L2863" t="s">
        <v>4717</v>
      </c>
    </row>
    <row r="2864">
      <c r="A2864" t="s">
        <v>3099</v>
      </c>
      <c r="B2864" t="s">
        <v>3101</v>
      </c>
      <c r="C2864" t="s">
        <v>958</v>
      </c>
      <c r="D2864" t="s">
        <v>1198</v>
      </c>
      <c r="E2864" t="s">
        <v>3070</v>
      </c>
      <c r="F2864" t="s">
        <v>120</v>
      </c>
      <c r="H2864" t="s">
        <v>6055</v>
      </c>
      <c r="I2864" t="s">
        <v>6084</v>
      </c>
      <c r="J2864" t="s">
        <v>6057</v>
      </c>
      <c r="K2864" t="s">
        <v>6080</v>
      </c>
      <c r="L2864" t="s">
        <v>4717</v>
      </c>
    </row>
    <row r="2865">
      <c r="A2865" t="s">
        <v>3099</v>
      </c>
      <c r="B2865" t="s">
        <v>3101</v>
      </c>
      <c r="C2865" t="s">
        <v>958</v>
      </c>
      <c r="D2865" t="s">
        <v>1198</v>
      </c>
      <c r="E2865" t="s">
        <v>3070</v>
      </c>
      <c r="F2865" t="s">
        <v>120</v>
      </c>
      <c r="H2865" t="s">
        <v>5603</v>
      </c>
      <c r="I2865" t="s">
        <v>6085</v>
      </c>
      <c r="J2865" t="s">
        <v>6059</v>
      </c>
      <c r="K2865" t="s">
        <v>6080</v>
      </c>
      <c r="L2865" t="s">
        <v>4717</v>
      </c>
    </row>
    <row r="2866">
      <c r="A2866" t="s">
        <v>3099</v>
      </c>
      <c r="B2866" t="s">
        <v>3101</v>
      </c>
      <c r="C2866" t="s">
        <v>958</v>
      </c>
      <c r="D2866" t="s">
        <v>1198</v>
      </c>
      <c r="E2866" t="s">
        <v>3070</v>
      </c>
      <c r="F2866" t="s">
        <v>120</v>
      </c>
      <c r="H2866" t="s">
        <v>1277</v>
      </c>
      <c r="I2866" t="s">
        <v>6086</v>
      </c>
      <c r="J2866" t="s">
        <v>6061</v>
      </c>
      <c r="K2866" t="s">
        <v>6080</v>
      </c>
      <c r="L2866" t="s">
        <v>4717</v>
      </c>
    </row>
    <row r="2867">
      <c r="A2867" t="s">
        <v>3099</v>
      </c>
      <c r="B2867" t="s">
        <v>3101</v>
      </c>
      <c r="C2867" t="s">
        <v>958</v>
      </c>
      <c r="D2867" t="s">
        <v>1198</v>
      </c>
      <c r="E2867" t="s">
        <v>3070</v>
      </c>
      <c r="F2867" t="s">
        <v>120</v>
      </c>
      <c r="H2867" t="s">
        <v>5181</v>
      </c>
      <c r="I2867" t="s">
        <v>6087</v>
      </c>
      <c r="J2867" t="s">
        <v>6063</v>
      </c>
      <c r="K2867" t="s">
        <v>6080</v>
      </c>
      <c r="L2867" t="s">
        <v>4717</v>
      </c>
    </row>
    <row r="2868">
      <c r="A2868" t="s">
        <v>3099</v>
      </c>
      <c r="B2868" t="s">
        <v>3101</v>
      </c>
      <c r="C2868" t="s">
        <v>958</v>
      </c>
      <c r="D2868" t="s">
        <v>1198</v>
      </c>
      <c r="E2868" t="s">
        <v>3070</v>
      </c>
      <c r="F2868" t="s">
        <v>120</v>
      </c>
      <c r="H2868" t="s">
        <v>5157</v>
      </c>
      <c r="I2868" t="s">
        <v>6088</v>
      </c>
      <c r="J2868" t="s">
        <v>6065</v>
      </c>
      <c r="K2868" t="s">
        <v>6080</v>
      </c>
      <c r="L2868" t="s">
        <v>4717</v>
      </c>
    </row>
    <row r="2869">
      <c r="A2869" t="s">
        <v>3099</v>
      </c>
      <c r="B2869" t="s">
        <v>3101</v>
      </c>
      <c r="C2869" t="s">
        <v>958</v>
      </c>
      <c r="D2869" t="s">
        <v>1198</v>
      </c>
      <c r="E2869" t="s">
        <v>3070</v>
      </c>
      <c r="F2869" t="s">
        <v>120</v>
      </c>
      <c r="H2869" t="s">
        <v>5170</v>
      </c>
      <c r="I2869" t="s">
        <v>6089</v>
      </c>
      <c r="J2869" t="s">
        <v>6067</v>
      </c>
      <c r="K2869" t="s">
        <v>6080</v>
      </c>
      <c r="L2869" t="s">
        <v>4717</v>
      </c>
    </row>
    <row r="2870">
      <c r="A2870" t="s">
        <v>2537</v>
      </c>
      <c r="B2870" t="s">
        <v>1201</v>
      </c>
      <c r="C2870" t="s">
        <v>958</v>
      </c>
      <c r="D2870" t="s">
        <v>1198</v>
      </c>
      <c r="E2870" t="s">
        <v>1199</v>
      </c>
      <c r="F2870" t="s">
        <v>129</v>
      </c>
      <c r="G2870" t="s">
        <v>2078</v>
      </c>
      <c r="H2870" t="s">
        <v>6090</v>
      </c>
      <c r="I2870" t="s">
        <v>6091</v>
      </c>
      <c r="J2870" t="s">
        <v>6092</v>
      </c>
      <c r="K2870" t="s">
        <v>6093</v>
      </c>
      <c r="L2870" t="s">
        <v>4717</v>
      </c>
      <c r="M2870" t="s">
        <v>6094</v>
      </c>
    </row>
    <row r="2871">
      <c r="A2871" t="s">
        <v>2537</v>
      </c>
      <c r="B2871" t="s">
        <v>1201</v>
      </c>
      <c r="C2871" t="s">
        <v>958</v>
      </c>
      <c r="D2871" t="s">
        <v>1198</v>
      </c>
      <c r="E2871" t="s">
        <v>1199</v>
      </c>
      <c r="F2871" t="s">
        <v>129</v>
      </c>
      <c r="G2871" t="s">
        <v>2078</v>
      </c>
      <c r="H2871" t="s">
        <v>6090</v>
      </c>
      <c r="I2871" t="s">
        <v>6095</v>
      </c>
      <c r="J2871" t="s">
        <v>6096</v>
      </c>
      <c r="K2871" t="s">
        <v>6097</v>
      </c>
      <c r="L2871" t="s">
        <v>4717</v>
      </c>
      <c r="M2871" t="s">
        <v>6094</v>
      </c>
    </row>
    <row r="2872">
      <c r="A2872" t="s">
        <v>2537</v>
      </c>
      <c r="B2872" t="s">
        <v>1201</v>
      </c>
      <c r="C2872" t="s">
        <v>958</v>
      </c>
      <c r="D2872" t="s">
        <v>1198</v>
      </c>
      <c r="E2872" t="s">
        <v>1199</v>
      </c>
      <c r="F2872" t="s">
        <v>129</v>
      </c>
      <c r="G2872" t="s">
        <v>2078</v>
      </c>
      <c r="H2872" t="s">
        <v>6090</v>
      </c>
      <c r="I2872" t="s">
        <v>6098</v>
      </c>
      <c r="J2872" t="s">
        <v>6099</v>
      </c>
      <c r="K2872" t="s">
        <v>6055</v>
      </c>
      <c r="L2872" t="s">
        <v>4717</v>
      </c>
      <c r="M2872" t="s">
        <v>6094</v>
      </c>
    </row>
    <row r="2873">
      <c r="A2873" t="s">
        <v>2537</v>
      </c>
      <c r="B2873" t="s">
        <v>1201</v>
      </c>
      <c r="C2873" t="s">
        <v>958</v>
      </c>
      <c r="D2873" t="s">
        <v>1198</v>
      </c>
      <c r="E2873" t="s">
        <v>1199</v>
      </c>
      <c r="F2873" t="s">
        <v>129</v>
      </c>
      <c r="G2873" t="s">
        <v>2078</v>
      </c>
      <c r="H2873" t="s">
        <v>6100</v>
      </c>
      <c r="I2873" t="s">
        <v>6101</v>
      </c>
      <c r="J2873" t="s">
        <v>6102</v>
      </c>
      <c r="K2873" t="s">
        <v>6103</v>
      </c>
      <c r="L2873" t="s">
        <v>4717</v>
      </c>
      <c r="M2873" t="s">
        <v>6094</v>
      </c>
    </row>
    <row r="2874">
      <c r="A2874" t="s">
        <v>2537</v>
      </c>
      <c r="B2874" t="s">
        <v>1201</v>
      </c>
      <c r="C2874" t="s">
        <v>958</v>
      </c>
      <c r="D2874" t="s">
        <v>1198</v>
      </c>
      <c r="E2874" t="s">
        <v>1199</v>
      </c>
      <c r="F2874" t="s">
        <v>129</v>
      </c>
      <c r="G2874" t="s">
        <v>2078</v>
      </c>
      <c r="H2874" t="s">
        <v>5603</v>
      </c>
      <c r="I2874" t="s">
        <v>4801</v>
      </c>
      <c r="J2874" t="s">
        <v>6104</v>
      </c>
      <c r="K2874" t="s">
        <v>5603</v>
      </c>
      <c r="L2874" t="s">
        <v>4717</v>
      </c>
      <c r="M2874" t="s">
        <v>6094</v>
      </c>
    </row>
    <row r="2875">
      <c r="A2875" t="s">
        <v>2537</v>
      </c>
      <c r="B2875" t="s">
        <v>1201</v>
      </c>
      <c r="C2875" t="s">
        <v>958</v>
      </c>
      <c r="D2875" t="s">
        <v>1198</v>
      </c>
      <c r="E2875" t="s">
        <v>1199</v>
      </c>
      <c r="F2875" t="s">
        <v>129</v>
      </c>
      <c r="G2875" t="s">
        <v>2078</v>
      </c>
      <c r="H2875" t="s">
        <v>5630</v>
      </c>
      <c r="I2875" t="s">
        <v>6105</v>
      </c>
      <c r="J2875" t="s">
        <v>6106</v>
      </c>
      <c r="K2875" t="s">
        <v>6107</v>
      </c>
      <c r="L2875" t="s">
        <v>4717</v>
      </c>
      <c r="M2875" t="s">
        <v>6094</v>
      </c>
    </row>
    <row r="2876">
      <c r="A2876" t="s">
        <v>2537</v>
      </c>
      <c r="B2876" t="s">
        <v>1201</v>
      </c>
      <c r="C2876" t="s">
        <v>958</v>
      </c>
      <c r="D2876" t="s">
        <v>1198</v>
      </c>
      <c r="E2876" t="s">
        <v>1199</v>
      </c>
      <c r="F2876" t="s">
        <v>129</v>
      </c>
      <c r="G2876" t="s">
        <v>2078</v>
      </c>
      <c r="H2876" t="s">
        <v>5630</v>
      </c>
      <c r="I2876" t="s">
        <v>6108</v>
      </c>
      <c r="J2876" t="s">
        <v>6109</v>
      </c>
      <c r="K2876" t="s">
        <v>6110</v>
      </c>
      <c r="L2876" t="s">
        <v>4717</v>
      </c>
      <c r="M2876" t="s">
        <v>6094</v>
      </c>
    </row>
    <row r="2877">
      <c r="A2877" t="s">
        <v>2537</v>
      </c>
      <c r="B2877" t="s">
        <v>1201</v>
      </c>
      <c r="C2877" t="s">
        <v>958</v>
      </c>
      <c r="D2877" t="s">
        <v>1198</v>
      </c>
      <c r="E2877" t="s">
        <v>1199</v>
      </c>
      <c r="F2877" t="s">
        <v>129</v>
      </c>
      <c r="G2877" t="s">
        <v>2078</v>
      </c>
      <c r="H2877" t="s">
        <v>5157</v>
      </c>
      <c r="I2877" t="s">
        <v>6111</v>
      </c>
      <c r="J2877" t="s">
        <v>6112</v>
      </c>
      <c r="K2877" t="s">
        <v>6113</v>
      </c>
      <c r="L2877" t="s">
        <v>4717</v>
      </c>
      <c r="M2877" t="s">
        <v>6094</v>
      </c>
    </row>
    <row r="2878">
      <c r="A2878" t="s">
        <v>2537</v>
      </c>
      <c r="B2878" t="s">
        <v>1201</v>
      </c>
      <c r="C2878" t="s">
        <v>958</v>
      </c>
      <c r="D2878" t="s">
        <v>1198</v>
      </c>
      <c r="E2878" t="s">
        <v>1199</v>
      </c>
      <c r="F2878" t="s">
        <v>129</v>
      </c>
      <c r="G2878" t="s">
        <v>2078</v>
      </c>
      <c r="H2878" t="s">
        <v>5522</v>
      </c>
      <c r="I2878" t="s">
        <v>6114</v>
      </c>
      <c r="J2878" t="s">
        <v>6115</v>
      </c>
      <c r="K2878" t="s">
        <v>6116</v>
      </c>
      <c r="L2878" t="s">
        <v>5522</v>
      </c>
      <c r="M2878" t="s">
        <v>6094</v>
      </c>
    </row>
    <row r="2879">
      <c r="A2879" t="s">
        <v>2537</v>
      </c>
      <c r="B2879" t="s">
        <v>1201</v>
      </c>
      <c r="C2879" t="s">
        <v>958</v>
      </c>
      <c r="D2879" t="s">
        <v>1198</v>
      </c>
      <c r="E2879" t="s">
        <v>1199</v>
      </c>
      <c r="F2879" t="s">
        <v>129</v>
      </c>
      <c r="G2879" t="s">
        <v>2078</v>
      </c>
      <c r="H2879" t="s">
        <v>4159</v>
      </c>
      <c r="I2879" t="s">
        <v>6117</v>
      </c>
      <c r="J2879" t="s">
        <v>6118</v>
      </c>
      <c r="K2879" t="s">
        <v>2088</v>
      </c>
      <c r="L2879" t="s">
        <v>4717</v>
      </c>
      <c r="M2879" t="s">
        <v>6094</v>
      </c>
    </row>
    <row r="2880">
      <c r="A2880" t="s">
        <v>2541</v>
      </c>
      <c r="B2880" t="s">
        <v>1209</v>
      </c>
      <c r="C2880" t="s">
        <v>958</v>
      </c>
      <c r="D2880" t="s">
        <v>1198</v>
      </c>
      <c r="E2880" t="s">
        <v>1199</v>
      </c>
      <c r="F2880" t="s">
        <v>154</v>
      </c>
      <c r="H2880" t="s">
        <v>6090</v>
      </c>
      <c r="I2880" t="s">
        <v>6091</v>
      </c>
      <c r="J2880" t="s">
        <v>6092</v>
      </c>
      <c r="K2880" t="s">
        <v>6093</v>
      </c>
      <c r="L2880" t="s">
        <v>4717</v>
      </c>
      <c r="M2880" t="s">
        <v>6094</v>
      </c>
    </row>
    <row r="2881">
      <c r="A2881" t="s">
        <v>2541</v>
      </c>
      <c r="B2881" t="s">
        <v>1209</v>
      </c>
      <c r="C2881" t="s">
        <v>958</v>
      </c>
      <c r="D2881" t="s">
        <v>1198</v>
      </c>
      <c r="E2881" t="s">
        <v>1199</v>
      </c>
      <c r="F2881" t="s">
        <v>154</v>
      </c>
      <c r="H2881" t="s">
        <v>6090</v>
      </c>
      <c r="I2881" t="s">
        <v>6095</v>
      </c>
      <c r="J2881" t="s">
        <v>6096</v>
      </c>
      <c r="K2881" t="s">
        <v>6097</v>
      </c>
      <c r="L2881" t="s">
        <v>4717</v>
      </c>
      <c r="M2881" t="s">
        <v>6094</v>
      </c>
    </row>
    <row r="2882">
      <c r="A2882" t="s">
        <v>2541</v>
      </c>
      <c r="B2882" t="s">
        <v>1209</v>
      </c>
      <c r="C2882" t="s">
        <v>958</v>
      </c>
      <c r="D2882" t="s">
        <v>1198</v>
      </c>
      <c r="E2882" t="s">
        <v>1199</v>
      </c>
      <c r="F2882" t="s">
        <v>154</v>
      </c>
      <c r="H2882" t="s">
        <v>6090</v>
      </c>
      <c r="I2882" t="s">
        <v>6098</v>
      </c>
      <c r="J2882" t="s">
        <v>6099</v>
      </c>
      <c r="K2882" t="s">
        <v>6055</v>
      </c>
      <c r="L2882" t="s">
        <v>4717</v>
      </c>
      <c r="M2882" t="s">
        <v>6094</v>
      </c>
    </row>
    <row r="2883">
      <c r="A2883" t="s">
        <v>2541</v>
      </c>
      <c r="B2883" t="s">
        <v>1209</v>
      </c>
      <c r="C2883" t="s">
        <v>958</v>
      </c>
      <c r="D2883" t="s">
        <v>1198</v>
      </c>
      <c r="E2883" t="s">
        <v>1199</v>
      </c>
      <c r="F2883" t="s">
        <v>154</v>
      </c>
      <c r="H2883" t="s">
        <v>6100</v>
      </c>
      <c r="I2883" t="s">
        <v>6101</v>
      </c>
      <c r="J2883" t="s">
        <v>6102</v>
      </c>
      <c r="K2883" t="s">
        <v>6103</v>
      </c>
      <c r="L2883" t="s">
        <v>4717</v>
      </c>
      <c r="M2883" t="s">
        <v>6094</v>
      </c>
    </row>
    <row r="2884">
      <c r="A2884" t="s">
        <v>2541</v>
      </c>
      <c r="B2884" t="s">
        <v>1209</v>
      </c>
      <c r="C2884" t="s">
        <v>958</v>
      </c>
      <c r="D2884" t="s">
        <v>1198</v>
      </c>
      <c r="E2884" t="s">
        <v>1199</v>
      </c>
      <c r="F2884" t="s">
        <v>154</v>
      </c>
      <c r="H2884" t="s">
        <v>5603</v>
      </c>
      <c r="I2884" t="s">
        <v>4801</v>
      </c>
      <c r="J2884" t="s">
        <v>6104</v>
      </c>
      <c r="K2884" t="s">
        <v>5603</v>
      </c>
      <c r="L2884" t="s">
        <v>4717</v>
      </c>
      <c r="M2884" t="s">
        <v>6094</v>
      </c>
    </row>
    <row r="2885">
      <c r="A2885" t="s">
        <v>2541</v>
      </c>
      <c r="B2885" t="s">
        <v>1209</v>
      </c>
      <c r="C2885" t="s">
        <v>958</v>
      </c>
      <c r="D2885" t="s">
        <v>1198</v>
      </c>
      <c r="E2885" t="s">
        <v>1199</v>
      </c>
      <c r="F2885" t="s">
        <v>154</v>
      </c>
      <c r="H2885" t="s">
        <v>5630</v>
      </c>
      <c r="I2885" t="s">
        <v>6105</v>
      </c>
      <c r="J2885" t="s">
        <v>6106</v>
      </c>
      <c r="K2885" t="s">
        <v>6107</v>
      </c>
      <c r="L2885" t="s">
        <v>4717</v>
      </c>
      <c r="M2885" t="s">
        <v>6094</v>
      </c>
    </row>
    <row r="2886">
      <c r="A2886" t="s">
        <v>2541</v>
      </c>
      <c r="B2886" t="s">
        <v>1209</v>
      </c>
      <c r="C2886" t="s">
        <v>958</v>
      </c>
      <c r="D2886" t="s">
        <v>1198</v>
      </c>
      <c r="E2886" t="s">
        <v>1199</v>
      </c>
      <c r="F2886" t="s">
        <v>154</v>
      </c>
      <c r="H2886" t="s">
        <v>5630</v>
      </c>
      <c r="I2886" t="s">
        <v>6108</v>
      </c>
      <c r="J2886" t="s">
        <v>6109</v>
      </c>
      <c r="K2886" t="s">
        <v>6110</v>
      </c>
      <c r="L2886" t="s">
        <v>4717</v>
      </c>
      <c r="M2886" t="s">
        <v>6094</v>
      </c>
    </row>
    <row r="2887">
      <c r="A2887" t="s">
        <v>2541</v>
      </c>
      <c r="B2887" t="s">
        <v>1209</v>
      </c>
      <c r="C2887" t="s">
        <v>958</v>
      </c>
      <c r="D2887" t="s">
        <v>1198</v>
      </c>
      <c r="E2887" t="s">
        <v>1199</v>
      </c>
      <c r="F2887" t="s">
        <v>154</v>
      </c>
      <c r="H2887" t="s">
        <v>5157</v>
      </c>
      <c r="I2887" t="s">
        <v>6111</v>
      </c>
      <c r="J2887" t="s">
        <v>6112</v>
      </c>
      <c r="K2887" t="s">
        <v>6113</v>
      </c>
      <c r="L2887" t="s">
        <v>4717</v>
      </c>
      <c r="M2887" t="s">
        <v>6094</v>
      </c>
    </row>
    <row r="2888">
      <c r="A2888" t="s">
        <v>2541</v>
      </c>
      <c r="B2888" t="s">
        <v>1209</v>
      </c>
      <c r="C2888" t="s">
        <v>958</v>
      </c>
      <c r="D2888" t="s">
        <v>1198</v>
      </c>
      <c r="E2888" t="s">
        <v>1199</v>
      </c>
      <c r="F2888" t="s">
        <v>154</v>
      </c>
      <c r="H2888" t="s">
        <v>5522</v>
      </c>
      <c r="I2888" t="s">
        <v>6114</v>
      </c>
      <c r="J2888" t="s">
        <v>6115</v>
      </c>
      <c r="K2888" t="s">
        <v>6116</v>
      </c>
      <c r="L2888" t="s">
        <v>5522</v>
      </c>
      <c r="M2888" t="s">
        <v>6094</v>
      </c>
    </row>
    <row r="2889">
      <c r="A2889" t="s">
        <v>2541</v>
      </c>
      <c r="B2889" t="s">
        <v>1209</v>
      </c>
      <c r="C2889" t="s">
        <v>958</v>
      </c>
      <c r="D2889" t="s">
        <v>1198</v>
      </c>
      <c r="E2889" t="s">
        <v>1199</v>
      </c>
      <c r="F2889" t="s">
        <v>154</v>
      </c>
      <c r="H2889" t="s">
        <v>4159</v>
      </c>
      <c r="I2889" t="s">
        <v>6117</v>
      </c>
      <c r="J2889" t="s">
        <v>6118</v>
      </c>
      <c r="K2889" t="s">
        <v>2088</v>
      </c>
      <c r="L2889" t="s">
        <v>4717</v>
      </c>
      <c r="M2889" t="s">
        <v>6094</v>
      </c>
    </row>
    <row r="2890">
      <c r="A2890" t="s">
        <v>2544</v>
      </c>
      <c r="B2890" t="s">
        <v>1215</v>
      </c>
      <c r="C2890" t="s">
        <v>958</v>
      </c>
      <c r="D2890" t="s">
        <v>1198</v>
      </c>
      <c r="E2890" t="s">
        <v>1199</v>
      </c>
      <c r="F2890" t="s">
        <v>120</v>
      </c>
      <c r="H2890" t="s">
        <v>6090</v>
      </c>
      <c r="I2890" t="s">
        <v>6091</v>
      </c>
      <c r="J2890" t="s">
        <v>6092</v>
      </c>
      <c r="K2890" t="s">
        <v>6093</v>
      </c>
      <c r="L2890" t="s">
        <v>4717</v>
      </c>
      <c r="M2890" t="s">
        <v>6094</v>
      </c>
    </row>
    <row r="2891">
      <c r="A2891" t="s">
        <v>2544</v>
      </c>
      <c r="B2891" t="s">
        <v>1215</v>
      </c>
      <c r="C2891" t="s">
        <v>958</v>
      </c>
      <c r="D2891" t="s">
        <v>1198</v>
      </c>
      <c r="E2891" t="s">
        <v>1199</v>
      </c>
      <c r="F2891" t="s">
        <v>120</v>
      </c>
      <c r="H2891" t="s">
        <v>6090</v>
      </c>
      <c r="I2891" t="s">
        <v>6095</v>
      </c>
      <c r="J2891" t="s">
        <v>6096</v>
      </c>
      <c r="K2891" t="s">
        <v>6097</v>
      </c>
      <c r="L2891" t="s">
        <v>4717</v>
      </c>
      <c r="M2891" t="s">
        <v>6094</v>
      </c>
    </row>
    <row r="2892">
      <c r="A2892" t="s">
        <v>2544</v>
      </c>
      <c r="B2892" t="s">
        <v>1215</v>
      </c>
      <c r="C2892" t="s">
        <v>958</v>
      </c>
      <c r="D2892" t="s">
        <v>1198</v>
      </c>
      <c r="E2892" t="s">
        <v>1199</v>
      </c>
      <c r="F2892" t="s">
        <v>120</v>
      </c>
      <c r="H2892" t="s">
        <v>6090</v>
      </c>
      <c r="I2892" t="s">
        <v>6098</v>
      </c>
      <c r="J2892" t="s">
        <v>6099</v>
      </c>
      <c r="K2892" t="s">
        <v>6055</v>
      </c>
      <c r="L2892" t="s">
        <v>4717</v>
      </c>
      <c r="M2892" t="s">
        <v>6094</v>
      </c>
    </row>
    <row r="2893">
      <c r="A2893" t="s">
        <v>2544</v>
      </c>
      <c r="B2893" t="s">
        <v>1215</v>
      </c>
      <c r="C2893" t="s">
        <v>958</v>
      </c>
      <c r="D2893" t="s">
        <v>1198</v>
      </c>
      <c r="E2893" t="s">
        <v>1199</v>
      </c>
      <c r="F2893" t="s">
        <v>120</v>
      </c>
      <c r="H2893" t="s">
        <v>6100</v>
      </c>
      <c r="I2893" t="s">
        <v>6101</v>
      </c>
      <c r="J2893" t="s">
        <v>6102</v>
      </c>
      <c r="K2893" t="s">
        <v>6103</v>
      </c>
      <c r="L2893" t="s">
        <v>4717</v>
      </c>
      <c r="M2893" t="s">
        <v>6094</v>
      </c>
    </row>
    <row r="2894">
      <c r="A2894" t="s">
        <v>2544</v>
      </c>
      <c r="B2894" t="s">
        <v>1215</v>
      </c>
      <c r="C2894" t="s">
        <v>958</v>
      </c>
      <c r="D2894" t="s">
        <v>1198</v>
      </c>
      <c r="E2894" t="s">
        <v>1199</v>
      </c>
      <c r="F2894" t="s">
        <v>120</v>
      </c>
      <c r="H2894" t="s">
        <v>5603</v>
      </c>
      <c r="I2894" t="s">
        <v>4801</v>
      </c>
      <c r="J2894" t="s">
        <v>6104</v>
      </c>
      <c r="K2894" t="s">
        <v>5603</v>
      </c>
      <c r="L2894" t="s">
        <v>4717</v>
      </c>
      <c r="M2894" t="s">
        <v>6094</v>
      </c>
    </row>
    <row r="2895">
      <c r="A2895" t="s">
        <v>2544</v>
      </c>
      <c r="B2895" t="s">
        <v>1215</v>
      </c>
      <c r="C2895" t="s">
        <v>958</v>
      </c>
      <c r="D2895" t="s">
        <v>1198</v>
      </c>
      <c r="E2895" t="s">
        <v>1199</v>
      </c>
      <c r="F2895" t="s">
        <v>120</v>
      </c>
      <c r="H2895" t="s">
        <v>5630</v>
      </c>
      <c r="I2895" t="s">
        <v>6105</v>
      </c>
      <c r="J2895" t="s">
        <v>6106</v>
      </c>
      <c r="K2895" t="s">
        <v>6107</v>
      </c>
      <c r="L2895" t="s">
        <v>4717</v>
      </c>
      <c r="M2895" t="s">
        <v>6094</v>
      </c>
    </row>
    <row r="2896">
      <c r="A2896" t="s">
        <v>2544</v>
      </c>
      <c r="B2896" t="s">
        <v>1215</v>
      </c>
      <c r="C2896" t="s">
        <v>958</v>
      </c>
      <c r="D2896" t="s">
        <v>1198</v>
      </c>
      <c r="E2896" t="s">
        <v>1199</v>
      </c>
      <c r="F2896" t="s">
        <v>120</v>
      </c>
      <c r="H2896" t="s">
        <v>5630</v>
      </c>
      <c r="I2896" t="s">
        <v>6108</v>
      </c>
      <c r="J2896" t="s">
        <v>6109</v>
      </c>
      <c r="K2896" t="s">
        <v>6110</v>
      </c>
      <c r="L2896" t="s">
        <v>4717</v>
      </c>
      <c r="M2896" t="s">
        <v>6094</v>
      </c>
    </row>
    <row r="2897">
      <c r="A2897" t="s">
        <v>2544</v>
      </c>
      <c r="B2897" t="s">
        <v>1215</v>
      </c>
      <c r="C2897" t="s">
        <v>958</v>
      </c>
      <c r="D2897" t="s">
        <v>1198</v>
      </c>
      <c r="E2897" t="s">
        <v>1199</v>
      </c>
      <c r="F2897" t="s">
        <v>120</v>
      </c>
      <c r="H2897" t="s">
        <v>5157</v>
      </c>
      <c r="I2897" t="s">
        <v>6111</v>
      </c>
      <c r="J2897" t="s">
        <v>6112</v>
      </c>
      <c r="K2897" t="s">
        <v>6113</v>
      </c>
      <c r="L2897" t="s">
        <v>4717</v>
      </c>
      <c r="M2897" t="s">
        <v>6094</v>
      </c>
    </row>
    <row r="2898">
      <c r="A2898" t="s">
        <v>2544</v>
      </c>
      <c r="B2898" t="s">
        <v>1215</v>
      </c>
      <c r="C2898" t="s">
        <v>958</v>
      </c>
      <c r="D2898" t="s">
        <v>1198</v>
      </c>
      <c r="E2898" t="s">
        <v>1199</v>
      </c>
      <c r="F2898" t="s">
        <v>120</v>
      </c>
      <c r="H2898" t="s">
        <v>5522</v>
      </c>
      <c r="I2898" t="s">
        <v>6114</v>
      </c>
      <c r="J2898" t="s">
        <v>6115</v>
      </c>
      <c r="K2898" t="s">
        <v>6116</v>
      </c>
      <c r="L2898" t="s">
        <v>5522</v>
      </c>
      <c r="M2898" t="s">
        <v>6094</v>
      </c>
    </row>
    <row r="2899">
      <c r="A2899" t="s">
        <v>2544</v>
      </c>
      <c r="B2899" t="s">
        <v>1215</v>
      </c>
      <c r="C2899" t="s">
        <v>958</v>
      </c>
      <c r="D2899" t="s">
        <v>1198</v>
      </c>
      <c r="E2899" t="s">
        <v>1199</v>
      </c>
      <c r="F2899" t="s">
        <v>120</v>
      </c>
      <c r="H2899" t="s">
        <v>4159</v>
      </c>
      <c r="I2899" t="s">
        <v>6117</v>
      </c>
      <c r="J2899" t="s">
        <v>6118</v>
      </c>
      <c r="K2899" t="s">
        <v>2088</v>
      </c>
      <c r="L2899" t="s">
        <v>4717</v>
      </c>
      <c r="M2899" t="s">
        <v>6094</v>
      </c>
    </row>
    <row r="2900">
      <c r="A2900" t="s">
        <v>2547</v>
      </c>
      <c r="B2900" t="s">
        <v>1223</v>
      </c>
      <c r="C2900" t="s">
        <v>958</v>
      </c>
      <c r="D2900" t="s">
        <v>1198</v>
      </c>
      <c r="E2900" t="s">
        <v>1221</v>
      </c>
      <c r="F2900" t="s">
        <v>154</v>
      </c>
      <c r="H2900" t="s">
        <v>6090</v>
      </c>
      <c r="I2900" t="s">
        <v>6091</v>
      </c>
      <c r="J2900" t="s">
        <v>6092</v>
      </c>
      <c r="K2900" t="s">
        <v>6093</v>
      </c>
      <c r="L2900" t="s">
        <v>4717</v>
      </c>
      <c r="M2900" t="s">
        <v>6094</v>
      </c>
    </row>
    <row r="2901">
      <c r="A2901" t="s">
        <v>2547</v>
      </c>
      <c r="B2901" t="s">
        <v>1223</v>
      </c>
      <c r="C2901" t="s">
        <v>958</v>
      </c>
      <c r="D2901" t="s">
        <v>1198</v>
      </c>
      <c r="E2901" t="s">
        <v>1221</v>
      </c>
      <c r="F2901" t="s">
        <v>154</v>
      </c>
      <c r="H2901" t="s">
        <v>6090</v>
      </c>
      <c r="I2901" t="s">
        <v>6095</v>
      </c>
      <c r="J2901" t="s">
        <v>6096</v>
      </c>
      <c r="K2901" t="s">
        <v>6097</v>
      </c>
      <c r="L2901" t="s">
        <v>4717</v>
      </c>
      <c r="M2901" t="s">
        <v>6094</v>
      </c>
    </row>
    <row r="2902">
      <c r="A2902" t="s">
        <v>2547</v>
      </c>
      <c r="B2902" t="s">
        <v>1223</v>
      </c>
      <c r="C2902" t="s">
        <v>958</v>
      </c>
      <c r="D2902" t="s">
        <v>1198</v>
      </c>
      <c r="E2902" t="s">
        <v>1221</v>
      </c>
      <c r="F2902" t="s">
        <v>154</v>
      </c>
      <c r="H2902" t="s">
        <v>6090</v>
      </c>
      <c r="I2902" t="s">
        <v>6098</v>
      </c>
      <c r="J2902" t="s">
        <v>6099</v>
      </c>
      <c r="K2902" t="s">
        <v>6055</v>
      </c>
      <c r="L2902" t="s">
        <v>4717</v>
      </c>
      <c r="M2902" t="s">
        <v>6094</v>
      </c>
    </row>
    <row r="2903">
      <c r="A2903" t="s">
        <v>2547</v>
      </c>
      <c r="B2903" t="s">
        <v>1223</v>
      </c>
      <c r="C2903" t="s">
        <v>958</v>
      </c>
      <c r="D2903" t="s">
        <v>1198</v>
      </c>
      <c r="E2903" t="s">
        <v>1221</v>
      </c>
      <c r="F2903" t="s">
        <v>154</v>
      </c>
      <c r="H2903" t="s">
        <v>6100</v>
      </c>
      <c r="I2903" t="s">
        <v>6101</v>
      </c>
      <c r="J2903" t="s">
        <v>6102</v>
      </c>
      <c r="K2903" t="s">
        <v>6103</v>
      </c>
      <c r="L2903" t="s">
        <v>4717</v>
      </c>
      <c r="M2903" t="s">
        <v>6094</v>
      </c>
    </row>
    <row r="2904">
      <c r="A2904" t="s">
        <v>2547</v>
      </c>
      <c r="B2904" t="s">
        <v>1223</v>
      </c>
      <c r="C2904" t="s">
        <v>958</v>
      </c>
      <c r="D2904" t="s">
        <v>1198</v>
      </c>
      <c r="E2904" t="s">
        <v>1221</v>
      </c>
      <c r="F2904" t="s">
        <v>154</v>
      </c>
      <c r="H2904" t="s">
        <v>5603</v>
      </c>
      <c r="I2904" t="s">
        <v>4801</v>
      </c>
      <c r="J2904" t="s">
        <v>6104</v>
      </c>
      <c r="K2904" t="s">
        <v>5603</v>
      </c>
      <c r="L2904" t="s">
        <v>4717</v>
      </c>
      <c r="M2904" t="s">
        <v>6094</v>
      </c>
    </row>
    <row r="2905">
      <c r="A2905" t="s">
        <v>2547</v>
      </c>
      <c r="B2905" t="s">
        <v>1223</v>
      </c>
      <c r="C2905" t="s">
        <v>958</v>
      </c>
      <c r="D2905" t="s">
        <v>1198</v>
      </c>
      <c r="E2905" t="s">
        <v>1221</v>
      </c>
      <c r="F2905" t="s">
        <v>154</v>
      </c>
      <c r="H2905" t="s">
        <v>5630</v>
      </c>
      <c r="I2905" t="s">
        <v>6105</v>
      </c>
      <c r="J2905" t="s">
        <v>6106</v>
      </c>
      <c r="K2905" t="s">
        <v>6107</v>
      </c>
      <c r="L2905" t="s">
        <v>4717</v>
      </c>
      <c r="M2905" t="s">
        <v>6094</v>
      </c>
    </row>
    <row r="2906">
      <c r="A2906" t="s">
        <v>2547</v>
      </c>
      <c r="B2906" t="s">
        <v>1223</v>
      </c>
      <c r="C2906" t="s">
        <v>958</v>
      </c>
      <c r="D2906" t="s">
        <v>1198</v>
      </c>
      <c r="E2906" t="s">
        <v>1221</v>
      </c>
      <c r="F2906" t="s">
        <v>154</v>
      </c>
      <c r="H2906" t="s">
        <v>5630</v>
      </c>
      <c r="I2906" t="s">
        <v>6108</v>
      </c>
      <c r="J2906" t="s">
        <v>6109</v>
      </c>
      <c r="K2906" t="s">
        <v>6110</v>
      </c>
      <c r="L2906" t="s">
        <v>4717</v>
      </c>
      <c r="M2906" t="s">
        <v>6094</v>
      </c>
    </row>
    <row r="2907">
      <c r="A2907" t="s">
        <v>2547</v>
      </c>
      <c r="B2907" t="s">
        <v>1223</v>
      </c>
      <c r="C2907" t="s">
        <v>958</v>
      </c>
      <c r="D2907" t="s">
        <v>1198</v>
      </c>
      <c r="E2907" t="s">
        <v>1221</v>
      </c>
      <c r="F2907" t="s">
        <v>154</v>
      </c>
      <c r="H2907" t="s">
        <v>5157</v>
      </c>
      <c r="I2907" t="s">
        <v>6111</v>
      </c>
      <c r="J2907" t="s">
        <v>6112</v>
      </c>
      <c r="K2907" t="s">
        <v>6113</v>
      </c>
      <c r="L2907" t="s">
        <v>4717</v>
      </c>
      <c r="M2907" t="s">
        <v>6094</v>
      </c>
    </row>
    <row r="2908">
      <c r="A2908" t="s">
        <v>2547</v>
      </c>
      <c r="B2908" t="s">
        <v>1223</v>
      </c>
      <c r="C2908" t="s">
        <v>958</v>
      </c>
      <c r="D2908" t="s">
        <v>1198</v>
      </c>
      <c r="E2908" t="s">
        <v>1221</v>
      </c>
      <c r="F2908" t="s">
        <v>154</v>
      </c>
      <c r="H2908" t="s">
        <v>5522</v>
      </c>
      <c r="I2908" t="s">
        <v>6114</v>
      </c>
      <c r="J2908" t="s">
        <v>6115</v>
      </c>
      <c r="K2908" t="s">
        <v>6116</v>
      </c>
      <c r="L2908" t="s">
        <v>5522</v>
      </c>
      <c r="M2908" t="s">
        <v>6094</v>
      </c>
    </row>
    <row r="2909">
      <c r="A2909" t="s">
        <v>2547</v>
      </c>
      <c r="B2909" t="s">
        <v>1223</v>
      </c>
      <c r="C2909" t="s">
        <v>958</v>
      </c>
      <c r="D2909" t="s">
        <v>1198</v>
      </c>
      <c r="E2909" t="s">
        <v>1221</v>
      </c>
      <c r="F2909" t="s">
        <v>154</v>
      </c>
      <c r="H2909" t="s">
        <v>4159</v>
      </c>
      <c r="I2909" t="s">
        <v>6117</v>
      </c>
      <c r="J2909" t="s">
        <v>6118</v>
      </c>
      <c r="K2909" t="s">
        <v>2088</v>
      </c>
      <c r="L2909" t="s">
        <v>4717</v>
      </c>
      <c r="M2909" t="s">
        <v>6094</v>
      </c>
    </row>
    <row r="2910">
      <c r="A2910" t="s">
        <v>2550</v>
      </c>
      <c r="B2910" t="s">
        <v>1229</v>
      </c>
      <c r="C2910" t="s">
        <v>958</v>
      </c>
      <c r="D2910" t="s">
        <v>1198</v>
      </c>
      <c r="E2910" t="s">
        <v>1221</v>
      </c>
      <c r="F2910" t="s">
        <v>154</v>
      </c>
      <c r="H2910" t="s">
        <v>6090</v>
      </c>
      <c r="I2910" t="s">
        <v>6091</v>
      </c>
      <c r="J2910" t="s">
        <v>6092</v>
      </c>
      <c r="K2910" t="s">
        <v>6093</v>
      </c>
      <c r="L2910" t="s">
        <v>4717</v>
      </c>
      <c r="M2910" t="s">
        <v>6094</v>
      </c>
    </row>
    <row r="2911">
      <c r="A2911" t="s">
        <v>2550</v>
      </c>
      <c r="B2911" t="s">
        <v>1229</v>
      </c>
      <c r="C2911" t="s">
        <v>958</v>
      </c>
      <c r="D2911" t="s">
        <v>1198</v>
      </c>
      <c r="E2911" t="s">
        <v>1221</v>
      </c>
      <c r="F2911" t="s">
        <v>154</v>
      </c>
      <c r="H2911" t="s">
        <v>6090</v>
      </c>
      <c r="I2911" t="s">
        <v>6095</v>
      </c>
      <c r="J2911" t="s">
        <v>6096</v>
      </c>
      <c r="K2911" t="s">
        <v>6097</v>
      </c>
      <c r="L2911" t="s">
        <v>4717</v>
      </c>
      <c r="M2911" t="s">
        <v>6094</v>
      </c>
    </row>
    <row r="2912">
      <c r="A2912" t="s">
        <v>2550</v>
      </c>
      <c r="B2912" t="s">
        <v>1229</v>
      </c>
      <c r="C2912" t="s">
        <v>958</v>
      </c>
      <c r="D2912" t="s">
        <v>1198</v>
      </c>
      <c r="E2912" t="s">
        <v>1221</v>
      </c>
      <c r="F2912" t="s">
        <v>154</v>
      </c>
      <c r="H2912" t="s">
        <v>6090</v>
      </c>
      <c r="I2912" t="s">
        <v>6098</v>
      </c>
      <c r="J2912" t="s">
        <v>6099</v>
      </c>
      <c r="K2912" t="s">
        <v>6055</v>
      </c>
      <c r="L2912" t="s">
        <v>4717</v>
      </c>
      <c r="M2912" t="s">
        <v>6094</v>
      </c>
    </row>
    <row r="2913">
      <c r="A2913" t="s">
        <v>2550</v>
      </c>
      <c r="B2913" t="s">
        <v>1229</v>
      </c>
      <c r="C2913" t="s">
        <v>958</v>
      </c>
      <c r="D2913" t="s">
        <v>1198</v>
      </c>
      <c r="E2913" t="s">
        <v>1221</v>
      </c>
      <c r="F2913" t="s">
        <v>154</v>
      </c>
      <c r="H2913" t="s">
        <v>6100</v>
      </c>
      <c r="I2913" t="s">
        <v>6101</v>
      </c>
      <c r="J2913" t="s">
        <v>6102</v>
      </c>
      <c r="K2913" t="s">
        <v>6103</v>
      </c>
      <c r="L2913" t="s">
        <v>4717</v>
      </c>
      <c r="M2913" t="s">
        <v>6094</v>
      </c>
    </row>
    <row r="2914">
      <c r="A2914" t="s">
        <v>2550</v>
      </c>
      <c r="B2914" t="s">
        <v>1229</v>
      </c>
      <c r="C2914" t="s">
        <v>958</v>
      </c>
      <c r="D2914" t="s">
        <v>1198</v>
      </c>
      <c r="E2914" t="s">
        <v>1221</v>
      </c>
      <c r="F2914" t="s">
        <v>154</v>
      </c>
      <c r="H2914" t="s">
        <v>5603</v>
      </c>
      <c r="I2914" t="s">
        <v>4801</v>
      </c>
      <c r="J2914" t="s">
        <v>6104</v>
      </c>
      <c r="K2914" t="s">
        <v>5603</v>
      </c>
      <c r="L2914" t="s">
        <v>4717</v>
      </c>
      <c r="M2914" t="s">
        <v>6094</v>
      </c>
    </row>
    <row r="2915">
      <c r="A2915" t="s">
        <v>2550</v>
      </c>
      <c r="B2915" t="s">
        <v>1229</v>
      </c>
      <c r="C2915" t="s">
        <v>958</v>
      </c>
      <c r="D2915" t="s">
        <v>1198</v>
      </c>
      <c r="E2915" t="s">
        <v>1221</v>
      </c>
      <c r="F2915" t="s">
        <v>154</v>
      </c>
      <c r="H2915" t="s">
        <v>5630</v>
      </c>
      <c r="I2915" t="s">
        <v>6105</v>
      </c>
      <c r="J2915" t="s">
        <v>6106</v>
      </c>
      <c r="K2915" t="s">
        <v>6107</v>
      </c>
      <c r="L2915" t="s">
        <v>4717</v>
      </c>
      <c r="M2915" t="s">
        <v>6094</v>
      </c>
    </row>
    <row r="2916">
      <c r="A2916" t="s">
        <v>2550</v>
      </c>
      <c r="B2916" t="s">
        <v>1229</v>
      </c>
      <c r="C2916" t="s">
        <v>958</v>
      </c>
      <c r="D2916" t="s">
        <v>1198</v>
      </c>
      <c r="E2916" t="s">
        <v>1221</v>
      </c>
      <c r="F2916" t="s">
        <v>154</v>
      </c>
      <c r="H2916" t="s">
        <v>5630</v>
      </c>
      <c r="I2916" t="s">
        <v>6108</v>
      </c>
      <c r="J2916" t="s">
        <v>6109</v>
      </c>
      <c r="K2916" t="s">
        <v>6110</v>
      </c>
      <c r="L2916" t="s">
        <v>4717</v>
      </c>
      <c r="M2916" t="s">
        <v>6094</v>
      </c>
    </row>
    <row r="2917">
      <c r="A2917" t="s">
        <v>2550</v>
      </c>
      <c r="B2917" t="s">
        <v>1229</v>
      </c>
      <c r="C2917" t="s">
        <v>958</v>
      </c>
      <c r="D2917" t="s">
        <v>1198</v>
      </c>
      <c r="E2917" t="s">
        <v>1221</v>
      </c>
      <c r="F2917" t="s">
        <v>154</v>
      </c>
      <c r="H2917" t="s">
        <v>5157</v>
      </c>
      <c r="I2917" t="s">
        <v>6111</v>
      </c>
      <c r="J2917" t="s">
        <v>6112</v>
      </c>
      <c r="K2917" t="s">
        <v>6113</v>
      </c>
      <c r="L2917" t="s">
        <v>4717</v>
      </c>
      <c r="M2917" t="s">
        <v>6094</v>
      </c>
    </row>
    <row r="2918">
      <c r="A2918" t="s">
        <v>2550</v>
      </c>
      <c r="B2918" t="s">
        <v>1229</v>
      </c>
      <c r="C2918" t="s">
        <v>958</v>
      </c>
      <c r="D2918" t="s">
        <v>1198</v>
      </c>
      <c r="E2918" t="s">
        <v>1221</v>
      </c>
      <c r="F2918" t="s">
        <v>154</v>
      </c>
      <c r="H2918" t="s">
        <v>5522</v>
      </c>
      <c r="I2918" t="s">
        <v>6114</v>
      </c>
      <c r="J2918" t="s">
        <v>6115</v>
      </c>
      <c r="K2918" t="s">
        <v>6116</v>
      </c>
      <c r="L2918" t="s">
        <v>5522</v>
      </c>
      <c r="M2918" t="s">
        <v>6094</v>
      </c>
    </row>
    <row r="2919">
      <c r="A2919" t="s">
        <v>2550</v>
      </c>
      <c r="B2919" t="s">
        <v>1229</v>
      </c>
      <c r="C2919" t="s">
        <v>958</v>
      </c>
      <c r="D2919" t="s">
        <v>1198</v>
      </c>
      <c r="E2919" t="s">
        <v>1221</v>
      </c>
      <c r="F2919" t="s">
        <v>154</v>
      </c>
      <c r="H2919" t="s">
        <v>4159</v>
      </c>
      <c r="I2919" t="s">
        <v>6117</v>
      </c>
      <c r="J2919" t="s">
        <v>6118</v>
      </c>
      <c r="K2919" t="s">
        <v>2088</v>
      </c>
      <c r="L2919" t="s">
        <v>4717</v>
      </c>
      <c r="M2919" t="s">
        <v>6094</v>
      </c>
    </row>
    <row r="2920">
      <c r="A2920" t="s">
        <v>2553</v>
      </c>
      <c r="B2920" t="s">
        <v>1235</v>
      </c>
      <c r="C2920" t="s">
        <v>958</v>
      </c>
      <c r="D2920" t="s">
        <v>1198</v>
      </c>
      <c r="E2920" t="s">
        <v>1221</v>
      </c>
      <c r="F2920" t="s">
        <v>120</v>
      </c>
      <c r="H2920" t="s">
        <v>6090</v>
      </c>
      <c r="I2920" t="s">
        <v>6091</v>
      </c>
      <c r="J2920" t="s">
        <v>6092</v>
      </c>
      <c r="K2920" t="s">
        <v>6093</v>
      </c>
      <c r="L2920" t="s">
        <v>4717</v>
      </c>
      <c r="M2920" t="s">
        <v>6094</v>
      </c>
    </row>
    <row r="2921">
      <c r="A2921" t="s">
        <v>2553</v>
      </c>
      <c r="B2921" t="s">
        <v>1235</v>
      </c>
      <c r="C2921" t="s">
        <v>958</v>
      </c>
      <c r="D2921" t="s">
        <v>1198</v>
      </c>
      <c r="E2921" t="s">
        <v>1221</v>
      </c>
      <c r="F2921" t="s">
        <v>120</v>
      </c>
      <c r="H2921" t="s">
        <v>6090</v>
      </c>
      <c r="I2921" t="s">
        <v>6095</v>
      </c>
      <c r="J2921" t="s">
        <v>6096</v>
      </c>
      <c r="K2921" t="s">
        <v>6097</v>
      </c>
      <c r="L2921" t="s">
        <v>4717</v>
      </c>
      <c r="M2921" t="s">
        <v>6094</v>
      </c>
    </row>
    <row r="2922">
      <c r="A2922" t="s">
        <v>2553</v>
      </c>
      <c r="B2922" t="s">
        <v>1235</v>
      </c>
      <c r="C2922" t="s">
        <v>958</v>
      </c>
      <c r="D2922" t="s">
        <v>1198</v>
      </c>
      <c r="E2922" t="s">
        <v>1221</v>
      </c>
      <c r="F2922" t="s">
        <v>120</v>
      </c>
      <c r="H2922" t="s">
        <v>6090</v>
      </c>
      <c r="I2922" t="s">
        <v>6098</v>
      </c>
      <c r="J2922" t="s">
        <v>6099</v>
      </c>
      <c r="K2922" t="s">
        <v>6055</v>
      </c>
      <c r="L2922" t="s">
        <v>4717</v>
      </c>
      <c r="M2922" t="s">
        <v>6094</v>
      </c>
    </row>
    <row r="2923">
      <c r="A2923" t="s">
        <v>2553</v>
      </c>
      <c r="B2923" t="s">
        <v>1235</v>
      </c>
      <c r="C2923" t="s">
        <v>958</v>
      </c>
      <c r="D2923" t="s">
        <v>1198</v>
      </c>
      <c r="E2923" t="s">
        <v>1221</v>
      </c>
      <c r="F2923" t="s">
        <v>120</v>
      </c>
      <c r="H2923" t="s">
        <v>6100</v>
      </c>
      <c r="I2923" t="s">
        <v>6101</v>
      </c>
      <c r="J2923" t="s">
        <v>6102</v>
      </c>
      <c r="K2923" t="s">
        <v>6103</v>
      </c>
      <c r="L2923" t="s">
        <v>4717</v>
      </c>
      <c r="M2923" t="s">
        <v>6094</v>
      </c>
    </row>
    <row r="2924">
      <c r="A2924" t="s">
        <v>2553</v>
      </c>
      <c r="B2924" t="s">
        <v>1235</v>
      </c>
      <c r="C2924" t="s">
        <v>958</v>
      </c>
      <c r="D2924" t="s">
        <v>1198</v>
      </c>
      <c r="E2924" t="s">
        <v>1221</v>
      </c>
      <c r="F2924" t="s">
        <v>120</v>
      </c>
      <c r="H2924" t="s">
        <v>5603</v>
      </c>
      <c r="I2924" t="s">
        <v>4801</v>
      </c>
      <c r="J2924" t="s">
        <v>6104</v>
      </c>
      <c r="K2924" t="s">
        <v>5603</v>
      </c>
      <c r="L2924" t="s">
        <v>4717</v>
      </c>
      <c r="M2924" t="s">
        <v>6094</v>
      </c>
    </row>
    <row r="2925">
      <c r="A2925" t="s">
        <v>2553</v>
      </c>
      <c r="B2925" t="s">
        <v>1235</v>
      </c>
      <c r="C2925" t="s">
        <v>958</v>
      </c>
      <c r="D2925" t="s">
        <v>1198</v>
      </c>
      <c r="E2925" t="s">
        <v>1221</v>
      </c>
      <c r="F2925" t="s">
        <v>120</v>
      </c>
      <c r="H2925" t="s">
        <v>5630</v>
      </c>
      <c r="I2925" t="s">
        <v>6105</v>
      </c>
      <c r="J2925" t="s">
        <v>6106</v>
      </c>
      <c r="K2925" t="s">
        <v>6107</v>
      </c>
      <c r="L2925" t="s">
        <v>4717</v>
      </c>
      <c r="M2925" t="s">
        <v>6094</v>
      </c>
    </row>
    <row r="2926">
      <c r="A2926" t="s">
        <v>2553</v>
      </c>
      <c r="B2926" t="s">
        <v>1235</v>
      </c>
      <c r="C2926" t="s">
        <v>958</v>
      </c>
      <c r="D2926" t="s">
        <v>1198</v>
      </c>
      <c r="E2926" t="s">
        <v>1221</v>
      </c>
      <c r="F2926" t="s">
        <v>120</v>
      </c>
      <c r="H2926" t="s">
        <v>5630</v>
      </c>
      <c r="I2926" t="s">
        <v>6108</v>
      </c>
      <c r="J2926" t="s">
        <v>6109</v>
      </c>
      <c r="K2926" t="s">
        <v>6110</v>
      </c>
      <c r="L2926" t="s">
        <v>4717</v>
      </c>
      <c r="M2926" t="s">
        <v>6094</v>
      </c>
    </row>
    <row r="2927">
      <c r="A2927" t="s">
        <v>2553</v>
      </c>
      <c r="B2927" t="s">
        <v>1235</v>
      </c>
      <c r="C2927" t="s">
        <v>958</v>
      </c>
      <c r="D2927" t="s">
        <v>1198</v>
      </c>
      <c r="E2927" t="s">
        <v>1221</v>
      </c>
      <c r="F2927" t="s">
        <v>120</v>
      </c>
      <c r="H2927" t="s">
        <v>5157</v>
      </c>
      <c r="I2927" t="s">
        <v>6111</v>
      </c>
      <c r="J2927" t="s">
        <v>6112</v>
      </c>
      <c r="K2927" t="s">
        <v>6113</v>
      </c>
      <c r="L2927" t="s">
        <v>4717</v>
      </c>
      <c r="M2927" t="s">
        <v>6094</v>
      </c>
    </row>
    <row r="2928">
      <c r="A2928" t="s">
        <v>2553</v>
      </c>
      <c r="B2928" t="s">
        <v>1235</v>
      </c>
      <c r="C2928" t="s">
        <v>958</v>
      </c>
      <c r="D2928" t="s">
        <v>1198</v>
      </c>
      <c r="E2928" t="s">
        <v>1221</v>
      </c>
      <c r="F2928" t="s">
        <v>120</v>
      </c>
      <c r="H2928" t="s">
        <v>5522</v>
      </c>
      <c r="I2928" t="s">
        <v>6114</v>
      </c>
      <c r="J2928" t="s">
        <v>6115</v>
      </c>
      <c r="K2928" t="s">
        <v>6116</v>
      </c>
      <c r="L2928" t="s">
        <v>5522</v>
      </c>
      <c r="M2928" t="s">
        <v>6094</v>
      </c>
    </row>
    <row r="2929">
      <c r="A2929" t="s">
        <v>2553</v>
      </c>
      <c r="B2929" t="s">
        <v>1235</v>
      </c>
      <c r="C2929" t="s">
        <v>958</v>
      </c>
      <c r="D2929" t="s">
        <v>1198</v>
      </c>
      <c r="E2929" t="s">
        <v>1221</v>
      </c>
      <c r="F2929" t="s">
        <v>120</v>
      </c>
      <c r="H2929" t="s">
        <v>4159</v>
      </c>
      <c r="I2929" t="s">
        <v>6117</v>
      </c>
      <c r="J2929" t="s">
        <v>6118</v>
      </c>
      <c r="K2929" t="s">
        <v>2088</v>
      </c>
      <c r="L2929" t="s">
        <v>4717</v>
      </c>
      <c r="M2929" t="s">
        <v>6094</v>
      </c>
    </row>
    <row r="2930">
      <c r="A2930" t="s">
        <v>2555</v>
      </c>
      <c r="B2930" t="s">
        <v>1242</v>
      </c>
      <c r="C2930" t="s">
        <v>958</v>
      </c>
      <c r="D2930" t="s">
        <v>1198</v>
      </c>
      <c r="E2930" t="s">
        <v>1221</v>
      </c>
      <c r="F2930" t="s">
        <v>120</v>
      </c>
      <c r="H2930" t="s">
        <v>6090</v>
      </c>
      <c r="I2930" t="s">
        <v>6091</v>
      </c>
      <c r="J2930" t="s">
        <v>6092</v>
      </c>
      <c r="K2930" t="s">
        <v>6093</v>
      </c>
      <c r="L2930" t="s">
        <v>4717</v>
      </c>
      <c r="M2930" t="s">
        <v>6094</v>
      </c>
    </row>
    <row r="2931">
      <c r="A2931" t="s">
        <v>2555</v>
      </c>
      <c r="B2931" t="s">
        <v>1242</v>
      </c>
      <c r="C2931" t="s">
        <v>958</v>
      </c>
      <c r="D2931" t="s">
        <v>1198</v>
      </c>
      <c r="E2931" t="s">
        <v>1221</v>
      </c>
      <c r="F2931" t="s">
        <v>120</v>
      </c>
      <c r="H2931" t="s">
        <v>6090</v>
      </c>
      <c r="I2931" t="s">
        <v>6095</v>
      </c>
      <c r="J2931" t="s">
        <v>6096</v>
      </c>
      <c r="K2931" t="s">
        <v>6097</v>
      </c>
      <c r="L2931" t="s">
        <v>4717</v>
      </c>
      <c r="M2931" t="s">
        <v>6094</v>
      </c>
    </row>
    <row r="2932">
      <c r="A2932" t="s">
        <v>2555</v>
      </c>
      <c r="B2932" t="s">
        <v>1242</v>
      </c>
      <c r="C2932" t="s">
        <v>958</v>
      </c>
      <c r="D2932" t="s">
        <v>1198</v>
      </c>
      <c r="E2932" t="s">
        <v>1221</v>
      </c>
      <c r="F2932" t="s">
        <v>120</v>
      </c>
      <c r="H2932" t="s">
        <v>6090</v>
      </c>
      <c r="I2932" t="s">
        <v>6098</v>
      </c>
      <c r="J2932" t="s">
        <v>6099</v>
      </c>
      <c r="K2932" t="s">
        <v>6055</v>
      </c>
      <c r="L2932" t="s">
        <v>4717</v>
      </c>
      <c r="M2932" t="s">
        <v>6094</v>
      </c>
    </row>
    <row r="2933">
      <c r="A2933" t="s">
        <v>2555</v>
      </c>
      <c r="B2933" t="s">
        <v>1242</v>
      </c>
      <c r="C2933" t="s">
        <v>958</v>
      </c>
      <c r="D2933" t="s">
        <v>1198</v>
      </c>
      <c r="E2933" t="s">
        <v>1221</v>
      </c>
      <c r="F2933" t="s">
        <v>120</v>
      </c>
      <c r="H2933" t="s">
        <v>6100</v>
      </c>
      <c r="I2933" t="s">
        <v>6101</v>
      </c>
      <c r="J2933" t="s">
        <v>6102</v>
      </c>
      <c r="K2933" t="s">
        <v>6103</v>
      </c>
      <c r="L2933" t="s">
        <v>4717</v>
      </c>
      <c r="M2933" t="s">
        <v>6094</v>
      </c>
    </row>
    <row r="2934">
      <c r="A2934" t="s">
        <v>2555</v>
      </c>
      <c r="B2934" t="s">
        <v>1242</v>
      </c>
      <c r="C2934" t="s">
        <v>958</v>
      </c>
      <c r="D2934" t="s">
        <v>1198</v>
      </c>
      <c r="E2934" t="s">
        <v>1221</v>
      </c>
      <c r="F2934" t="s">
        <v>120</v>
      </c>
      <c r="H2934" t="s">
        <v>5603</v>
      </c>
      <c r="I2934" t="s">
        <v>4801</v>
      </c>
      <c r="J2934" t="s">
        <v>6104</v>
      </c>
      <c r="K2934" t="s">
        <v>5603</v>
      </c>
      <c r="L2934" t="s">
        <v>4717</v>
      </c>
      <c r="M2934" t="s">
        <v>6094</v>
      </c>
    </row>
    <row r="2935">
      <c r="A2935" t="s">
        <v>2555</v>
      </c>
      <c r="B2935" t="s">
        <v>1242</v>
      </c>
      <c r="C2935" t="s">
        <v>958</v>
      </c>
      <c r="D2935" t="s">
        <v>1198</v>
      </c>
      <c r="E2935" t="s">
        <v>1221</v>
      </c>
      <c r="F2935" t="s">
        <v>120</v>
      </c>
      <c r="H2935" t="s">
        <v>5630</v>
      </c>
      <c r="I2935" t="s">
        <v>6105</v>
      </c>
      <c r="J2935" t="s">
        <v>6106</v>
      </c>
      <c r="K2935" t="s">
        <v>6107</v>
      </c>
      <c r="L2935" t="s">
        <v>4717</v>
      </c>
      <c r="M2935" t="s">
        <v>6094</v>
      </c>
    </row>
    <row r="2936">
      <c r="A2936" t="s">
        <v>2555</v>
      </c>
      <c r="B2936" t="s">
        <v>1242</v>
      </c>
      <c r="C2936" t="s">
        <v>958</v>
      </c>
      <c r="D2936" t="s">
        <v>1198</v>
      </c>
      <c r="E2936" t="s">
        <v>1221</v>
      </c>
      <c r="F2936" t="s">
        <v>120</v>
      </c>
      <c r="H2936" t="s">
        <v>5630</v>
      </c>
      <c r="I2936" t="s">
        <v>6108</v>
      </c>
      <c r="J2936" t="s">
        <v>6109</v>
      </c>
      <c r="K2936" t="s">
        <v>6110</v>
      </c>
      <c r="L2936" t="s">
        <v>4717</v>
      </c>
      <c r="M2936" t="s">
        <v>6094</v>
      </c>
    </row>
    <row r="2937">
      <c r="A2937" t="s">
        <v>2555</v>
      </c>
      <c r="B2937" t="s">
        <v>1242</v>
      </c>
      <c r="C2937" t="s">
        <v>958</v>
      </c>
      <c r="D2937" t="s">
        <v>1198</v>
      </c>
      <c r="E2937" t="s">
        <v>1221</v>
      </c>
      <c r="F2937" t="s">
        <v>120</v>
      </c>
      <c r="H2937" t="s">
        <v>5157</v>
      </c>
      <c r="I2937" t="s">
        <v>6111</v>
      </c>
      <c r="J2937" t="s">
        <v>6112</v>
      </c>
      <c r="K2937" t="s">
        <v>6113</v>
      </c>
      <c r="L2937" t="s">
        <v>4717</v>
      </c>
      <c r="M2937" t="s">
        <v>6094</v>
      </c>
    </row>
    <row r="2938">
      <c r="A2938" t="s">
        <v>2555</v>
      </c>
      <c r="B2938" t="s">
        <v>1242</v>
      </c>
      <c r="C2938" t="s">
        <v>958</v>
      </c>
      <c r="D2938" t="s">
        <v>1198</v>
      </c>
      <c r="E2938" t="s">
        <v>1221</v>
      </c>
      <c r="F2938" t="s">
        <v>120</v>
      </c>
      <c r="H2938" t="s">
        <v>5522</v>
      </c>
      <c r="I2938" t="s">
        <v>6114</v>
      </c>
      <c r="J2938" t="s">
        <v>6115</v>
      </c>
      <c r="K2938" t="s">
        <v>6116</v>
      </c>
      <c r="L2938" t="s">
        <v>5522</v>
      </c>
      <c r="M2938" t="s">
        <v>6094</v>
      </c>
    </row>
    <row r="2939">
      <c r="A2939" t="s">
        <v>2555</v>
      </c>
      <c r="B2939" t="s">
        <v>1242</v>
      </c>
      <c r="C2939" t="s">
        <v>958</v>
      </c>
      <c r="D2939" t="s">
        <v>1198</v>
      </c>
      <c r="E2939" t="s">
        <v>1221</v>
      </c>
      <c r="F2939" t="s">
        <v>120</v>
      </c>
      <c r="H2939" t="s">
        <v>4159</v>
      </c>
      <c r="I2939" t="s">
        <v>6117</v>
      </c>
      <c r="J2939" t="s">
        <v>6118</v>
      </c>
      <c r="K2939" t="s">
        <v>2088</v>
      </c>
      <c r="L2939" t="s">
        <v>4717</v>
      </c>
      <c r="M2939" t="s">
        <v>6094</v>
      </c>
    </row>
    <row r="2940">
      <c r="A2940" t="s">
        <v>2558</v>
      </c>
      <c r="B2940" t="s">
        <v>1250</v>
      </c>
      <c r="C2940" t="s">
        <v>958</v>
      </c>
      <c r="D2940" t="s">
        <v>1198</v>
      </c>
      <c r="E2940" t="s">
        <v>1248</v>
      </c>
      <c r="F2940" t="s">
        <v>154</v>
      </c>
      <c r="H2940" t="s">
        <v>6090</v>
      </c>
      <c r="I2940" t="s">
        <v>6091</v>
      </c>
      <c r="J2940" t="s">
        <v>6092</v>
      </c>
      <c r="K2940" t="s">
        <v>6093</v>
      </c>
      <c r="L2940" t="s">
        <v>4717</v>
      </c>
      <c r="M2940" t="s">
        <v>6094</v>
      </c>
    </row>
    <row r="2941">
      <c r="A2941" t="s">
        <v>2558</v>
      </c>
      <c r="B2941" t="s">
        <v>1250</v>
      </c>
      <c r="C2941" t="s">
        <v>958</v>
      </c>
      <c r="D2941" t="s">
        <v>1198</v>
      </c>
      <c r="E2941" t="s">
        <v>1248</v>
      </c>
      <c r="F2941" t="s">
        <v>154</v>
      </c>
      <c r="H2941" t="s">
        <v>6090</v>
      </c>
      <c r="I2941" t="s">
        <v>6095</v>
      </c>
      <c r="J2941" t="s">
        <v>6096</v>
      </c>
      <c r="K2941" t="s">
        <v>6097</v>
      </c>
      <c r="L2941" t="s">
        <v>4717</v>
      </c>
      <c r="M2941" t="s">
        <v>6094</v>
      </c>
    </row>
    <row r="2942">
      <c r="A2942" t="s">
        <v>2558</v>
      </c>
      <c r="B2942" t="s">
        <v>1250</v>
      </c>
      <c r="C2942" t="s">
        <v>958</v>
      </c>
      <c r="D2942" t="s">
        <v>1198</v>
      </c>
      <c r="E2942" t="s">
        <v>1248</v>
      </c>
      <c r="F2942" t="s">
        <v>154</v>
      </c>
      <c r="H2942" t="s">
        <v>6090</v>
      </c>
      <c r="I2942" t="s">
        <v>6098</v>
      </c>
      <c r="J2942" t="s">
        <v>6099</v>
      </c>
      <c r="K2942" t="s">
        <v>6055</v>
      </c>
      <c r="L2942" t="s">
        <v>4717</v>
      </c>
      <c r="M2942" t="s">
        <v>6094</v>
      </c>
    </row>
    <row r="2943">
      <c r="A2943" t="s">
        <v>2558</v>
      </c>
      <c r="B2943" t="s">
        <v>1250</v>
      </c>
      <c r="C2943" t="s">
        <v>958</v>
      </c>
      <c r="D2943" t="s">
        <v>1198</v>
      </c>
      <c r="E2943" t="s">
        <v>1248</v>
      </c>
      <c r="F2943" t="s">
        <v>154</v>
      </c>
      <c r="H2943" t="s">
        <v>6100</v>
      </c>
      <c r="I2943" t="s">
        <v>6101</v>
      </c>
      <c r="J2943" t="s">
        <v>6102</v>
      </c>
      <c r="K2943" t="s">
        <v>6103</v>
      </c>
      <c r="L2943" t="s">
        <v>4717</v>
      </c>
      <c r="M2943" t="s">
        <v>6094</v>
      </c>
    </row>
    <row r="2944">
      <c r="A2944" t="s">
        <v>2558</v>
      </c>
      <c r="B2944" t="s">
        <v>1250</v>
      </c>
      <c r="C2944" t="s">
        <v>958</v>
      </c>
      <c r="D2944" t="s">
        <v>1198</v>
      </c>
      <c r="E2944" t="s">
        <v>1248</v>
      </c>
      <c r="F2944" t="s">
        <v>154</v>
      </c>
      <c r="H2944" t="s">
        <v>5603</v>
      </c>
      <c r="I2944" t="s">
        <v>4801</v>
      </c>
      <c r="J2944" t="s">
        <v>6104</v>
      </c>
      <c r="K2944" t="s">
        <v>5603</v>
      </c>
      <c r="L2944" t="s">
        <v>4717</v>
      </c>
      <c r="M2944" t="s">
        <v>6094</v>
      </c>
    </row>
    <row r="2945">
      <c r="A2945" t="s">
        <v>2558</v>
      </c>
      <c r="B2945" t="s">
        <v>1250</v>
      </c>
      <c r="C2945" t="s">
        <v>958</v>
      </c>
      <c r="D2945" t="s">
        <v>1198</v>
      </c>
      <c r="E2945" t="s">
        <v>1248</v>
      </c>
      <c r="F2945" t="s">
        <v>154</v>
      </c>
      <c r="H2945" t="s">
        <v>5630</v>
      </c>
      <c r="I2945" t="s">
        <v>6105</v>
      </c>
      <c r="J2945" t="s">
        <v>6106</v>
      </c>
      <c r="K2945" t="s">
        <v>6107</v>
      </c>
      <c r="L2945" t="s">
        <v>4717</v>
      </c>
      <c r="M2945" t="s">
        <v>6094</v>
      </c>
    </row>
    <row r="2946">
      <c r="A2946" t="s">
        <v>2558</v>
      </c>
      <c r="B2946" t="s">
        <v>1250</v>
      </c>
      <c r="C2946" t="s">
        <v>958</v>
      </c>
      <c r="D2946" t="s">
        <v>1198</v>
      </c>
      <c r="E2946" t="s">
        <v>1248</v>
      </c>
      <c r="F2946" t="s">
        <v>154</v>
      </c>
      <c r="H2946" t="s">
        <v>5630</v>
      </c>
      <c r="I2946" t="s">
        <v>6108</v>
      </c>
      <c r="J2946" t="s">
        <v>6109</v>
      </c>
      <c r="K2946" t="s">
        <v>6110</v>
      </c>
      <c r="L2946" t="s">
        <v>4717</v>
      </c>
      <c r="M2946" t="s">
        <v>6094</v>
      </c>
    </row>
    <row r="2947">
      <c r="A2947" t="s">
        <v>2558</v>
      </c>
      <c r="B2947" t="s">
        <v>1250</v>
      </c>
      <c r="C2947" t="s">
        <v>958</v>
      </c>
      <c r="D2947" t="s">
        <v>1198</v>
      </c>
      <c r="E2947" t="s">
        <v>1248</v>
      </c>
      <c r="F2947" t="s">
        <v>154</v>
      </c>
      <c r="H2947" t="s">
        <v>5157</v>
      </c>
      <c r="I2947" t="s">
        <v>6111</v>
      </c>
      <c r="J2947" t="s">
        <v>6112</v>
      </c>
      <c r="K2947" t="s">
        <v>6113</v>
      </c>
      <c r="L2947" t="s">
        <v>4717</v>
      </c>
      <c r="M2947" t="s">
        <v>6094</v>
      </c>
    </row>
    <row r="2948">
      <c r="A2948" t="s">
        <v>2558</v>
      </c>
      <c r="B2948" t="s">
        <v>1250</v>
      </c>
      <c r="C2948" t="s">
        <v>958</v>
      </c>
      <c r="D2948" t="s">
        <v>1198</v>
      </c>
      <c r="E2948" t="s">
        <v>1248</v>
      </c>
      <c r="F2948" t="s">
        <v>154</v>
      </c>
      <c r="H2948" t="s">
        <v>5522</v>
      </c>
      <c r="I2948" t="s">
        <v>6114</v>
      </c>
      <c r="J2948" t="s">
        <v>6115</v>
      </c>
      <c r="K2948" t="s">
        <v>6116</v>
      </c>
      <c r="L2948" t="s">
        <v>5522</v>
      </c>
      <c r="M2948" t="s">
        <v>6094</v>
      </c>
    </row>
    <row r="2949">
      <c r="A2949" t="s">
        <v>2558</v>
      </c>
      <c r="B2949" t="s">
        <v>1250</v>
      </c>
      <c r="C2949" t="s">
        <v>958</v>
      </c>
      <c r="D2949" t="s">
        <v>1198</v>
      </c>
      <c r="E2949" t="s">
        <v>1248</v>
      </c>
      <c r="F2949" t="s">
        <v>154</v>
      </c>
      <c r="H2949" t="s">
        <v>4159</v>
      </c>
      <c r="I2949" t="s">
        <v>6117</v>
      </c>
      <c r="J2949" t="s">
        <v>6118</v>
      </c>
      <c r="K2949" t="s">
        <v>2088</v>
      </c>
      <c r="L2949" t="s">
        <v>4717</v>
      </c>
      <c r="M2949" t="s">
        <v>6094</v>
      </c>
    </row>
    <row r="2950">
      <c r="A2950" t="s">
        <v>2561</v>
      </c>
      <c r="B2950" t="s">
        <v>1257</v>
      </c>
      <c r="C2950" t="s">
        <v>958</v>
      </c>
      <c r="D2950" t="s">
        <v>1198</v>
      </c>
      <c r="E2950" t="s">
        <v>1248</v>
      </c>
      <c r="F2950" t="s">
        <v>154</v>
      </c>
      <c r="H2950" t="s">
        <v>6090</v>
      </c>
      <c r="I2950" t="s">
        <v>6091</v>
      </c>
      <c r="J2950" t="s">
        <v>6092</v>
      </c>
      <c r="K2950" t="s">
        <v>6093</v>
      </c>
      <c r="L2950" t="s">
        <v>4717</v>
      </c>
      <c r="M2950" t="s">
        <v>6094</v>
      </c>
    </row>
    <row r="2951">
      <c r="A2951" t="s">
        <v>2561</v>
      </c>
      <c r="B2951" t="s">
        <v>1257</v>
      </c>
      <c r="C2951" t="s">
        <v>958</v>
      </c>
      <c r="D2951" t="s">
        <v>1198</v>
      </c>
      <c r="E2951" t="s">
        <v>1248</v>
      </c>
      <c r="F2951" t="s">
        <v>154</v>
      </c>
      <c r="H2951" t="s">
        <v>6090</v>
      </c>
      <c r="I2951" t="s">
        <v>6095</v>
      </c>
      <c r="J2951" t="s">
        <v>6096</v>
      </c>
      <c r="K2951" t="s">
        <v>6097</v>
      </c>
      <c r="L2951" t="s">
        <v>4717</v>
      </c>
      <c r="M2951" t="s">
        <v>6094</v>
      </c>
    </row>
    <row r="2952">
      <c r="A2952" t="s">
        <v>2561</v>
      </c>
      <c r="B2952" t="s">
        <v>1257</v>
      </c>
      <c r="C2952" t="s">
        <v>958</v>
      </c>
      <c r="D2952" t="s">
        <v>1198</v>
      </c>
      <c r="E2952" t="s">
        <v>1248</v>
      </c>
      <c r="F2952" t="s">
        <v>154</v>
      </c>
      <c r="H2952" t="s">
        <v>6090</v>
      </c>
      <c r="I2952" t="s">
        <v>6098</v>
      </c>
      <c r="J2952" t="s">
        <v>6099</v>
      </c>
      <c r="K2952" t="s">
        <v>6055</v>
      </c>
      <c r="L2952" t="s">
        <v>4717</v>
      </c>
      <c r="M2952" t="s">
        <v>6094</v>
      </c>
    </row>
    <row r="2953">
      <c r="A2953" t="s">
        <v>2561</v>
      </c>
      <c r="B2953" t="s">
        <v>1257</v>
      </c>
      <c r="C2953" t="s">
        <v>958</v>
      </c>
      <c r="D2953" t="s">
        <v>1198</v>
      </c>
      <c r="E2953" t="s">
        <v>1248</v>
      </c>
      <c r="F2953" t="s">
        <v>154</v>
      </c>
      <c r="H2953" t="s">
        <v>6100</v>
      </c>
      <c r="I2953" t="s">
        <v>6101</v>
      </c>
      <c r="J2953" t="s">
        <v>6102</v>
      </c>
      <c r="K2953" t="s">
        <v>6103</v>
      </c>
      <c r="L2953" t="s">
        <v>4717</v>
      </c>
      <c r="M2953" t="s">
        <v>6094</v>
      </c>
    </row>
    <row r="2954">
      <c r="A2954" t="s">
        <v>2561</v>
      </c>
      <c r="B2954" t="s">
        <v>1257</v>
      </c>
      <c r="C2954" t="s">
        <v>958</v>
      </c>
      <c r="D2954" t="s">
        <v>1198</v>
      </c>
      <c r="E2954" t="s">
        <v>1248</v>
      </c>
      <c r="F2954" t="s">
        <v>154</v>
      </c>
      <c r="H2954" t="s">
        <v>5603</v>
      </c>
      <c r="I2954" t="s">
        <v>4801</v>
      </c>
      <c r="J2954" t="s">
        <v>6104</v>
      </c>
      <c r="K2954" t="s">
        <v>5603</v>
      </c>
      <c r="L2954" t="s">
        <v>4717</v>
      </c>
      <c r="M2954" t="s">
        <v>6094</v>
      </c>
    </row>
    <row r="2955">
      <c r="A2955" t="s">
        <v>2561</v>
      </c>
      <c r="B2955" t="s">
        <v>1257</v>
      </c>
      <c r="C2955" t="s">
        <v>958</v>
      </c>
      <c r="D2955" t="s">
        <v>1198</v>
      </c>
      <c r="E2955" t="s">
        <v>1248</v>
      </c>
      <c r="F2955" t="s">
        <v>154</v>
      </c>
      <c r="H2955" t="s">
        <v>5630</v>
      </c>
      <c r="I2955" t="s">
        <v>6105</v>
      </c>
      <c r="J2955" t="s">
        <v>6106</v>
      </c>
      <c r="K2955" t="s">
        <v>6107</v>
      </c>
      <c r="L2955" t="s">
        <v>4717</v>
      </c>
      <c r="M2955" t="s">
        <v>6094</v>
      </c>
    </row>
    <row r="2956">
      <c r="A2956" t="s">
        <v>2561</v>
      </c>
      <c r="B2956" t="s">
        <v>1257</v>
      </c>
      <c r="C2956" t="s">
        <v>958</v>
      </c>
      <c r="D2956" t="s">
        <v>1198</v>
      </c>
      <c r="E2956" t="s">
        <v>1248</v>
      </c>
      <c r="F2956" t="s">
        <v>154</v>
      </c>
      <c r="H2956" t="s">
        <v>5630</v>
      </c>
      <c r="I2956" t="s">
        <v>6108</v>
      </c>
      <c r="J2956" t="s">
        <v>6109</v>
      </c>
      <c r="K2956" t="s">
        <v>6110</v>
      </c>
      <c r="L2956" t="s">
        <v>4717</v>
      </c>
      <c r="M2956" t="s">
        <v>6094</v>
      </c>
    </row>
    <row r="2957">
      <c r="A2957" t="s">
        <v>2561</v>
      </c>
      <c r="B2957" t="s">
        <v>1257</v>
      </c>
      <c r="C2957" t="s">
        <v>958</v>
      </c>
      <c r="D2957" t="s">
        <v>1198</v>
      </c>
      <c r="E2957" t="s">
        <v>1248</v>
      </c>
      <c r="F2957" t="s">
        <v>154</v>
      </c>
      <c r="H2957" t="s">
        <v>5157</v>
      </c>
      <c r="I2957" t="s">
        <v>6111</v>
      </c>
      <c r="J2957" t="s">
        <v>6112</v>
      </c>
      <c r="K2957" t="s">
        <v>6113</v>
      </c>
      <c r="L2957" t="s">
        <v>4717</v>
      </c>
      <c r="M2957" t="s">
        <v>6094</v>
      </c>
    </row>
    <row r="2958">
      <c r="A2958" t="s">
        <v>2561</v>
      </c>
      <c r="B2958" t="s">
        <v>1257</v>
      </c>
      <c r="C2958" t="s">
        <v>958</v>
      </c>
      <c r="D2958" t="s">
        <v>1198</v>
      </c>
      <c r="E2958" t="s">
        <v>1248</v>
      </c>
      <c r="F2958" t="s">
        <v>154</v>
      </c>
      <c r="H2958" t="s">
        <v>5522</v>
      </c>
      <c r="I2958" t="s">
        <v>6114</v>
      </c>
      <c r="J2958" t="s">
        <v>6115</v>
      </c>
      <c r="K2958" t="s">
        <v>6116</v>
      </c>
      <c r="L2958" t="s">
        <v>5522</v>
      </c>
      <c r="M2958" t="s">
        <v>6094</v>
      </c>
    </row>
    <row r="2959">
      <c r="A2959" t="s">
        <v>2561</v>
      </c>
      <c r="B2959" t="s">
        <v>1257</v>
      </c>
      <c r="C2959" t="s">
        <v>958</v>
      </c>
      <c r="D2959" t="s">
        <v>1198</v>
      </c>
      <c r="E2959" t="s">
        <v>1248</v>
      </c>
      <c r="F2959" t="s">
        <v>154</v>
      </c>
      <c r="H2959" t="s">
        <v>4159</v>
      </c>
      <c r="I2959" t="s">
        <v>6117</v>
      </c>
      <c r="J2959" t="s">
        <v>6118</v>
      </c>
      <c r="K2959" t="s">
        <v>2088</v>
      </c>
      <c r="L2959" t="s">
        <v>4717</v>
      </c>
      <c r="M2959" t="s">
        <v>6094</v>
      </c>
    </row>
    <row r="2960">
      <c r="A2960" t="s">
        <v>2564</v>
      </c>
      <c r="B2960" t="s">
        <v>1263</v>
      </c>
      <c r="C2960" t="s">
        <v>958</v>
      </c>
      <c r="D2960" t="s">
        <v>1198</v>
      </c>
      <c r="E2960" t="s">
        <v>1248</v>
      </c>
      <c r="F2960" t="s">
        <v>154</v>
      </c>
      <c r="H2960" t="s">
        <v>6090</v>
      </c>
      <c r="I2960" t="s">
        <v>6091</v>
      </c>
      <c r="J2960" t="s">
        <v>6092</v>
      </c>
      <c r="K2960" t="s">
        <v>6093</v>
      </c>
      <c r="L2960" t="s">
        <v>4717</v>
      </c>
      <c r="M2960" t="s">
        <v>6094</v>
      </c>
    </row>
    <row r="2961">
      <c r="A2961" t="s">
        <v>2564</v>
      </c>
      <c r="B2961" t="s">
        <v>1263</v>
      </c>
      <c r="C2961" t="s">
        <v>958</v>
      </c>
      <c r="D2961" t="s">
        <v>1198</v>
      </c>
      <c r="E2961" t="s">
        <v>1248</v>
      </c>
      <c r="F2961" t="s">
        <v>154</v>
      </c>
      <c r="H2961" t="s">
        <v>6090</v>
      </c>
      <c r="I2961" t="s">
        <v>6095</v>
      </c>
      <c r="J2961" t="s">
        <v>6096</v>
      </c>
      <c r="K2961" t="s">
        <v>6097</v>
      </c>
      <c r="L2961" t="s">
        <v>4717</v>
      </c>
      <c r="M2961" t="s">
        <v>6094</v>
      </c>
    </row>
    <row r="2962">
      <c r="A2962" t="s">
        <v>2564</v>
      </c>
      <c r="B2962" t="s">
        <v>1263</v>
      </c>
      <c r="C2962" t="s">
        <v>958</v>
      </c>
      <c r="D2962" t="s">
        <v>1198</v>
      </c>
      <c r="E2962" t="s">
        <v>1248</v>
      </c>
      <c r="F2962" t="s">
        <v>154</v>
      </c>
      <c r="H2962" t="s">
        <v>6090</v>
      </c>
      <c r="I2962" t="s">
        <v>6098</v>
      </c>
      <c r="J2962" t="s">
        <v>6099</v>
      </c>
      <c r="K2962" t="s">
        <v>6055</v>
      </c>
      <c r="L2962" t="s">
        <v>4717</v>
      </c>
      <c r="M2962" t="s">
        <v>6094</v>
      </c>
    </row>
    <row r="2963">
      <c r="A2963" t="s">
        <v>2564</v>
      </c>
      <c r="B2963" t="s">
        <v>1263</v>
      </c>
      <c r="C2963" t="s">
        <v>958</v>
      </c>
      <c r="D2963" t="s">
        <v>1198</v>
      </c>
      <c r="E2963" t="s">
        <v>1248</v>
      </c>
      <c r="F2963" t="s">
        <v>154</v>
      </c>
      <c r="H2963" t="s">
        <v>6100</v>
      </c>
      <c r="I2963" t="s">
        <v>6101</v>
      </c>
      <c r="J2963" t="s">
        <v>6102</v>
      </c>
      <c r="K2963" t="s">
        <v>6103</v>
      </c>
      <c r="L2963" t="s">
        <v>4717</v>
      </c>
      <c r="M2963" t="s">
        <v>6094</v>
      </c>
    </row>
    <row r="2964">
      <c r="A2964" t="s">
        <v>2564</v>
      </c>
      <c r="B2964" t="s">
        <v>1263</v>
      </c>
      <c r="C2964" t="s">
        <v>958</v>
      </c>
      <c r="D2964" t="s">
        <v>1198</v>
      </c>
      <c r="E2964" t="s">
        <v>1248</v>
      </c>
      <c r="F2964" t="s">
        <v>154</v>
      </c>
      <c r="H2964" t="s">
        <v>5603</v>
      </c>
      <c r="I2964" t="s">
        <v>4801</v>
      </c>
      <c r="J2964" t="s">
        <v>6104</v>
      </c>
      <c r="K2964" t="s">
        <v>5603</v>
      </c>
      <c r="L2964" t="s">
        <v>4717</v>
      </c>
      <c r="M2964" t="s">
        <v>6094</v>
      </c>
    </row>
    <row r="2965">
      <c r="A2965" t="s">
        <v>2564</v>
      </c>
      <c r="B2965" t="s">
        <v>1263</v>
      </c>
      <c r="C2965" t="s">
        <v>958</v>
      </c>
      <c r="D2965" t="s">
        <v>1198</v>
      </c>
      <c r="E2965" t="s">
        <v>1248</v>
      </c>
      <c r="F2965" t="s">
        <v>154</v>
      </c>
      <c r="H2965" t="s">
        <v>5630</v>
      </c>
      <c r="I2965" t="s">
        <v>6105</v>
      </c>
      <c r="J2965" t="s">
        <v>6106</v>
      </c>
      <c r="K2965" t="s">
        <v>6107</v>
      </c>
      <c r="L2965" t="s">
        <v>4717</v>
      </c>
      <c r="M2965" t="s">
        <v>6094</v>
      </c>
    </row>
    <row r="2966">
      <c r="A2966" t="s">
        <v>2564</v>
      </c>
      <c r="B2966" t="s">
        <v>1263</v>
      </c>
      <c r="C2966" t="s">
        <v>958</v>
      </c>
      <c r="D2966" t="s">
        <v>1198</v>
      </c>
      <c r="E2966" t="s">
        <v>1248</v>
      </c>
      <c r="F2966" t="s">
        <v>154</v>
      </c>
      <c r="H2966" t="s">
        <v>5630</v>
      </c>
      <c r="I2966" t="s">
        <v>6108</v>
      </c>
      <c r="J2966" t="s">
        <v>6109</v>
      </c>
      <c r="K2966" t="s">
        <v>6110</v>
      </c>
      <c r="L2966" t="s">
        <v>4717</v>
      </c>
      <c r="M2966" t="s">
        <v>6094</v>
      </c>
    </row>
    <row r="2967">
      <c r="A2967" t="s">
        <v>2564</v>
      </c>
      <c r="B2967" t="s">
        <v>1263</v>
      </c>
      <c r="C2967" t="s">
        <v>958</v>
      </c>
      <c r="D2967" t="s">
        <v>1198</v>
      </c>
      <c r="E2967" t="s">
        <v>1248</v>
      </c>
      <c r="F2967" t="s">
        <v>154</v>
      </c>
      <c r="H2967" t="s">
        <v>5157</v>
      </c>
      <c r="I2967" t="s">
        <v>6111</v>
      </c>
      <c r="J2967" t="s">
        <v>6112</v>
      </c>
      <c r="K2967" t="s">
        <v>6113</v>
      </c>
      <c r="L2967" t="s">
        <v>4717</v>
      </c>
      <c r="M2967" t="s">
        <v>6094</v>
      </c>
    </row>
    <row r="2968">
      <c r="A2968" t="s">
        <v>2564</v>
      </c>
      <c r="B2968" t="s">
        <v>1263</v>
      </c>
      <c r="C2968" t="s">
        <v>958</v>
      </c>
      <c r="D2968" t="s">
        <v>1198</v>
      </c>
      <c r="E2968" t="s">
        <v>1248</v>
      </c>
      <c r="F2968" t="s">
        <v>154</v>
      </c>
      <c r="H2968" t="s">
        <v>5522</v>
      </c>
      <c r="I2968" t="s">
        <v>6114</v>
      </c>
      <c r="J2968" t="s">
        <v>6115</v>
      </c>
      <c r="K2968" t="s">
        <v>6116</v>
      </c>
      <c r="L2968" t="s">
        <v>5522</v>
      </c>
      <c r="M2968" t="s">
        <v>6094</v>
      </c>
    </row>
    <row r="2969">
      <c r="A2969" t="s">
        <v>2564</v>
      </c>
      <c r="B2969" t="s">
        <v>1263</v>
      </c>
      <c r="C2969" t="s">
        <v>958</v>
      </c>
      <c r="D2969" t="s">
        <v>1198</v>
      </c>
      <c r="E2969" t="s">
        <v>1248</v>
      </c>
      <c r="F2969" t="s">
        <v>154</v>
      </c>
      <c r="H2969" t="s">
        <v>4159</v>
      </c>
      <c r="I2969" t="s">
        <v>6117</v>
      </c>
      <c r="J2969" t="s">
        <v>6118</v>
      </c>
      <c r="K2969" t="s">
        <v>2088</v>
      </c>
      <c r="L2969" t="s">
        <v>4717</v>
      </c>
      <c r="M2969" t="s">
        <v>6094</v>
      </c>
    </row>
    <row r="2970">
      <c r="A2970" t="s">
        <v>2567</v>
      </c>
      <c r="B2970" t="s">
        <v>1271</v>
      </c>
      <c r="C2970" t="s">
        <v>958</v>
      </c>
      <c r="D2970" t="s">
        <v>1198</v>
      </c>
      <c r="E2970" t="s">
        <v>1248</v>
      </c>
      <c r="F2970" t="s">
        <v>120</v>
      </c>
      <c r="H2970" t="s">
        <v>6090</v>
      </c>
      <c r="I2970" t="s">
        <v>6091</v>
      </c>
      <c r="J2970" t="s">
        <v>6092</v>
      </c>
      <c r="K2970" t="s">
        <v>6093</v>
      </c>
      <c r="L2970" t="s">
        <v>4717</v>
      </c>
      <c r="M2970" t="s">
        <v>6094</v>
      </c>
    </row>
    <row r="2971">
      <c r="A2971" t="s">
        <v>2567</v>
      </c>
      <c r="B2971" t="s">
        <v>1271</v>
      </c>
      <c r="C2971" t="s">
        <v>958</v>
      </c>
      <c r="D2971" t="s">
        <v>1198</v>
      </c>
      <c r="E2971" t="s">
        <v>1248</v>
      </c>
      <c r="F2971" t="s">
        <v>120</v>
      </c>
      <c r="H2971" t="s">
        <v>6090</v>
      </c>
      <c r="I2971" t="s">
        <v>6095</v>
      </c>
      <c r="J2971" t="s">
        <v>6096</v>
      </c>
      <c r="K2971" t="s">
        <v>6097</v>
      </c>
      <c r="L2971" t="s">
        <v>4717</v>
      </c>
      <c r="M2971" t="s">
        <v>6094</v>
      </c>
    </row>
    <row r="2972">
      <c r="A2972" t="s">
        <v>2567</v>
      </c>
      <c r="B2972" t="s">
        <v>1271</v>
      </c>
      <c r="C2972" t="s">
        <v>958</v>
      </c>
      <c r="D2972" t="s">
        <v>1198</v>
      </c>
      <c r="E2972" t="s">
        <v>1248</v>
      </c>
      <c r="F2972" t="s">
        <v>120</v>
      </c>
      <c r="H2972" t="s">
        <v>6090</v>
      </c>
      <c r="I2972" t="s">
        <v>6098</v>
      </c>
      <c r="J2972" t="s">
        <v>6099</v>
      </c>
      <c r="K2972" t="s">
        <v>6055</v>
      </c>
      <c r="L2972" t="s">
        <v>4717</v>
      </c>
      <c r="M2972" t="s">
        <v>6094</v>
      </c>
    </row>
    <row r="2973">
      <c r="A2973" t="s">
        <v>2567</v>
      </c>
      <c r="B2973" t="s">
        <v>1271</v>
      </c>
      <c r="C2973" t="s">
        <v>958</v>
      </c>
      <c r="D2973" t="s">
        <v>1198</v>
      </c>
      <c r="E2973" t="s">
        <v>1248</v>
      </c>
      <c r="F2973" t="s">
        <v>120</v>
      </c>
      <c r="H2973" t="s">
        <v>6100</v>
      </c>
      <c r="I2973" t="s">
        <v>6101</v>
      </c>
      <c r="J2973" t="s">
        <v>6102</v>
      </c>
      <c r="K2973" t="s">
        <v>6103</v>
      </c>
      <c r="L2973" t="s">
        <v>4717</v>
      </c>
      <c r="M2973" t="s">
        <v>6094</v>
      </c>
    </row>
    <row r="2974">
      <c r="A2974" t="s">
        <v>2567</v>
      </c>
      <c r="B2974" t="s">
        <v>1271</v>
      </c>
      <c r="C2974" t="s">
        <v>958</v>
      </c>
      <c r="D2974" t="s">
        <v>1198</v>
      </c>
      <c r="E2974" t="s">
        <v>1248</v>
      </c>
      <c r="F2974" t="s">
        <v>120</v>
      </c>
      <c r="H2974" t="s">
        <v>5603</v>
      </c>
      <c r="I2974" t="s">
        <v>4801</v>
      </c>
      <c r="J2974" t="s">
        <v>6104</v>
      </c>
      <c r="K2974" t="s">
        <v>5603</v>
      </c>
      <c r="L2974" t="s">
        <v>4717</v>
      </c>
      <c r="M2974" t="s">
        <v>6094</v>
      </c>
    </row>
    <row r="2975">
      <c r="A2975" t="s">
        <v>2567</v>
      </c>
      <c r="B2975" t="s">
        <v>1271</v>
      </c>
      <c r="C2975" t="s">
        <v>958</v>
      </c>
      <c r="D2975" t="s">
        <v>1198</v>
      </c>
      <c r="E2975" t="s">
        <v>1248</v>
      </c>
      <c r="F2975" t="s">
        <v>120</v>
      </c>
      <c r="H2975" t="s">
        <v>5630</v>
      </c>
      <c r="I2975" t="s">
        <v>6105</v>
      </c>
      <c r="J2975" t="s">
        <v>6106</v>
      </c>
      <c r="K2975" t="s">
        <v>6107</v>
      </c>
      <c r="L2975" t="s">
        <v>4717</v>
      </c>
      <c r="M2975" t="s">
        <v>6094</v>
      </c>
    </row>
    <row r="2976">
      <c r="A2976" t="s">
        <v>2567</v>
      </c>
      <c r="B2976" t="s">
        <v>1271</v>
      </c>
      <c r="C2976" t="s">
        <v>958</v>
      </c>
      <c r="D2976" t="s">
        <v>1198</v>
      </c>
      <c r="E2976" t="s">
        <v>1248</v>
      </c>
      <c r="F2976" t="s">
        <v>120</v>
      </c>
      <c r="H2976" t="s">
        <v>5630</v>
      </c>
      <c r="I2976" t="s">
        <v>6108</v>
      </c>
      <c r="J2976" t="s">
        <v>6109</v>
      </c>
      <c r="K2976" t="s">
        <v>6110</v>
      </c>
      <c r="L2976" t="s">
        <v>4717</v>
      </c>
      <c r="M2976" t="s">
        <v>6094</v>
      </c>
    </row>
    <row r="2977">
      <c r="A2977" t="s">
        <v>2567</v>
      </c>
      <c r="B2977" t="s">
        <v>1271</v>
      </c>
      <c r="C2977" t="s">
        <v>958</v>
      </c>
      <c r="D2977" t="s">
        <v>1198</v>
      </c>
      <c r="E2977" t="s">
        <v>1248</v>
      </c>
      <c r="F2977" t="s">
        <v>120</v>
      </c>
      <c r="H2977" t="s">
        <v>5157</v>
      </c>
      <c r="I2977" t="s">
        <v>6111</v>
      </c>
      <c r="J2977" t="s">
        <v>6112</v>
      </c>
      <c r="K2977" t="s">
        <v>6113</v>
      </c>
      <c r="L2977" t="s">
        <v>4717</v>
      </c>
      <c r="M2977" t="s">
        <v>6094</v>
      </c>
    </row>
    <row r="2978">
      <c r="A2978" t="s">
        <v>2567</v>
      </c>
      <c r="B2978" t="s">
        <v>1271</v>
      </c>
      <c r="C2978" t="s">
        <v>958</v>
      </c>
      <c r="D2978" t="s">
        <v>1198</v>
      </c>
      <c r="E2978" t="s">
        <v>1248</v>
      </c>
      <c r="F2978" t="s">
        <v>120</v>
      </c>
      <c r="H2978" t="s">
        <v>5522</v>
      </c>
      <c r="I2978" t="s">
        <v>6114</v>
      </c>
      <c r="J2978" t="s">
        <v>6115</v>
      </c>
      <c r="K2978" t="s">
        <v>6116</v>
      </c>
      <c r="L2978" t="s">
        <v>5522</v>
      </c>
      <c r="M2978" t="s">
        <v>6094</v>
      </c>
    </row>
    <row r="2979">
      <c r="A2979" t="s">
        <v>2567</v>
      </c>
      <c r="B2979" t="s">
        <v>1271</v>
      </c>
      <c r="C2979" t="s">
        <v>958</v>
      </c>
      <c r="D2979" t="s">
        <v>1198</v>
      </c>
      <c r="E2979" t="s">
        <v>1248</v>
      </c>
      <c r="F2979" t="s">
        <v>120</v>
      </c>
      <c r="H2979" t="s">
        <v>4159</v>
      </c>
      <c r="I2979" t="s">
        <v>6117</v>
      </c>
      <c r="J2979" t="s">
        <v>6118</v>
      </c>
      <c r="K2979" t="s">
        <v>2088</v>
      </c>
      <c r="L2979" t="s">
        <v>4717</v>
      </c>
      <c r="M2979" t="s">
        <v>6094</v>
      </c>
    </row>
    <row r="2980">
      <c r="A2980" t="s">
        <v>2570</v>
      </c>
      <c r="B2980" t="s">
        <v>1279</v>
      </c>
      <c r="C2980" t="s">
        <v>958</v>
      </c>
      <c r="D2980" t="s">
        <v>1198</v>
      </c>
      <c r="E2980" t="s">
        <v>1277</v>
      </c>
      <c r="F2980" t="s">
        <v>129</v>
      </c>
      <c r="G2980" t="s">
        <v>2078</v>
      </c>
      <c r="H2980" t="s">
        <v>6090</v>
      </c>
      <c r="I2980" t="s">
        <v>6091</v>
      </c>
      <c r="J2980" t="s">
        <v>6092</v>
      </c>
      <c r="K2980" t="s">
        <v>6093</v>
      </c>
      <c r="L2980" t="s">
        <v>4717</v>
      </c>
      <c r="M2980" t="s">
        <v>6094</v>
      </c>
    </row>
    <row r="2981">
      <c r="A2981" t="s">
        <v>2570</v>
      </c>
      <c r="B2981" t="s">
        <v>1279</v>
      </c>
      <c r="C2981" t="s">
        <v>958</v>
      </c>
      <c r="D2981" t="s">
        <v>1198</v>
      </c>
      <c r="E2981" t="s">
        <v>1277</v>
      </c>
      <c r="F2981" t="s">
        <v>129</v>
      </c>
      <c r="G2981" t="s">
        <v>2078</v>
      </c>
      <c r="H2981" t="s">
        <v>6090</v>
      </c>
      <c r="I2981" t="s">
        <v>6095</v>
      </c>
      <c r="J2981" t="s">
        <v>6096</v>
      </c>
      <c r="K2981" t="s">
        <v>6097</v>
      </c>
      <c r="L2981" t="s">
        <v>4717</v>
      </c>
      <c r="M2981" t="s">
        <v>6094</v>
      </c>
    </row>
    <row r="2982">
      <c r="A2982" t="s">
        <v>2570</v>
      </c>
      <c r="B2982" t="s">
        <v>1279</v>
      </c>
      <c r="C2982" t="s">
        <v>958</v>
      </c>
      <c r="D2982" t="s">
        <v>1198</v>
      </c>
      <c r="E2982" t="s">
        <v>1277</v>
      </c>
      <c r="F2982" t="s">
        <v>129</v>
      </c>
      <c r="G2982" t="s">
        <v>2078</v>
      </c>
      <c r="H2982" t="s">
        <v>6090</v>
      </c>
      <c r="I2982" t="s">
        <v>6098</v>
      </c>
      <c r="J2982" t="s">
        <v>6099</v>
      </c>
      <c r="K2982" t="s">
        <v>6055</v>
      </c>
      <c r="L2982" t="s">
        <v>4717</v>
      </c>
      <c r="M2982" t="s">
        <v>6094</v>
      </c>
    </row>
    <row r="2983">
      <c r="A2983" t="s">
        <v>2570</v>
      </c>
      <c r="B2983" t="s">
        <v>1279</v>
      </c>
      <c r="C2983" t="s">
        <v>958</v>
      </c>
      <c r="D2983" t="s">
        <v>1198</v>
      </c>
      <c r="E2983" t="s">
        <v>1277</v>
      </c>
      <c r="F2983" t="s">
        <v>129</v>
      </c>
      <c r="G2983" t="s">
        <v>2078</v>
      </c>
      <c r="H2983" t="s">
        <v>6100</v>
      </c>
      <c r="I2983" t="s">
        <v>6101</v>
      </c>
      <c r="J2983" t="s">
        <v>6102</v>
      </c>
      <c r="K2983" t="s">
        <v>6103</v>
      </c>
      <c r="L2983" t="s">
        <v>4717</v>
      </c>
      <c r="M2983" t="s">
        <v>6094</v>
      </c>
    </row>
    <row r="2984">
      <c r="A2984" t="s">
        <v>2570</v>
      </c>
      <c r="B2984" t="s">
        <v>1279</v>
      </c>
      <c r="C2984" t="s">
        <v>958</v>
      </c>
      <c r="D2984" t="s">
        <v>1198</v>
      </c>
      <c r="E2984" t="s">
        <v>1277</v>
      </c>
      <c r="F2984" t="s">
        <v>129</v>
      </c>
      <c r="G2984" t="s">
        <v>2078</v>
      </c>
      <c r="H2984" t="s">
        <v>5603</v>
      </c>
      <c r="I2984" t="s">
        <v>4801</v>
      </c>
      <c r="J2984" t="s">
        <v>6104</v>
      </c>
      <c r="K2984" t="s">
        <v>5603</v>
      </c>
      <c r="L2984" t="s">
        <v>4717</v>
      </c>
      <c r="M2984" t="s">
        <v>6094</v>
      </c>
    </row>
    <row r="2985">
      <c r="A2985" t="s">
        <v>2570</v>
      </c>
      <c r="B2985" t="s">
        <v>1279</v>
      </c>
      <c r="C2985" t="s">
        <v>958</v>
      </c>
      <c r="D2985" t="s">
        <v>1198</v>
      </c>
      <c r="E2985" t="s">
        <v>1277</v>
      </c>
      <c r="F2985" t="s">
        <v>129</v>
      </c>
      <c r="G2985" t="s">
        <v>2078</v>
      </c>
      <c r="H2985" t="s">
        <v>5630</v>
      </c>
      <c r="I2985" t="s">
        <v>6105</v>
      </c>
      <c r="J2985" t="s">
        <v>6106</v>
      </c>
      <c r="K2985" t="s">
        <v>6107</v>
      </c>
      <c r="L2985" t="s">
        <v>4717</v>
      </c>
      <c r="M2985" t="s">
        <v>6094</v>
      </c>
    </row>
    <row r="2986">
      <c r="A2986" t="s">
        <v>2570</v>
      </c>
      <c r="B2986" t="s">
        <v>1279</v>
      </c>
      <c r="C2986" t="s">
        <v>958</v>
      </c>
      <c r="D2986" t="s">
        <v>1198</v>
      </c>
      <c r="E2986" t="s">
        <v>1277</v>
      </c>
      <c r="F2986" t="s">
        <v>129</v>
      </c>
      <c r="G2986" t="s">
        <v>2078</v>
      </c>
      <c r="H2986" t="s">
        <v>5630</v>
      </c>
      <c r="I2986" t="s">
        <v>6108</v>
      </c>
      <c r="J2986" t="s">
        <v>6109</v>
      </c>
      <c r="K2986" t="s">
        <v>6110</v>
      </c>
      <c r="L2986" t="s">
        <v>4717</v>
      </c>
      <c r="M2986" t="s">
        <v>6094</v>
      </c>
    </row>
    <row r="2987">
      <c r="A2987" t="s">
        <v>2570</v>
      </c>
      <c r="B2987" t="s">
        <v>1279</v>
      </c>
      <c r="C2987" t="s">
        <v>958</v>
      </c>
      <c r="D2987" t="s">
        <v>1198</v>
      </c>
      <c r="E2987" t="s">
        <v>1277</v>
      </c>
      <c r="F2987" t="s">
        <v>129</v>
      </c>
      <c r="G2987" t="s">
        <v>2078</v>
      </c>
      <c r="H2987" t="s">
        <v>5157</v>
      </c>
      <c r="I2987" t="s">
        <v>6111</v>
      </c>
      <c r="J2987" t="s">
        <v>6112</v>
      </c>
      <c r="K2987" t="s">
        <v>6113</v>
      </c>
      <c r="L2987" t="s">
        <v>4717</v>
      </c>
      <c r="M2987" t="s">
        <v>6094</v>
      </c>
    </row>
    <row r="2988">
      <c r="A2988" t="s">
        <v>2570</v>
      </c>
      <c r="B2988" t="s">
        <v>1279</v>
      </c>
      <c r="C2988" t="s">
        <v>958</v>
      </c>
      <c r="D2988" t="s">
        <v>1198</v>
      </c>
      <c r="E2988" t="s">
        <v>1277</v>
      </c>
      <c r="F2988" t="s">
        <v>129</v>
      </c>
      <c r="G2988" t="s">
        <v>2078</v>
      </c>
      <c r="H2988" t="s">
        <v>5522</v>
      </c>
      <c r="I2988" t="s">
        <v>6114</v>
      </c>
      <c r="J2988" t="s">
        <v>6115</v>
      </c>
      <c r="K2988" t="s">
        <v>6116</v>
      </c>
      <c r="L2988" t="s">
        <v>5522</v>
      </c>
      <c r="M2988" t="s">
        <v>6094</v>
      </c>
    </row>
    <row r="2989">
      <c r="A2989" t="s">
        <v>2570</v>
      </c>
      <c r="B2989" t="s">
        <v>1279</v>
      </c>
      <c r="C2989" t="s">
        <v>958</v>
      </c>
      <c r="D2989" t="s">
        <v>1198</v>
      </c>
      <c r="E2989" t="s">
        <v>1277</v>
      </c>
      <c r="F2989" t="s">
        <v>129</v>
      </c>
      <c r="G2989" t="s">
        <v>2078</v>
      </c>
      <c r="H2989" t="s">
        <v>4159</v>
      </c>
      <c r="I2989" t="s">
        <v>6117</v>
      </c>
      <c r="J2989" t="s">
        <v>6118</v>
      </c>
      <c r="K2989" t="s">
        <v>2088</v>
      </c>
      <c r="L2989" t="s">
        <v>4717</v>
      </c>
      <c r="M2989" t="s">
        <v>6094</v>
      </c>
    </row>
    <row r="2990">
      <c r="A2990" t="s">
        <v>2573</v>
      </c>
      <c r="B2990" t="s">
        <v>1287</v>
      </c>
      <c r="C2990" t="s">
        <v>958</v>
      </c>
      <c r="D2990" t="s">
        <v>1198</v>
      </c>
      <c r="E2990" t="s">
        <v>1277</v>
      </c>
      <c r="F2990" t="s">
        <v>97</v>
      </c>
      <c r="G2990" t="s">
        <v>2078</v>
      </c>
      <c r="H2990" t="s">
        <v>6090</v>
      </c>
      <c r="I2990" t="s">
        <v>6091</v>
      </c>
      <c r="J2990" t="s">
        <v>6092</v>
      </c>
      <c r="K2990" t="s">
        <v>6093</v>
      </c>
      <c r="L2990" t="s">
        <v>4717</v>
      </c>
      <c r="M2990" t="s">
        <v>6094</v>
      </c>
    </row>
    <row r="2991">
      <c r="A2991" t="s">
        <v>2573</v>
      </c>
      <c r="B2991" t="s">
        <v>1287</v>
      </c>
      <c r="C2991" t="s">
        <v>958</v>
      </c>
      <c r="D2991" t="s">
        <v>1198</v>
      </c>
      <c r="E2991" t="s">
        <v>1277</v>
      </c>
      <c r="F2991" t="s">
        <v>97</v>
      </c>
      <c r="G2991" t="s">
        <v>2078</v>
      </c>
      <c r="H2991" t="s">
        <v>6090</v>
      </c>
      <c r="I2991" t="s">
        <v>6095</v>
      </c>
      <c r="J2991" t="s">
        <v>6096</v>
      </c>
      <c r="K2991" t="s">
        <v>6097</v>
      </c>
      <c r="L2991" t="s">
        <v>4717</v>
      </c>
      <c r="M2991" t="s">
        <v>6094</v>
      </c>
    </row>
    <row r="2992">
      <c r="A2992" t="s">
        <v>2573</v>
      </c>
      <c r="B2992" t="s">
        <v>1287</v>
      </c>
      <c r="C2992" t="s">
        <v>958</v>
      </c>
      <c r="D2992" t="s">
        <v>1198</v>
      </c>
      <c r="E2992" t="s">
        <v>1277</v>
      </c>
      <c r="F2992" t="s">
        <v>97</v>
      </c>
      <c r="G2992" t="s">
        <v>2078</v>
      </c>
      <c r="H2992" t="s">
        <v>6090</v>
      </c>
      <c r="I2992" t="s">
        <v>6098</v>
      </c>
      <c r="J2992" t="s">
        <v>6099</v>
      </c>
      <c r="K2992" t="s">
        <v>6055</v>
      </c>
      <c r="L2992" t="s">
        <v>4717</v>
      </c>
      <c r="M2992" t="s">
        <v>6094</v>
      </c>
    </row>
    <row r="2993">
      <c r="A2993" t="s">
        <v>2573</v>
      </c>
      <c r="B2993" t="s">
        <v>1287</v>
      </c>
      <c r="C2993" t="s">
        <v>958</v>
      </c>
      <c r="D2993" t="s">
        <v>1198</v>
      </c>
      <c r="E2993" t="s">
        <v>1277</v>
      </c>
      <c r="F2993" t="s">
        <v>97</v>
      </c>
      <c r="G2993" t="s">
        <v>2078</v>
      </c>
      <c r="H2993" t="s">
        <v>6100</v>
      </c>
      <c r="I2993" t="s">
        <v>6101</v>
      </c>
      <c r="J2993" t="s">
        <v>6102</v>
      </c>
      <c r="K2993" t="s">
        <v>6103</v>
      </c>
      <c r="L2993" t="s">
        <v>4717</v>
      </c>
      <c r="M2993" t="s">
        <v>6094</v>
      </c>
    </row>
    <row r="2994">
      <c r="A2994" t="s">
        <v>2573</v>
      </c>
      <c r="B2994" t="s">
        <v>1287</v>
      </c>
      <c r="C2994" t="s">
        <v>958</v>
      </c>
      <c r="D2994" t="s">
        <v>1198</v>
      </c>
      <c r="E2994" t="s">
        <v>1277</v>
      </c>
      <c r="F2994" t="s">
        <v>97</v>
      </c>
      <c r="G2994" t="s">
        <v>2078</v>
      </c>
      <c r="H2994" t="s">
        <v>5603</v>
      </c>
      <c r="I2994" t="s">
        <v>4801</v>
      </c>
      <c r="J2994" t="s">
        <v>6104</v>
      </c>
      <c r="K2994" t="s">
        <v>5603</v>
      </c>
      <c r="L2994" t="s">
        <v>4717</v>
      </c>
      <c r="M2994" t="s">
        <v>6094</v>
      </c>
    </row>
    <row r="2995">
      <c r="A2995" t="s">
        <v>2573</v>
      </c>
      <c r="B2995" t="s">
        <v>1287</v>
      </c>
      <c r="C2995" t="s">
        <v>958</v>
      </c>
      <c r="D2995" t="s">
        <v>1198</v>
      </c>
      <c r="E2995" t="s">
        <v>1277</v>
      </c>
      <c r="F2995" t="s">
        <v>97</v>
      </c>
      <c r="G2995" t="s">
        <v>2078</v>
      </c>
      <c r="H2995" t="s">
        <v>5630</v>
      </c>
      <c r="I2995" t="s">
        <v>6105</v>
      </c>
      <c r="J2995" t="s">
        <v>6106</v>
      </c>
      <c r="K2995" t="s">
        <v>6107</v>
      </c>
      <c r="L2995" t="s">
        <v>4717</v>
      </c>
      <c r="M2995" t="s">
        <v>6094</v>
      </c>
    </row>
    <row r="2996">
      <c r="A2996" t="s">
        <v>2573</v>
      </c>
      <c r="B2996" t="s">
        <v>1287</v>
      </c>
      <c r="C2996" t="s">
        <v>958</v>
      </c>
      <c r="D2996" t="s">
        <v>1198</v>
      </c>
      <c r="E2996" t="s">
        <v>1277</v>
      </c>
      <c r="F2996" t="s">
        <v>97</v>
      </c>
      <c r="G2996" t="s">
        <v>2078</v>
      </c>
      <c r="H2996" t="s">
        <v>5630</v>
      </c>
      <c r="I2996" t="s">
        <v>6108</v>
      </c>
      <c r="J2996" t="s">
        <v>6109</v>
      </c>
      <c r="K2996" t="s">
        <v>6110</v>
      </c>
      <c r="L2996" t="s">
        <v>4717</v>
      </c>
      <c r="M2996" t="s">
        <v>6094</v>
      </c>
    </row>
    <row r="2997">
      <c r="A2997" t="s">
        <v>2573</v>
      </c>
      <c r="B2997" t="s">
        <v>1287</v>
      </c>
      <c r="C2997" t="s">
        <v>958</v>
      </c>
      <c r="D2997" t="s">
        <v>1198</v>
      </c>
      <c r="E2997" t="s">
        <v>1277</v>
      </c>
      <c r="F2997" t="s">
        <v>97</v>
      </c>
      <c r="G2997" t="s">
        <v>2078</v>
      </c>
      <c r="H2997" t="s">
        <v>5157</v>
      </c>
      <c r="I2997" t="s">
        <v>6111</v>
      </c>
      <c r="J2997" t="s">
        <v>6112</v>
      </c>
      <c r="K2997" t="s">
        <v>6113</v>
      </c>
      <c r="L2997" t="s">
        <v>4717</v>
      </c>
      <c r="M2997" t="s">
        <v>6094</v>
      </c>
    </row>
    <row r="2998">
      <c r="A2998" t="s">
        <v>2573</v>
      </c>
      <c r="B2998" t="s">
        <v>1287</v>
      </c>
      <c r="C2998" t="s">
        <v>958</v>
      </c>
      <c r="D2998" t="s">
        <v>1198</v>
      </c>
      <c r="E2998" t="s">
        <v>1277</v>
      </c>
      <c r="F2998" t="s">
        <v>97</v>
      </c>
      <c r="G2998" t="s">
        <v>2078</v>
      </c>
      <c r="H2998" t="s">
        <v>5522</v>
      </c>
      <c r="I2998" t="s">
        <v>6114</v>
      </c>
      <c r="J2998" t="s">
        <v>6115</v>
      </c>
      <c r="K2998" t="s">
        <v>6116</v>
      </c>
      <c r="L2998" t="s">
        <v>5522</v>
      </c>
      <c r="M2998" t="s">
        <v>6094</v>
      </c>
    </row>
    <row r="2999">
      <c r="A2999" t="s">
        <v>2573</v>
      </c>
      <c r="B2999" t="s">
        <v>1287</v>
      </c>
      <c r="C2999" t="s">
        <v>958</v>
      </c>
      <c r="D2999" t="s">
        <v>1198</v>
      </c>
      <c r="E2999" t="s">
        <v>1277</v>
      </c>
      <c r="F2999" t="s">
        <v>97</v>
      </c>
      <c r="G2999" t="s">
        <v>2078</v>
      </c>
      <c r="H2999" t="s">
        <v>4159</v>
      </c>
      <c r="I2999" t="s">
        <v>6117</v>
      </c>
      <c r="J2999" t="s">
        <v>6118</v>
      </c>
      <c r="K2999" t="s">
        <v>2088</v>
      </c>
      <c r="L2999" t="s">
        <v>4717</v>
      </c>
      <c r="M2999" t="s">
        <v>6094</v>
      </c>
    </row>
    <row r="3000">
      <c r="A3000" t="s">
        <v>2576</v>
      </c>
      <c r="B3000" t="s">
        <v>1294</v>
      </c>
      <c r="C3000" t="s">
        <v>958</v>
      </c>
      <c r="D3000" t="s">
        <v>1198</v>
      </c>
      <c r="E3000" t="s">
        <v>1277</v>
      </c>
      <c r="F3000" t="s">
        <v>120</v>
      </c>
      <c r="H3000" t="s">
        <v>6090</v>
      </c>
      <c r="I3000" t="s">
        <v>6091</v>
      </c>
      <c r="J3000" t="s">
        <v>6092</v>
      </c>
      <c r="K3000" t="s">
        <v>6093</v>
      </c>
      <c r="L3000" t="s">
        <v>4717</v>
      </c>
      <c r="M3000" t="s">
        <v>6094</v>
      </c>
    </row>
    <row r="3001">
      <c r="A3001" t="s">
        <v>2576</v>
      </c>
      <c r="B3001" t="s">
        <v>1294</v>
      </c>
      <c r="C3001" t="s">
        <v>958</v>
      </c>
      <c r="D3001" t="s">
        <v>1198</v>
      </c>
      <c r="E3001" t="s">
        <v>1277</v>
      </c>
      <c r="F3001" t="s">
        <v>120</v>
      </c>
      <c r="H3001" t="s">
        <v>6090</v>
      </c>
      <c r="I3001" t="s">
        <v>6095</v>
      </c>
      <c r="J3001" t="s">
        <v>6096</v>
      </c>
      <c r="K3001" t="s">
        <v>6097</v>
      </c>
      <c r="L3001" t="s">
        <v>4717</v>
      </c>
      <c r="M3001" t="s">
        <v>6094</v>
      </c>
    </row>
    <row r="3002">
      <c r="A3002" t="s">
        <v>2576</v>
      </c>
      <c r="B3002" t="s">
        <v>1294</v>
      </c>
      <c r="C3002" t="s">
        <v>958</v>
      </c>
      <c r="D3002" t="s">
        <v>1198</v>
      </c>
      <c r="E3002" t="s">
        <v>1277</v>
      </c>
      <c r="F3002" t="s">
        <v>120</v>
      </c>
      <c r="H3002" t="s">
        <v>6090</v>
      </c>
      <c r="I3002" t="s">
        <v>6098</v>
      </c>
      <c r="J3002" t="s">
        <v>6099</v>
      </c>
      <c r="K3002" t="s">
        <v>6055</v>
      </c>
      <c r="L3002" t="s">
        <v>4717</v>
      </c>
      <c r="M3002" t="s">
        <v>6094</v>
      </c>
    </row>
    <row r="3003">
      <c r="A3003" t="s">
        <v>2576</v>
      </c>
      <c r="B3003" t="s">
        <v>1294</v>
      </c>
      <c r="C3003" t="s">
        <v>958</v>
      </c>
      <c r="D3003" t="s">
        <v>1198</v>
      </c>
      <c r="E3003" t="s">
        <v>1277</v>
      </c>
      <c r="F3003" t="s">
        <v>120</v>
      </c>
      <c r="H3003" t="s">
        <v>6100</v>
      </c>
      <c r="I3003" t="s">
        <v>6101</v>
      </c>
      <c r="J3003" t="s">
        <v>6102</v>
      </c>
      <c r="K3003" t="s">
        <v>6103</v>
      </c>
      <c r="L3003" t="s">
        <v>4717</v>
      </c>
      <c r="M3003" t="s">
        <v>6094</v>
      </c>
    </row>
    <row r="3004">
      <c r="A3004" t="s">
        <v>2576</v>
      </c>
      <c r="B3004" t="s">
        <v>1294</v>
      </c>
      <c r="C3004" t="s">
        <v>958</v>
      </c>
      <c r="D3004" t="s">
        <v>1198</v>
      </c>
      <c r="E3004" t="s">
        <v>1277</v>
      </c>
      <c r="F3004" t="s">
        <v>120</v>
      </c>
      <c r="H3004" t="s">
        <v>5603</v>
      </c>
      <c r="I3004" t="s">
        <v>4801</v>
      </c>
      <c r="J3004" t="s">
        <v>6104</v>
      </c>
      <c r="K3004" t="s">
        <v>5603</v>
      </c>
      <c r="L3004" t="s">
        <v>4717</v>
      </c>
      <c r="M3004" t="s">
        <v>6094</v>
      </c>
    </row>
    <row r="3005">
      <c r="A3005" t="s">
        <v>2576</v>
      </c>
      <c r="B3005" t="s">
        <v>1294</v>
      </c>
      <c r="C3005" t="s">
        <v>958</v>
      </c>
      <c r="D3005" t="s">
        <v>1198</v>
      </c>
      <c r="E3005" t="s">
        <v>1277</v>
      </c>
      <c r="F3005" t="s">
        <v>120</v>
      </c>
      <c r="H3005" t="s">
        <v>5630</v>
      </c>
      <c r="I3005" t="s">
        <v>6105</v>
      </c>
      <c r="J3005" t="s">
        <v>6106</v>
      </c>
      <c r="K3005" t="s">
        <v>6107</v>
      </c>
      <c r="L3005" t="s">
        <v>4717</v>
      </c>
      <c r="M3005" t="s">
        <v>6094</v>
      </c>
    </row>
    <row r="3006">
      <c r="A3006" t="s">
        <v>2576</v>
      </c>
      <c r="B3006" t="s">
        <v>1294</v>
      </c>
      <c r="C3006" t="s">
        <v>958</v>
      </c>
      <c r="D3006" t="s">
        <v>1198</v>
      </c>
      <c r="E3006" t="s">
        <v>1277</v>
      </c>
      <c r="F3006" t="s">
        <v>120</v>
      </c>
      <c r="H3006" t="s">
        <v>5630</v>
      </c>
      <c r="I3006" t="s">
        <v>6108</v>
      </c>
      <c r="J3006" t="s">
        <v>6109</v>
      </c>
      <c r="K3006" t="s">
        <v>6110</v>
      </c>
      <c r="L3006" t="s">
        <v>4717</v>
      </c>
      <c r="M3006" t="s">
        <v>6094</v>
      </c>
    </row>
    <row r="3007">
      <c r="A3007" t="s">
        <v>2576</v>
      </c>
      <c r="B3007" t="s">
        <v>1294</v>
      </c>
      <c r="C3007" t="s">
        <v>958</v>
      </c>
      <c r="D3007" t="s">
        <v>1198</v>
      </c>
      <c r="E3007" t="s">
        <v>1277</v>
      </c>
      <c r="F3007" t="s">
        <v>120</v>
      </c>
      <c r="H3007" t="s">
        <v>5157</v>
      </c>
      <c r="I3007" t="s">
        <v>6111</v>
      </c>
      <c r="J3007" t="s">
        <v>6112</v>
      </c>
      <c r="K3007" t="s">
        <v>6113</v>
      </c>
      <c r="L3007" t="s">
        <v>4717</v>
      </c>
      <c r="M3007" t="s">
        <v>6094</v>
      </c>
    </row>
    <row r="3008">
      <c r="A3008" t="s">
        <v>2576</v>
      </c>
      <c r="B3008" t="s">
        <v>1294</v>
      </c>
      <c r="C3008" t="s">
        <v>958</v>
      </c>
      <c r="D3008" t="s">
        <v>1198</v>
      </c>
      <c r="E3008" t="s">
        <v>1277</v>
      </c>
      <c r="F3008" t="s">
        <v>120</v>
      </c>
      <c r="H3008" t="s">
        <v>5522</v>
      </c>
      <c r="I3008" t="s">
        <v>6114</v>
      </c>
      <c r="J3008" t="s">
        <v>6115</v>
      </c>
      <c r="K3008" t="s">
        <v>6116</v>
      </c>
      <c r="L3008" t="s">
        <v>5522</v>
      </c>
      <c r="M3008" t="s">
        <v>6094</v>
      </c>
    </row>
    <row r="3009">
      <c r="A3009" t="s">
        <v>2576</v>
      </c>
      <c r="B3009" t="s">
        <v>1294</v>
      </c>
      <c r="C3009" t="s">
        <v>958</v>
      </c>
      <c r="D3009" t="s">
        <v>1198</v>
      </c>
      <c r="E3009" t="s">
        <v>1277</v>
      </c>
      <c r="F3009" t="s">
        <v>120</v>
      </c>
      <c r="H3009" t="s">
        <v>4159</v>
      </c>
      <c r="I3009" t="s">
        <v>6117</v>
      </c>
      <c r="J3009" t="s">
        <v>6118</v>
      </c>
      <c r="K3009" t="s">
        <v>2088</v>
      </c>
      <c r="L3009" t="s">
        <v>4717</v>
      </c>
      <c r="M3009" t="s">
        <v>6094</v>
      </c>
    </row>
    <row r="3010">
      <c r="A3010" t="s">
        <v>2579</v>
      </c>
      <c r="B3010" t="s">
        <v>1302</v>
      </c>
      <c r="C3010" t="s">
        <v>958</v>
      </c>
      <c r="D3010" t="s">
        <v>1198</v>
      </c>
      <c r="E3010" t="s">
        <v>1277</v>
      </c>
      <c r="F3010" t="s">
        <v>120</v>
      </c>
      <c r="H3010" t="s">
        <v>6090</v>
      </c>
      <c r="I3010" t="s">
        <v>6091</v>
      </c>
      <c r="J3010" t="s">
        <v>6092</v>
      </c>
      <c r="K3010" t="s">
        <v>6093</v>
      </c>
      <c r="L3010" t="s">
        <v>4717</v>
      </c>
      <c r="M3010" t="s">
        <v>6094</v>
      </c>
    </row>
    <row r="3011">
      <c r="A3011" t="s">
        <v>2579</v>
      </c>
      <c r="B3011" t="s">
        <v>1302</v>
      </c>
      <c r="C3011" t="s">
        <v>958</v>
      </c>
      <c r="D3011" t="s">
        <v>1198</v>
      </c>
      <c r="E3011" t="s">
        <v>1277</v>
      </c>
      <c r="F3011" t="s">
        <v>120</v>
      </c>
      <c r="H3011" t="s">
        <v>6090</v>
      </c>
      <c r="I3011" t="s">
        <v>6095</v>
      </c>
      <c r="J3011" t="s">
        <v>6096</v>
      </c>
      <c r="K3011" t="s">
        <v>6097</v>
      </c>
      <c r="L3011" t="s">
        <v>4717</v>
      </c>
      <c r="M3011" t="s">
        <v>6094</v>
      </c>
    </row>
    <row r="3012">
      <c r="A3012" t="s">
        <v>2579</v>
      </c>
      <c r="B3012" t="s">
        <v>1302</v>
      </c>
      <c r="C3012" t="s">
        <v>958</v>
      </c>
      <c r="D3012" t="s">
        <v>1198</v>
      </c>
      <c r="E3012" t="s">
        <v>1277</v>
      </c>
      <c r="F3012" t="s">
        <v>120</v>
      </c>
      <c r="H3012" t="s">
        <v>6090</v>
      </c>
      <c r="I3012" t="s">
        <v>6098</v>
      </c>
      <c r="J3012" t="s">
        <v>6099</v>
      </c>
      <c r="K3012" t="s">
        <v>6055</v>
      </c>
      <c r="L3012" t="s">
        <v>4717</v>
      </c>
      <c r="M3012" t="s">
        <v>6094</v>
      </c>
    </row>
    <row r="3013">
      <c r="A3013" t="s">
        <v>2579</v>
      </c>
      <c r="B3013" t="s">
        <v>1302</v>
      </c>
      <c r="C3013" t="s">
        <v>958</v>
      </c>
      <c r="D3013" t="s">
        <v>1198</v>
      </c>
      <c r="E3013" t="s">
        <v>1277</v>
      </c>
      <c r="F3013" t="s">
        <v>120</v>
      </c>
      <c r="H3013" t="s">
        <v>6100</v>
      </c>
      <c r="I3013" t="s">
        <v>6101</v>
      </c>
      <c r="J3013" t="s">
        <v>6102</v>
      </c>
      <c r="K3013" t="s">
        <v>6103</v>
      </c>
      <c r="L3013" t="s">
        <v>4717</v>
      </c>
      <c r="M3013" t="s">
        <v>6094</v>
      </c>
    </row>
    <row r="3014">
      <c r="A3014" t="s">
        <v>2579</v>
      </c>
      <c r="B3014" t="s">
        <v>1302</v>
      </c>
      <c r="C3014" t="s">
        <v>958</v>
      </c>
      <c r="D3014" t="s">
        <v>1198</v>
      </c>
      <c r="E3014" t="s">
        <v>1277</v>
      </c>
      <c r="F3014" t="s">
        <v>120</v>
      </c>
      <c r="H3014" t="s">
        <v>5603</v>
      </c>
      <c r="I3014" t="s">
        <v>4801</v>
      </c>
      <c r="J3014" t="s">
        <v>6104</v>
      </c>
      <c r="K3014" t="s">
        <v>5603</v>
      </c>
      <c r="L3014" t="s">
        <v>4717</v>
      </c>
      <c r="M3014" t="s">
        <v>6094</v>
      </c>
    </row>
    <row r="3015">
      <c r="A3015" t="s">
        <v>2579</v>
      </c>
      <c r="B3015" t="s">
        <v>1302</v>
      </c>
      <c r="C3015" t="s">
        <v>958</v>
      </c>
      <c r="D3015" t="s">
        <v>1198</v>
      </c>
      <c r="E3015" t="s">
        <v>1277</v>
      </c>
      <c r="F3015" t="s">
        <v>120</v>
      </c>
      <c r="H3015" t="s">
        <v>5630</v>
      </c>
      <c r="I3015" t="s">
        <v>6105</v>
      </c>
      <c r="J3015" t="s">
        <v>6106</v>
      </c>
      <c r="K3015" t="s">
        <v>6107</v>
      </c>
      <c r="L3015" t="s">
        <v>4717</v>
      </c>
      <c r="M3015" t="s">
        <v>6094</v>
      </c>
    </row>
    <row r="3016">
      <c r="A3016" t="s">
        <v>2579</v>
      </c>
      <c r="B3016" t="s">
        <v>1302</v>
      </c>
      <c r="C3016" t="s">
        <v>958</v>
      </c>
      <c r="D3016" t="s">
        <v>1198</v>
      </c>
      <c r="E3016" t="s">
        <v>1277</v>
      </c>
      <c r="F3016" t="s">
        <v>120</v>
      </c>
      <c r="H3016" t="s">
        <v>5630</v>
      </c>
      <c r="I3016" t="s">
        <v>6108</v>
      </c>
      <c r="J3016" t="s">
        <v>6109</v>
      </c>
      <c r="K3016" t="s">
        <v>6110</v>
      </c>
      <c r="L3016" t="s">
        <v>4717</v>
      </c>
      <c r="M3016" t="s">
        <v>6094</v>
      </c>
    </row>
    <row r="3017">
      <c r="A3017" t="s">
        <v>2579</v>
      </c>
      <c r="B3017" t="s">
        <v>1302</v>
      </c>
      <c r="C3017" t="s">
        <v>958</v>
      </c>
      <c r="D3017" t="s">
        <v>1198</v>
      </c>
      <c r="E3017" t="s">
        <v>1277</v>
      </c>
      <c r="F3017" t="s">
        <v>120</v>
      </c>
      <c r="H3017" t="s">
        <v>5157</v>
      </c>
      <c r="I3017" t="s">
        <v>6111</v>
      </c>
      <c r="J3017" t="s">
        <v>6112</v>
      </c>
      <c r="K3017" t="s">
        <v>6113</v>
      </c>
      <c r="L3017" t="s">
        <v>4717</v>
      </c>
      <c r="M3017" t="s">
        <v>6094</v>
      </c>
    </row>
    <row r="3018">
      <c r="A3018" t="s">
        <v>2579</v>
      </c>
      <c r="B3018" t="s">
        <v>1302</v>
      </c>
      <c r="C3018" t="s">
        <v>958</v>
      </c>
      <c r="D3018" t="s">
        <v>1198</v>
      </c>
      <c r="E3018" t="s">
        <v>1277</v>
      </c>
      <c r="F3018" t="s">
        <v>120</v>
      </c>
      <c r="H3018" t="s">
        <v>5522</v>
      </c>
      <c r="I3018" t="s">
        <v>6114</v>
      </c>
      <c r="J3018" t="s">
        <v>6115</v>
      </c>
      <c r="K3018" t="s">
        <v>6116</v>
      </c>
      <c r="L3018" t="s">
        <v>5522</v>
      </c>
      <c r="M3018" t="s">
        <v>6094</v>
      </c>
    </row>
    <row r="3019">
      <c r="A3019" t="s">
        <v>2579</v>
      </c>
      <c r="B3019" t="s">
        <v>1302</v>
      </c>
      <c r="C3019" t="s">
        <v>958</v>
      </c>
      <c r="D3019" t="s">
        <v>1198</v>
      </c>
      <c r="E3019" t="s">
        <v>1277</v>
      </c>
      <c r="F3019" t="s">
        <v>120</v>
      </c>
      <c r="H3019" t="s">
        <v>4159</v>
      </c>
      <c r="I3019" t="s">
        <v>6117</v>
      </c>
      <c r="J3019" t="s">
        <v>6118</v>
      </c>
      <c r="K3019" t="s">
        <v>2088</v>
      </c>
      <c r="L3019" t="s">
        <v>4717</v>
      </c>
      <c r="M3019" t="s">
        <v>6094</v>
      </c>
    </row>
    <row r="3020">
      <c r="A3020" t="s">
        <v>2582</v>
      </c>
      <c r="B3020" t="s">
        <v>1312</v>
      </c>
      <c r="C3020" t="s">
        <v>958</v>
      </c>
      <c r="D3020" t="s">
        <v>1198</v>
      </c>
      <c r="E3020" t="s">
        <v>1310</v>
      </c>
      <c r="F3020" t="s">
        <v>97</v>
      </c>
      <c r="G3020" t="s">
        <v>2078</v>
      </c>
      <c r="H3020" t="s">
        <v>6090</v>
      </c>
      <c r="I3020" t="s">
        <v>6091</v>
      </c>
      <c r="J3020" t="s">
        <v>6092</v>
      </c>
      <c r="K3020" t="s">
        <v>6093</v>
      </c>
      <c r="L3020" t="s">
        <v>4717</v>
      </c>
      <c r="M3020" t="s">
        <v>6094</v>
      </c>
    </row>
    <row r="3021">
      <c r="A3021" t="s">
        <v>2582</v>
      </c>
      <c r="B3021" t="s">
        <v>1312</v>
      </c>
      <c r="C3021" t="s">
        <v>958</v>
      </c>
      <c r="D3021" t="s">
        <v>1198</v>
      </c>
      <c r="E3021" t="s">
        <v>1310</v>
      </c>
      <c r="F3021" t="s">
        <v>97</v>
      </c>
      <c r="G3021" t="s">
        <v>2078</v>
      </c>
      <c r="H3021" t="s">
        <v>6090</v>
      </c>
      <c r="I3021" t="s">
        <v>6095</v>
      </c>
      <c r="J3021" t="s">
        <v>6096</v>
      </c>
      <c r="K3021" t="s">
        <v>6097</v>
      </c>
      <c r="L3021" t="s">
        <v>4717</v>
      </c>
      <c r="M3021" t="s">
        <v>6094</v>
      </c>
    </row>
    <row r="3022">
      <c r="A3022" t="s">
        <v>2582</v>
      </c>
      <c r="B3022" t="s">
        <v>1312</v>
      </c>
      <c r="C3022" t="s">
        <v>958</v>
      </c>
      <c r="D3022" t="s">
        <v>1198</v>
      </c>
      <c r="E3022" t="s">
        <v>1310</v>
      </c>
      <c r="F3022" t="s">
        <v>97</v>
      </c>
      <c r="G3022" t="s">
        <v>2078</v>
      </c>
      <c r="H3022" t="s">
        <v>6090</v>
      </c>
      <c r="I3022" t="s">
        <v>6098</v>
      </c>
      <c r="J3022" t="s">
        <v>6099</v>
      </c>
      <c r="K3022" t="s">
        <v>6055</v>
      </c>
      <c r="L3022" t="s">
        <v>4717</v>
      </c>
      <c r="M3022" t="s">
        <v>6094</v>
      </c>
    </row>
    <row r="3023">
      <c r="A3023" t="s">
        <v>2582</v>
      </c>
      <c r="B3023" t="s">
        <v>1312</v>
      </c>
      <c r="C3023" t="s">
        <v>958</v>
      </c>
      <c r="D3023" t="s">
        <v>1198</v>
      </c>
      <c r="E3023" t="s">
        <v>1310</v>
      </c>
      <c r="F3023" t="s">
        <v>97</v>
      </c>
      <c r="G3023" t="s">
        <v>2078</v>
      </c>
      <c r="H3023" t="s">
        <v>6100</v>
      </c>
      <c r="I3023" t="s">
        <v>6101</v>
      </c>
      <c r="J3023" t="s">
        <v>6102</v>
      </c>
      <c r="K3023" t="s">
        <v>6103</v>
      </c>
      <c r="L3023" t="s">
        <v>4717</v>
      </c>
      <c r="M3023" t="s">
        <v>6094</v>
      </c>
    </row>
    <row r="3024">
      <c r="A3024" t="s">
        <v>2582</v>
      </c>
      <c r="B3024" t="s">
        <v>1312</v>
      </c>
      <c r="C3024" t="s">
        <v>958</v>
      </c>
      <c r="D3024" t="s">
        <v>1198</v>
      </c>
      <c r="E3024" t="s">
        <v>1310</v>
      </c>
      <c r="F3024" t="s">
        <v>97</v>
      </c>
      <c r="G3024" t="s">
        <v>2078</v>
      </c>
      <c r="H3024" t="s">
        <v>5603</v>
      </c>
      <c r="I3024" t="s">
        <v>4801</v>
      </c>
      <c r="J3024" t="s">
        <v>6104</v>
      </c>
      <c r="K3024" t="s">
        <v>5603</v>
      </c>
      <c r="L3024" t="s">
        <v>4717</v>
      </c>
      <c r="M3024" t="s">
        <v>6094</v>
      </c>
    </row>
    <row r="3025">
      <c r="A3025" t="s">
        <v>2582</v>
      </c>
      <c r="B3025" t="s">
        <v>1312</v>
      </c>
      <c r="C3025" t="s">
        <v>958</v>
      </c>
      <c r="D3025" t="s">
        <v>1198</v>
      </c>
      <c r="E3025" t="s">
        <v>1310</v>
      </c>
      <c r="F3025" t="s">
        <v>97</v>
      </c>
      <c r="G3025" t="s">
        <v>2078</v>
      </c>
      <c r="H3025" t="s">
        <v>5630</v>
      </c>
      <c r="I3025" t="s">
        <v>6105</v>
      </c>
      <c r="J3025" t="s">
        <v>6106</v>
      </c>
      <c r="K3025" t="s">
        <v>6107</v>
      </c>
      <c r="L3025" t="s">
        <v>4717</v>
      </c>
      <c r="M3025" t="s">
        <v>6094</v>
      </c>
    </row>
    <row r="3026">
      <c r="A3026" t="s">
        <v>2582</v>
      </c>
      <c r="B3026" t="s">
        <v>1312</v>
      </c>
      <c r="C3026" t="s">
        <v>958</v>
      </c>
      <c r="D3026" t="s">
        <v>1198</v>
      </c>
      <c r="E3026" t="s">
        <v>1310</v>
      </c>
      <c r="F3026" t="s">
        <v>97</v>
      </c>
      <c r="G3026" t="s">
        <v>2078</v>
      </c>
      <c r="H3026" t="s">
        <v>5630</v>
      </c>
      <c r="I3026" t="s">
        <v>6108</v>
      </c>
      <c r="J3026" t="s">
        <v>6109</v>
      </c>
      <c r="K3026" t="s">
        <v>6110</v>
      </c>
      <c r="L3026" t="s">
        <v>4717</v>
      </c>
      <c r="M3026" t="s">
        <v>6094</v>
      </c>
    </row>
    <row r="3027">
      <c r="A3027" t="s">
        <v>2582</v>
      </c>
      <c r="B3027" t="s">
        <v>1312</v>
      </c>
      <c r="C3027" t="s">
        <v>958</v>
      </c>
      <c r="D3027" t="s">
        <v>1198</v>
      </c>
      <c r="E3027" t="s">
        <v>1310</v>
      </c>
      <c r="F3027" t="s">
        <v>97</v>
      </c>
      <c r="G3027" t="s">
        <v>2078</v>
      </c>
      <c r="H3027" t="s">
        <v>5157</v>
      </c>
      <c r="I3027" t="s">
        <v>6111</v>
      </c>
      <c r="J3027" t="s">
        <v>6112</v>
      </c>
      <c r="K3027" t="s">
        <v>6113</v>
      </c>
      <c r="L3027" t="s">
        <v>4717</v>
      </c>
      <c r="M3027" t="s">
        <v>6094</v>
      </c>
    </row>
    <row r="3028">
      <c r="A3028" t="s">
        <v>2582</v>
      </c>
      <c r="B3028" t="s">
        <v>1312</v>
      </c>
      <c r="C3028" t="s">
        <v>958</v>
      </c>
      <c r="D3028" t="s">
        <v>1198</v>
      </c>
      <c r="E3028" t="s">
        <v>1310</v>
      </c>
      <c r="F3028" t="s">
        <v>97</v>
      </c>
      <c r="G3028" t="s">
        <v>2078</v>
      </c>
      <c r="H3028" t="s">
        <v>5522</v>
      </c>
      <c r="I3028" t="s">
        <v>6114</v>
      </c>
      <c r="J3028" t="s">
        <v>6115</v>
      </c>
      <c r="K3028" t="s">
        <v>6116</v>
      </c>
      <c r="L3028" t="s">
        <v>5522</v>
      </c>
      <c r="M3028" t="s">
        <v>6094</v>
      </c>
    </row>
    <row r="3029">
      <c r="A3029" t="s">
        <v>2582</v>
      </c>
      <c r="B3029" t="s">
        <v>1312</v>
      </c>
      <c r="C3029" t="s">
        <v>958</v>
      </c>
      <c r="D3029" t="s">
        <v>1198</v>
      </c>
      <c r="E3029" t="s">
        <v>1310</v>
      </c>
      <c r="F3029" t="s">
        <v>97</v>
      </c>
      <c r="G3029" t="s">
        <v>2078</v>
      </c>
      <c r="H3029" t="s">
        <v>4159</v>
      </c>
      <c r="I3029" t="s">
        <v>6117</v>
      </c>
      <c r="J3029" t="s">
        <v>6118</v>
      </c>
      <c r="K3029" t="s">
        <v>2088</v>
      </c>
      <c r="L3029" t="s">
        <v>4717</v>
      </c>
      <c r="M3029" t="s">
        <v>6094</v>
      </c>
    </row>
    <row r="3030">
      <c r="A3030" t="s">
        <v>2585</v>
      </c>
      <c r="B3030" t="s">
        <v>1320</v>
      </c>
      <c r="C3030" t="s">
        <v>958</v>
      </c>
      <c r="D3030" t="s">
        <v>1198</v>
      </c>
      <c r="E3030" t="s">
        <v>1310</v>
      </c>
      <c r="F3030" t="s">
        <v>120</v>
      </c>
      <c r="H3030" t="s">
        <v>6090</v>
      </c>
      <c r="I3030" t="s">
        <v>6091</v>
      </c>
      <c r="J3030" t="s">
        <v>6092</v>
      </c>
      <c r="K3030" t="s">
        <v>6093</v>
      </c>
      <c r="L3030" t="s">
        <v>4717</v>
      </c>
      <c r="M3030" t="s">
        <v>6094</v>
      </c>
    </row>
    <row r="3031">
      <c r="A3031" t="s">
        <v>2585</v>
      </c>
      <c r="B3031" t="s">
        <v>1320</v>
      </c>
      <c r="C3031" t="s">
        <v>958</v>
      </c>
      <c r="D3031" t="s">
        <v>1198</v>
      </c>
      <c r="E3031" t="s">
        <v>1310</v>
      </c>
      <c r="F3031" t="s">
        <v>120</v>
      </c>
      <c r="H3031" t="s">
        <v>6090</v>
      </c>
      <c r="I3031" t="s">
        <v>6095</v>
      </c>
      <c r="J3031" t="s">
        <v>6096</v>
      </c>
      <c r="K3031" t="s">
        <v>6097</v>
      </c>
      <c r="L3031" t="s">
        <v>4717</v>
      </c>
      <c r="M3031" t="s">
        <v>6094</v>
      </c>
    </row>
    <row r="3032">
      <c r="A3032" t="s">
        <v>2585</v>
      </c>
      <c r="B3032" t="s">
        <v>1320</v>
      </c>
      <c r="C3032" t="s">
        <v>958</v>
      </c>
      <c r="D3032" t="s">
        <v>1198</v>
      </c>
      <c r="E3032" t="s">
        <v>1310</v>
      </c>
      <c r="F3032" t="s">
        <v>120</v>
      </c>
      <c r="H3032" t="s">
        <v>6090</v>
      </c>
      <c r="I3032" t="s">
        <v>6098</v>
      </c>
      <c r="J3032" t="s">
        <v>6099</v>
      </c>
      <c r="K3032" t="s">
        <v>6055</v>
      </c>
      <c r="L3032" t="s">
        <v>4717</v>
      </c>
      <c r="M3032" t="s">
        <v>6094</v>
      </c>
    </row>
    <row r="3033">
      <c r="A3033" t="s">
        <v>2585</v>
      </c>
      <c r="B3033" t="s">
        <v>1320</v>
      </c>
      <c r="C3033" t="s">
        <v>958</v>
      </c>
      <c r="D3033" t="s">
        <v>1198</v>
      </c>
      <c r="E3033" t="s">
        <v>1310</v>
      </c>
      <c r="F3033" t="s">
        <v>120</v>
      </c>
      <c r="H3033" t="s">
        <v>6100</v>
      </c>
      <c r="I3033" t="s">
        <v>6101</v>
      </c>
      <c r="J3033" t="s">
        <v>6102</v>
      </c>
      <c r="K3033" t="s">
        <v>6103</v>
      </c>
      <c r="L3033" t="s">
        <v>4717</v>
      </c>
      <c r="M3033" t="s">
        <v>6094</v>
      </c>
    </row>
    <row r="3034">
      <c r="A3034" t="s">
        <v>2585</v>
      </c>
      <c r="B3034" t="s">
        <v>1320</v>
      </c>
      <c r="C3034" t="s">
        <v>958</v>
      </c>
      <c r="D3034" t="s">
        <v>1198</v>
      </c>
      <c r="E3034" t="s">
        <v>1310</v>
      </c>
      <c r="F3034" t="s">
        <v>120</v>
      </c>
      <c r="H3034" t="s">
        <v>5603</v>
      </c>
      <c r="I3034" t="s">
        <v>4801</v>
      </c>
      <c r="J3034" t="s">
        <v>6104</v>
      </c>
      <c r="K3034" t="s">
        <v>5603</v>
      </c>
      <c r="L3034" t="s">
        <v>4717</v>
      </c>
      <c r="M3034" t="s">
        <v>6094</v>
      </c>
    </row>
    <row r="3035">
      <c r="A3035" t="s">
        <v>2585</v>
      </c>
      <c r="B3035" t="s">
        <v>1320</v>
      </c>
      <c r="C3035" t="s">
        <v>958</v>
      </c>
      <c r="D3035" t="s">
        <v>1198</v>
      </c>
      <c r="E3035" t="s">
        <v>1310</v>
      </c>
      <c r="F3035" t="s">
        <v>120</v>
      </c>
      <c r="H3035" t="s">
        <v>5630</v>
      </c>
      <c r="I3035" t="s">
        <v>6105</v>
      </c>
      <c r="J3035" t="s">
        <v>6106</v>
      </c>
      <c r="K3035" t="s">
        <v>6107</v>
      </c>
      <c r="L3035" t="s">
        <v>4717</v>
      </c>
      <c r="M3035" t="s">
        <v>6094</v>
      </c>
    </row>
    <row r="3036">
      <c r="A3036" t="s">
        <v>2585</v>
      </c>
      <c r="B3036" t="s">
        <v>1320</v>
      </c>
      <c r="C3036" t="s">
        <v>958</v>
      </c>
      <c r="D3036" t="s">
        <v>1198</v>
      </c>
      <c r="E3036" t="s">
        <v>1310</v>
      </c>
      <c r="F3036" t="s">
        <v>120</v>
      </c>
      <c r="H3036" t="s">
        <v>5630</v>
      </c>
      <c r="I3036" t="s">
        <v>6108</v>
      </c>
      <c r="J3036" t="s">
        <v>6109</v>
      </c>
      <c r="K3036" t="s">
        <v>6110</v>
      </c>
      <c r="L3036" t="s">
        <v>4717</v>
      </c>
      <c r="M3036" t="s">
        <v>6094</v>
      </c>
    </row>
    <row r="3037">
      <c r="A3037" t="s">
        <v>2585</v>
      </c>
      <c r="B3037" t="s">
        <v>1320</v>
      </c>
      <c r="C3037" t="s">
        <v>958</v>
      </c>
      <c r="D3037" t="s">
        <v>1198</v>
      </c>
      <c r="E3037" t="s">
        <v>1310</v>
      </c>
      <c r="F3037" t="s">
        <v>120</v>
      </c>
      <c r="H3037" t="s">
        <v>5157</v>
      </c>
      <c r="I3037" t="s">
        <v>6111</v>
      </c>
      <c r="J3037" t="s">
        <v>6112</v>
      </c>
      <c r="K3037" t="s">
        <v>6113</v>
      </c>
      <c r="L3037" t="s">
        <v>4717</v>
      </c>
      <c r="M3037" t="s">
        <v>6094</v>
      </c>
    </row>
    <row r="3038">
      <c r="A3038" t="s">
        <v>2585</v>
      </c>
      <c r="B3038" t="s">
        <v>1320</v>
      </c>
      <c r="C3038" t="s">
        <v>958</v>
      </c>
      <c r="D3038" t="s">
        <v>1198</v>
      </c>
      <c r="E3038" t="s">
        <v>1310</v>
      </c>
      <c r="F3038" t="s">
        <v>120</v>
      </c>
      <c r="H3038" t="s">
        <v>5522</v>
      </c>
      <c r="I3038" t="s">
        <v>6114</v>
      </c>
      <c r="J3038" t="s">
        <v>6115</v>
      </c>
      <c r="K3038" t="s">
        <v>6116</v>
      </c>
      <c r="L3038" t="s">
        <v>5522</v>
      </c>
      <c r="M3038" t="s">
        <v>6094</v>
      </c>
    </row>
    <row r="3039">
      <c r="A3039" t="s">
        <v>2585</v>
      </c>
      <c r="B3039" t="s">
        <v>1320</v>
      </c>
      <c r="C3039" t="s">
        <v>958</v>
      </c>
      <c r="D3039" t="s">
        <v>1198</v>
      </c>
      <c r="E3039" t="s">
        <v>1310</v>
      </c>
      <c r="F3039" t="s">
        <v>120</v>
      </c>
      <c r="H3039" t="s">
        <v>4159</v>
      </c>
      <c r="I3039" t="s">
        <v>6117</v>
      </c>
      <c r="J3039" t="s">
        <v>6118</v>
      </c>
      <c r="K3039" t="s">
        <v>2088</v>
      </c>
      <c r="L3039" t="s">
        <v>4717</v>
      </c>
      <c r="M3039" t="s">
        <v>6094</v>
      </c>
    </row>
    <row r="3040">
      <c r="A3040" t="s">
        <v>2588</v>
      </c>
      <c r="B3040" t="s">
        <v>1328</v>
      </c>
      <c r="C3040" t="s">
        <v>958</v>
      </c>
      <c r="D3040" t="s">
        <v>1198</v>
      </c>
      <c r="E3040" t="s">
        <v>1310</v>
      </c>
      <c r="F3040" t="s">
        <v>120</v>
      </c>
      <c r="H3040" t="s">
        <v>6090</v>
      </c>
      <c r="I3040" t="s">
        <v>6091</v>
      </c>
      <c r="J3040" t="s">
        <v>6092</v>
      </c>
      <c r="K3040" t="s">
        <v>6093</v>
      </c>
      <c r="L3040" t="s">
        <v>4717</v>
      </c>
      <c r="M3040" t="s">
        <v>6094</v>
      </c>
    </row>
    <row r="3041">
      <c r="A3041" t="s">
        <v>2588</v>
      </c>
      <c r="B3041" t="s">
        <v>1328</v>
      </c>
      <c r="C3041" t="s">
        <v>958</v>
      </c>
      <c r="D3041" t="s">
        <v>1198</v>
      </c>
      <c r="E3041" t="s">
        <v>1310</v>
      </c>
      <c r="F3041" t="s">
        <v>120</v>
      </c>
      <c r="H3041" t="s">
        <v>6090</v>
      </c>
      <c r="I3041" t="s">
        <v>6095</v>
      </c>
      <c r="J3041" t="s">
        <v>6096</v>
      </c>
      <c r="K3041" t="s">
        <v>6097</v>
      </c>
      <c r="L3041" t="s">
        <v>4717</v>
      </c>
      <c r="M3041" t="s">
        <v>6094</v>
      </c>
    </row>
    <row r="3042">
      <c r="A3042" t="s">
        <v>2588</v>
      </c>
      <c r="B3042" t="s">
        <v>1328</v>
      </c>
      <c r="C3042" t="s">
        <v>958</v>
      </c>
      <c r="D3042" t="s">
        <v>1198</v>
      </c>
      <c r="E3042" t="s">
        <v>1310</v>
      </c>
      <c r="F3042" t="s">
        <v>120</v>
      </c>
      <c r="H3042" t="s">
        <v>6090</v>
      </c>
      <c r="I3042" t="s">
        <v>6098</v>
      </c>
      <c r="J3042" t="s">
        <v>6099</v>
      </c>
      <c r="K3042" t="s">
        <v>6055</v>
      </c>
      <c r="L3042" t="s">
        <v>4717</v>
      </c>
      <c r="M3042" t="s">
        <v>6094</v>
      </c>
    </row>
    <row r="3043">
      <c r="A3043" t="s">
        <v>2588</v>
      </c>
      <c r="B3043" t="s">
        <v>1328</v>
      </c>
      <c r="C3043" t="s">
        <v>958</v>
      </c>
      <c r="D3043" t="s">
        <v>1198</v>
      </c>
      <c r="E3043" t="s">
        <v>1310</v>
      </c>
      <c r="F3043" t="s">
        <v>120</v>
      </c>
      <c r="H3043" t="s">
        <v>6100</v>
      </c>
      <c r="I3043" t="s">
        <v>6101</v>
      </c>
      <c r="J3043" t="s">
        <v>6102</v>
      </c>
      <c r="K3043" t="s">
        <v>6103</v>
      </c>
      <c r="L3043" t="s">
        <v>4717</v>
      </c>
      <c r="M3043" t="s">
        <v>6094</v>
      </c>
    </row>
    <row r="3044">
      <c r="A3044" t="s">
        <v>2588</v>
      </c>
      <c r="B3044" t="s">
        <v>1328</v>
      </c>
      <c r="C3044" t="s">
        <v>958</v>
      </c>
      <c r="D3044" t="s">
        <v>1198</v>
      </c>
      <c r="E3044" t="s">
        <v>1310</v>
      </c>
      <c r="F3044" t="s">
        <v>120</v>
      </c>
      <c r="H3044" t="s">
        <v>5603</v>
      </c>
      <c r="I3044" t="s">
        <v>4801</v>
      </c>
      <c r="J3044" t="s">
        <v>6104</v>
      </c>
      <c r="K3044" t="s">
        <v>5603</v>
      </c>
      <c r="L3044" t="s">
        <v>4717</v>
      </c>
      <c r="M3044" t="s">
        <v>6094</v>
      </c>
    </row>
    <row r="3045">
      <c r="A3045" t="s">
        <v>2588</v>
      </c>
      <c r="B3045" t="s">
        <v>1328</v>
      </c>
      <c r="C3045" t="s">
        <v>958</v>
      </c>
      <c r="D3045" t="s">
        <v>1198</v>
      </c>
      <c r="E3045" t="s">
        <v>1310</v>
      </c>
      <c r="F3045" t="s">
        <v>120</v>
      </c>
      <c r="H3045" t="s">
        <v>5630</v>
      </c>
      <c r="I3045" t="s">
        <v>6105</v>
      </c>
      <c r="J3045" t="s">
        <v>6106</v>
      </c>
      <c r="K3045" t="s">
        <v>6107</v>
      </c>
      <c r="L3045" t="s">
        <v>4717</v>
      </c>
      <c r="M3045" t="s">
        <v>6094</v>
      </c>
    </row>
    <row r="3046">
      <c r="A3046" t="s">
        <v>2588</v>
      </c>
      <c r="B3046" t="s">
        <v>1328</v>
      </c>
      <c r="C3046" t="s">
        <v>958</v>
      </c>
      <c r="D3046" t="s">
        <v>1198</v>
      </c>
      <c r="E3046" t="s">
        <v>1310</v>
      </c>
      <c r="F3046" t="s">
        <v>120</v>
      </c>
      <c r="H3046" t="s">
        <v>5630</v>
      </c>
      <c r="I3046" t="s">
        <v>6108</v>
      </c>
      <c r="J3046" t="s">
        <v>6109</v>
      </c>
      <c r="K3046" t="s">
        <v>6110</v>
      </c>
      <c r="L3046" t="s">
        <v>4717</v>
      </c>
      <c r="M3046" t="s">
        <v>6094</v>
      </c>
    </row>
    <row r="3047">
      <c r="A3047" t="s">
        <v>2588</v>
      </c>
      <c r="B3047" t="s">
        <v>1328</v>
      </c>
      <c r="C3047" t="s">
        <v>958</v>
      </c>
      <c r="D3047" t="s">
        <v>1198</v>
      </c>
      <c r="E3047" t="s">
        <v>1310</v>
      </c>
      <c r="F3047" t="s">
        <v>120</v>
      </c>
      <c r="H3047" t="s">
        <v>5157</v>
      </c>
      <c r="I3047" t="s">
        <v>6111</v>
      </c>
      <c r="J3047" t="s">
        <v>6112</v>
      </c>
      <c r="K3047" t="s">
        <v>6113</v>
      </c>
      <c r="L3047" t="s">
        <v>4717</v>
      </c>
      <c r="M3047" t="s">
        <v>6094</v>
      </c>
    </row>
    <row r="3048">
      <c r="A3048" t="s">
        <v>2588</v>
      </c>
      <c r="B3048" t="s">
        <v>1328</v>
      </c>
      <c r="C3048" t="s">
        <v>958</v>
      </c>
      <c r="D3048" t="s">
        <v>1198</v>
      </c>
      <c r="E3048" t="s">
        <v>1310</v>
      </c>
      <c r="F3048" t="s">
        <v>120</v>
      </c>
      <c r="H3048" t="s">
        <v>5522</v>
      </c>
      <c r="I3048" t="s">
        <v>6114</v>
      </c>
      <c r="J3048" t="s">
        <v>6115</v>
      </c>
      <c r="K3048" t="s">
        <v>6116</v>
      </c>
      <c r="L3048" t="s">
        <v>5522</v>
      </c>
      <c r="M3048" t="s">
        <v>6094</v>
      </c>
    </row>
    <row r="3049">
      <c r="A3049" t="s">
        <v>2588</v>
      </c>
      <c r="B3049" t="s">
        <v>1328</v>
      </c>
      <c r="C3049" t="s">
        <v>958</v>
      </c>
      <c r="D3049" t="s">
        <v>1198</v>
      </c>
      <c r="E3049" t="s">
        <v>1310</v>
      </c>
      <c r="F3049" t="s">
        <v>120</v>
      </c>
      <c r="H3049" t="s">
        <v>4159</v>
      </c>
      <c r="I3049" t="s">
        <v>6117</v>
      </c>
      <c r="J3049" t="s">
        <v>6118</v>
      </c>
      <c r="K3049" t="s">
        <v>2088</v>
      </c>
      <c r="L3049" t="s">
        <v>4717</v>
      </c>
      <c r="M3049" t="s">
        <v>6094</v>
      </c>
    </row>
    <row r="3050">
      <c r="A3050" t="s">
        <v>2590</v>
      </c>
      <c r="B3050" t="s">
        <v>1334</v>
      </c>
      <c r="C3050" t="s">
        <v>958</v>
      </c>
      <c r="D3050" t="s">
        <v>1198</v>
      </c>
      <c r="E3050" t="s">
        <v>1310</v>
      </c>
      <c r="F3050" t="s">
        <v>120</v>
      </c>
      <c r="H3050" t="s">
        <v>6090</v>
      </c>
      <c r="I3050" t="s">
        <v>6091</v>
      </c>
      <c r="J3050" t="s">
        <v>6092</v>
      </c>
      <c r="K3050" t="s">
        <v>6093</v>
      </c>
      <c r="L3050" t="s">
        <v>4717</v>
      </c>
      <c r="M3050" t="s">
        <v>6094</v>
      </c>
    </row>
    <row r="3051">
      <c r="A3051" t="s">
        <v>2590</v>
      </c>
      <c r="B3051" t="s">
        <v>1334</v>
      </c>
      <c r="C3051" t="s">
        <v>958</v>
      </c>
      <c r="D3051" t="s">
        <v>1198</v>
      </c>
      <c r="E3051" t="s">
        <v>1310</v>
      </c>
      <c r="F3051" t="s">
        <v>120</v>
      </c>
      <c r="H3051" t="s">
        <v>6090</v>
      </c>
      <c r="I3051" t="s">
        <v>6095</v>
      </c>
      <c r="J3051" t="s">
        <v>6096</v>
      </c>
      <c r="K3051" t="s">
        <v>6097</v>
      </c>
      <c r="L3051" t="s">
        <v>4717</v>
      </c>
      <c r="M3051" t="s">
        <v>6094</v>
      </c>
    </row>
    <row r="3052">
      <c r="A3052" t="s">
        <v>2590</v>
      </c>
      <c r="B3052" t="s">
        <v>1334</v>
      </c>
      <c r="C3052" t="s">
        <v>958</v>
      </c>
      <c r="D3052" t="s">
        <v>1198</v>
      </c>
      <c r="E3052" t="s">
        <v>1310</v>
      </c>
      <c r="F3052" t="s">
        <v>120</v>
      </c>
      <c r="H3052" t="s">
        <v>6090</v>
      </c>
      <c r="I3052" t="s">
        <v>6098</v>
      </c>
      <c r="J3052" t="s">
        <v>6099</v>
      </c>
      <c r="K3052" t="s">
        <v>6055</v>
      </c>
      <c r="L3052" t="s">
        <v>4717</v>
      </c>
      <c r="M3052" t="s">
        <v>6094</v>
      </c>
    </row>
    <row r="3053">
      <c r="A3053" t="s">
        <v>2590</v>
      </c>
      <c r="B3053" t="s">
        <v>1334</v>
      </c>
      <c r="C3053" t="s">
        <v>958</v>
      </c>
      <c r="D3053" t="s">
        <v>1198</v>
      </c>
      <c r="E3053" t="s">
        <v>1310</v>
      </c>
      <c r="F3053" t="s">
        <v>120</v>
      </c>
      <c r="H3053" t="s">
        <v>6100</v>
      </c>
      <c r="I3053" t="s">
        <v>6101</v>
      </c>
      <c r="J3053" t="s">
        <v>6102</v>
      </c>
      <c r="K3053" t="s">
        <v>6103</v>
      </c>
      <c r="L3053" t="s">
        <v>4717</v>
      </c>
      <c r="M3053" t="s">
        <v>6094</v>
      </c>
    </row>
    <row r="3054">
      <c r="A3054" t="s">
        <v>2590</v>
      </c>
      <c r="B3054" t="s">
        <v>1334</v>
      </c>
      <c r="C3054" t="s">
        <v>958</v>
      </c>
      <c r="D3054" t="s">
        <v>1198</v>
      </c>
      <c r="E3054" t="s">
        <v>1310</v>
      </c>
      <c r="F3054" t="s">
        <v>120</v>
      </c>
      <c r="H3054" t="s">
        <v>5603</v>
      </c>
      <c r="I3054" t="s">
        <v>4801</v>
      </c>
      <c r="J3054" t="s">
        <v>6104</v>
      </c>
      <c r="K3054" t="s">
        <v>5603</v>
      </c>
      <c r="L3054" t="s">
        <v>4717</v>
      </c>
      <c r="M3054" t="s">
        <v>6094</v>
      </c>
    </row>
    <row r="3055">
      <c r="A3055" t="s">
        <v>2590</v>
      </c>
      <c r="B3055" t="s">
        <v>1334</v>
      </c>
      <c r="C3055" t="s">
        <v>958</v>
      </c>
      <c r="D3055" t="s">
        <v>1198</v>
      </c>
      <c r="E3055" t="s">
        <v>1310</v>
      </c>
      <c r="F3055" t="s">
        <v>120</v>
      </c>
      <c r="H3055" t="s">
        <v>5630</v>
      </c>
      <c r="I3055" t="s">
        <v>6105</v>
      </c>
      <c r="J3055" t="s">
        <v>6106</v>
      </c>
      <c r="K3055" t="s">
        <v>6107</v>
      </c>
      <c r="L3055" t="s">
        <v>4717</v>
      </c>
      <c r="M3055" t="s">
        <v>6094</v>
      </c>
    </row>
    <row r="3056">
      <c r="A3056" t="s">
        <v>2590</v>
      </c>
      <c r="B3056" t="s">
        <v>1334</v>
      </c>
      <c r="C3056" t="s">
        <v>958</v>
      </c>
      <c r="D3056" t="s">
        <v>1198</v>
      </c>
      <c r="E3056" t="s">
        <v>1310</v>
      </c>
      <c r="F3056" t="s">
        <v>120</v>
      </c>
      <c r="H3056" t="s">
        <v>5630</v>
      </c>
      <c r="I3056" t="s">
        <v>6108</v>
      </c>
      <c r="J3056" t="s">
        <v>6109</v>
      </c>
      <c r="K3056" t="s">
        <v>6110</v>
      </c>
      <c r="L3056" t="s">
        <v>4717</v>
      </c>
      <c r="M3056" t="s">
        <v>6094</v>
      </c>
    </row>
    <row r="3057">
      <c r="A3057" t="s">
        <v>2590</v>
      </c>
      <c r="B3057" t="s">
        <v>1334</v>
      </c>
      <c r="C3057" t="s">
        <v>958</v>
      </c>
      <c r="D3057" t="s">
        <v>1198</v>
      </c>
      <c r="E3057" t="s">
        <v>1310</v>
      </c>
      <c r="F3057" t="s">
        <v>120</v>
      </c>
      <c r="H3057" t="s">
        <v>5157</v>
      </c>
      <c r="I3057" t="s">
        <v>6111</v>
      </c>
      <c r="J3057" t="s">
        <v>6112</v>
      </c>
      <c r="K3057" t="s">
        <v>6113</v>
      </c>
      <c r="L3057" t="s">
        <v>4717</v>
      </c>
      <c r="M3057" t="s">
        <v>6094</v>
      </c>
    </row>
    <row r="3058">
      <c r="A3058" t="s">
        <v>2590</v>
      </c>
      <c r="B3058" t="s">
        <v>1334</v>
      </c>
      <c r="C3058" t="s">
        <v>958</v>
      </c>
      <c r="D3058" t="s">
        <v>1198</v>
      </c>
      <c r="E3058" t="s">
        <v>1310</v>
      </c>
      <c r="F3058" t="s">
        <v>120</v>
      </c>
      <c r="H3058" t="s">
        <v>5522</v>
      </c>
      <c r="I3058" t="s">
        <v>6114</v>
      </c>
      <c r="J3058" t="s">
        <v>6115</v>
      </c>
      <c r="K3058" t="s">
        <v>6116</v>
      </c>
      <c r="L3058" t="s">
        <v>5522</v>
      </c>
      <c r="M3058" t="s">
        <v>6094</v>
      </c>
    </row>
    <row r="3059">
      <c r="A3059" t="s">
        <v>2590</v>
      </c>
      <c r="B3059" t="s">
        <v>1334</v>
      </c>
      <c r="C3059" t="s">
        <v>958</v>
      </c>
      <c r="D3059" t="s">
        <v>1198</v>
      </c>
      <c r="E3059" t="s">
        <v>1310</v>
      </c>
      <c r="F3059" t="s">
        <v>120</v>
      </c>
      <c r="H3059" t="s">
        <v>4159</v>
      </c>
      <c r="I3059" t="s">
        <v>6117</v>
      </c>
      <c r="J3059" t="s">
        <v>6118</v>
      </c>
      <c r="K3059" t="s">
        <v>2088</v>
      </c>
      <c r="L3059" t="s">
        <v>4717</v>
      </c>
      <c r="M3059" t="s">
        <v>6094</v>
      </c>
    </row>
    <row r="3060">
      <c r="A3060" t="s">
        <v>2593</v>
      </c>
      <c r="B3060" t="s">
        <v>1344</v>
      </c>
      <c r="C3060" t="s">
        <v>958</v>
      </c>
      <c r="D3060" t="s">
        <v>1198</v>
      </c>
      <c r="E3060" t="s">
        <v>1342</v>
      </c>
      <c r="F3060" t="s">
        <v>97</v>
      </c>
      <c r="G3060" t="s">
        <v>2078</v>
      </c>
      <c r="H3060" t="s">
        <v>6090</v>
      </c>
      <c r="I3060" t="s">
        <v>6091</v>
      </c>
      <c r="J3060" t="s">
        <v>6092</v>
      </c>
      <c r="K3060" t="s">
        <v>6093</v>
      </c>
      <c r="L3060" t="s">
        <v>4717</v>
      </c>
      <c r="M3060" t="s">
        <v>6094</v>
      </c>
    </row>
    <row r="3061">
      <c r="A3061" t="s">
        <v>2593</v>
      </c>
      <c r="B3061" t="s">
        <v>1344</v>
      </c>
      <c r="C3061" t="s">
        <v>958</v>
      </c>
      <c r="D3061" t="s">
        <v>1198</v>
      </c>
      <c r="E3061" t="s">
        <v>1342</v>
      </c>
      <c r="F3061" t="s">
        <v>97</v>
      </c>
      <c r="G3061" t="s">
        <v>2078</v>
      </c>
      <c r="H3061" t="s">
        <v>6090</v>
      </c>
      <c r="I3061" t="s">
        <v>6095</v>
      </c>
      <c r="J3061" t="s">
        <v>6096</v>
      </c>
      <c r="K3061" t="s">
        <v>6097</v>
      </c>
      <c r="L3061" t="s">
        <v>4717</v>
      </c>
      <c r="M3061" t="s">
        <v>6094</v>
      </c>
    </row>
    <row r="3062">
      <c r="A3062" t="s">
        <v>2593</v>
      </c>
      <c r="B3062" t="s">
        <v>1344</v>
      </c>
      <c r="C3062" t="s">
        <v>958</v>
      </c>
      <c r="D3062" t="s">
        <v>1198</v>
      </c>
      <c r="E3062" t="s">
        <v>1342</v>
      </c>
      <c r="F3062" t="s">
        <v>97</v>
      </c>
      <c r="G3062" t="s">
        <v>2078</v>
      </c>
      <c r="H3062" t="s">
        <v>6090</v>
      </c>
      <c r="I3062" t="s">
        <v>6098</v>
      </c>
      <c r="J3062" t="s">
        <v>6099</v>
      </c>
      <c r="K3062" t="s">
        <v>6055</v>
      </c>
      <c r="L3062" t="s">
        <v>4717</v>
      </c>
      <c r="M3062" t="s">
        <v>6094</v>
      </c>
    </row>
    <row r="3063">
      <c r="A3063" t="s">
        <v>2593</v>
      </c>
      <c r="B3063" t="s">
        <v>1344</v>
      </c>
      <c r="C3063" t="s">
        <v>958</v>
      </c>
      <c r="D3063" t="s">
        <v>1198</v>
      </c>
      <c r="E3063" t="s">
        <v>1342</v>
      </c>
      <c r="F3063" t="s">
        <v>97</v>
      </c>
      <c r="G3063" t="s">
        <v>2078</v>
      </c>
      <c r="H3063" t="s">
        <v>6100</v>
      </c>
      <c r="I3063" t="s">
        <v>6101</v>
      </c>
      <c r="J3063" t="s">
        <v>6102</v>
      </c>
      <c r="K3063" t="s">
        <v>6103</v>
      </c>
      <c r="L3063" t="s">
        <v>4717</v>
      </c>
      <c r="M3063" t="s">
        <v>6094</v>
      </c>
    </row>
    <row r="3064">
      <c r="A3064" t="s">
        <v>2593</v>
      </c>
      <c r="B3064" t="s">
        <v>1344</v>
      </c>
      <c r="C3064" t="s">
        <v>958</v>
      </c>
      <c r="D3064" t="s">
        <v>1198</v>
      </c>
      <c r="E3064" t="s">
        <v>1342</v>
      </c>
      <c r="F3064" t="s">
        <v>97</v>
      </c>
      <c r="G3064" t="s">
        <v>2078</v>
      </c>
      <c r="H3064" t="s">
        <v>5603</v>
      </c>
      <c r="I3064" t="s">
        <v>4801</v>
      </c>
      <c r="J3064" t="s">
        <v>6104</v>
      </c>
      <c r="K3064" t="s">
        <v>5603</v>
      </c>
      <c r="L3064" t="s">
        <v>4717</v>
      </c>
      <c r="M3064" t="s">
        <v>6094</v>
      </c>
    </row>
    <row r="3065">
      <c r="A3065" t="s">
        <v>2593</v>
      </c>
      <c r="B3065" t="s">
        <v>1344</v>
      </c>
      <c r="C3065" t="s">
        <v>958</v>
      </c>
      <c r="D3065" t="s">
        <v>1198</v>
      </c>
      <c r="E3065" t="s">
        <v>1342</v>
      </c>
      <c r="F3065" t="s">
        <v>97</v>
      </c>
      <c r="G3065" t="s">
        <v>2078</v>
      </c>
      <c r="H3065" t="s">
        <v>5630</v>
      </c>
      <c r="I3065" t="s">
        <v>6105</v>
      </c>
      <c r="J3065" t="s">
        <v>6106</v>
      </c>
      <c r="K3065" t="s">
        <v>6107</v>
      </c>
      <c r="L3065" t="s">
        <v>4717</v>
      </c>
      <c r="M3065" t="s">
        <v>6094</v>
      </c>
    </row>
    <row r="3066">
      <c r="A3066" t="s">
        <v>2593</v>
      </c>
      <c r="B3066" t="s">
        <v>1344</v>
      </c>
      <c r="C3066" t="s">
        <v>958</v>
      </c>
      <c r="D3066" t="s">
        <v>1198</v>
      </c>
      <c r="E3066" t="s">
        <v>1342</v>
      </c>
      <c r="F3066" t="s">
        <v>97</v>
      </c>
      <c r="G3066" t="s">
        <v>2078</v>
      </c>
      <c r="H3066" t="s">
        <v>5630</v>
      </c>
      <c r="I3066" t="s">
        <v>6108</v>
      </c>
      <c r="J3066" t="s">
        <v>6109</v>
      </c>
      <c r="K3066" t="s">
        <v>6110</v>
      </c>
      <c r="L3066" t="s">
        <v>4717</v>
      </c>
      <c r="M3066" t="s">
        <v>6094</v>
      </c>
    </row>
    <row r="3067">
      <c r="A3067" t="s">
        <v>2593</v>
      </c>
      <c r="B3067" t="s">
        <v>1344</v>
      </c>
      <c r="C3067" t="s">
        <v>958</v>
      </c>
      <c r="D3067" t="s">
        <v>1198</v>
      </c>
      <c r="E3067" t="s">
        <v>1342</v>
      </c>
      <c r="F3067" t="s">
        <v>97</v>
      </c>
      <c r="G3067" t="s">
        <v>2078</v>
      </c>
      <c r="H3067" t="s">
        <v>5157</v>
      </c>
      <c r="I3067" t="s">
        <v>6111</v>
      </c>
      <c r="J3067" t="s">
        <v>6112</v>
      </c>
      <c r="K3067" t="s">
        <v>6113</v>
      </c>
      <c r="L3067" t="s">
        <v>4717</v>
      </c>
      <c r="M3067" t="s">
        <v>6094</v>
      </c>
    </row>
    <row r="3068">
      <c r="A3068" t="s">
        <v>2593</v>
      </c>
      <c r="B3068" t="s">
        <v>1344</v>
      </c>
      <c r="C3068" t="s">
        <v>958</v>
      </c>
      <c r="D3068" t="s">
        <v>1198</v>
      </c>
      <c r="E3068" t="s">
        <v>1342</v>
      </c>
      <c r="F3068" t="s">
        <v>97</v>
      </c>
      <c r="G3068" t="s">
        <v>2078</v>
      </c>
      <c r="H3068" t="s">
        <v>5522</v>
      </c>
      <c r="I3068" t="s">
        <v>6114</v>
      </c>
      <c r="J3068" t="s">
        <v>6115</v>
      </c>
      <c r="K3068" t="s">
        <v>6116</v>
      </c>
      <c r="L3068" t="s">
        <v>5522</v>
      </c>
      <c r="M3068" t="s">
        <v>6094</v>
      </c>
    </row>
    <row r="3069">
      <c r="A3069" t="s">
        <v>2593</v>
      </c>
      <c r="B3069" t="s">
        <v>1344</v>
      </c>
      <c r="C3069" t="s">
        <v>958</v>
      </c>
      <c r="D3069" t="s">
        <v>1198</v>
      </c>
      <c r="E3069" t="s">
        <v>1342</v>
      </c>
      <c r="F3069" t="s">
        <v>97</v>
      </c>
      <c r="G3069" t="s">
        <v>2078</v>
      </c>
      <c r="H3069" t="s">
        <v>4159</v>
      </c>
      <c r="I3069" t="s">
        <v>6117</v>
      </c>
      <c r="J3069" t="s">
        <v>6118</v>
      </c>
      <c r="K3069" t="s">
        <v>2088</v>
      </c>
      <c r="L3069" t="s">
        <v>4717</v>
      </c>
      <c r="M3069" t="s">
        <v>6094</v>
      </c>
    </row>
    <row r="3070">
      <c r="A3070" t="s">
        <v>2596</v>
      </c>
      <c r="B3070" t="s">
        <v>1352</v>
      </c>
      <c r="C3070" t="s">
        <v>958</v>
      </c>
      <c r="D3070" t="s">
        <v>1198</v>
      </c>
      <c r="E3070" t="s">
        <v>1342</v>
      </c>
      <c r="F3070" t="s">
        <v>97</v>
      </c>
      <c r="G3070" t="s">
        <v>2078</v>
      </c>
      <c r="H3070" t="s">
        <v>6090</v>
      </c>
      <c r="I3070" t="s">
        <v>6091</v>
      </c>
      <c r="J3070" t="s">
        <v>6092</v>
      </c>
      <c r="K3070" t="s">
        <v>6093</v>
      </c>
      <c r="L3070" t="s">
        <v>4717</v>
      </c>
      <c r="M3070" t="s">
        <v>6094</v>
      </c>
    </row>
    <row r="3071">
      <c r="A3071" t="s">
        <v>2596</v>
      </c>
      <c r="B3071" t="s">
        <v>1352</v>
      </c>
      <c r="C3071" t="s">
        <v>958</v>
      </c>
      <c r="D3071" t="s">
        <v>1198</v>
      </c>
      <c r="E3071" t="s">
        <v>1342</v>
      </c>
      <c r="F3071" t="s">
        <v>97</v>
      </c>
      <c r="G3071" t="s">
        <v>2078</v>
      </c>
      <c r="H3071" t="s">
        <v>6090</v>
      </c>
      <c r="I3071" t="s">
        <v>6095</v>
      </c>
      <c r="J3071" t="s">
        <v>6096</v>
      </c>
      <c r="K3071" t="s">
        <v>6097</v>
      </c>
      <c r="L3071" t="s">
        <v>4717</v>
      </c>
      <c r="M3071" t="s">
        <v>6094</v>
      </c>
    </row>
    <row r="3072">
      <c r="A3072" t="s">
        <v>2596</v>
      </c>
      <c r="B3072" t="s">
        <v>1352</v>
      </c>
      <c r="C3072" t="s">
        <v>958</v>
      </c>
      <c r="D3072" t="s">
        <v>1198</v>
      </c>
      <c r="E3072" t="s">
        <v>1342</v>
      </c>
      <c r="F3072" t="s">
        <v>97</v>
      </c>
      <c r="G3072" t="s">
        <v>2078</v>
      </c>
      <c r="H3072" t="s">
        <v>6090</v>
      </c>
      <c r="I3072" t="s">
        <v>6098</v>
      </c>
      <c r="J3072" t="s">
        <v>6099</v>
      </c>
      <c r="K3072" t="s">
        <v>6055</v>
      </c>
      <c r="L3072" t="s">
        <v>4717</v>
      </c>
      <c r="M3072" t="s">
        <v>6094</v>
      </c>
    </row>
    <row r="3073">
      <c r="A3073" t="s">
        <v>2596</v>
      </c>
      <c r="B3073" t="s">
        <v>1352</v>
      </c>
      <c r="C3073" t="s">
        <v>958</v>
      </c>
      <c r="D3073" t="s">
        <v>1198</v>
      </c>
      <c r="E3073" t="s">
        <v>1342</v>
      </c>
      <c r="F3073" t="s">
        <v>97</v>
      </c>
      <c r="G3073" t="s">
        <v>2078</v>
      </c>
      <c r="H3073" t="s">
        <v>6100</v>
      </c>
      <c r="I3073" t="s">
        <v>6101</v>
      </c>
      <c r="J3073" t="s">
        <v>6102</v>
      </c>
      <c r="K3073" t="s">
        <v>6103</v>
      </c>
      <c r="L3073" t="s">
        <v>4717</v>
      </c>
      <c r="M3073" t="s">
        <v>6094</v>
      </c>
    </row>
    <row r="3074">
      <c r="A3074" t="s">
        <v>2596</v>
      </c>
      <c r="B3074" t="s">
        <v>1352</v>
      </c>
      <c r="C3074" t="s">
        <v>958</v>
      </c>
      <c r="D3074" t="s">
        <v>1198</v>
      </c>
      <c r="E3074" t="s">
        <v>1342</v>
      </c>
      <c r="F3074" t="s">
        <v>97</v>
      </c>
      <c r="G3074" t="s">
        <v>2078</v>
      </c>
      <c r="H3074" t="s">
        <v>5603</v>
      </c>
      <c r="I3074" t="s">
        <v>4801</v>
      </c>
      <c r="J3074" t="s">
        <v>6104</v>
      </c>
      <c r="K3074" t="s">
        <v>5603</v>
      </c>
      <c r="L3074" t="s">
        <v>4717</v>
      </c>
      <c r="M3074" t="s">
        <v>6094</v>
      </c>
    </row>
    <row r="3075">
      <c r="A3075" t="s">
        <v>2596</v>
      </c>
      <c r="B3075" t="s">
        <v>1352</v>
      </c>
      <c r="C3075" t="s">
        <v>958</v>
      </c>
      <c r="D3075" t="s">
        <v>1198</v>
      </c>
      <c r="E3075" t="s">
        <v>1342</v>
      </c>
      <c r="F3075" t="s">
        <v>97</v>
      </c>
      <c r="G3075" t="s">
        <v>2078</v>
      </c>
      <c r="H3075" t="s">
        <v>5630</v>
      </c>
      <c r="I3075" t="s">
        <v>6105</v>
      </c>
      <c r="J3075" t="s">
        <v>6106</v>
      </c>
      <c r="K3075" t="s">
        <v>6107</v>
      </c>
      <c r="L3075" t="s">
        <v>4717</v>
      </c>
      <c r="M3075" t="s">
        <v>6094</v>
      </c>
    </row>
    <row r="3076">
      <c r="A3076" t="s">
        <v>2596</v>
      </c>
      <c r="B3076" t="s">
        <v>1352</v>
      </c>
      <c r="C3076" t="s">
        <v>958</v>
      </c>
      <c r="D3076" t="s">
        <v>1198</v>
      </c>
      <c r="E3076" t="s">
        <v>1342</v>
      </c>
      <c r="F3076" t="s">
        <v>97</v>
      </c>
      <c r="G3076" t="s">
        <v>2078</v>
      </c>
      <c r="H3076" t="s">
        <v>5630</v>
      </c>
      <c r="I3076" t="s">
        <v>6108</v>
      </c>
      <c r="J3076" t="s">
        <v>6109</v>
      </c>
      <c r="K3076" t="s">
        <v>6110</v>
      </c>
      <c r="L3076" t="s">
        <v>4717</v>
      </c>
      <c r="M3076" t="s">
        <v>6094</v>
      </c>
    </row>
    <row r="3077">
      <c r="A3077" t="s">
        <v>2596</v>
      </c>
      <c r="B3077" t="s">
        <v>1352</v>
      </c>
      <c r="C3077" t="s">
        <v>958</v>
      </c>
      <c r="D3077" t="s">
        <v>1198</v>
      </c>
      <c r="E3077" t="s">
        <v>1342</v>
      </c>
      <c r="F3077" t="s">
        <v>97</v>
      </c>
      <c r="G3077" t="s">
        <v>2078</v>
      </c>
      <c r="H3077" t="s">
        <v>5157</v>
      </c>
      <c r="I3077" t="s">
        <v>6111</v>
      </c>
      <c r="J3077" t="s">
        <v>6112</v>
      </c>
      <c r="K3077" t="s">
        <v>6113</v>
      </c>
      <c r="L3077" t="s">
        <v>4717</v>
      </c>
      <c r="M3077" t="s">
        <v>6094</v>
      </c>
    </row>
    <row r="3078">
      <c r="A3078" t="s">
        <v>2596</v>
      </c>
      <c r="B3078" t="s">
        <v>1352</v>
      </c>
      <c r="C3078" t="s">
        <v>958</v>
      </c>
      <c r="D3078" t="s">
        <v>1198</v>
      </c>
      <c r="E3078" t="s">
        <v>1342</v>
      </c>
      <c r="F3078" t="s">
        <v>97</v>
      </c>
      <c r="G3078" t="s">
        <v>2078</v>
      </c>
      <c r="H3078" t="s">
        <v>5522</v>
      </c>
      <c r="I3078" t="s">
        <v>6114</v>
      </c>
      <c r="J3078" t="s">
        <v>6115</v>
      </c>
      <c r="K3078" t="s">
        <v>6116</v>
      </c>
      <c r="L3078" t="s">
        <v>5522</v>
      </c>
      <c r="M3078" t="s">
        <v>6094</v>
      </c>
    </row>
    <row r="3079">
      <c r="A3079" t="s">
        <v>2596</v>
      </c>
      <c r="B3079" t="s">
        <v>1352</v>
      </c>
      <c r="C3079" t="s">
        <v>958</v>
      </c>
      <c r="D3079" t="s">
        <v>1198</v>
      </c>
      <c r="E3079" t="s">
        <v>1342</v>
      </c>
      <c r="F3079" t="s">
        <v>97</v>
      </c>
      <c r="G3079" t="s">
        <v>2078</v>
      </c>
      <c r="H3079" t="s">
        <v>4159</v>
      </c>
      <c r="I3079" t="s">
        <v>6117</v>
      </c>
      <c r="J3079" t="s">
        <v>6118</v>
      </c>
      <c r="K3079" t="s">
        <v>2088</v>
      </c>
      <c r="L3079" t="s">
        <v>4717</v>
      </c>
      <c r="M3079" t="s">
        <v>6094</v>
      </c>
    </row>
    <row r="3080">
      <c r="A3080" t="s">
        <v>2599</v>
      </c>
      <c r="B3080" t="s">
        <v>1359</v>
      </c>
      <c r="C3080" t="s">
        <v>958</v>
      </c>
      <c r="D3080" t="s">
        <v>1198</v>
      </c>
      <c r="E3080" t="s">
        <v>1342</v>
      </c>
      <c r="F3080" t="s">
        <v>154</v>
      </c>
      <c r="H3080" t="s">
        <v>6090</v>
      </c>
      <c r="I3080" t="s">
        <v>6091</v>
      </c>
      <c r="J3080" t="s">
        <v>6092</v>
      </c>
      <c r="K3080" t="s">
        <v>6093</v>
      </c>
      <c r="L3080" t="s">
        <v>4717</v>
      </c>
      <c r="M3080" t="s">
        <v>6094</v>
      </c>
    </row>
    <row r="3081">
      <c r="A3081" t="s">
        <v>2599</v>
      </c>
      <c r="B3081" t="s">
        <v>1359</v>
      </c>
      <c r="C3081" t="s">
        <v>958</v>
      </c>
      <c r="D3081" t="s">
        <v>1198</v>
      </c>
      <c r="E3081" t="s">
        <v>1342</v>
      </c>
      <c r="F3081" t="s">
        <v>154</v>
      </c>
      <c r="H3081" t="s">
        <v>6090</v>
      </c>
      <c r="I3081" t="s">
        <v>6095</v>
      </c>
      <c r="J3081" t="s">
        <v>6096</v>
      </c>
      <c r="K3081" t="s">
        <v>6097</v>
      </c>
      <c r="L3081" t="s">
        <v>4717</v>
      </c>
      <c r="M3081" t="s">
        <v>6094</v>
      </c>
    </row>
    <row r="3082">
      <c r="A3082" t="s">
        <v>2599</v>
      </c>
      <c r="B3082" t="s">
        <v>1359</v>
      </c>
      <c r="C3082" t="s">
        <v>958</v>
      </c>
      <c r="D3082" t="s">
        <v>1198</v>
      </c>
      <c r="E3082" t="s">
        <v>1342</v>
      </c>
      <c r="F3082" t="s">
        <v>154</v>
      </c>
      <c r="H3082" t="s">
        <v>6090</v>
      </c>
      <c r="I3082" t="s">
        <v>6098</v>
      </c>
      <c r="J3082" t="s">
        <v>6099</v>
      </c>
      <c r="K3082" t="s">
        <v>6055</v>
      </c>
      <c r="L3082" t="s">
        <v>4717</v>
      </c>
      <c r="M3082" t="s">
        <v>6094</v>
      </c>
    </row>
    <row r="3083">
      <c r="A3083" t="s">
        <v>2599</v>
      </c>
      <c r="B3083" t="s">
        <v>1359</v>
      </c>
      <c r="C3083" t="s">
        <v>958</v>
      </c>
      <c r="D3083" t="s">
        <v>1198</v>
      </c>
      <c r="E3083" t="s">
        <v>1342</v>
      </c>
      <c r="F3083" t="s">
        <v>154</v>
      </c>
      <c r="H3083" t="s">
        <v>6100</v>
      </c>
      <c r="I3083" t="s">
        <v>6101</v>
      </c>
      <c r="J3083" t="s">
        <v>6102</v>
      </c>
      <c r="K3083" t="s">
        <v>6103</v>
      </c>
      <c r="L3083" t="s">
        <v>4717</v>
      </c>
      <c r="M3083" t="s">
        <v>6094</v>
      </c>
    </row>
    <row r="3084">
      <c r="A3084" t="s">
        <v>2599</v>
      </c>
      <c r="B3084" t="s">
        <v>1359</v>
      </c>
      <c r="C3084" t="s">
        <v>958</v>
      </c>
      <c r="D3084" t="s">
        <v>1198</v>
      </c>
      <c r="E3084" t="s">
        <v>1342</v>
      </c>
      <c r="F3084" t="s">
        <v>154</v>
      </c>
      <c r="H3084" t="s">
        <v>5603</v>
      </c>
      <c r="I3084" t="s">
        <v>4801</v>
      </c>
      <c r="J3084" t="s">
        <v>6104</v>
      </c>
      <c r="K3084" t="s">
        <v>5603</v>
      </c>
      <c r="L3084" t="s">
        <v>4717</v>
      </c>
      <c r="M3084" t="s">
        <v>6094</v>
      </c>
    </row>
    <row r="3085">
      <c r="A3085" t="s">
        <v>2599</v>
      </c>
      <c r="B3085" t="s">
        <v>1359</v>
      </c>
      <c r="C3085" t="s">
        <v>958</v>
      </c>
      <c r="D3085" t="s">
        <v>1198</v>
      </c>
      <c r="E3085" t="s">
        <v>1342</v>
      </c>
      <c r="F3085" t="s">
        <v>154</v>
      </c>
      <c r="H3085" t="s">
        <v>5630</v>
      </c>
      <c r="I3085" t="s">
        <v>6105</v>
      </c>
      <c r="J3085" t="s">
        <v>6106</v>
      </c>
      <c r="K3085" t="s">
        <v>6107</v>
      </c>
      <c r="L3085" t="s">
        <v>4717</v>
      </c>
      <c r="M3085" t="s">
        <v>6094</v>
      </c>
    </row>
    <row r="3086">
      <c r="A3086" t="s">
        <v>2599</v>
      </c>
      <c r="B3086" t="s">
        <v>1359</v>
      </c>
      <c r="C3086" t="s">
        <v>958</v>
      </c>
      <c r="D3086" t="s">
        <v>1198</v>
      </c>
      <c r="E3086" t="s">
        <v>1342</v>
      </c>
      <c r="F3086" t="s">
        <v>154</v>
      </c>
      <c r="H3086" t="s">
        <v>5630</v>
      </c>
      <c r="I3086" t="s">
        <v>6108</v>
      </c>
      <c r="J3086" t="s">
        <v>6109</v>
      </c>
      <c r="K3086" t="s">
        <v>6110</v>
      </c>
      <c r="L3086" t="s">
        <v>4717</v>
      </c>
      <c r="M3086" t="s">
        <v>6094</v>
      </c>
    </row>
    <row r="3087">
      <c r="A3087" t="s">
        <v>2599</v>
      </c>
      <c r="B3087" t="s">
        <v>1359</v>
      </c>
      <c r="C3087" t="s">
        <v>958</v>
      </c>
      <c r="D3087" t="s">
        <v>1198</v>
      </c>
      <c r="E3087" t="s">
        <v>1342</v>
      </c>
      <c r="F3087" t="s">
        <v>154</v>
      </c>
      <c r="H3087" t="s">
        <v>5157</v>
      </c>
      <c r="I3087" t="s">
        <v>6111</v>
      </c>
      <c r="J3087" t="s">
        <v>6112</v>
      </c>
      <c r="K3087" t="s">
        <v>6113</v>
      </c>
      <c r="L3087" t="s">
        <v>4717</v>
      </c>
      <c r="M3087" t="s">
        <v>6094</v>
      </c>
    </row>
    <row r="3088">
      <c r="A3088" t="s">
        <v>2599</v>
      </c>
      <c r="B3088" t="s">
        <v>1359</v>
      </c>
      <c r="C3088" t="s">
        <v>958</v>
      </c>
      <c r="D3088" t="s">
        <v>1198</v>
      </c>
      <c r="E3088" t="s">
        <v>1342</v>
      </c>
      <c r="F3088" t="s">
        <v>154</v>
      </c>
      <c r="H3088" t="s">
        <v>5522</v>
      </c>
      <c r="I3088" t="s">
        <v>6114</v>
      </c>
      <c r="J3088" t="s">
        <v>6115</v>
      </c>
      <c r="K3088" t="s">
        <v>6116</v>
      </c>
      <c r="L3088" t="s">
        <v>5522</v>
      </c>
      <c r="M3088" t="s">
        <v>6094</v>
      </c>
    </row>
    <row r="3089">
      <c r="A3089" t="s">
        <v>2599</v>
      </c>
      <c r="B3089" t="s">
        <v>1359</v>
      </c>
      <c r="C3089" t="s">
        <v>958</v>
      </c>
      <c r="D3089" t="s">
        <v>1198</v>
      </c>
      <c r="E3089" t="s">
        <v>1342</v>
      </c>
      <c r="F3089" t="s">
        <v>154</v>
      </c>
      <c r="H3089" t="s">
        <v>4159</v>
      </c>
      <c r="I3089" t="s">
        <v>6117</v>
      </c>
      <c r="J3089" t="s">
        <v>6118</v>
      </c>
      <c r="K3089" t="s">
        <v>2088</v>
      </c>
      <c r="L3089" t="s">
        <v>4717</v>
      </c>
      <c r="M3089" t="s">
        <v>6094</v>
      </c>
    </row>
    <row r="3090">
      <c r="A3090" t="s">
        <v>2602</v>
      </c>
      <c r="B3090" t="s">
        <v>1366</v>
      </c>
      <c r="C3090" t="s">
        <v>958</v>
      </c>
      <c r="D3090" t="s">
        <v>1198</v>
      </c>
      <c r="E3090" t="s">
        <v>1342</v>
      </c>
      <c r="F3090" t="s">
        <v>154</v>
      </c>
      <c r="H3090" t="s">
        <v>6090</v>
      </c>
      <c r="I3090" t="s">
        <v>6091</v>
      </c>
      <c r="J3090" t="s">
        <v>6092</v>
      </c>
      <c r="K3090" t="s">
        <v>6093</v>
      </c>
      <c r="L3090" t="s">
        <v>4717</v>
      </c>
      <c r="M3090" t="s">
        <v>6094</v>
      </c>
    </row>
    <row r="3091">
      <c r="A3091" t="s">
        <v>2602</v>
      </c>
      <c r="B3091" t="s">
        <v>1366</v>
      </c>
      <c r="C3091" t="s">
        <v>958</v>
      </c>
      <c r="D3091" t="s">
        <v>1198</v>
      </c>
      <c r="E3091" t="s">
        <v>1342</v>
      </c>
      <c r="F3091" t="s">
        <v>154</v>
      </c>
      <c r="H3091" t="s">
        <v>6090</v>
      </c>
      <c r="I3091" t="s">
        <v>6095</v>
      </c>
      <c r="J3091" t="s">
        <v>6096</v>
      </c>
      <c r="K3091" t="s">
        <v>6097</v>
      </c>
      <c r="L3091" t="s">
        <v>4717</v>
      </c>
      <c r="M3091" t="s">
        <v>6094</v>
      </c>
    </row>
    <row r="3092">
      <c r="A3092" t="s">
        <v>2602</v>
      </c>
      <c r="B3092" t="s">
        <v>1366</v>
      </c>
      <c r="C3092" t="s">
        <v>958</v>
      </c>
      <c r="D3092" t="s">
        <v>1198</v>
      </c>
      <c r="E3092" t="s">
        <v>1342</v>
      </c>
      <c r="F3092" t="s">
        <v>154</v>
      </c>
      <c r="H3092" t="s">
        <v>6090</v>
      </c>
      <c r="I3092" t="s">
        <v>6098</v>
      </c>
      <c r="J3092" t="s">
        <v>6099</v>
      </c>
      <c r="K3092" t="s">
        <v>6055</v>
      </c>
      <c r="L3092" t="s">
        <v>4717</v>
      </c>
      <c r="M3092" t="s">
        <v>6094</v>
      </c>
    </row>
    <row r="3093">
      <c r="A3093" t="s">
        <v>2602</v>
      </c>
      <c r="B3093" t="s">
        <v>1366</v>
      </c>
      <c r="C3093" t="s">
        <v>958</v>
      </c>
      <c r="D3093" t="s">
        <v>1198</v>
      </c>
      <c r="E3093" t="s">
        <v>1342</v>
      </c>
      <c r="F3093" t="s">
        <v>154</v>
      </c>
      <c r="H3093" t="s">
        <v>6100</v>
      </c>
      <c r="I3093" t="s">
        <v>6101</v>
      </c>
      <c r="J3093" t="s">
        <v>6102</v>
      </c>
      <c r="K3093" t="s">
        <v>6103</v>
      </c>
      <c r="L3093" t="s">
        <v>4717</v>
      </c>
      <c r="M3093" t="s">
        <v>6094</v>
      </c>
    </row>
    <row r="3094">
      <c r="A3094" t="s">
        <v>2602</v>
      </c>
      <c r="B3094" t="s">
        <v>1366</v>
      </c>
      <c r="C3094" t="s">
        <v>958</v>
      </c>
      <c r="D3094" t="s">
        <v>1198</v>
      </c>
      <c r="E3094" t="s">
        <v>1342</v>
      </c>
      <c r="F3094" t="s">
        <v>154</v>
      </c>
      <c r="H3094" t="s">
        <v>5603</v>
      </c>
      <c r="I3094" t="s">
        <v>4801</v>
      </c>
      <c r="J3094" t="s">
        <v>6104</v>
      </c>
      <c r="K3094" t="s">
        <v>5603</v>
      </c>
      <c r="L3094" t="s">
        <v>4717</v>
      </c>
      <c r="M3094" t="s">
        <v>6094</v>
      </c>
    </row>
    <row r="3095">
      <c r="A3095" t="s">
        <v>2602</v>
      </c>
      <c r="B3095" t="s">
        <v>1366</v>
      </c>
      <c r="C3095" t="s">
        <v>958</v>
      </c>
      <c r="D3095" t="s">
        <v>1198</v>
      </c>
      <c r="E3095" t="s">
        <v>1342</v>
      </c>
      <c r="F3095" t="s">
        <v>154</v>
      </c>
      <c r="H3095" t="s">
        <v>5630</v>
      </c>
      <c r="I3095" t="s">
        <v>6105</v>
      </c>
      <c r="J3095" t="s">
        <v>6106</v>
      </c>
      <c r="K3095" t="s">
        <v>6107</v>
      </c>
      <c r="L3095" t="s">
        <v>4717</v>
      </c>
      <c r="M3095" t="s">
        <v>6094</v>
      </c>
    </row>
    <row r="3096">
      <c r="A3096" t="s">
        <v>2602</v>
      </c>
      <c r="B3096" t="s">
        <v>1366</v>
      </c>
      <c r="C3096" t="s">
        <v>958</v>
      </c>
      <c r="D3096" t="s">
        <v>1198</v>
      </c>
      <c r="E3096" t="s">
        <v>1342</v>
      </c>
      <c r="F3096" t="s">
        <v>154</v>
      </c>
      <c r="H3096" t="s">
        <v>5630</v>
      </c>
      <c r="I3096" t="s">
        <v>6108</v>
      </c>
      <c r="J3096" t="s">
        <v>6109</v>
      </c>
      <c r="K3096" t="s">
        <v>6110</v>
      </c>
      <c r="L3096" t="s">
        <v>4717</v>
      </c>
      <c r="M3096" t="s">
        <v>6094</v>
      </c>
    </row>
    <row r="3097">
      <c r="A3097" t="s">
        <v>2602</v>
      </c>
      <c r="B3097" t="s">
        <v>1366</v>
      </c>
      <c r="C3097" t="s">
        <v>958</v>
      </c>
      <c r="D3097" t="s">
        <v>1198</v>
      </c>
      <c r="E3097" t="s">
        <v>1342</v>
      </c>
      <c r="F3097" t="s">
        <v>154</v>
      </c>
      <c r="H3097" t="s">
        <v>5157</v>
      </c>
      <c r="I3097" t="s">
        <v>6111</v>
      </c>
      <c r="J3097" t="s">
        <v>6112</v>
      </c>
      <c r="K3097" t="s">
        <v>6113</v>
      </c>
      <c r="L3097" t="s">
        <v>4717</v>
      </c>
      <c r="M3097" t="s">
        <v>6094</v>
      </c>
    </row>
    <row r="3098">
      <c r="A3098" t="s">
        <v>2602</v>
      </c>
      <c r="B3098" t="s">
        <v>1366</v>
      </c>
      <c r="C3098" t="s">
        <v>958</v>
      </c>
      <c r="D3098" t="s">
        <v>1198</v>
      </c>
      <c r="E3098" t="s">
        <v>1342</v>
      </c>
      <c r="F3098" t="s">
        <v>154</v>
      </c>
      <c r="H3098" t="s">
        <v>5522</v>
      </c>
      <c r="I3098" t="s">
        <v>6114</v>
      </c>
      <c r="J3098" t="s">
        <v>6115</v>
      </c>
      <c r="K3098" t="s">
        <v>6116</v>
      </c>
      <c r="L3098" t="s">
        <v>5522</v>
      </c>
      <c r="M3098" t="s">
        <v>6094</v>
      </c>
    </row>
    <row r="3099">
      <c r="A3099" t="s">
        <v>2602</v>
      </c>
      <c r="B3099" t="s">
        <v>1366</v>
      </c>
      <c r="C3099" t="s">
        <v>958</v>
      </c>
      <c r="D3099" t="s">
        <v>1198</v>
      </c>
      <c r="E3099" t="s">
        <v>1342</v>
      </c>
      <c r="F3099" t="s">
        <v>154</v>
      </c>
      <c r="H3099" t="s">
        <v>4159</v>
      </c>
      <c r="I3099" t="s">
        <v>6117</v>
      </c>
      <c r="J3099" t="s">
        <v>6118</v>
      </c>
      <c r="K3099" t="s">
        <v>2088</v>
      </c>
      <c r="L3099" t="s">
        <v>4717</v>
      </c>
      <c r="M3099" t="s">
        <v>6094</v>
      </c>
    </row>
    <row r="3100">
      <c r="A3100" t="s">
        <v>2605</v>
      </c>
      <c r="B3100" t="s">
        <v>1372</v>
      </c>
      <c r="C3100" t="s">
        <v>958</v>
      </c>
      <c r="D3100" t="s">
        <v>1198</v>
      </c>
      <c r="E3100" t="s">
        <v>1342</v>
      </c>
      <c r="F3100" t="s">
        <v>120</v>
      </c>
      <c r="H3100" t="s">
        <v>6090</v>
      </c>
      <c r="I3100" t="s">
        <v>6091</v>
      </c>
      <c r="J3100" t="s">
        <v>6092</v>
      </c>
      <c r="K3100" t="s">
        <v>6093</v>
      </c>
      <c r="L3100" t="s">
        <v>4717</v>
      </c>
      <c r="M3100" t="s">
        <v>6094</v>
      </c>
    </row>
    <row r="3101">
      <c r="A3101" t="s">
        <v>2605</v>
      </c>
      <c r="B3101" t="s">
        <v>1372</v>
      </c>
      <c r="C3101" t="s">
        <v>958</v>
      </c>
      <c r="D3101" t="s">
        <v>1198</v>
      </c>
      <c r="E3101" t="s">
        <v>1342</v>
      </c>
      <c r="F3101" t="s">
        <v>120</v>
      </c>
      <c r="H3101" t="s">
        <v>6090</v>
      </c>
      <c r="I3101" t="s">
        <v>6095</v>
      </c>
      <c r="J3101" t="s">
        <v>6096</v>
      </c>
      <c r="K3101" t="s">
        <v>6097</v>
      </c>
      <c r="L3101" t="s">
        <v>4717</v>
      </c>
      <c r="M3101" t="s">
        <v>6094</v>
      </c>
    </row>
    <row r="3102">
      <c r="A3102" t="s">
        <v>2605</v>
      </c>
      <c r="B3102" t="s">
        <v>1372</v>
      </c>
      <c r="C3102" t="s">
        <v>958</v>
      </c>
      <c r="D3102" t="s">
        <v>1198</v>
      </c>
      <c r="E3102" t="s">
        <v>1342</v>
      </c>
      <c r="F3102" t="s">
        <v>120</v>
      </c>
      <c r="H3102" t="s">
        <v>6090</v>
      </c>
      <c r="I3102" t="s">
        <v>6098</v>
      </c>
      <c r="J3102" t="s">
        <v>6099</v>
      </c>
      <c r="K3102" t="s">
        <v>6055</v>
      </c>
      <c r="L3102" t="s">
        <v>4717</v>
      </c>
      <c r="M3102" t="s">
        <v>6094</v>
      </c>
    </row>
    <row r="3103">
      <c r="A3103" t="s">
        <v>2605</v>
      </c>
      <c r="B3103" t="s">
        <v>1372</v>
      </c>
      <c r="C3103" t="s">
        <v>958</v>
      </c>
      <c r="D3103" t="s">
        <v>1198</v>
      </c>
      <c r="E3103" t="s">
        <v>1342</v>
      </c>
      <c r="F3103" t="s">
        <v>120</v>
      </c>
      <c r="H3103" t="s">
        <v>6100</v>
      </c>
      <c r="I3103" t="s">
        <v>6101</v>
      </c>
      <c r="J3103" t="s">
        <v>6102</v>
      </c>
      <c r="K3103" t="s">
        <v>6103</v>
      </c>
      <c r="L3103" t="s">
        <v>4717</v>
      </c>
      <c r="M3103" t="s">
        <v>6094</v>
      </c>
    </row>
    <row r="3104">
      <c r="A3104" t="s">
        <v>2605</v>
      </c>
      <c r="B3104" t="s">
        <v>1372</v>
      </c>
      <c r="C3104" t="s">
        <v>958</v>
      </c>
      <c r="D3104" t="s">
        <v>1198</v>
      </c>
      <c r="E3104" t="s">
        <v>1342</v>
      </c>
      <c r="F3104" t="s">
        <v>120</v>
      </c>
      <c r="H3104" t="s">
        <v>5603</v>
      </c>
      <c r="I3104" t="s">
        <v>4801</v>
      </c>
      <c r="J3104" t="s">
        <v>6104</v>
      </c>
      <c r="K3104" t="s">
        <v>5603</v>
      </c>
      <c r="L3104" t="s">
        <v>4717</v>
      </c>
      <c r="M3104" t="s">
        <v>6094</v>
      </c>
    </row>
    <row r="3105">
      <c r="A3105" t="s">
        <v>2605</v>
      </c>
      <c r="B3105" t="s">
        <v>1372</v>
      </c>
      <c r="C3105" t="s">
        <v>958</v>
      </c>
      <c r="D3105" t="s">
        <v>1198</v>
      </c>
      <c r="E3105" t="s">
        <v>1342</v>
      </c>
      <c r="F3105" t="s">
        <v>120</v>
      </c>
      <c r="H3105" t="s">
        <v>5630</v>
      </c>
      <c r="I3105" t="s">
        <v>6105</v>
      </c>
      <c r="J3105" t="s">
        <v>6106</v>
      </c>
      <c r="K3105" t="s">
        <v>6107</v>
      </c>
      <c r="L3105" t="s">
        <v>4717</v>
      </c>
      <c r="M3105" t="s">
        <v>6094</v>
      </c>
    </row>
    <row r="3106">
      <c r="A3106" t="s">
        <v>2605</v>
      </c>
      <c r="B3106" t="s">
        <v>1372</v>
      </c>
      <c r="C3106" t="s">
        <v>958</v>
      </c>
      <c r="D3106" t="s">
        <v>1198</v>
      </c>
      <c r="E3106" t="s">
        <v>1342</v>
      </c>
      <c r="F3106" t="s">
        <v>120</v>
      </c>
      <c r="H3106" t="s">
        <v>5630</v>
      </c>
      <c r="I3106" t="s">
        <v>6108</v>
      </c>
      <c r="J3106" t="s">
        <v>6109</v>
      </c>
      <c r="K3106" t="s">
        <v>6110</v>
      </c>
      <c r="L3106" t="s">
        <v>4717</v>
      </c>
      <c r="M3106" t="s">
        <v>6094</v>
      </c>
    </row>
    <row r="3107">
      <c r="A3107" t="s">
        <v>2605</v>
      </c>
      <c r="B3107" t="s">
        <v>1372</v>
      </c>
      <c r="C3107" t="s">
        <v>958</v>
      </c>
      <c r="D3107" t="s">
        <v>1198</v>
      </c>
      <c r="E3107" t="s">
        <v>1342</v>
      </c>
      <c r="F3107" t="s">
        <v>120</v>
      </c>
      <c r="H3107" t="s">
        <v>5157</v>
      </c>
      <c r="I3107" t="s">
        <v>6111</v>
      </c>
      <c r="J3107" t="s">
        <v>6112</v>
      </c>
      <c r="K3107" t="s">
        <v>6113</v>
      </c>
      <c r="L3107" t="s">
        <v>4717</v>
      </c>
      <c r="M3107" t="s">
        <v>6094</v>
      </c>
    </row>
    <row r="3108">
      <c r="A3108" t="s">
        <v>2605</v>
      </c>
      <c r="B3108" t="s">
        <v>1372</v>
      </c>
      <c r="C3108" t="s">
        <v>958</v>
      </c>
      <c r="D3108" t="s">
        <v>1198</v>
      </c>
      <c r="E3108" t="s">
        <v>1342</v>
      </c>
      <c r="F3108" t="s">
        <v>120</v>
      </c>
      <c r="H3108" t="s">
        <v>5522</v>
      </c>
      <c r="I3108" t="s">
        <v>6114</v>
      </c>
      <c r="J3108" t="s">
        <v>6115</v>
      </c>
      <c r="K3108" t="s">
        <v>6116</v>
      </c>
      <c r="L3108" t="s">
        <v>5522</v>
      </c>
      <c r="M3108" t="s">
        <v>6094</v>
      </c>
    </row>
    <row r="3109">
      <c r="A3109" t="s">
        <v>2605</v>
      </c>
      <c r="B3109" t="s">
        <v>1372</v>
      </c>
      <c r="C3109" t="s">
        <v>958</v>
      </c>
      <c r="D3109" t="s">
        <v>1198</v>
      </c>
      <c r="E3109" t="s">
        <v>1342</v>
      </c>
      <c r="F3109" t="s">
        <v>120</v>
      </c>
      <c r="H3109" t="s">
        <v>4159</v>
      </c>
      <c r="I3109" t="s">
        <v>6117</v>
      </c>
      <c r="J3109" t="s">
        <v>6118</v>
      </c>
      <c r="K3109" t="s">
        <v>2088</v>
      </c>
      <c r="L3109" t="s">
        <v>4717</v>
      </c>
      <c r="M3109" t="s">
        <v>6094</v>
      </c>
    </row>
    <row r="3110">
      <c r="A3110" t="s">
        <v>3069</v>
      </c>
      <c r="B3110" t="s">
        <v>3072</v>
      </c>
      <c r="C3110" t="s">
        <v>958</v>
      </c>
      <c r="D3110" t="s">
        <v>1198</v>
      </c>
      <c r="E3110" t="s">
        <v>3070</v>
      </c>
      <c r="F3110" t="s">
        <v>120</v>
      </c>
      <c r="H3110" t="s">
        <v>6090</v>
      </c>
      <c r="I3110" t="s">
        <v>6091</v>
      </c>
      <c r="J3110" t="s">
        <v>6092</v>
      </c>
      <c r="K3110" t="s">
        <v>6093</v>
      </c>
      <c r="L3110" t="s">
        <v>4717</v>
      </c>
      <c r="M3110" t="s">
        <v>6094</v>
      </c>
    </row>
    <row r="3111">
      <c r="A3111" t="s">
        <v>3069</v>
      </c>
      <c r="B3111" t="s">
        <v>3072</v>
      </c>
      <c r="C3111" t="s">
        <v>958</v>
      </c>
      <c r="D3111" t="s">
        <v>1198</v>
      </c>
      <c r="E3111" t="s">
        <v>3070</v>
      </c>
      <c r="F3111" t="s">
        <v>120</v>
      </c>
      <c r="H3111" t="s">
        <v>6090</v>
      </c>
      <c r="I3111" t="s">
        <v>6095</v>
      </c>
      <c r="J3111" t="s">
        <v>6096</v>
      </c>
      <c r="K3111" t="s">
        <v>6097</v>
      </c>
      <c r="L3111" t="s">
        <v>4717</v>
      </c>
      <c r="M3111" t="s">
        <v>6094</v>
      </c>
    </row>
    <row r="3112">
      <c r="A3112" t="s">
        <v>3069</v>
      </c>
      <c r="B3112" t="s">
        <v>3072</v>
      </c>
      <c r="C3112" t="s">
        <v>958</v>
      </c>
      <c r="D3112" t="s">
        <v>1198</v>
      </c>
      <c r="E3112" t="s">
        <v>3070</v>
      </c>
      <c r="F3112" t="s">
        <v>120</v>
      </c>
      <c r="H3112" t="s">
        <v>6090</v>
      </c>
      <c r="I3112" t="s">
        <v>6098</v>
      </c>
      <c r="J3112" t="s">
        <v>6099</v>
      </c>
      <c r="K3112" t="s">
        <v>6055</v>
      </c>
      <c r="L3112" t="s">
        <v>4717</v>
      </c>
      <c r="M3112" t="s">
        <v>6094</v>
      </c>
    </row>
    <row r="3113">
      <c r="A3113" t="s">
        <v>3069</v>
      </c>
      <c r="B3113" t="s">
        <v>3072</v>
      </c>
      <c r="C3113" t="s">
        <v>958</v>
      </c>
      <c r="D3113" t="s">
        <v>1198</v>
      </c>
      <c r="E3113" t="s">
        <v>3070</v>
      </c>
      <c r="F3113" t="s">
        <v>120</v>
      </c>
      <c r="H3113" t="s">
        <v>6100</v>
      </c>
      <c r="I3113" t="s">
        <v>6101</v>
      </c>
      <c r="J3113" t="s">
        <v>6102</v>
      </c>
      <c r="K3113" t="s">
        <v>6103</v>
      </c>
      <c r="L3113" t="s">
        <v>4717</v>
      </c>
      <c r="M3113" t="s">
        <v>6094</v>
      </c>
    </row>
    <row r="3114">
      <c r="A3114" t="s">
        <v>3069</v>
      </c>
      <c r="B3114" t="s">
        <v>3072</v>
      </c>
      <c r="C3114" t="s">
        <v>958</v>
      </c>
      <c r="D3114" t="s">
        <v>1198</v>
      </c>
      <c r="E3114" t="s">
        <v>3070</v>
      </c>
      <c r="F3114" t="s">
        <v>120</v>
      </c>
      <c r="H3114" t="s">
        <v>5603</v>
      </c>
      <c r="I3114" t="s">
        <v>4801</v>
      </c>
      <c r="J3114" t="s">
        <v>6104</v>
      </c>
      <c r="K3114" t="s">
        <v>5603</v>
      </c>
      <c r="L3114" t="s">
        <v>4717</v>
      </c>
      <c r="M3114" t="s">
        <v>6094</v>
      </c>
    </row>
    <row r="3115">
      <c r="A3115" t="s">
        <v>3069</v>
      </c>
      <c r="B3115" t="s">
        <v>3072</v>
      </c>
      <c r="C3115" t="s">
        <v>958</v>
      </c>
      <c r="D3115" t="s">
        <v>1198</v>
      </c>
      <c r="E3115" t="s">
        <v>3070</v>
      </c>
      <c r="F3115" t="s">
        <v>120</v>
      </c>
      <c r="H3115" t="s">
        <v>5630</v>
      </c>
      <c r="I3115" t="s">
        <v>6105</v>
      </c>
      <c r="J3115" t="s">
        <v>6106</v>
      </c>
      <c r="K3115" t="s">
        <v>6107</v>
      </c>
      <c r="L3115" t="s">
        <v>4717</v>
      </c>
      <c r="M3115" t="s">
        <v>6094</v>
      </c>
    </row>
    <row r="3116">
      <c r="A3116" t="s">
        <v>3069</v>
      </c>
      <c r="B3116" t="s">
        <v>3072</v>
      </c>
      <c r="C3116" t="s">
        <v>958</v>
      </c>
      <c r="D3116" t="s">
        <v>1198</v>
      </c>
      <c r="E3116" t="s">
        <v>3070</v>
      </c>
      <c r="F3116" t="s">
        <v>120</v>
      </c>
      <c r="H3116" t="s">
        <v>5630</v>
      </c>
      <c r="I3116" t="s">
        <v>6108</v>
      </c>
      <c r="J3116" t="s">
        <v>6109</v>
      </c>
      <c r="K3116" t="s">
        <v>6110</v>
      </c>
      <c r="L3116" t="s">
        <v>4717</v>
      </c>
      <c r="M3116" t="s">
        <v>6094</v>
      </c>
    </row>
    <row r="3117">
      <c r="A3117" t="s">
        <v>3069</v>
      </c>
      <c r="B3117" t="s">
        <v>3072</v>
      </c>
      <c r="C3117" t="s">
        <v>958</v>
      </c>
      <c r="D3117" t="s">
        <v>1198</v>
      </c>
      <c r="E3117" t="s">
        <v>3070</v>
      </c>
      <c r="F3117" t="s">
        <v>120</v>
      </c>
      <c r="H3117" t="s">
        <v>5157</v>
      </c>
      <c r="I3117" t="s">
        <v>6111</v>
      </c>
      <c r="J3117" t="s">
        <v>6112</v>
      </c>
      <c r="K3117" t="s">
        <v>6113</v>
      </c>
      <c r="L3117" t="s">
        <v>4717</v>
      </c>
      <c r="M3117" t="s">
        <v>6094</v>
      </c>
    </row>
    <row r="3118">
      <c r="A3118" t="s">
        <v>3069</v>
      </c>
      <c r="B3118" t="s">
        <v>3072</v>
      </c>
      <c r="C3118" t="s">
        <v>958</v>
      </c>
      <c r="D3118" t="s">
        <v>1198</v>
      </c>
      <c r="E3118" t="s">
        <v>3070</v>
      </c>
      <c r="F3118" t="s">
        <v>120</v>
      </c>
      <c r="H3118" t="s">
        <v>5522</v>
      </c>
      <c r="I3118" t="s">
        <v>6114</v>
      </c>
      <c r="J3118" t="s">
        <v>6115</v>
      </c>
      <c r="K3118" t="s">
        <v>6116</v>
      </c>
      <c r="L3118" t="s">
        <v>5522</v>
      </c>
      <c r="M3118" t="s">
        <v>6094</v>
      </c>
    </row>
    <row r="3119">
      <c r="A3119" t="s">
        <v>3069</v>
      </c>
      <c r="B3119" t="s">
        <v>3072</v>
      </c>
      <c r="C3119" t="s">
        <v>958</v>
      </c>
      <c r="D3119" t="s">
        <v>1198</v>
      </c>
      <c r="E3119" t="s">
        <v>3070</v>
      </c>
      <c r="F3119" t="s">
        <v>120</v>
      </c>
      <c r="H3119" t="s">
        <v>4159</v>
      </c>
      <c r="I3119" t="s">
        <v>6117</v>
      </c>
      <c r="J3119" t="s">
        <v>6118</v>
      </c>
      <c r="K3119" t="s">
        <v>2088</v>
      </c>
      <c r="L3119" t="s">
        <v>4717</v>
      </c>
      <c r="M3119" t="s">
        <v>6094</v>
      </c>
    </row>
    <row r="3120">
      <c r="A3120" t="s">
        <v>3086</v>
      </c>
      <c r="B3120" t="s">
        <v>3088</v>
      </c>
      <c r="C3120" t="s">
        <v>958</v>
      </c>
      <c r="D3120" t="s">
        <v>1198</v>
      </c>
      <c r="E3120" t="s">
        <v>3070</v>
      </c>
      <c r="F3120" t="s">
        <v>120</v>
      </c>
      <c r="H3120" t="s">
        <v>6090</v>
      </c>
      <c r="I3120" t="s">
        <v>6091</v>
      </c>
      <c r="J3120" t="s">
        <v>6092</v>
      </c>
      <c r="K3120" t="s">
        <v>6093</v>
      </c>
      <c r="L3120" t="s">
        <v>4717</v>
      </c>
      <c r="M3120" t="s">
        <v>6094</v>
      </c>
    </row>
    <row r="3121">
      <c r="A3121" t="s">
        <v>3086</v>
      </c>
      <c r="B3121" t="s">
        <v>3088</v>
      </c>
      <c r="C3121" t="s">
        <v>958</v>
      </c>
      <c r="D3121" t="s">
        <v>1198</v>
      </c>
      <c r="E3121" t="s">
        <v>3070</v>
      </c>
      <c r="F3121" t="s">
        <v>120</v>
      </c>
      <c r="H3121" t="s">
        <v>6090</v>
      </c>
      <c r="I3121" t="s">
        <v>6095</v>
      </c>
      <c r="J3121" t="s">
        <v>6096</v>
      </c>
      <c r="K3121" t="s">
        <v>6097</v>
      </c>
      <c r="L3121" t="s">
        <v>4717</v>
      </c>
      <c r="M3121" t="s">
        <v>6094</v>
      </c>
    </row>
    <row r="3122">
      <c r="A3122" t="s">
        <v>3086</v>
      </c>
      <c r="B3122" t="s">
        <v>3088</v>
      </c>
      <c r="C3122" t="s">
        <v>958</v>
      </c>
      <c r="D3122" t="s">
        <v>1198</v>
      </c>
      <c r="E3122" t="s">
        <v>3070</v>
      </c>
      <c r="F3122" t="s">
        <v>120</v>
      </c>
      <c r="H3122" t="s">
        <v>6090</v>
      </c>
      <c r="I3122" t="s">
        <v>6098</v>
      </c>
      <c r="J3122" t="s">
        <v>6099</v>
      </c>
      <c r="K3122" t="s">
        <v>6055</v>
      </c>
      <c r="L3122" t="s">
        <v>4717</v>
      </c>
      <c r="M3122" t="s">
        <v>6094</v>
      </c>
    </row>
    <row r="3123">
      <c r="A3123" t="s">
        <v>3086</v>
      </c>
      <c r="B3123" t="s">
        <v>3088</v>
      </c>
      <c r="C3123" t="s">
        <v>958</v>
      </c>
      <c r="D3123" t="s">
        <v>1198</v>
      </c>
      <c r="E3123" t="s">
        <v>3070</v>
      </c>
      <c r="F3123" t="s">
        <v>120</v>
      </c>
      <c r="H3123" t="s">
        <v>6100</v>
      </c>
      <c r="I3123" t="s">
        <v>6101</v>
      </c>
      <c r="J3123" t="s">
        <v>6102</v>
      </c>
      <c r="K3123" t="s">
        <v>6103</v>
      </c>
      <c r="L3123" t="s">
        <v>4717</v>
      </c>
      <c r="M3123" t="s">
        <v>6094</v>
      </c>
    </row>
    <row r="3124">
      <c r="A3124" t="s">
        <v>3086</v>
      </c>
      <c r="B3124" t="s">
        <v>3088</v>
      </c>
      <c r="C3124" t="s">
        <v>958</v>
      </c>
      <c r="D3124" t="s">
        <v>1198</v>
      </c>
      <c r="E3124" t="s">
        <v>3070</v>
      </c>
      <c r="F3124" t="s">
        <v>120</v>
      </c>
      <c r="H3124" t="s">
        <v>5603</v>
      </c>
      <c r="I3124" t="s">
        <v>4801</v>
      </c>
      <c r="J3124" t="s">
        <v>6104</v>
      </c>
      <c r="K3124" t="s">
        <v>5603</v>
      </c>
      <c r="L3124" t="s">
        <v>4717</v>
      </c>
      <c r="M3124" t="s">
        <v>6094</v>
      </c>
    </row>
    <row r="3125">
      <c r="A3125" t="s">
        <v>3086</v>
      </c>
      <c r="B3125" t="s">
        <v>3088</v>
      </c>
      <c r="C3125" t="s">
        <v>958</v>
      </c>
      <c r="D3125" t="s">
        <v>1198</v>
      </c>
      <c r="E3125" t="s">
        <v>3070</v>
      </c>
      <c r="F3125" t="s">
        <v>120</v>
      </c>
      <c r="H3125" t="s">
        <v>5630</v>
      </c>
      <c r="I3125" t="s">
        <v>6105</v>
      </c>
      <c r="J3125" t="s">
        <v>6106</v>
      </c>
      <c r="K3125" t="s">
        <v>6107</v>
      </c>
      <c r="L3125" t="s">
        <v>4717</v>
      </c>
      <c r="M3125" t="s">
        <v>6094</v>
      </c>
    </row>
    <row r="3126">
      <c r="A3126" t="s">
        <v>3086</v>
      </c>
      <c r="B3126" t="s">
        <v>3088</v>
      </c>
      <c r="C3126" t="s">
        <v>958</v>
      </c>
      <c r="D3126" t="s">
        <v>1198</v>
      </c>
      <c r="E3126" t="s">
        <v>3070</v>
      </c>
      <c r="F3126" t="s">
        <v>120</v>
      </c>
      <c r="H3126" t="s">
        <v>5630</v>
      </c>
      <c r="I3126" t="s">
        <v>6108</v>
      </c>
      <c r="J3126" t="s">
        <v>6109</v>
      </c>
      <c r="K3126" t="s">
        <v>6110</v>
      </c>
      <c r="L3126" t="s">
        <v>4717</v>
      </c>
      <c r="M3126" t="s">
        <v>6094</v>
      </c>
    </row>
    <row r="3127">
      <c r="A3127" t="s">
        <v>3086</v>
      </c>
      <c r="B3127" t="s">
        <v>3088</v>
      </c>
      <c r="C3127" t="s">
        <v>958</v>
      </c>
      <c r="D3127" t="s">
        <v>1198</v>
      </c>
      <c r="E3127" t="s">
        <v>3070</v>
      </c>
      <c r="F3127" t="s">
        <v>120</v>
      </c>
      <c r="H3127" t="s">
        <v>5157</v>
      </c>
      <c r="I3127" t="s">
        <v>6111</v>
      </c>
      <c r="J3127" t="s">
        <v>6112</v>
      </c>
      <c r="K3127" t="s">
        <v>6113</v>
      </c>
      <c r="L3127" t="s">
        <v>4717</v>
      </c>
      <c r="M3127" t="s">
        <v>6094</v>
      </c>
    </row>
    <row r="3128">
      <c r="A3128" t="s">
        <v>3086</v>
      </c>
      <c r="B3128" t="s">
        <v>3088</v>
      </c>
      <c r="C3128" t="s">
        <v>958</v>
      </c>
      <c r="D3128" t="s">
        <v>1198</v>
      </c>
      <c r="E3128" t="s">
        <v>3070</v>
      </c>
      <c r="F3128" t="s">
        <v>120</v>
      </c>
      <c r="H3128" t="s">
        <v>5522</v>
      </c>
      <c r="I3128" t="s">
        <v>6114</v>
      </c>
      <c r="J3128" t="s">
        <v>6115</v>
      </c>
      <c r="K3128" t="s">
        <v>6116</v>
      </c>
      <c r="L3128" t="s">
        <v>5522</v>
      </c>
      <c r="M3128" t="s">
        <v>6094</v>
      </c>
    </row>
    <row r="3129">
      <c r="A3129" t="s">
        <v>3086</v>
      </c>
      <c r="B3129" t="s">
        <v>3088</v>
      </c>
      <c r="C3129" t="s">
        <v>958</v>
      </c>
      <c r="D3129" t="s">
        <v>1198</v>
      </c>
      <c r="E3129" t="s">
        <v>3070</v>
      </c>
      <c r="F3129" t="s">
        <v>120</v>
      </c>
      <c r="H3129" t="s">
        <v>4159</v>
      </c>
      <c r="I3129" t="s">
        <v>6117</v>
      </c>
      <c r="J3129" t="s">
        <v>6118</v>
      </c>
      <c r="K3129" t="s">
        <v>2088</v>
      </c>
      <c r="L3129" t="s">
        <v>4717</v>
      </c>
      <c r="M3129" t="s">
        <v>6094</v>
      </c>
    </row>
    <row r="3130">
      <c r="A3130" t="s">
        <v>3099</v>
      </c>
      <c r="B3130" t="s">
        <v>3101</v>
      </c>
      <c r="C3130" t="s">
        <v>958</v>
      </c>
      <c r="D3130" t="s">
        <v>1198</v>
      </c>
      <c r="E3130" t="s">
        <v>3070</v>
      </c>
      <c r="F3130" t="s">
        <v>120</v>
      </c>
      <c r="H3130" t="s">
        <v>6090</v>
      </c>
      <c r="I3130" t="s">
        <v>6091</v>
      </c>
      <c r="J3130" t="s">
        <v>6092</v>
      </c>
      <c r="K3130" t="s">
        <v>6093</v>
      </c>
      <c r="L3130" t="s">
        <v>4717</v>
      </c>
      <c r="M3130" t="s">
        <v>6094</v>
      </c>
    </row>
    <row r="3131">
      <c r="A3131" t="s">
        <v>3099</v>
      </c>
      <c r="B3131" t="s">
        <v>3101</v>
      </c>
      <c r="C3131" t="s">
        <v>958</v>
      </c>
      <c r="D3131" t="s">
        <v>1198</v>
      </c>
      <c r="E3131" t="s">
        <v>3070</v>
      </c>
      <c r="F3131" t="s">
        <v>120</v>
      </c>
      <c r="H3131" t="s">
        <v>6090</v>
      </c>
      <c r="I3131" t="s">
        <v>6095</v>
      </c>
      <c r="J3131" t="s">
        <v>6096</v>
      </c>
      <c r="K3131" t="s">
        <v>6097</v>
      </c>
      <c r="L3131" t="s">
        <v>4717</v>
      </c>
      <c r="M3131" t="s">
        <v>6094</v>
      </c>
    </row>
    <row r="3132">
      <c r="A3132" t="s">
        <v>3099</v>
      </c>
      <c r="B3132" t="s">
        <v>3101</v>
      </c>
      <c r="C3132" t="s">
        <v>958</v>
      </c>
      <c r="D3132" t="s">
        <v>1198</v>
      </c>
      <c r="E3132" t="s">
        <v>3070</v>
      </c>
      <c r="F3132" t="s">
        <v>120</v>
      </c>
      <c r="H3132" t="s">
        <v>6090</v>
      </c>
      <c r="I3132" t="s">
        <v>6098</v>
      </c>
      <c r="J3132" t="s">
        <v>6099</v>
      </c>
      <c r="K3132" t="s">
        <v>6055</v>
      </c>
      <c r="L3132" t="s">
        <v>4717</v>
      </c>
      <c r="M3132" t="s">
        <v>6094</v>
      </c>
    </row>
    <row r="3133">
      <c r="A3133" t="s">
        <v>3099</v>
      </c>
      <c r="B3133" t="s">
        <v>3101</v>
      </c>
      <c r="C3133" t="s">
        <v>958</v>
      </c>
      <c r="D3133" t="s">
        <v>1198</v>
      </c>
      <c r="E3133" t="s">
        <v>3070</v>
      </c>
      <c r="F3133" t="s">
        <v>120</v>
      </c>
      <c r="H3133" t="s">
        <v>6100</v>
      </c>
      <c r="I3133" t="s">
        <v>6101</v>
      </c>
      <c r="J3133" t="s">
        <v>6102</v>
      </c>
      <c r="K3133" t="s">
        <v>6103</v>
      </c>
      <c r="L3133" t="s">
        <v>4717</v>
      </c>
      <c r="M3133" t="s">
        <v>6094</v>
      </c>
    </row>
    <row r="3134">
      <c r="A3134" t="s">
        <v>3099</v>
      </c>
      <c r="B3134" t="s">
        <v>3101</v>
      </c>
      <c r="C3134" t="s">
        <v>958</v>
      </c>
      <c r="D3134" t="s">
        <v>1198</v>
      </c>
      <c r="E3134" t="s">
        <v>3070</v>
      </c>
      <c r="F3134" t="s">
        <v>120</v>
      </c>
      <c r="H3134" t="s">
        <v>5603</v>
      </c>
      <c r="I3134" t="s">
        <v>4801</v>
      </c>
      <c r="J3134" t="s">
        <v>6104</v>
      </c>
      <c r="K3134" t="s">
        <v>5603</v>
      </c>
      <c r="L3134" t="s">
        <v>4717</v>
      </c>
      <c r="M3134" t="s">
        <v>6094</v>
      </c>
    </row>
    <row r="3135">
      <c r="A3135" t="s">
        <v>3099</v>
      </c>
      <c r="B3135" t="s">
        <v>3101</v>
      </c>
      <c r="C3135" t="s">
        <v>958</v>
      </c>
      <c r="D3135" t="s">
        <v>1198</v>
      </c>
      <c r="E3135" t="s">
        <v>3070</v>
      </c>
      <c r="F3135" t="s">
        <v>120</v>
      </c>
      <c r="H3135" t="s">
        <v>5630</v>
      </c>
      <c r="I3135" t="s">
        <v>6105</v>
      </c>
      <c r="J3135" t="s">
        <v>6106</v>
      </c>
      <c r="K3135" t="s">
        <v>6107</v>
      </c>
      <c r="L3135" t="s">
        <v>4717</v>
      </c>
      <c r="M3135" t="s">
        <v>6094</v>
      </c>
    </row>
    <row r="3136">
      <c r="A3136" t="s">
        <v>3099</v>
      </c>
      <c r="B3136" t="s">
        <v>3101</v>
      </c>
      <c r="C3136" t="s">
        <v>958</v>
      </c>
      <c r="D3136" t="s">
        <v>1198</v>
      </c>
      <c r="E3136" t="s">
        <v>3070</v>
      </c>
      <c r="F3136" t="s">
        <v>120</v>
      </c>
      <c r="H3136" t="s">
        <v>5630</v>
      </c>
      <c r="I3136" t="s">
        <v>6108</v>
      </c>
      <c r="J3136" t="s">
        <v>6109</v>
      </c>
      <c r="K3136" t="s">
        <v>6110</v>
      </c>
      <c r="L3136" t="s">
        <v>4717</v>
      </c>
      <c r="M3136" t="s">
        <v>6094</v>
      </c>
    </row>
    <row r="3137">
      <c r="A3137" t="s">
        <v>3099</v>
      </c>
      <c r="B3137" t="s">
        <v>3101</v>
      </c>
      <c r="C3137" t="s">
        <v>958</v>
      </c>
      <c r="D3137" t="s">
        <v>1198</v>
      </c>
      <c r="E3137" t="s">
        <v>3070</v>
      </c>
      <c r="F3137" t="s">
        <v>120</v>
      </c>
      <c r="H3137" t="s">
        <v>5157</v>
      </c>
      <c r="I3137" t="s">
        <v>6111</v>
      </c>
      <c r="J3137" t="s">
        <v>6112</v>
      </c>
      <c r="K3137" t="s">
        <v>6113</v>
      </c>
      <c r="L3137" t="s">
        <v>4717</v>
      </c>
      <c r="M3137" t="s">
        <v>6094</v>
      </c>
    </row>
    <row r="3138">
      <c r="A3138" t="s">
        <v>3099</v>
      </c>
      <c r="B3138" t="s">
        <v>3101</v>
      </c>
      <c r="C3138" t="s">
        <v>958</v>
      </c>
      <c r="D3138" t="s">
        <v>1198</v>
      </c>
      <c r="E3138" t="s">
        <v>3070</v>
      </c>
      <c r="F3138" t="s">
        <v>120</v>
      </c>
      <c r="H3138" t="s">
        <v>5522</v>
      </c>
      <c r="I3138" t="s">
        <v>6114</v>
      </c>
      <c r="J3138" t="s">
        <v>6115</v>
      </c>
      <c r="K3138" t="s">
        <v>6116</v>
      </c>
      <c r="L3138" t="s">
        <v>5522</v>
      </c>
      <c r="M3138" t="s">
        <v>6094</v>
      </c>
    </row>
    <row r="3139">
      <c r="A3139" t="s">
        <v>3099</v>
      </c>
      <c r="B3139" t="s">
        <v>3101</v>
      </c>
      <c r="C3139" t="s">
        <v>958</v>
      </c>
      <c r="D3139" t="s">
        <v>1198</v>
      </c>
      <c r="E3139" t="s">
        <v>3070</v>
      </c>
      <c r="F3139" t="s">
        <v>120</v>
      </c>
      <c r="H3139" t="s">
        <v>4159</v>
      </c>
      <c r="I3139" t="s">
        <v>6117</v>
      </c>
      <c r="J3139" t="s">
        <v>6118</v>
      </c>
      <c r="K3139" t="s">
        <v>2088</v>
      </c>
      <c r="L3139" t="s">
        <v>4717</v>
      </c>
      <c r="M3139" t="s">
        <v>6094</v>
      </c>
    </row>
    <row r="3140">
      <c r="A3140" t="s">
        <v>3025</v>
      </c>
      <c r="B3140" t="s">
        <v>3028</v>
      </c>
      <c r="C3140" t="s">
        <v>2858</v>
      </c>
      <c r="D3140" t="s">
        <v>2859</v>
      </c>
      <c r="E3140" t="s">
        <v>1986</v>
      </c>
      <c r="F3140" t="s">
        <v>154</v>
      </c>
      <c r="H3140" t="s">
        <v>5539</v>
      </c>
      <c r="I3140" t="s">
        <v>6119</v>
      </c>
      <c r="J3140" t="s">
        <v>6120</v>
      </c>
      <c r="K3140" t="s">
        <v>6121</v>
      </c>
      <c r="L3140" t="s">
        <v>6122</v>
      </c>
      <c r="M3140" t="s">
        <v>6123</v>
      </c>
    </row>
    <row r="3141">
      <c r="A3141" t="s">
        <v>3025</v>
      </c>
      <c r="B3141" t="s">
        <v>3028</v>
      </c>
      <c r="C3141" t="s">
        <v>2858</v>
      </c>
      <c r="D3141" t="s">
        <v>2859</v>
      </c>
      <c r="E3141" t="s">
        <v>1986</v>
      </c>
      <c r="F3141" t="s">
        <v>154</v>
      </c>
      <c r="H3141" t="s">
        <v>5539</v>
      </c>
      <c r="I3141" t="s">
        <v>6124</v>
      </c>
      <c r="J3141" t="s">
        <v>6125</v>
      </c>
      <c r="K3141" t="s">
        <v>6126</v>
      </c>
      <c r="L3141" t="s">
        <v>6122</v>
      </c>
      <c r="M3141" t="s">
        <v>6127</v>
      </c>
    </row>
    <row r="3142">
      <c r="A3142" t="s">
        <v>3025</v>
      </c>
      <c r="B3142" t="s">
        <v>3028</v>
      </c>
      <c r="C3142" t="s">
        <v>2858</v>
      </c>
      <c r="D3142" t="s">
        <v>2859</v>
      </c>
      <c r="E3142" t="s">
        <v>1986</v>
      </c>
      <c r="F3142" t="s">
        <v>154</v>
      </c>
      <c r="H3142" t="s">
        <v>5539</v>
      </c>
      <c r="I3142" t="s">
        <v>6128</v>
      </c>
      <c r="J3142" t="s">
        <v>6129</v>
      </c>
      <c r="K3142" t="s">
        <v>6130</v>
      </c>
      <c r="L3142" t="s">
        <v>408</v>
      </c>
      <c r="M3142" t="s">
        <v>6131</v>
      </c>
    </row>
    <row r="3143">
      <c r="A3143" t="s">
        <v>3025</v>
      </c>
      <c r="B3143" t="s">
        <v>3028</v>
      </c>
      <c r="C3143" t="s">
        <v>2858</v>
      </c>
      <c r="D3143" t="s">
        <v>2859</v>
      </c>
      <c r="E3143" t="s">
        <v>1986</v>
      </c>
      <c r="F3143" t="s">
        <v>154</v>
      </c>
      <c r="H3143" t="s">
        <v>5539</v>
      </c>
      <c r="I3143" t="s">
        <v>6132</v>
      </c>
      <c r="J3143" t="s">
        <v>6133</v>
      </c>
      <c r="K3143" t="s">
        <v>6134</v>
      </c>
      <c r="L3143" t="s">
        <v>6122</v>
      </c>
      <c r="M3143" t="s">
        <v>6135</v>
      </c>
    </row>
    <row r="3144">
      <c r="A3144" t="s">
        <v>3042</v>
      </c>
      <c r="B3144" t="s">
        <v>3044</v>
      </c>
      <c r="C3144" t="s">
        <v>2858</v>
      </c>
      <c r="D3144" t="s">
        <v>2859</v>
      </c>
      <c r="E3144" t="s">
        <v>1987</v>
      </c>
      <c r="F3144" t="s">
        <v>154</v>
      </c>
      <c r="H3144" t="s">
        <v>5539</v>
      </c>
      <c r="I3144" t="s">
        <v>6119</v>
      </c>
      <c r="J3144" t="s">
        <v>6120</v>
      </c>
      <c r="K3144" t="s">
        <v>6121</v>
      </c>
      <c r="L3144" t="s">
        <v>6122</v>
      </c>
      <c r="M3144" t="s">
        <v>6123</v>
      </c>
    </row>
    <row r="3145">
      <c r="A3145" t="s">
        <v>3042</v>
      </c>
      <c r="B3145" t="s">
        <v>3044</v>
      </c>
      <c r="C3145" t="s">
        <v>2858</v>
      </c>
      <c r="D3145" t="s">
        <v>2859</v>
      </c>
      <c r="E3145" t="s">
        <v>1987</v>
      </c>
      <c r="F3145" t="s">
        <v>154</v>
      </c>
      <c r="H3145" t="s">
        <v>5539</v>
      </c>
      <c r="I3145" t="s">
        <v>6124</v>
      </c>
      <c r="J3145" t="s">
        <v>6125</v>
      </c>
      <c r="K3145" t="s">
        <v>6126</v>
      </c>
      <c r="L3145" t="s">
        <v>6122</v>
      </c>
      <c r="M3145" t="s">
        <v>6127</v>
      </c>
    </row>
    <row r="3146">
      <c r="A3146" t="s">
        <v>3042</v>
      </c>
      <c r="B3146" t="s">
        <v>3044</v>
      </c>
      <c r="C3146" t="s">
        <v>2858</v>
      </c>
      <c r="D3146" t="s">
        <v>2859</v>
      </c>
      <c r="E3146" t="s">
        <v>1987</v>
      </c>
      <c r="F3146" t="s">
        <v>154</v>
      </c>
      <c r="H3146" t="s">
        <v>5539</v>
      </c>
      <c r="I3146" t="s">
        <v>6128</v>
      </c>
      <c r="J3146" t="s">
        <v>6129</v>
      </c>
      <c r="K3146" t="s">
        <v>6130</v>
      </c>
      <c r="L3146" t="s">
        <v>408</v>
      </c>
      <c r="M3146" t="s">
        <v>6131</v>
      </c>
    </row>
    <row r="3147">
      <c r="A3147" t="s">
        <v>3042</v>
      </c>
      <c r="B3147" t="s">
        <v>3044</v>
      </c>
      <c r="C3147" t="s">
        <v>2858</v>
      </c>
      <c r="D3147" t="s">
        <v>2859</v>
      </c>
      <c r="E3147" t="s">
        <v>1987</v>
      </c>
      <c r="F3147" t="s">
        <v>154</v>
      </c>
      <c r="H3147" t="s">
        <v>5539</v>
      </c>
      <c r="I3147" t="s">
        <v>6132</v>
      </c>
      <c r="J3147" t="s">
        <v>6133</v>
      </c>
      <c r="K3147" t="s">
        <v>6134</v>
      </c>
      <c r="L3147" t="s">
        <v>6122</v>
      </c>
      <c r="M3147" t="s">
        <v>6135</v>
      </c>
    </row>
    <row r="3200" ht="210">
      <c r="A3200" s="10" t="s">
        <v>3112</v>
      </c>
      <c r="B3200" s="10" t="s">
        <v>3115</v>
      </c>
      <c r="C3200" s="10" t="s">
        <v>160</v>
      </c>
      <c r="D3200" s="10" t="s">
        <v>161</v>
      </c>
      <c r="E3200" s="10" t="s">
        <v>3113</v>
      </c>
      <c r="F3200" s="10" t="s">
        <v>129</v>
      </c>
      <c r="G3200" s="10" t="s">
        <v>2077</v>
      </c>
      <c r="H3200" s="10" t="s">
        <v>5170</v>
      </c>
      <c r="I3200" s="10" t="s">
        <v>6136</v>
      </c>
      <c r="J3200" s="10" t="s">
        <v>6137</v>
      </c>
      <c r="K3200" s="10" t="s">
        <v>3122</v>
      </c>
      <c r="L3200" s="10" t="s">
        <v>4717</v>
      </c>
      <c r="M3200" s="10" t="s">
        <v>6138</v>
      </c>
    </row>
    <row r="3201" ht="140">
      <c r="A3201" s="10" t="s">
        <v>3112</v>
      </c>
      <c r="B3201" s="10" t="s">
        <v>3115</v>
      </c>
      <c r="C3201" s="10" t="s">
        <v>160</v>
      </c>
      <c r="D3201" s="10" t="s">
        <v>161</v>
      </c>
      <c r="E3201" s="10" t="s">
        <v>3113</v>
      </c>
      <c r="F3201" s="10" t="s">
        <v>129</v>
      </c>
      <c r="G3201" s="10" t="s">
        <v>2077</v>
      </c>
      <c r="H3201" s="10" t="s">
        <v>5170</v>
      </c>
      <c r="I3201" s="10" t="s">
        <v>6139</v>
      </c>
      <c r="J3201" s="10" t="s">
        <v>6140</v>
      </c>
      <c r="K3201" s="10" t="s">
        <v>6141</v>
      </c>
      <c r="L3201" s="10" t="s">
        <v>4717</v>
      </c>
      <c r="M3201" s="10" t="s">
        <v>6142</v>
      </c>
    </row>
    <row r="3202" ht="168">
      <c r="A3202" s="10" t="s">
        <v>3112</v>
      </c>
      <c r="B3202" s="10" t="s">
        <v>3115</v>
      </c>
      <c r="C3202" s="10" t="s">
        <v>160</v>
      </c>
      <c r="D3202" s="10" t="s">
        <v>161</v>
      </c>
      <c r="E3202" s="10" t="s">
        <v>3113</v>
      </c>
      <c r="F3202" s="10" t="s">
        <v>129</v>
      </c>
      <c r="G3202" s="10" t="s">
        <v>2077</v>
      </c>
      <c r="H3202" s="10" t="s">
        <v>5170</v>
      </c>
      <c r="I3202" s="10" t="s">
        <v>6143</v>
      </c>
      <c r="J3202" s="10" t="s">
        <v>6144</v>
      </c>
      <c r="K3202" s="10" t="s">
        <v>6145</v>
      </c>
      <c r="L3202" s="10" t="s">
        <v>4717</v>
      </c>
      <c r="M3202" s="10" t="s">
        <v>6146</v>
      </c>
    </row>
    <row r="3203" ht="140">
      <c r="A3203" s="10" t="s">
        <v>3112</v>
      </c>
      <c r="B3203" s="10" t="s">
        <v>3115</v>
      </c>
      <c r="C3203" s="10" t="s">
        <v>160</v>
      </c>
      <c r="D3203" s="10" t="s">
        <v>161</v>
      </c>
      <c r="E3203" s="10" t="s">
        <v>3113</v>
      </c>
      <c r="F3203" s="10" t="s">
        <v>129</v>
      </c>
      <c r="G3203" s="10" t="s">
        <v>2077</v>
      </c>
      <c r="H3203" s="10" t="s">
        <v>4159</v>
      </c>
      <c r="I3203" s="10" t="s">
        <v>6147</v>
      </c>
      <c r="J3203" s="10" t="s">
        <v>6148</v>
      </c>
      <c r="K3203" s="10" t="s">
        <v>6149</v>
      </c>
      <c r="L3203" s="10" t="s">
        <v>4717</v>
      </c>
      <c r="M3203" s="10" t="s">
        <v>6150</v>
      </c>
    </row>
    <row r="3204" ht="126">
      <c r="A3204" s="10" t="s">
        <v>3112</v>
      </c>
      <c r="B3204" s="10" t="s">
        <v>3115</v>
      </c>
      <c r="C3204" s="10" t="s">
        <v>160</v>
      </c>
      <c r="D3204" s="10" t="s">
        <v>161</v>
      </c>
      <c r="E3204" s="10" t="s">
        <v>3113</v>
      </c>
      <c r="F3204" s="10" t="s">
        <v>129</v>
      </c>
      <c r="G3204" s="10" t="s">
        <v>2077</v>
      </c>
      <c r="H3204" s="10" t="s">
        <v>6151</v>
      </c>
      <c r="I3204" s="10" t="s">
        <v>6152</v>
      </c>
      <c r="J3204" s="10" t="s">
        <v>6153</v>
      </c>
      <c r="K3204" s="10" t="s">
        <v>6154</v>
      </c>
      <c r="L3204" s="10" t="s">
        <v>4717</v>
      </c>
      <c r="M3204" s="10" t="s">
        <v>6155</v>
      </c>
    </row>
    <row r="3205">
      <c r="A3205" t="s">
        <v>3124</v>
      </c>
      <c r="B3205" t="s">
        <v>3125</v>
      </c>
      <c r="C3205" t="s">
        <v>160</v>
      </c>
      <c r="D3205" t="s">
        <v>161</v>
      </c>
      <c r="E3205" t="s">
        <v>3125</v>
      </c>
      <c r="F3205" t="s">
        <v>129</v>
      </c>
      <c r="G3205" t="s">
        <v>2077</v>
      </c>
      <c r="H3205" t="s">
        <v>4715</v>
      </c>
      <c r="I3205" t="s">
        <v>6156</v>
      </c>
      <c r="L3205" t="s">
        <v>4717</v>
      </c>
      <c r="M3205" t="s">
        <v>6157</v>
      </c>
    </row>
    <row r="3206">
      <c r="A3206" t="s">
        <v>3124</v>
      </c>
      <c r="B3206" t="s">
        <v>3125</v>
      </c>
      <c r="C3206" t="s">
        <v>160</v>
      </c>
      <c r="D3206" t="s">
        <v>161</v>
      </c>
      <c r="E3206" t="s">
        <v>3125</v>
      </c>
      <c r="F3206" t="s">
        <v>129</v>
      </c>
      <c r="G3206" t="s">
        <v>2077</v>
      </c>
      <c r="H3206" t="s">
        <v>4715</v>
      </c>
      <c r="I3206" t="s">
        <v>6158</v>
      </c>
      <c r="L3206" t="s">
        <v>4717</v>
      </c>
      <c r="M3206" t="s">
        <v>6157</v>
      </c>
    </row>
    <row r="3207">
      <c r="A3207" t="s">
        <v>3124</v>
      </c>
      <c r="B3207" t="s">
        <v>3125</v>
      </c>
      <c r="C3207" t="s">
        <v>160</v>
      </c>
      <c r="D3207" t="s">
        <v>161</v>
      </c>
      <c r="E3207" t="s">
        <v>3125</v>
      </c>
      <c r="F3207" t="s">
        <v>129</v>
      </c>
      <c r="G3207" t="s">
        <v>2077</v>
      </c>
      <c r="H3207" t="s">
        <v>4715</v>
      </c>
      <c r="I3207" t="s">
        <v>6159</v>
      </c>
      <c r="L3207" t="s">
        <v>4717</v>
      </c>
      <c r="M3207" t="s">
        <v>6157</v>
      </c>
    </row>
    <row r="3208">
      <c r="A3208" t="s">
        <v>3124</v>
      </c>
      <c r="B3208" t="s">
        <v>3125</v>
      </c>
      <c r="C3208" t="s">
        <v>160</v>
      </c>
      <c r="D3208" t="s">
        <v>161</v>
      </c>
      <c r="E3208" t="s">
        <v>3125</v>
      </c>
      <c r="F3208" t="s">
        <v>129</v>
      </c>
      <c r="G3208" t="s">
        <v>2077</v>
      </c>
      <c r="H3208" t="s">
        <v>4715</v>
      </c>
      <c r="I3208" t="s">
        <v>6160</v>
      </c>
      <c r="L3208" t="s">
        <v>4717</v>
      </c>
      <c r="M3208" t="s">
        <v>6157</v>
      </c>
    </row>
    <row r="3209">
      <c r="A3209" t="s">
        <v>3124</v>
      </c>
      <c r="B3209" t="s">
        <v>3125</v>
      </c>
      <c r="C3209" t="s">
        <v>160</v>
      </c>
      <c r="D3209" t="s">
        <v>161</v>
      </c>
      <c r="E3209" t="s">
        <v>3125</v>
      </c>
      <c r="F3209" t="s">
        <v>129</v>
      </c>
      <c r="G3209" t="s">
        <v>2077</v>
      </c>
      <c r="H3209" t="s">
        <v>4715</v>
      </c>
      <c r="I3209" t="s">
        <v>6161</v>
      </c>
      <c r="L3209" t="s">
        <v>4717</v>
      </c>
      <c r="M3209" t="s">
        <v>6157</v>
      </c>
    </row>
    <row r="3210">
      <c r="A3210" t="s">
        <v>3135</v>
      </c>
      <c r="B3210" t="s">
        <v>3138</v>
      </c>
      <c r="C3210" t="s">
        <v>160</v>
      </c>
      <c r="D3210" t="s">
        <v>161</v>
      </c>
      <c r="E3210" t="s">
        <v>3136</v>
      </c>
      <c r="F3210" t="s">
        <v>97</v>
      </c>
      <c r="G3210" t="s">
        <v>2078</v>
      </c>
      <c r="H3210" t="s">
        <v>4715</v>
      </c>
      <c r="I3210" t="s">
        <v>6162</v>
      </c>
      <c r="L3210" t="s">
        <v>4717</v>
      </c>
      <c r="M3210" t="s">
        <v>6157</v>
      </c>
    </row>
    <row r="3211">
      <c r="A3211" t="s">
        <v>3135</v>
      </c>
      <c r="B3211" t="s">
        <v>3138</v>
      </c>
      <c r="C3211" t="s">
        <v>160</v>
      </c>
      <c r="D3211" t="s">
        <v>161</v>
      </c>
      <c r="E3211" t="s">
        <v>3136</v>
      </c>
      <c r="F3211" t="s">
        <v>97</v>
      </c>
      <c r="G3211" t="s">
        <v>2078</v>
      </c>
      <c r="H3211" t="s">
        <v>4715</v>
      </c>
      <c r="I3211" t="s">
        <v>6163</v>
      </c>
      <c r="L3211" t="s">
        <v>4717</v>
      </c>
      <c r="M3211" t="s">
        <v>6157</v>
      </c>
    </row>
    <row r="3212">
      <c r="A3212" t="s">
        <v>3135</v>
      </c>
      <c r="B3212" t="s">
        <v>3138</v>
      </c>
      <c r="C3212" t="s">
        <v>160</v>
      </c>
      <c r="D3212" t="s">
        <v>161</v>
      </c>
      <c r="E3212" t="s">
        <v>3136</v>
      </c>
      <c r="F3212" t="s">
        <v>97</v>
      </c>
      <c r="G3212" t="s">
        <v>2078</v>
      </c>
      <c r="H3212" t="s">
        <v>4715</v>
      </c>
      <c r="I3212" t="s">
        <v>6164</v>
      </c>
      <c r="L3212" t="s">
        <v>4717</v>
      </c>
      <c r="M3212" t="s">
        <v>6157</v>
      </c>
    </row>
    <row r="3213">
      <c r="A3213" t="s">
        <v>3135</v>
      </c>
      <c r="B3213" t="s">
        <v>3138</v>
      </c>
      <c r="C3213" t="s">
        <v>160</v>
      </c>
      <c r="D3213" t="s">
        <v>161</v>
      </c>
      <c r="E3213" t="s">
        <v>3136</v>
      </c>
      <c r="F3213" t="s">
        <v>97</v>
      </c>
      <c r="G3213" t="s">
        <v>2078</v>
      </c>
      <c r="H3213" t="s">
        <v>4715</v>
      </c>
      <c r="I3213" t="s">
        <v>6165</v>
      </c>
      <c r="L3213" t="s">
        <v>4717</v>
      </c>
      <c r="M3213" t="s">
        <v>6157</v>
      </c>
    </row>
    <row r="3214">
      <c r="A3214" t="s">
        <v>3135</v>
      </c>
      <c r="B3214" t="s">
        <v>3138</v>
      </c>
      <c r="C3214" t="s">
        <v>160</v>
      </c>
      <c r="D3214" t="s">
        <v>161</v>
      </c>
      <c r="E3214" t="s">
        <v>3136</v>
      </c>
      <c r="F3214" t="s">
        <v>97</v>
      </c>
      <c r="G3214" t="s">
        <v>2078</v>
      </c>
      <c r="H3214" t="s">
        <v>4715</v>
      </c>
      <c r="I3214" t="s">
        <v>6166</v>
      </c>
      <c r="L3214" t="s">
        <v>4717</v>
      </c>
      <c r="M3214" t="s">
        <v>6157</v>
      </c>
    </row>
    <row r="3215">
      <c r="A3215" t="s">
        <v>3147</v>
      </c>
      <c r="B3215" t="s">
        <v>3148</v>
      </c>
      <c r="C3215" t="s">
        <v>160</v>
      </c>
      <c r="D3215" t="s">
        <v>161</v>
      </c>
      <c r="E3215" t="s">
        <v>3148</v>
      </c>
      <c r="F3215" t="s">
        <v>97</v>
      </c>
      <c r="G3215" t="s">
        <v>2078</v>
      </c>
      <c r="H3215" t="s">
        <v>4715</v>
      </c>
      <c r="I3215" t="s">
        <v>6167</v>
      </c>
      <c r="L3215" t="s">
        <v>4717</v>
      </c>
      <c r="M3215" t="s">
        <v>6157</v>
      </c>
    </row>
    <row r="3216">
      <c r="A3216" t="s">
        <v>3147</v>
      </c>
      <c r="B3216" t="s">
        <v>3148</v>
      </c>
      <c r="C3216" t="s">
        <v>160</v>
      </c>
      <c r="D3216" t="s">
        <v>161</v>
      </c>
      <c r="E3216" t="s">
        <v>3148</v>
      </c>
      <c r="F3216" t="s">
        <v>97</v>
      </c>
      <c r="G3216" t="s">
        <v>2078</v>
      </c>
      <c r="H3216" t="s">
        <v>4715</v>
      </c>
      <c r="I3216" t="s">
        <v>6168</v>
      </c>
      <c r="L3216" t="s">
        <v>4717</v>
      </c>
      <c r="M3216" t="s">
        <v>6157</v>
      </c>
    </row>
    <row r="3217">
      <c r="A3217" t="s">
        <v>3147</v>
      </c>
      <c r="B3217" t="s">
        <v>3148</v>
      </c>
      <c r="C3217" t="s">
        <v>160</v>
      </c>
      <c r="D3217" t="s">
        <v>161</v>
      </c>
      <c r="E3217" t="s">
        <v>3148</v>
      </c>
      <c r="F3217" t="s">
        <v>97</v>
      </c>
      <c r="G3217" t="s">
        <v>2078</v>
      </c>
      <c r="H3217" t="s">
        <v>4715</v>
      </c>
      <c r="I3217" t="s">
        <v>6169</v>
      </c>
      <c r="L3217" t="s">
        <v>4717</v>
      </c>
      <c r="M3217" t="s">
        <v>6157</v>
      </c>
    </row>
    <row r="3218">
      <c r="A3218" t="s">
        <v>3147</v>
      </c>
      <c r="B3218" t="s">
        <v>3148</v>
      </c>
      <c r="C3218" t="s">
        <v>160</v>
      </c>
      <c r="D3218" t="s">
        <v>161</v>
      </c>
      <c r="E3218" t="s">
        <v>3148</v>
      </c>
      <c r="F3218" t="s">
        <v>97</v>
      </c>
      <c r="G3218" t="s">
        <v>2078</v>
      </c>
      <c r="H3218" t="s">
        <v>4715</v>
      </c>
      <c r="I3218" t="s">
        <v>6170</v>
      </c>
      <c r="L3218" t="s">
        <v>4717</v>
      </c>
      <c r="M3218" t="s">
        <v>6157</v>
      </c>
    </row>
    <row r="3219">
      <c r="A3219" t="s">
        <v>3147</v>
      </c>
      <c r="B3219" t="s">
        <v>3148</v>
      </c>
      <c r="C3219" t="s">
        <v>160</v>
      </c>
      <c r="D3219" t="s">
        <v>161</v>
      </c>
      <c r="E3219" t="s">
        <v>3148</v>
      </c>
      <c r="F3219" t="s">
        <v>97</v>
      </c>
      <c r="G3219" t="s">
        <v>2078</v>
      </c>
      <c r="H3219" t="s">
        <v>4715</v>
      </c>
      <c r="I3219" t="s">
        <v>6171</v>
      </c>
      <c r="L3219" t="s">
        <v>4717</v>
      </c>
      <c r="M3219" t="s">
        <v>6157</v>
      </c>
    </row>
    <row r="3220">
      <c r="A3220" t="s">
        <v>3162</v>
      </c>
      <c r="B3220" t="s">
        <v>3164</v>
      </c>
      <c r="C3220" t="s">
        <v>958</v>
      </c>
      <c r="D3220" t="s">
        <v>970</v>
      </c>
      <c r="E3220" t="s">
        <v>1013</v>
      </c>
      <c r="F3220" t="s">
        <v>154</v>
      </c>
      <c r="G3220" t="s">
        <v>2078</v>
      </c>
      <c r="H3220" t="s">
        <v>4715</v>
      </c>
      <c r="I3220" t="s">
        <v>6172</v>
      </c>
      <c r="L3220" t="s">
        <v>4717</v>
      </c>
      <c r="M3220" t="s">
        <v>6157</v>
      </c>
    </row>
    <row r="3221">
      <c r="A3221" t="s">
        <v>3162</v>
      </c>
      <c r="B3221" t="s">
        <v>3164</v>
      </c>
      <c r="C3221" t="s">
        <v>958</v>
      </c>
      <c r="D3221" t="s">
        <v>970</v>
      </c>
      <c r="E3221" t="s">
        <v>1013</v>
      </c>
      <c r="F3221" t="s">
        <v>154</v>
      </c>
      <c r="G3221" t="s">
        <v>2078</v>
      </c>
      <c r="H3221" t="s">
        <v>4715</v>
      </c>
      <c r="I3221" t="s">
        <v>6173</v>
      </c>
      <c r="L3221" t="s">
        <v>4717</v>
      </c>
      <c r="M3221" t="s">
        <v>6157</v>
      </c>
    </row>
    <row r="3222">
      <c r="A3222" t="s">
        <v>3162</v>
      </c>
      <c r="B3222" t="s">
        <v>3164</v>
      </c>
      <c r="C3222" t="s">
        <v>958</v>
      </c>
      <c r="D3222" t="s">
        <v>970</v>
      </c>
      <c r="E3222" t="s">
        <v>1013</v>
      </c>
      <c r="F3222" t="s">
        <v>154</v>
      </c>
      <c r="G3222" t="s">
        <v>2078</v>
      </c>
      <c r="H3222" t="s">
        <v>4715</v>
      </c>
      <c r="I3222" t="s">
        <v>6174</v>
      </c>
      <c r="L3222" t="s">
        <v>4717</v>
      </c>
      <c r="M3222" t="s">
        <v>6157</v>
      </c>
    </row>
    <row r="3223">
      <c r="A3223" t="s">
        <v>3162</v>
      </c>
      <c r="B3223" t="s">
        <v>3164</v>
      </c>
      <c r="C3223" t="s">
        <v>958</v>
      </c>
      <c r="D3223" t="s">
        <v>970</v>
      </c>
      <c r="E3223" t="s">
        <v>1013</v>
      </c>
      <c r="F3223" t="s">
        <v>154</v>
      </c>
      <c r="G3223" t="s">
        <v>2078</v>
      </c>
      <c r="H3223" t="s">
        <v>4715</v>
      </c>
      <c r="I3223" t="s">
        <v>6175</v>
      </c>
      <c r="L3223" t="s">
        <v>4717</v>
      </c>
      <c r="M3223" t="s">
        <v>6157</v>
      </c>
    </row>
    <row r="3224">
      <c r="A3224" t="s">
        <v>3162</v>
      </c>
      <c r="B3224" t="s">
        <v>3164</v>
      </c>
      <c r="C3224" t="s">
        <v>958</v>
      </c>
      <c r="D3224" t="s">
        <v>970</v>
      </c>
      <c r="E3224" t="s">
        <v>1013</v>
      </c>
      <c r="F3224" t="s">
        <v>154</v>
      </c>
      <c r="G3224" t="s">
        <v>2078</v>
      </c>
      <c r="H3224" t="s">
        <v>4715</v>
      </c>
      <c r="I3224" t="s">
        <v>6176</v>
      </c>
      <c r="L3224" t="s">
        <v>4717</v>
      </c>
      <c r="M3224" t="s">
        <v>6157</v>
      </c>
    </row>
    <row r="3225">
      <c r="A3225" t="s">
        <v>3162</v>
      </c>
      <c r="B3225" t="s">
        <v>3164</v>
      </c>
      <c r="C3225" t="s">
        <v>958</v>
      </c>
      <c r="D3225" t="s">
        <v>970</v>
      </c>
      <c r="E3225" t="s">
        <v>1013</v>
      </c>
      <c r="F3225" t="s">
        <v>154</v>
      </c>
      <c r="G3225" t="s">
        <v>2078</v>
      </c>
      <c r="H3225" t="s">
        <v>4715</v>
      </c>
      <c r="I3225" t="s">
        <v>6177</v>
      </c>
      <c r="L3225" t="s">
        <v>4717</v>
      </c>
      <c r="M3225" t="s">
        <v>6157</v>
      </c>
    </row>
    <row r="3226">
      <c r="A3226" t="s">
        <v>3179</v>
      </c>
      <c r="B3226" t="s">
        <v>3183</v>
      </c>
      <c r="C3226" t="s">
        <v>958</v>
      </c>
      <c r="D3226" t="s">
        <v>3180</v>
      </c>
      <c r="E3226" t="s">
        <v>3181</v>
      </c>
      <c r="F3226" t="s">
        <v>154</v>
      </c>
      <c r="G3226" t="s">
        <v>2078</v>
      </c>
      <c r="H3226" t="s">
        <v>4715</v>
      </c>
      <c r="I3226" t="s">
        <v>6178</v>
      </c>
      <c r="L3226" t="s">
        <v>4717</v>
      </c>
      <c r="M3226" t="s">
        <v>6157</v>
      </c>
    </row>
    <row r="3227">
      <c r="A3227" t="s">
        <v>3179</v>
      </c>
      <c r="B3227" t="s">
        <v>3183</v>
      </c>
      <c r="C3227" t="s">
        <v>958</v>
      </c>
      <c r="D3227" t="s">
        <v>3180</v>
      </c>
      <c r="E3227" t="s">
        <v>3181</v>
      </c>
      <c r="F3227" t="s">
        <v>154</v>
      </c>
      <c r="G3227" t="s">
        <v>2078</v>
      </c>
      <c r="H3227" t="s">
        <v>4715</v>
      </c>
      <c r="I3227" t="s">
        <v>6179</v>
      </c>
      <c r="L3227" t="s">
        <v>4717</v>
      </c>
      <c r="M3227" t="s">
        <v>6157</v>
      </c>
    </row>
    <row r="3228">
      <c r="A3228" t="s">
        <v>3179</v>
      </c>
      <c r="B3228" t="s">
        <v>3183</v>
      </c>
      <c r="C3228" t="s">
        <v>958</v>
      </c>
      <c r="D3228" t="s">
        <v>3180</v>
      </c>
      <c r="E3228" t="s">
        <v>3181</v>
      </c>
      <c r="F3228" t="s">
        <v>154</v>
      </c>
      <c r="G3228" t="s">
        <v>2078</v>
      </c>
      <c r="H3228" t="s">
        <v>4715</v>
      </c>
      <c r="I3228" t="s">
        <v>6180</v>
      </c>
      <c r="L3228" t="s">
        <v>4717</v>
      </c>
      <c r="M3228" t="s">
        <v>6157</v>
      </c>
    </row>
    <row r="3229">
      <c r="A3229" t="s">
        <v>3179</v>
      </c>
      <c r="B3229" t="s">
        <v>3183</v>
      </c>
      <c r="C3229" t="s">
        <v>958</v>
      </c>
      <c r="D3229" t="s">
        <v>3180</v>
      </c>
      <c r="E3229" t="s">
        <v>3181</v>
      </c>
      <c r="F3229" t="s">
        <v>154</v>
      </c>
      <c r="G3229" t="s">
        <v>2078</v>
      </c>
      <c r="H3229" t="s">
        <v>4715</v>
      </c>
      <c r="I3229" t="s">
        <v>6181</v>
      </c>
      <c r="L3229" t="s">
        <v>4717</v>
      </c>
      <c r="M3229" t="s">
        <v>6157</v>
      </c>
    </row>
    <row r="3230">
      <c r="A3230" t="s">
        <v>3179</v>
      </c>
      <c r="B3230" t="s">
        <v>3183</v>
      </c>
      <c r="C3230" t="s">
        <v>958</v>
      </c>
      <c r="D3230" t="s">
        <v>3180</v>
      </c>
      <c r="E3230" t="s">
        <v>3181</v>
      </c>
      <c r="F3230" t="s">
        <v>154</v>
      </c>
      <c r="G3230" t="s">
        <v>2078</v>
      </c>
      <c r="H3230" t="s">
        <v>4715</v>
      </c>
      <c r="I3230" t="s">
        <v>6182</v>
      </c>
      <c r="L3230" t="s">
        <v>4717</v>
      </c>
      <c r="M3230" t="s">
        <v>6157</v>
      </c>
    </row>
    <row r="3231">
      <c r="A3231" t="s">
        <v>3200</v>
      </c>
      <c r="B3231" t="s">
        <v>3202</v>
      </c>
      <c r="C3231" t="s">
        <v>958</v>
      </c>
      <c r="D3231" t="s">
        <v>970</v>
      </c>
      <c r="E3231" t="s">
        <v>971</v>
      </c>
      <c r="F3231" t="s">
        <v>154</v>
      </c>
      <c r="G3231" t="s">
        <v>2078</v>
      </c>
      <c r="H3231" t="s">
        <v>4715</v>
      </c>
      <c r="I3231" t="s">
        <v>6183</v>
      </c>
      <c r="L3231" t="s">
        <v>4717</v>
      </c>
      <c r="M3231" t="s">
        <v>6157</v>
      </c>
    </row>
    <row r="3232">
      <c r="A3232" t="s">
        <v>3200</v>
      </c>
      <c r="B3232" t="s">
        <v>3202</v>
      </c>
      <c r="C3232" t="s">
        <v>958</v>
      </c>
      <c r="D3232" t="s">
        <v>970</v>
      </c>
      <c r="E3232" t="s">
        <v>971</v>
      </c>
      <c r="F3232" t="s">
        <v>154</v>
      </c>
      <c r="G3232" t="s">
        <v>2078</v>
      </c>
      <c r="H3232" t="s">
        <v>4715</v>
      </c>
      <c r="I3232" t="s">
        <v>6184</v>
      </c>
      <c r="L3232" t="s">
        <v>4717</v>
      </c>
      <c r="M3232" t="s">
        <v>6157</v>
      </c>
    </row>
    <row r="3233">
      <c r="A3233" t="s">
        <v>3200</v>
      </c>
      <c r="B3233" t="s">
        <v>3202</v>
      </c>
      <c r="C3233" t="s">
        <v>958</v>
      </c>
      <c r="D3233" t="s">
        <v>970</v>
      </c>
      <c r="E3233" t="s">
        <v>971</v>
      </c>
      <c r="F3233" t="s">
        <v>154</v>
      </c>
      <c r="G3233" t="s">
        <v>2078</v>
      </c>
      <c r="H3233" t="s">
        <v>4715</v>
      </c>
      <c r="I3233" t="s">
        <v>6185</v>
      </c>
      <c r="L3233" t="s">
        <v>4717</v>
      </c>
      <c r="M3233" t="s">
        <v>6157</v>
      </c>
    </row>
    <row r="3234">
      <c r="A3234" t="s">
        <v>3200</v>
      </c>
      <c r="B3234" t="s">
        <v>3202</v>
      </c>
      <c r="C3234" t="s">
        <v>958</v>
      </c>
      <c r="D3234" t="s">
        <v>970</v>
      </c>
      <c r="E3234" t="s">
        <v>971</v>
      </c>
      <c r="F3234" t="s">
        <v>154</v>
      </c>
      <c r="G3234" t="s">
        <v>2078</v>
      </c>
      <c r="H3234" t="s">
        <v>4715</v>
      </c>
      <c r="I3234" t="s">
        <v>6186</v>
      </c>
      <c r="L3234" t="s">
        <v>4717</v>
      </c>
      <c r="M3234" t="s">
        <v>6157</v>
      </c>
    </row>
    <row r="3235">
      <c r="A3235" t="s">
        <v>3200</v>
      </c>
      <c r="B3235" t="s">
        <v>3202</v>
      </c>
      <c r="C3235" t="s">
        <v>958</v>
      </c>
      <c r="D3235" t="s">
        <v>970</v>
      </c>
      <c r="E3235" t="s">
        <v>971</v>
      </c>
      <c r="F3235" t="s">
        <v>154</v>
      </c>
      <c r="G3235" t="s">
        <v>2078</v>
      </c>
      <c r="H3235" t="s">
        <v>4715</v>
      </c>
      <c r="I3235" t="s">
        <v>6187</v>
      </c>
      <c r="L3235" t="s">
        <v>4717</v>
      </c>
      <c r="M3235" t="s">
        <v>6157</v>
      </c>
    </row>
    <row r="3236">
      <c r="A3236" t="s">
        <v>3216</v>
      </c>
      <c r="B3236" t="s">
        <v>3219</v>
      </c>
      <c r="C3236" t="s">
        <v>160</v>
      </c>
      <c r="D3236" t="s">
        <v>161</v>
      </c>
      <c r="E3236" t="s">
        <v>3217</v>
      </c>
      <c r="F3236" t="s">
        <v>97</v>
      </c>
      <c r="G3236" t="s">
        <v>2078</v>
      </c>
      <c r="H3236" t="s">
        <v>4715</v>
      </c>
      <c r="I3236" t="s">
        <v>6188</v>
      </c>
      <c r="L3236" t="s">
        <v>4717</v>
      </c>
      <c r="M3236" t="s">
        <v>6189</v>
      </c>
    </row>
    <row r="3237">
      <c r="A3237" t="s">
        <v>3216</v>
      </c>
      <c r="B3237" t="s">
        <v>3219</v>
      </c>
      <c r="C3237" t="s">
        <v>160</v>
      </c>
      <c r="D3237" t="s">
        <v>161</v>
      </c>
      <c r="E3237" t="s">
        <v>3217</v>
      </c>
      <c r="F3237" t="s">
        <v>97</v>
      </c>
      <c r="G3237" t="s">
        <v>2078</v>
      </c>
      <c r="H3237" t="s">
        <v>4715</v>
      </c>
      <c r="I3237" t="s">
        <v>6190</v>
      </c>
      <c r="L3237" t="s">
        <v>4717</v>
      </c>
      <c r="M3237" t="s">
        <v>6189</v>
      </c>
    </row>
    <row r="3238">
      <c r="A3238" t="s">
        <v>3216</v>
      </c>
      <c r="B3238" t="s">
        <v>3219</v>
      </c>
      <c r="C3238" t="s">
        <v>160</v>
      </c>
      <c r="D3238" t="s">
        <v>161</v>
      </c>
      <c r="E3238" t="s">
        <v>3217</v>
      </c>
      <c r="F3238" t="s">
        <v>97</v>
      </c>
      <c r="G3238" t="s">
        <v>2078</v>
      </c>
      <c r="H3238" t="s">
        <v>4715</v>
      </c>
      <c r="I3238" t="s">
        <v>6191</v>
      </c>
      <c r="L3238" t="s">
        <v>4717</v>
      </c>
      <c r="M3238" t="s">
        <v>6189</v>
      </c>
    </row>
    <row r="3239">
      <c r="A3239" t="s">
        <v>3216</v>
      </c>
      <c r="B3239" t="s">
        <v>3219</v>
      </c>
      <c r="C3239" t="s">
        <v>160</v>
      </c>
      <c r="D3239" t="s">
        <v>161</v>
      </c>
      <c r="E3239" t="s">
        <v>3217</v>
      </c>
      <c r="F3239" t="s">
        <v>97</v>
      </c>
      <c r="G3239" t="s">
        <v>2078</v>
      </c>
      <c r="H3239" t="s">
        <v>4715</v>
      </c>
      <c r="I3239" t="s">
        <v>6192</v>
      </c>
      <c r="L3239" t="s">
        <v>4717</v>
      </c>
      <c r="M3239" t="s">
        <v>6189</v>
      </c>
    </row>
    <row r="3240">
      <c r="A3240" t="s">
        <v>3216</v>
      </c>
      <c r="B3240" t="s">
        <v>3219</v>
      </c>
      <c r="C3240" t="s">
        <v>160</v>
      </c>
      <c r="D3240" t="s">
        <v>161</v>
      </c>
      <c r="E3240" t="s">
        <v>3217</v>
      </c>
      <c r="F3240" t="s">
        <v>97</v>
      </c>
      <c r="G3240" t="s">
        <v>2078</v>
      </c>
      <c r="H3240" t="s">
        <v>4715</v>
      </c>
      <c r="I3240" t="s">
        <v>6193</v>
      </c>
      <c r="L3240" t="s">
        <v>4717</v>
      </c>
      <c r="M3240" t="s">
        <v>6189</v>
      </c>
    </row>
    <row r="3241">
      <c r="A3241" t="s">
        <v>3234</v>
      </c>
      <c r="B3241" t="s">
        <v>3236</v>
      </c>
      <c r="C3241" t="s">
        <v>160</v>
      </c>
      <c r="D3241" t="s">
        <v>161</v>
      </c>
      <c r="E3241" t="s">
        <v>3217</v>
      </c>
      <c r="F3241" t="s">
        <v>154</v>
      </c>
      <c r="G3241" t="s">
        <v>2078</v>
      </c>
      <c r="H3241" t="s">
        <v>4715</v>
      </c>
      <c r="I3241" t="s">
        <v>6194</v>
      </c>
      <c r="L3241" t="s">
        <v>4717</v>
      </c>
      <c r="M3241" t="s">
        <v>6189</v>
      </c>
    </row>
    <row r="3242">
      <c r="A3242" t="s">
        <v>3234</v>
      </c>
      <c r="B3242" t="s">
        <v>3236</v>
      </c>
      <c r="C3242" t="s">
        <v>160</v>
      </c>
      <c r="D3242" t="s">
        <v>161</v>
      </c>
      <c r="E3242" t="s">
        <v>3217</v>
      </c>
      <c r="F3242" t="s">
        <v>154</v>
      </c>
      <c r="G3242" t="s">
        <v>2078</v>
      </c>
      <c r="H3242" t="s">
        <v>4715</v>
      </c>
      <c r="I3242" t="s">
        <v>6195</v>
      </c>
      <c r="L3242" t="s">
        <v>4717</v>
      </c>
      <c r="M3242" t="s">
        <v>6189</v>
      </c>
    </row>
    <row r="3243">
      <c r="A3243" t="s">
        <v>3234</v>
      </c>
      <c r="B3243" t="s">
        <v>3236</v>
      </c>
      <c r="C3243" t="s">
        <v>160</v>
      </c>
      <c r="D3243" t="s">
        <v>161</v>
      </c>
      <c r="E3243" t="s">
        <v>3217</v>
      </c>
      <c r="F3243" t="s">
        <v>154</v>
      </c>
      <c r="G3243" t="s">
        <v>2078</v>
      </c>
      <c r="H3243" t="s">
        <v>4715</v>
      </c>
      <c r="I3243" t="s">
        <v>6196</v>
      </c>
      <c r="L3243" t="s">
        <v>4717</v>
      </c>
      <c r="M3243" t="s">
        <v>6189</v>
      </c>
    </row>
    <row r="3244">
      <c r="A3244" t="s">
        <v>3234</v>
      </c>
      <c r="B3244" t="s">
        <v>3236</v>
      </c>
      <c r="C3244" t="s">
        <v>160</v>
      </c>
      <c r="D3244" t="s">
        <v>161</v>
      </c>
      <c r="E3244" t="s">
        <v>3217</v>
      </c>
      <c r="F3244" t="s">
        <v>154</v>
      </c>
      <c r="G3244" t="s">
        <v>2078</v>
      </c>
      <c r="H3244" t="s">
        <v>4715</v>
      </c>
      <c r="I3244" t="s">
        <v>6197</v>
      </c>
      <c r="L3244" t="s">
        <v>4717</v>
      </c>
      <c r="M3244" t="s">
        <v>6189</v>
      </c>
    </row>
    <row r="3245">
      <c r="A3245" t="s">
        <v>3234</v>
      </c>
      <c r="B3245" t="s">
        <v>3236</v>
      </c>
      <c r="C3245" t="s">
        <v>160</v>
      </c>
      <c r="D3245" t="s">
        <v>161</v>
      </c>
      <c r="E3245" t="s">
        <v>3217</v>
      </c>
      <c r="F3245" t="s">
        <v>154</v>
      </c>
      <c r="G3245" t="s">
        <v>2078</v>
      </c>
      <c r="H3245" t="s">
        <v>4715</v>
      </c>
      <c r="I3245" t="s">
        <v>6198</v>
      </c>
      <c r="L3245" t="s">
        <v>4717</v>
      </c>
      <c r="M3245" t="s">
        <v>6189</v>
      </c>
    </row>
    <row r="3246">
      <c r="A3246" t="s">
        <v>3248</v>
      </c>
      <c r="B3246" t="s">
        <v>3250</v>
      </c>
      <c r="C3246" t="s">
        <v>160</v>
      </c>
      <c r="D3246" t="s">
        <v>161</v>
      </c>
      <c r="E3246" t="s">
        <v>3217</v>
      </c>
      <c r="F3246" t="s">
        <v>154</v>
      </c>
      <c r="G3246" t="s">
        <v>2078</v>
      </c>
      <c r="H3246" t="s">
        <v>4715</v>
      </c>
      <c r="I3246" t="s">
        <v>6199</v>
      </c>
      <c r="L3246" t="s">
        <v>4717</v>
      </c>
      <c r="M3246" t="s">
        <v>6189</v>
      </c>
    </row>
    <row r="3247">
      <c r="A3247" t="s">
        <v>3248</v>
      </c>
      <c r="B3247" t="s">
        <v>3250</v>
      </c>
      <c r="C3247" t="s">
        <v>160</v>
      </c>
      <c r="D3247" t="s">
        <v>161</v>
      </c>
      <c r="E3247" t="s">
        <v>3217</v>
      </c>
      <c r="F3247" t="s">
        <v>154</v>
      </c>
      <c r="G3247" t="s">
        <v>2078</v>
      </c>
      <c r="H3247" t="s">
        <v>4715</v>
      </c>
      <c r="I3247" t="s">
        <v>6200</v>
      </c>
      <c r="L3247" t="s">
        <v>4717</v>
      </c>
      <c r="M3247" t="s">
        <v>6189</v>
      </c>
    </row>
    <row r="3248">
      <c r="A3248" t="s">
        <v>3248</v>
      </c>
      <c r="B3248" t="s">
        <v>3250</v>
      </c>
      <c r="C3248" t="s">
        <v>160</v>
      </c>
      <c r="D3248" t="s">
        <v>161</v>
      </c>
      <c r="E3248" t="s">
        <v>3217</v>
      </c>
      <c r="F3248" t="s">
        <v>154</v>
      </c>
      <c r="G3248" t="s">
        <v>2078</v>
      </c>
      <c r="H3248" t="s">
        <v>4715</v>
      </c>
      <c r="I3248" t="s">
        <v>6201</v>
      </c>
      <c r="L3248" t="s">
        <v>4717</v>
      </c>
      <c r="M3248" t="s">
        <v>6189</v>
      </c>
    </row>
    <row r="3249">
      <c r="A3249" t="s">
        <v>3248</v>
      </c>
      <c r="B3249" t="s">
        <v>3250</v>
      </c>
      <c r="C3249" t="s">
        <v>160</v>
      </c>
      <c r="D3249" t="s">
        <v>161</v>
      </c>
      <c r="E3249" t="s">
        <v>3217</v>
      </c>
      <c r="F3249" t="s">
        <v>154</v>
      </c>
      <c r="G3249" t="s">
        <v>2078</v>
      </c>
      <c r="H3249" t="s">
        <v>4715</v>
      </c>
      <c r="I3249" t="s">
        <v>6202</v>
      </c>
      <c r="L3249" t="s">
        <v>4717</v>
      </c>
      <c r="M3249" t="s">
        <v>6189</v>
      </c>
    </row>
    <row r="3250">
      <c r="A3250" t="s">
        <v>3248</v>
      </c>
      <c r="B3250" t="s">
        <v>3250</v>
      </c>
      <c r="C3250" t="s">
        <v>160</v>
      </c>
      <c r="D3250" t="s">
        <v>161</v>
      </c>
      <c r="E3250" t="s">
        <v>3217</v>
      </c>
      <c r="F3250" t="s">
        <v>154</v>
      </c>
      <c r="G3250" t="s">
        <v>2078</v>
      </c>
      <c r="H3250" t="s">
        <v>4715</v>
      </c>
      <c r="I3250" t="s">
        <v>6203</v>
      </c>
      <c r="L3250" t="s">
        <v>4717</v>
      </c>
      <c r="M3250" t="s">
        <v>6189</v>
      </c>
    </row>
    <row r="3251">
      <c r="A3251" t="s">
        <v>3264</v>
      </c>
      <c r="B3251" t="s">
        <v>3266</v>
      </c>
      <c r="C3251" t="s">
        <v>160</v>
      </c>
      <c r="D3251" t="s">
        <v>161</v>
      </c>
      <c r="E3251" t="s">
        <v>3217</v>
      </c>
      <c r="F3251" t="s">
        <v>154</v>
      </c>
      <c r="G3251" t="s">
        <v>2078</v>
      </c>
      <c r="H3251" t="s">
        <v>4715</v>
      </c>
      <c r="I3251" t="s">
        <v>6204</v>
      </c>
      <c r="L3251" t="s">
        <v>4717</v>
      </c>
      <c r="M3251" t="s">
        <v>6189</v>
      </c>
    </row>
    <row r="3252">
      <c r="A3252" t="s">
        <v>3264</v>
      </c>
      <c r="B3252" t="s">
        <v>3266</v>
      </c>
      <c r="C3252" t="s">
        <v>160</v>
      </c>
      <c r="D3252" t="s">
        <v>161</v>
      </c>
      <c r="E3252" t="s">
        <v>3217</v>
      </c>
      <c r="F3252" t="s">
        <v>154</v>
      </c>
      <c r="G3252" t="s">
        <v>2078</v>
      </c>
      <c r="H3252" t="s">
        <v>4715</v>
      </c>
      <c r="I3252" t="s">
        <v>6205</v>
      </c>
      <c r="L3252" t="s">
        <v>4717</v>
      </c>
      <c r="M3252" t="s">
        <v>6189</v>
      </c>
    </row>
    <row r="3253">
      <c r="A3253" t="s">
        <v>3264</v>
      </c>
      <c r="B3253" t="s">
        <v>3266</v>
      </c>
      <c r="C3253" t="s">
        <v>160</v>
      </c>
      <c r="D3253" t="s">
        <v>161</v>
      </c>
      <c r="E3253" t="s">
        <v>3217</v>
      </c>
      <c r="F3253" t="s">
        <v>154</v>
      </c>
      <c r="G3253" t="s">
        <v>2078</v>
      </c>
      <c r="H3253" t="s">
        <v>4715</v>
      </c>
      <c r="I3253" t="s">
        <v>6206</v>
      </c>
      <c r="L3253" t="s">
        <v>4717</v>
      </c>
      <c r="M3253" t="s">
        <v>6189</v>
      </c>
    </row>
    <row r="3254">
      <c r="A3254" t="s">
        <v>3264</v>
      </c>
      <c r="B3254" t="s">
        <v>3266</v>
      </c>
      <c r="C3254" t="s">
        <v>160</v>
      </c>
      <c r="D3254" t="s">
        <v>161</v>
      </c>
      <c r="E3254" t="s">
        <v>3217</v>
      </c>
      <c r="F3254" t="s">
        <v>154</v>
      </c>
      <c r="G3254" t="s">
        <v>2078</v>
      </c>
      <c r="H3254" t="s">
        <v>4715</v>
      </c>
      <c r="I3254" t="s">
        <v>6207</v>
      </c>
      <c r="L3254" t="s">
        <v>4717</v>
      </c>
      <c r="M3254" t="s">
        <v>6189</v>
      </c>
    </row>
    <row r="3255">
      <c r="A3255" t="s">
        <v>3264</v>
      </c>
      <c r="B3255" t="s">
        <v>3266</v>
      </c>
      <c r="C3255" t="s">
        <v>160</v>
      </c>
      <c r="D3255" t="s">
        <v>161</v>
      </c>
      <c r="E3255" t="s">
        <v>3217</v>
      </c>
      <c r="F3255" t="s">
        <v>154</v>
      </c>
      <c r="G3255" t="s">
        <v>2078</v>
      </c>
      <c r="H3255" t="s">
        <v>4715</v>
      </c>
      <c r="I3255" t="s">
        <v>6208</v>
      </c>
      <c r="L3255" t="s">
        <v>4717</v>
      </c>
      <c r="M3255" t="s">
        <v>6189</v>
      </c>
    </row>
    <row r="3256">
      <c r="A3256" t="s">
        <v>3280</v>
      </c>
      <c r="B3256" t="s">
        <v>3282</v>
      </c>
      <c r="C3256" t="s">
        <v>160</v>
      </c>
      <c r="D3256" t="s">
        <v>161</v>
      </c>
      <c r="E3256" t="s">
        <v>3217</v>
      </c>
      <c r="F3256" t="s">
        <v>97</v>
      </c>
      <c r="G3256" t="s">
        <v>2078</v>
      </c>
      <c r="H3256" t="s">
        <v>4715</v>
      </c>
      <c r="I3256" t="s">
        <v>6209</v>
      </c>
      <c r="L3256" t="s">
        <v>4717</v>
      </c>
      <c r="M3256" t="s">
        <v>6189</v>
      </c>
    </row>
    <row r="3257">
      <c r="A3257" t="s">
        <v>3280</v>
      </c>
      <c r="B3257" t="s">
        <v>3282</v>
      </c>
      <c r="C3257" t="s">
        <v>160</v>
      </c>
      <c r="D3257" t="s">
        <v>161</v>
      </c>
      <c r="E3257" t="s">
        <v>3217</v>
      </c>
      <c r="F3257" t="s">
        <v>97</v>
      </c>
      <c r="G3257" t="s">
        <v>2078</v>
      </c>
      <c r="H3257" t="s">
        <v>4715</v>
      </c>
      <c r="I3257" t="s">
        <v>6210</v>
      </c>
      <c r="L3257" t="s">
        <v>4717</v>
      </c>
      <c r="M3257" t="s">
        <v>6189</v>
      </c>
    </row>
    <row r="3258">
      <c r="A3258" t="s">
        <v>3280</v>
      </c>
      <c r="B3258" t="s">
        <v>3282</v>
      </c>
      <c r="C3258" t="s">
        <v>160</v>
      </c>
      <c r="D3258" t="s">
        <v>161</v>
      </c>
      <c r="E3258" t="s">
        <v>3217</v>
      </c>
      <c r="F3258" t="s">
        <v>97</v>
      </c>
      <c r="G3258" t="s">
        <v>2078</v>
      </c>
      <c r="H3258" t="s">
        <v>4715</v>
      </c>
      <c r="I3258" t="s">
        <v>6211</v>
      </c>
      <c r="L3258" t="s">
        <v>4717</v>
      </c>
      <c r="M3258" t="s">
        <v>6189</v>
      </c>
    </row>
    <row r="3259">
      <c r="A3259" t="s">
        <v>3280</v>
      </c>
      <c r="B3259" t="s">
        <v>3282</v>
      </c>
      <c r="C3259" t="s">
        <v>160</v>
      </c>
      <c r="D3259" t="s">
        <v>161</v>
      </c>
      <c r="E3259" t="s">
        <v>3217</v>
      </c>
      <c r="F3259" t="s">
        <v>97</v>
      </c>
      <c r="G3259" t="s">
        <v>2078</v>
      </c>
      <c r="H3259" t="s">
        <v>4715</v>
      </c>
      <c r="I3259" t="s">
        <v>6212</v>
      </c>
      <c r="L3259" t="s">
        <v>4717</v>
      </c>
      <c r="M3259" t="s">
        <v>6189</v>
      </c>
    </row>
    <row r="3260">
      <c r="A3260" t="s">
        <v>3280</v>
      </c>
      <c r="B3260" t="s">
        <v>3282</v>
      </c>
      <c r="C3260" t="s">
        <v>160</v>
      </c>
      <c r="D3260" t="s">
        <v>161</v>
      </c>
      <c r="E3260" t="s">
        <v>3217</v>
      </c>
      <c r="F3260" t="s">
        <v>97</v>
      </c>
      <c r="G3260" t="s">
        <v>2078</v>
      </c>
      <c r="H3260" t="s">
        <v>4715</v>
      </c>
      <c r="I3260" t="s">
        <v>6213</v>
      </c>
      <c r="L3260" t="s">
        <v>4717</v>
      </c>
      <c r="M3260" t="s">
        <v>6189</v>
      </c>
    </row>
    <row r="3261" ht="126">
      <c r="A3261" s="28" t="s">
        <v>3295</v>
      </c>
      <c r="B3261" s="25" t="s">
        <v>3298</v>
      </c>
      <c r="C3261" s="25" t="s">
        <v>958</v>
      </c>
      <c r="D3261" s="25" t="s">
        <v>2840</v>
      </c>
      <c r="E3261" s="25" t="s">
        <v>3296</v>
      </c>
      <c r="F3261" s="25" t="s">
        <v>97</v>
      </c>
      <c r="G3261" s="25" t="s">
        <v>2078</v>
      </c>
      <c r="H3261" s="25" t="s">
        <v>4715</v>
      </c>
      <c r="I3261" s="25" t="s">
        <v>6214</v>
      </c>
      <c r="J3261" s="25"/>
      <c r="K3261" s="25" t="s">
        <v>3305</v>
      </c>
      <c r="L3261" s="25" t="s">
        <v>4717</v>
      </c>
      <c r="M3261" s="25" t="s">
        <v>6215</v>
      </c>
    </row>
    <row r="3262" ht="126">
      <c r="A3262" s="28" t="s">
        <v>3295</v>
      </c>
      <c r="B3262" s="25" t="s">
        <v>3298</v>
      </c>
      <c r="C3262" s="25" t="s">
        <v>958</v>
      </c>
      <c r="D3262" s="25" t="s">
        <v>2840</v>
      </c>
      <c r="E3262" s="25" t="s">
        <v>3296</v>
      </c>
      <c r="F3262" s="25" t="s">
        <v>97</v>
      </c>
      <c r="G3262" s="25" t="s">
        <v>2078</v>
      </c>
      <c r="H3262" s="25" t="s">
        <v>4715</v>
      </c>
      <c r="I3262" s="25" t="s">
        <v>6216</v>
      </c>
      <c r="J3262" s="25"/>
      <c r="K3262" s="25" t="s">
        <v>3305</v>
      </c>
      <c r="L3262" s="25" t="s">
        <v>4717</v>
      </c>
      <c r="M3262" s="25" t="s">
        <v>6215</v>
      </c>
    </row>
    <row r="3263" ht="126">
      <c r="A3263" s="28" t="s">
        <v>3295</v>
      </c>
      <c r="B3263" s="25" t="s">
        <v>3298</v>
      </c>
      <c r="C3263" s="25" t="s">
        <v>958</v>
      </c>
      <c r="D3263" s="25" t="s">
        <v>2840</v>
      </c>
      <c r="E3263" s="25" t="s">
        <v>3296</v>
      </c>
      <c r="F3263" s="25" t="s">
        <v>97</v>
      </c>
      <c r="G3263" s="25" t="s">
        <v>2078</v>
      </c>
      <c r="H3263" s="25" t="s">
        <v>4715</v>
      </c>
      <c r="I3263" s="25" t="s">
        <v>6217</v>
      </c>
      <c r="J3263" s="25"/>
      <c r="K3263" s="25" t="s">
        <v>3305</v>
      </c>
      <c r="L3263" s="25" t="s">
        <v>4717</v>
      </c>
      <c r="M3263" s="25" t="s">
        <v>6215</v>
      </c>
    </row>
    <row r="3264" ht="182">
      <c r="A3264" s="28" t="s">
        <v>3308</v>
      </c>
      <c r="B3264" s="25" t="s">
        <v>3310</v>
      </c>
      <c r="C3264" s="25" t="s">
        <v>958</v>
      </c>
      <c r="D3264" s="25" t="s">
        <v>2840</v>
      </c>
      <c r="E3264" s="25" t="s">
        <v>3296</v>
      </c>
      <c r="F3264" s="25" t="s">
        <v>97</v>
      </c>
      <c r="G3264" s="25" t="s">
        <v>2078</v>
      </c>
      <c r="H3264" s="25" t="s">
        <v>4715</v>
      </c>
      <c r="I3264" s="25" t="s">
        <v>6218</v>
      </c>
      <c r="J3264" s="25"/>
      <c r="K3264" s="25" t="s">
        <v>3316</v>
      </c>
      <c r="L3264" s="25" t="s">
        <v>4717</v>
      </c>
      <c r="M3264" s="25" t="s">
        <v>6215</v>
      </c>
    </row>
    <row r="3265" ht="182">
      <c r="A3265" s="28" t="s">
        <v>3308</v>
      </c>
      <c r="B3265" s="25" t="s">
        <v>3310</v>
      </c>
      <c r="C3265" s="25" t="s">
        <v>958</v>
      </c>
      <c r="D3265" s="25" t="s">
        <v>2840</v>
      </c>
      <c r="E3265" s="25" t="s">
        <v>3296</v>
      </c>
      <c r="F3265" s="25" t="s">
        <v>97</v>
      </c>
      <c r="G3265" s="25" t="s">
        <v>2078</v>
      </c>
      <c r="H3265" s="25" t="s">
        <v>4715</v>
      </c>
      <c r="I3265" s="25" t="s">
        <v>6219</v>
      </c>
      <c r="J3265" s="25"/>
      <c r="K3265" s="25" t="s">
        <v>3316</v>
      </c>
      <c r="L3265" s="25" t="s">
        <v>4717</v>
      </c>
      <c r="M3265" s="25" t="s">
        <v>6215</v>
      </c>
    </row>
    <row r="3266" ht="182">
      <c r="A3266" s="28" t="s">
        <v>3308</v>
      </c>
      <c r="B3266" s="25" t="s">
        <v>3310</v>
      </c>
      <c r="C3266" s="25" t="s">
        <v>958</v>
      </c>
      <c r="D3266" s="25" t="s">
        <v>2840</v>
      </c>
      <c r="E3266" s="25" t="s">
        <v>3296</v>
      </c>
      <c r="F3266" s="25" t="s">
        <v>97</v>
      </c>
      <c r="G3266" s="25" t="s">
        <v>2078</v>
      </c>
      <c r="H3266" s="25" t="s">
        <v>4715</v>
      </c>
      <c r="I3266" s="25" t="s">
        <v>6220</v>
      </c>
      <c r="J3266" s="25"/>
      <c r="K3266" s="25" t="s">
        <v>3316</v>
      </c>
      <c r="L3266" s="25" t="s">
        <v>4717</v>
      </c>
      <c r="M3266" s="25" t="s">
        <v>6215</v>
      </c>
    </row>
    <row r="3267" ht="182">
      <c r="A3267" s="28" t="s">
        <v>3319</v>
      </c>
      <c r="B3267" s="25" t="s">
        <v>3320</v>
      </c>
      <c r="C3267" s="25" t="s">
        <v>958</v>
      </c>
      <c r="D3267" s="25" t="s">
        <v>2840</v>
      </c>
      <c r="E3267" s="25" t="s">
        <v>3296</v>
      </c>
      <c r="F3267" s="25" t="s">
        <v>97</v>
      </c>
      <c r="G3267" s="25" t="s">
        <v>2078</v>
      </c>
      <c r="H3267" s="25" t="s">
        <v>4715</v>
      </c>
      <c r="I3267" s="25" t="s">
        <v>6221</v>
      </c>
      <c r="J3267" s="25"/>
      <c r="K3267" s="25" t="s">
        <v>3326</v>
      </c>
      <c r="L3267" s="25" t="s">
        <v>4717</v>
      </c>
      <c r="M3267" s="25" t="s">
        <v>6215</v>
      </c>
    </row>
    <row r="3268" ht="182">
      <c r="A3268" s="28" t="s">
        <v>3319</v>
      </c>
      <c r="B3268" s="25" t="s">
        <v>3320</v>
      </c>
      <c r="C3268" s="25" t="s">
        <v>958</v>
      </c>
      <c r="D3268" s="25" t="s">
        <v>2840</v>
      </c>
      <c r="E3268" s="25" t="s">
        <v>3296</v>
      </c>
      <c r="F3268" s="25" t="s">
        <v>97</v>
      </c>
      <c r="G3268" s="25" t="s">
        <v>2078</v>
      </c>
      <c r="H3268" s="25" t="s">
        <v>4715</v>
      </c>
      <c r="I3268" s="25" t="s">
        <v>6222</v>
      </c>
      <c r="J3268" s="25"/>
      <c r="K3268" s="25" t="s">
        <v>3326</v>
      </c>
      <c r="L3268" s="25" t="s">
        <v>4717</v>
      </c>
      <c r="M3268" s="25" t="s">
        <v>6215</v>
      </c>
    </row>
    <row r="3269" ht="182">
      <c r="A3269" s="28" t="s">
        <v>3319</v>
      </c>
      <c r="B3269" s="25" t="s">
        <v>3320</v>
      </c>
      <c r="C3269" s="25" t="s">
        <v>958</v>
      </c>
      <c r="D3269" s="25" t="s">
        <v>2840</v>
      </c>
      <c r="E3269" s="25" t="s">
        <v>3296</v>
      </c>
      <c r="F3269" s="25" t="s">
        <v>97</v>
      </c>
      <c r="G3269" s="25" t="s">
        <v>2078</v>
      </c>
      <c r="H3269" s="25" t="s">
        <v>4715</v>
      </c>
      <c r="I3269" s="25" t="s">
        <v>6223</v>
      </c>
      <c r="J3269" s="25"/>
      <c r="K3269" s="25" t="s">
        <v>3326</v>
      </c>
      <c r="L3269" s="25" t="s">
        <v>4717</v>
      </c>
      <c r="M3269" s="25" t="s">
        <v>6215</v>
      </c>
    </row>
    <row r="3270" ht="140">
      <c r="A3270" s="28" t="s">
        <v>3329</v>
      </c>
      <c r="B3270" s="25" t="s">
        <v>3332</v>
      </c>
      <c r="C3270" s="25" t="s">
        <v>958</v>
      </c>
      <c r="D3270" s="25" t="s">
        <v>2840</v>
      </c>
      <c r="E3270" s="25" t="s">
        <v>3330</v>
      </c>
      <c r="F3270" s="25" t="s">
        <v>120</v>
      </c>
      <c r="G3270" s="25" t="s">
        <v>2078</v>
      </c>
      <c r="H3270" s="25" t="s">
        <v>4715</v>
      </c>
      <c r="I3270" s="25" t="s">
        <v>6224</v>
      </c>
      <c r="J3270" s="25"/>
      <c r="K3270" s="25" t="s">
        <v>3339</v>
      </c>
      <c r="L3270" s="25" t="s">
        <v>4717</v>
      </c>
      <c r="M3270" s="25" t="s">
        <v>6215</v>
      </c>
    </row>
    <row r="3271" ht="140">
      <c r="A3271" s="28" t="s">
        <v>3329</v>
      </c>
      <c r="B3271" s="25" t="s">
        <v>3332</v>
      </c>
      <c r="C3271" s="25" t="s">
        <v>958</v>
      </c>
      <c r="D3271" s="25" t="s">
        <v>2840</v>
      </c>
      <c r="E3271" s="25" t="s">
        <v>3330</v>
      </c>
      <c r="F3271" s="25" t="s">
        <v>120</v>
      </c>
      <c r="G3271" s="25" t="s">
        <v>2078</v>
      </c>
      <c r="H3271" s="25" t="s">
        <v>4715</v>
      </c>
      <c r="I3271" s="25" t="s">
        <v>6225</v>
      </c>
      <c r="J3271" s="25"/>
      <c r="K3271" s="25" t="s">
        <v>3339</v>
      </c>
      <c r="L3271" s="25" t="s">
        <v>4717</v>
      </c>
      <c r="M3271" s="25" t="s">
        <v>6215</v>
      </c>
    </row>
    <row r="3272" ht="140">
      <c r="A3272" s="28" t="s">
        <v>3329</v>
      </c>
      <c r="B3272" s="25" t="s">
        <v>3332</v>
      </c>
      <c r="C3272" s="25" t="s">
        <v>958</v>
      </c>
      <c r="D3272" s="25" t="s">
        <v>2840</v>
      </c>
      <c r="E3272" s="25" t="s">
        <v>3330</v>
      </c>
      <c r="F3272" s="25" t="s">
        <v>120</v>
      </c>
      <c r="G3272" s="25" t="s">
        <v>2078</v>
      </c>
      <c r="H3272" s="25" t="s">
        <v>4715</v>
      </c>
      <c r="I3272" s="25" t="s">
        <v>6226</v>
      </c>
      <c r="J3272" s="25"/>
      <c r="K3272" s="25" t="s">
        <v>3339</v>
      </c>
      <c r="L3272" s="25" t="s">
        <v>4717</v>
      </c>
      <c r="M3272" s="25" t="s">
        <v>6215</v>
      </c>
    </row>
    <row r="3273" ht="126">
      <c r="A3273" s="28" t="s">
        <v>3344</v>
      </c>
      <c r="B3273" s="25" t="s">
        <v>3345</v>
      </c>
      <c r="C3273" s="25" t="s">
        <v>958</v>
      </c>
      <c r="D3273" s="25" t="s">
        <v>2840</v>
      </c>
      <c r="E3273" s="25" t="s">
        <v>3330</v>
      </c>
      <c r="F3273" s="25" t="s">
        <v>120</v>
      </c>
      <c r="G3273" s="25" t="s">
        <v>2078</v>
      </c>
      <c r="H3273" s="25" t="s">
        <v>4715</v>
      </c>
      <c r="I3273" s="25" t="s">
        <v>6227</v>
      </c>
      <c r="J3273" s="25"/>
      <c r="K3273" s="25" t="s">
        <v>3351</v>
      </c>
      <c r="L3273" s="25" t="s">
        <v>4717</v>
      </c>
      <c r="M3273" s="25" t="s">
        <v>6215</v>
      </c>
    </row>
    <row r="3274" ht="126">
      <c r="A3274" s="28" t="s">
        <v>3344</v>
      </c>
      <c r="B3274" s="25" t="s">
        <v>3345</v>
      </c>
      <c r="C3274" s="25" t="s">
        <v>958</v>
      </c>
      <c r="D3274" s="25" t="s">
        <v>2840</v>
      </c>
      <c r="E3274" s="25" t="s">
        <v>3330</v>
      </c>
      <c r="F3274" s="25" t="s">
        <v>120</v>
      </c>
      <c r="G3274" s="25" t="s">
        <v>2078</v>
      </c>
      <c r="H3274" s="25" t="s">
        <v>4715</v>
      </c>
      <c r="I3274" s="25" t="s">
        <v>6228</v>
      </c>
      <c r="J3274" s="25"/>
      <c r="K3274" s="25" t="s">
        <v>3351</v>
      </c>
      <c r="L3274" s="25" t="s">
        <v>4717</v>
      </c>
      <c r="M3274" s="25" t="s">
        <v>6215</v>
      </c>
    </row>
    <row r="3275" ht="126">
      <c r="A3275" s="28" t="s">
        <v>3344</v>
      </c>
      <c r="B3275" s="25" t="s">
        <v>3345</v>
      </c>
      <c r="C3275" s="25" t="s">
        <v>958</v>
      </c>
      <c r="D3275" s="25" t="s">
        <v>2840</v>
      </c>
      <c r="E3275" s="25" t="s">
        <v>3330</v>
      </c>
      <c r="F3275" s="25" t="s">
        <v>120</v>
      </c>
      <c r="G3275" s="25" t="s">
        <v>2078</v>
      </c>
      <c r="H3275" s="25" t="s">
        <v>4715</v>
      </c>
      <c r="I3275" s="25" t="s">
        <v>6229</v>
      </c>
      <c r="J3275" s="25"/>
      <c r="K3275" s="25" t="s">
        <v>3351</v>
      </c>
      <c r="L3275" s="25" t="s">
        <v>4717</v>
      </c>
      <c r="M3275" s="25" t="s">
        <v>6215</v>
      </c>
    </row>
    <row r="3276" ht="98">
      <c r="A3276" s="28" t="s">
        <v>3356</v>
      </c>
      <c r="B3276" s="25" t="s">
        <v>3357</v>
      </c>
      <c r="C3276" s="25" t="s">
        <v>958</v>
      </c>
      <c r="D3276" s="25" t="s">
        <v>2840</v>
      </c>
      <c r="E3276" s="25" t="s">
        <v>3330</v>
      </c>
      <c r="F3276" s="25" t="s">
        <v>120</v>
      </c>
      <c r="G3276" s="25" t="s">
        <v>2078</v>
      </c>
      <c r="H3276" s="25" t="s">
        <v>4715</v>
      </c>
      <c r="I3276" s="25" t="s">
        <v>6230</v>
      </c>
      <c r="J3276" s="25"/>
      <c r="K3276" s="25" t="s">
        <v>3363</v>
      </c>
      <c r="L3276" s="25" t="s">
        <v>4717</v>
      </c>
      <c r="M3276" s="25" t="s">
        <v>6215</v>
      </c>
    </row>
    <row r="3277" ht="98">
      <c r="A3277" s="28" t="s">
        <v>3356</v>
      </c>
      <c r="B3277" s="25" t="s">
        <v>3357</v>
      </c>
      <c r="C3277" s="25" t="s">
        <v>958</v>
      </c>
      <c r="D3277" s="25" t="s">
        <v>2840</v>
      </c>
      <c r="E3277" s="25" t="s">
        <v>3330</v>
      </c>
      <c r="F3277" s="25" t="s">
        <v>120</v>
      </c>
      <c r="G3277" s="25" t="s">
        <v>2078</v>
      </c>
      <c r="H3277" s="25" t="s">
        <v>4715</v>
      </c>
      <c r="I3277" s="25" t="s">
        <v>6231</v>
      </c>
      <c r="J3277" s="25"/>
      <c r="K3277" s="25" t="s">
        <v>3363</v>
      </c>
      <c r="L3277" s="25" t="s">
        <v>4717</v>
      </c>
      <c r="M3277" s="25" t="s">
        <v>6215</v>
      </c>
    </row>
    <row r="3278" ht="98">
      <c r="A3278" s="28" t="s">
        <v>3356</v>
      </c>
      <c r="B3278" s="25" t="s">
        <v>3357</v>
      </c>
      <c r="C3278" s="25" t="s">
        <v>958</v>
      </c>
      <c r="D3278" s="25" t="s">
        <v>2840</v>
      </c>
      <c r="E3278" s="25" t="s">
        <v>3330</v>
      </c>
      <c r="F3278" s="25" t="s">
        <v>120</v>
      </c>
      <c r="G3278" s="25" t="s">
        <v>2078</v>
      </c>
      <c r="H3278" s="25" t="s">
        <v>4715</v>
      </c>
      <c r="I3278" s="25" t="s">
        <v>6232</v>
      </c>
      <c r="J3278" s="25"/>
      <c r="K3278" s="25" t="s">
        <v>3363</v>
      </c>
      <c r="L3278" s="25" t="s">
        <v>4717</v>
      </c>
      <c r="M3278" s="25" t="s">
        <v>6215</v>
      </c>
    </row>
    <row r="3279" ht="140">
      <c r="A3279" s="28" t="s">
        <v>3366</v>
      </c>
      <c r="B3279" s="25" t="s">
        <v>3367</v>
      </c>
      <c r="C3279" s="25" t="s">
        <v>958</v>
      </c>
      <c r="D3279" s="25" t="s">
        <v>2840</v>
      </c>
      <c r="E3279" s="25" t="s">
        <v>3330</v>
      </c>
      <c r="F3279" s="25" t="s">
        <v>97</v>
      </c>
      <c r="G3279" s="25" t="s">
        <v>2078</v>
      </c>
      <c r="H3279" s="25" t="s">
        <v>4715</v>
      </c>
      <c r="I3279" s="25" t="s">
        <v>6233</v>
      </c>
      <c r="J3279" s="25"/>
      <c r="K3279" s="25" t="s">
        <v>3374</v>
      </c>
      <c r="L3279" s="25" t="s">
        <v>4717</v>
      </c>
      <c r="M3279" s="25" t="s">
        <v>6215</v>
      </c>
    </row>
    <row r="3280" ht="140">
      <c r="A3280" s="28" t="s">
        <v>3366</v>
      </c>
      <c r="B3280" s="25" t="s">
        <v>3367</v>
      </c>
      <c r="C3280" s="25" t="s">
        <v>958</v>
      </c>
      <c r="D3280" s="25" t="s">
        <v>2840</v>
      </c>
      <c r="E3280" s="25" t="s">
        <v>3330</v>
      </c>
      <c r="F3280" s="25" t="s">
        <v>97</v>
      </c>
      <c r="G3280" s="25" t="s">
        <v>2078</v>
      </c>
      <c r="H3280" s="25" t="s">
        <v>4715</v>
      </c>
      <c r="I3280" s="25" t="s">
        <v>6234</v>
      </c>
      <c r="J3280" s="25"/>
      <c r="K3280" s="25" t="s">
        <v>3374</v>
      </c>
      <c r="L3280" s="25" t="s">
        <v>4717</v>
      </c>
      <c r="M3280" s="25" t="s">
        <v>6215</v>
      </c>
    </row>
    <row r="3281" ht="140">
      <c r="A3281" s="28" t="s">
        <v>3366</v>
      </c>
      <c r="B3281" s="25" t="s">
        <v>3367</v>
      </c>
      <c r="C3281" s="25" t="s">
        <v>958</v>
      </c>
      <c r="D3281" s="25" t="s">
        <v>2840</v>
      </c>
      <c r="E3281" s="25" t="s">
        <v>3330</v>
      </c>
      <c r="F3281" s="25" t="s">
        <v>97</v>
      </c>
      <c r="G3281" s="25" t="s">
        <v>2078</v>
      </c>
      <c r="H3281" s="25" t="s">
        <v>4715</v>
      </c>
      <c r="I3281" s="25" t="s">
        <v>6235</v>
      </c>
      <c r="J3281" s="25"/>
      <c r="K3281" s="25" t="s">
        <v>3374</v>
      </c>
      <c r="L3281" s="25" t="s">
        <v>4717</v>
      </c>
      <c r="M3281" s="25" t="s">
        <v>6215</v>
      </c>
    </row>
    <row r="3282" ht="140">
      <c r="A3282" s="28" t="s">
        <v>3379</v>
      </c>
      <c r="B3282" s="25" t="s">
        <v>3382</v>
      </c>
      <c r="C3282" s="25" t="s">
        <v>958</v>
      </c>
      <c r="D3282" s="25" t="s">
        <v>2840</v>
      </c>
      <c r="E3282" s="25" t="s">
        <v>3380</v>
      </c>
      <c r="F3282" s="25" t="s">
        <v>120</v>
      </c>
      <c r="G3282" s="25" t="s">
        <v>2078</v>
      </c>
      <c r="H3282" s="25" t="s">
        <v>4715</v>
      </c>
      <c r="I3282" s="25" t="s">
        <v>6236</v>
      </c>
      <c r="J3282" s="25"/>
      <c r="K3282" s="25" t="s">
        <v>3388</v>
      </c>
      <c r="L3282" s="25" t="s">
        <v>4717</v>
      </c>
      <c r="M3282" s="25" t="s">
        <v>6215</v>
      </c>
    </row>
    <row r="3283" ht="140">
      <c r="A3283" s="28" t="s">
        <v>3379</v>
      </c>
      <c r="B3283" s="25" t="s">
        <v>3382</v>
      </c>
      <c r="C3283" s="25" t="s">
        <v>958</v>
      </c>
      <c r="D3283" s="25" t="s">
        <v>2840</v>
      </c>
      <c r="E3283" s="25" t="s">
        <v>3380</v>
      </c>
      <c r="F3283" s="25" t="s">
        <v>120</v>
      </c>
      <c r="G3283" s="25" t="s">
        <v>2078</v>
      </c>
      <c r="H3283" s="25" t="s">
        <v>4715</v>
      </c>
      <c r="I3283" s="25" t="s">
        <v>6237</v>
      </c>
      <c r="J3283" s="25"/>
      <c r="K3283" s="25" t="s">
        <v>3388</v>
      </c>
      <c r="L3283" s="25" t="s">
        <v>4717</v>
      </c>
      <c r="M3283" s="25" t="s">
        <v>6215</v>
      </c>
    </row>
    <row r="3284" ht="140">
      <c r="A3284" s="28" t="s">
        <v>3379</v>
      </c>
      <c r="B3284" s="25" t="s">
        <v>3382</v>
      </c>
      <c r="C3284" s="25" t="s">
        <v>958</v>
      </c>
      <c r="D3284" s="25" t="s">
        <v>2840</v>
      </c>
      <c r="E3284" s="25" t="s">
        <v>3380</v>
      </c>
      <c r="F3284" s="25" t="s">
        <v>120</v>
      </c>
      <c r="G3284" s="25" t="s">
        <v>2078</v>
      </c>
      <c r="H3284" s="25" t="s">
        <v>4715</v>
      </c>
      <c r="I3284" s="25" t="s">
        <v>6238</v>
      </c>
      <c r="J3284" s="25"/>
      <c r="K3284" s="25" t="s">
        <v>3388</v>
      </c>
      <c r="L3284" s="25" t="s">
        <v>4717</v>
      </c>
      <c r="M3284" s="25" t="s">
        <v>6215</v>
      </c>
    </row>
    <row r="3285" ht="140">
      <c r="A3285" s="28" t="s">
        <v>3391</v>
      </c>
      <c r="B3285" s="25" t="s">
        <v>3392</v>
      </c>
      <c r="C3285" s="25" t="s">
        <v>958</v>
      </c>
      <c r="D3285" s="25" t="s">
        <v>2840</v>
      </c>
      <c r="E3285" s="25" t="s">
        <v>3380</v>
      </c>
      <c r="F3285" s="25" t="s">
        <v>97</v>
      </c>
      <c r="G3285" s="25" t="s">
        <v>2078</v>
      </c>
      <c r="H3285" s="25" t="s">
        <v>4715</v>
      </c>
      <c r="I3285" s="25" t="s">
        <v>4581</v>
      </c>
      <c r="J3285" s="25"/>
      <c r="K3285" s="25" t="s">
        <v>3398</v>
      </c>
      <c r="L3285" s="25" t="s">
        <v>4717</v>
      </c>
      <c r="M3285" s="25" t="s">
        <v>6215</v>
      </c>
    </row>
    <row r="3286" ht="140">
      <c r="A3286" s="28" t="s">
        <v>3391</v>
      </c>
      <c r="B3286" s="25" t="s">
        <v>3392</v>
      </c>
      <c r="C3286" s="25" t="s">
        <v>958</v>
      </c>
      <c r="D3286" s="25" t="s">
        <v>2840</v>
      </c>
      <c r="E3286" s="25" t="s">
        <v>3380</v>
      </c>
      <c r="F3286" s="25" t="s">
        <v>97</v>
      </c>
      <c r="G3286" s="25" t="s">
        <v>2078</v>
      </c>
      <c r="H3286" s="25" t="s">
        <v>4715</v>
      </c>
      <c r="I3286" s="25" t="s">
        <v>6239</v>
      </c>
      <c r="J3286" s="25"/>
      <c r="K3286" s="25" t="s">
        <v>3398</v>
      </c>
      <c r="L3286" s="25" t="s">
        <v>4717</v>
      </c>
      <c r="M3286" s="25" t="s">
        <v>6215</v>
      </c>
    </row>
    <row r="3287" ht="140">
      <c r="A3287" s="28" t="s">
        <v>3391</v>
      </c>
      <c r="B3287" s="25" t="s">
        <v>3392</v>
      </c>
      <c r="C3287" s="25" t="s">
        <v>958</v>
      </c>
      <c r="D3287" s="25" t="s">
        <v>2840</v>
      </c>
      <c r="E3287" s="25" t="s">
        <v>3380</v>
      </c>
      <c r="F3287" s="25" t="s">
        <v>97</v>
      </c>
      <c r="G3287" s="25" t="s">
        <v>2078</v>
      </c>
      <c r="H3287" s="25" t="s">
        <v>4715</v>
      </c>
      <c r="I3287" s="25" t="s">
        <v>6240</v>
      </c>
      <c r="J3287" s="25"/>
      <c r="K3287" s="25" t="s">
        <v>3398</v>
      </c>
      <c r="L3287" s="25" t="s">
        <v>4717</v>
      </c>
      <c r="M3287" s="25" t="s">
        <v>6215</v>
      </c>
    </row>
    <row r="3288" ht="140">
      <c r="A3288" s="28" t="s">
        <v>3391</v>
      </c>
      <c r="B3288" s="25" t="s">
        <v>3392</v>
      </c>
      <c r="C3288" s="25" t="s">
        <v>958</v>
      </c>
      <c r="D3288" s="25" t="s">
        <v>2840</v>
      </c>
      <c r="E3288" s="25" t="s">
        <v>3380</v>
      </c>
      <c r="F3288" s="25" t="s">
        <v>97</v>
      </c>
      <c r="G3288" s="25" t="s">
        <v>2078</v>
      </c>
      <c r="H3288" s="25" t="s">
        <v>4715</v>
      </c>
      <c r="I3288" s="25" t="s">
        <v>6241</v>
      </c>
      <c r="J3288" s="25"/>
      <c r="K3288" s="25" t="s">
        <v>3398</v>
      </c>
      <c r="L3288" s="25" t="s">
        <v>4717</v>
      </c>
      <c r="M3288" s="25" t="s">
        <v>6215</v>
      </c>
    </row>
    <row r="3289" ht="140">
      <c r="A3289" s="28" t="s">
        <v>3403</v>
      </c>
      <c r="B3289" s="25" t="s">
        <v>3406</v>
      </c>
      <c r="C3289" s="25" t="s">
        <v>958</v>
      </c>
      <c r="D3289" s="25" t="s">
        <v>2840</v>
      </c>
      <c r="E3289" s="25" t="s">
        <v>3404</v>
      </c>
      <c r="F3289" s="25" t="s">
        <v>97</v>
      </c>
      <c r="G3289" s="25" t="s">
        <v>2078</v>
      </c>
      <c r="H3289" s="25" t="s">
        <v>4715</v>
      </c>
      <c r="I3289" s="25" t="s">
        <v>6242</v>
      </c>
      <c r="J3289" s="25"/>
      <c r="K3289" s="25" t="s">
        <v>3413</v>
      </c>
      <c r="L3289" s="25" t="s">
        <v>4717</v>
      </c>
      <c r="M3289" s="25" t="s">
        <v>6215</v>
      </c>
    </row>
    <row r="3290" ht="140">
      <c r="A3290" s="28" t="s">
        <v>3403</v>
      </c>
      <c r="B3290" s="25" t="s">
        <v>3406</v>
      </c>
      <c r="C3290" s="25" t="s">
        <v>958</v>
      </c>
      <c r="D3290" s="25" t="s">
        <v>2840</v>
      </c>
      <c r="E3290" s="25" t="s">
        <v>3404</v>
      </c>
      <c r="F3290" s="25" t="s">
        <v>97</v>
      </c>
      <c r="G3290" s="25" t="s">
        <v>2078</v>
      </c>
      <c r="H3290" s="25" t="s">
        <v>4715</v>
      </c>
      <c r="I3290" s="25" t="s">
        <v>6243</v>
      </c>
      <c r="J3290" s="25"/>
      <c r="K3290" s="25" t="s">
        <v>3413</v>
      </c>
      <c r="L3290" s="25" t="s">
        <v>4717</v>
      </c>
      <c r="M3290" s="25" t="s">
        <v>6215</v>
      </c>
    </row>
    <row r="3291" ht="140">
      <c r="A3291" s="28" t="s">
        <v>3403</v>
      </c>
      <c r="B3291" s="25" t="s">
        <v>3406</v>
      </c>
      <c r="C3291" s="25" t="s">
        <v>958</v>
      </c>
      <c r="D3291" s="25" t="s">
        <v>2840</v>
      </c>
      <c r="E3291" s="25" t="s">
        <v>3404</v>
      </c>
      <c r="F3291" s="25" t="s">
        <v>97</v>
      </c>
      <c r="G3291" s="25" t="s">
        <v>2078</v>
      </c>
      <c r="H3291" s="25" t="s">
        <v>4715</v>
      </c>
      <c r="I3291" s="25" t="s">
        <v>6244</v>
      </c>
      <c r="J3291" s="25"/>
      <c r="K3291" s="25" t="s">
        <v>3413</v>
      </c>
      <c r="L3291" s="25" t="s">
        <v>4717</v>
      </c>
      <c r="M3291" s="25" t="s">
        <v>6215</v>
      </c>
    </row>
    <row r="3292" ht="168">
      <c r="A3292" s="28" t="s">
        <v>3417</v>
      </c>
      <c r="B3292" s="25" t="s">
        <v>3418</v>
      </c>
      <c r="C3292" s="25" t="s">
        <v>958</v>
      </c>
      <c r="D3292" s="25" t="s">
        <v>2840</v>
      </c>
      <c r="E3292" s="25" t="s">
        <v>3404</v>
      </c>
      <c r="F3292" s="25" t="s">
        <v>97</v>
      </c>
      <c r="G3292" s="25" t="s">
        <v>2078</v>
      </c>
      <c r="H3292" s="25" t="s">
        <v>4715</v>
      </c>
      <c r="I3292" s="25" t="s">
        <v>6245</v>
      </c>
      <c r="J3292" s="25"/>
      <c r="K3292" s="25" t="s">
        <v>3424</v>
      </c>
      <c r="L3292" s="25" t="s">
        <v>4717</v>
      </c>
      <c r="M3292" s="25" t="s">
        <v>6215</v>
      </c>
    </row>
    <row r="3293" ht="168">
      <c r="A3293" s="28" t="s">
        <v>3417</v>
      </c>
      <c r="B3293" s="25" t="s">
        <v>3418</v>
      </c>
      <c r="C3293" s="25" t="s">
        <v>958</v>
      </c>
      <c r="D3293" s="25" t="s">
        <v>2840</v>
      </c>
      <c r="E3293" s="25" t="s">
        <v>3404</v>
      </c>
      <c r="F3293" s="25" t="s">
        <v>97</v>
      </c>
      <c r="G3293" s="25" t="s">
        <v>2078</v>
      </c>
      <c r="H3293" s="25" t="s">
        <v>4715</v>
      </c>
      <c r="I3293" s="25" t="s">
        <v>6246</v>
      </c>
      <c r="J3293" s="25"/>
      <c r="K3293" s="25" t="s">
        <v>3424</v>
      </c>
      <c r="L3293" s="25" t="s">
        <v>4717</v>
      </c>
      <c r="M3293" s="25" t="s">
        <v>6215</v>
      </c>
    </row>
    <row r="3294" ht="168">
      <c r="A3294" s="28" t="s">
        <v>3417</v>
      </c>
      <c r="B3294" s="25" t="s">
        <v>3418</v>
      </c>
      <c r="C3294" s="25" t="s">
        <v>958</v>
      </c>
      <c r="D3294" s="25" t="s">
        <v>2840</v>
      </c>
      <c r="E3294" s="25" t="s">
        <v>3404</v>
      </c>
      <c r="F3294" s="25" t="s">
        <v>97</v>
      </c>
      <c r="G3294" s="25" t="s">
        <v>2078</v>
      </c>
      <c r="H3294" s="25" t="s">
        <v>4715</v>
      </c>
      <c r="I3294" s="25" t="s">
        <v>6247</v>
      </c>
      <c r="J3294" s="25"/>
      <c r="K3294" s="25" t="s">
        <v>3424</v>
      </c>
      <c r="L3294" s="25" t="s">
        <v>4717</v>
      </c>
      <c r="M3294" s="25" t="s">
        <v>6215</v>
      </c>
    </row>
    <row r="3295" ht="126">
      <c r="A3295" s="28" t="s">
        <v>3429</v>
      </c>
      <c r="B3295" s="25" t="s">
        <v>3430</v>
      </c>
      <c r="C3295" s="25" t="s">
        <v>958</v>
      </c>
      <c r="D3295" s="25" t="s">
        <v>2840</v>
      </c>
      <c r="E3295" s="25" t="s">
        <v>3404</v>
      </c>
      <c r="F3295" s="25" t="s">
        <v>120</v>
      </c>
      <c r="G3295" s="25" t="s">
        <v>2078</v>
      </c>
      <c r="H3295" s="25" t="s">
        <v>4715</v>
      </c>
      <c r="I3295" s="25" t="s">
        <v>6248</v>
      </c>
      <c r="J3295" s="25"/>
      <c r="K3295" s="25" t="s">
        <v>3436</v>
      </c>
      <c r="L3295" s="25" t="s">
        <v>4717</v>
      </c>
      <c r="M3295" s="25" t="s">
        <v>6215</v>
      </c>
    </row>
    <row r="3296" ht="126">
      <c r="A3296" s="28" t="s">
        <v>3429</v>
      </c>
      <c r="B3296" s="25" t="s">
        <v>3430</v>
      </c>
      <c r="C3296" s="25" t="s">
        <v>958</v>
      </c>
      <c r="D3296" s="25" t="s">
        <v>2840</v>
      </c>
      <c r="E3296" s="25" t="s">
        <v>3404</v>
      </c>
      <c r="F3296" s="25" t="s">
        <v>120</v>
      </c>
      <c r="G3296" s="25" t="s">
        <v>2078</v>
      </c>
      <c r="H3296" s="25" t="s">
        <v>4715</v>
      </c>
      <c r="I3296" s="25" t="s">
        <v>6249</v>
      </c>
      <c r="J3296" s="25"/>
      <c r="K3296" s="25" t="s">
        <v>3436</v>
      </c>
      <c r="L3296" s="25" t="s">
        <v>4717</v>
      </c>
      <c r="M3296" s="25" t="s">
        <v>6215</v>
      </c>
    </row>
    <row r="3297" ht="126">
      <c r="A3297" s="28" t="s">
        <v>3429</v>
      </c>
      <c r="B3297" s="25" t="s">
        <v>3430</v>
      </c>
      <c r="C3297" s="25" t="s">
        <v>958</v>
      </c>
      <c r="D3297" s="25" t="s">
        <v>2840</v>
      </c>
      <c r="E3297" s="25" t="s">
        <v>3404</v>
      </c>
      <c r="F3297" s="25" t="s">
        <v>120</v>
      </c>
      <c r="G3297" s="25" t="s">
        <v>2078</v>
      </c>
      <c r="H3297" s="25" t="s">
        <v>4715</v>
      </c>
      <c r="I3297" s="25" t="s">
        <v>6250</v>
      </c>
      <c r="J3297" s="25"/>
      <c r="K3297" s="25" t="s">
        <v>3436</v>
      </c>
      <c r="L3297" s="25" t="s">
        <v>4717</v>
      </c>
      <c r="M3297" s="25" t="s">
        <v>6215</v>
      </c>
    </row>
    <row r="3298" ht="154">
      <c r="A3298" s="28" t="s">
        <v>3440</v>
      </c>
      <c r="B3298" s="25" t="s">
        <v>3441</v>
      </c>
      <c r="C3298" s="25" t="s">
        <v>958</v>
      </c>
      <c r="D3298" s="25" t="s">
        <v>2840</v>
      </c>
      <c r="E3298" s="25" t="s">
        <v>3404</v>
      </c>
      <c r="F3298" s="25" t="s">
        <v>120</v>
      </c>
      <c r="G3298" s="25" t="s">
        <v>2078</v>
      </c>
      <c r="H3298" s="25" t="s">
        <v>4715</v>
      </c>
      <c r="I3298" s="25" t="s">
        <v>6251</v>
      </c>
      <c r="J3298" s="25"/>
      <c r="K3298" s="25" t="s">
        <v>3447</v>
      </c>
      <c r="L3298" s="25" t="s">
        <v>4717</v>
      </c>
      <c r="M3298" s="25" t="s">
        <v>6215</v>
      </c>
    </row>
    <row r="3299" ht="154">
      <c r="A3299" s="28" t="s">
        <v>3440</v>
      </c>
      <c r="B3299" s="25" t="s">
        <v>3441</v>
      </c>
      <c r="C3299" s="25" t="s">
        <v>958</v>
      </c>
      <c r="D3299" s="25" t="s">
        <v>2840</v>
      </c>
      <c r="E3299" s="25" t="s">
        <v>3404</v>
      </c>
      <c r="F3299" s="25" t="s">
        <v>120</v>
      </c>
      <c r="G3299" s="25" t="s">
        <v>2078</v>
      </c>
      <c r="H3299" s="25" t="s">
        <v>4715</v>
      </c>
      <c r="I3299" s="25" t="s">
        <v>6252</v>
      </c>
      <c r="J3299" s="25"/>
      <c r="K3299" s="25" t="s">
        <v>3447</v>
      </c>
      <c r="L3299" s="25" t="s">
        <v>4717</v>
      </c>
      <c r="M3299" s="25" t="s">
        <v>6215</v>
      </c>
    </row>
    <row r="3300" ht="154">
      <c r="A3300" s="28" t="s">
        <v>3440</v>
      </c>
      <c r="B3300" s="25" t="s">
        <v>3441</v>
      </c>
      <c r="C3300" s="25" t="s">
        <v>958</v>
      </c>
      <c r="D3300" s="25" t="s">
        <v>2840</v>
      </c>
      <c r="E3300" s="25" t="s">
        <v>3404</v>
      </c>
      <c r="F3300" s="25" t="s">
        <v>120</v>
      </c>
      <c r="G3300" s="25" t="s">
        <v>2078</v>
      </c>
      <c r="H3300" s="25" t="s">
        <v>4715</v>
      </c>
      <c r="I3300" s="25" t="s">
        <v>6253</v>
      </c>
      <c r="J3300" s="25"/>
      <c r="K3300" s="25" t="s">
        <v>3447</v>
      </c>
      <c r="L3300" s="25" t="s">
        <v>4717</v>
      </c>
      <c r="M3300" s="25" t="s">
        <v>6215</v>
      </c>
    </row>
    <row r="3301" ht="154">
      <c r="A3301" s="28" t="s">
        <v>3451</v>
      </c>
      <c r="B3301" s="25" t="s">
        <v>3452</v>
      </c>
      <c r="C3301" s="25" t="s">
        <v>958</v>
      </c>
      <c r="D3301" s="25" t="s">
        <v>2840</v>
      </c>
      <c r="E3301" s="25" t="s">
        <v>3452</v>
      </c>
      <c r="F3301" s="25" t="s">
        <v>97</v>
      </c>
      <c r="G3301" s="25" t="s">
        <v>2078</v>
      </c>
      <c r="H3301" s="25" t="s">
        <v>4715</v>
      </c>
      <c r="I3301" s="25" t="s">
        <v>6254</v>
      </c>
      <c r="J3301" s="25"/>
      <c r="K3301" s="25" t="s">
        <v>3460</v>
      </c>
      <c r="L3301" s="25" t="s">
        <v>4717</v>
      </c>
      <c r="M3301" s="25" t="s">
        <v>6215</v>
      </c>
    </row>
    <row r="3302" ht="154">
      <c r="A3302" s="28" t="s">
        <v>3451</v>
      </c>
      <c r="B3302" s="25" t="s">
        <v>3452</v>
      </c>
      <c r="C3302" s="25" t="s">
        <v>958</v>
      </c>
      <c r="D3302" s="25" t="s">
        <v>2840</v>
      </c>
      <c r="E3302" s="25" t="s">
        <v>3452</v>
      </c>
      <c r="F3302" s="25" t="s">
        <v>97</v>
      </c>
      <c r="G3302" s="25" t="s">
        <v>2078</v>
      </c>
      <c r="H3302" s="25" t="s">
        <v>4715</v>
      </c>
      <c r="I3302" s="25" t="s">
        <v>6255</v>
      </c>
      <c r="J3302" s="25"/>
      <c r="K3302" s="25" t="s">
        <v>3460</v>
      </c>
      <c r="L3302" s="25" t="s">
        <v>4717</v>
      </c>
      <c r="M3302" s="25" t="s">
        <v>6215</v>
      </c>
    </row>
    <row r="3303" ht="154">
      <c r="A3303" s="28" t="s">
        <v>3451</v>
      </c>
      <c r="B3303" s="25" t="s">
        <v>3452</v>
      </c>
      <c r="C3303" s="25" t="s">
        <v>958</v>
      </c>
      <c r="D3303" s="25" t="s">
        <v>2840</v>
      </c>
      <c r="E3303" s="25" t="s">
        <v>3452</v>
      </c>
      <c r="F3303" s="25" t="s">
        <v>97</v>
      </c>
      <c r="G3303" s="25" t="s">
        <v>2078</v>
      </c>
      <c r="H3303" s="25" t="s">
        <v>4715</v>
      </c>
      <c r="I3303" s="25" t="s">
        <v>6256</v>
      </c>
      <c r="J3303" s="25"/>
      <c r="K3303" s="25" t="s">
        <v>3460</v>
      </c>
      <c r="L3303" s="25" t="s">
        <v>4717</v>
      </c>
      <c r="M3303" s="25" t="s">
        <v>6215</v>
      </c>
    </row>
    <row r="3304" ht="168">
      <c r="A3304" s="28" t="s">
        <v>3465</v>
      </c>
      <c r="B3304" s="25" t="s">
        <v>3466</v>
      </c>
      <c r="C3304" s="25" t="s">
        <v>958</v>
      </c>
      <c r="D3304" s="25" t="s">
        <v>2840</v>
      </c>
      <c r="E3304" s="25" t="s">
        <v>3452</v>
      </c>
      <c r="F3304" s="25" t="s">
        <v>97</v>
      </c>
      <c r="G3304" s="25" t="s">
        <v>2078</v>
      </c>
      <c r="H3304" s="25" t="s">
        <v>4715</v>
      </c>
      <c r="I3304" s="25" t="s">
        <v>4613</v>
      </c>
      <c r="J3304" s="25"/>
      <c r="K3304" s="25" t="s">
        <v>3472</v>
      </c>
      <c r="L3304" s="25" t="s">
        <v>4717</v>
      </c>
      <c r="M3304" s="25" t="s">
        <v>6215</v>
      </c>
    </row>
    <row r="3305" ht="168">
      <c r="A3305" s="28" t="s">
        <v>3465</v>
      </c>
      <c r="B3305" s="25" t="s">
        <v>3466</v>
      </c>
      <c r="C3305" s="25" t="s">
        <v>958</v>
      </c>
      <c r="D3305" s="25" t="s">
        <v>2840</v>
      </c>
      <c r="E3305" s="25" t="s">
        <v>3452</v>
      </c>
      <c r="F3305" s="25" t="s">
        <v>97</v>
      </c>
      <c r="G3305" s="25" t="s">
        <v>2078</v>
      </c>
      <c r="H3305" s="25" t="s">
        <v>4715</v>
      </c>
      <c r="I3305" s="25" t="s">
        <v>6257</v>
      </c>
      <c r="J3305" s="25"/>
      <c r="K3305" s="25" t="s">
        <v>3472</v>
      </c>
      <c r="L3305" s="25" t="s">
        <v>4717</v>
      </c>
      <c r="M3305" s="25" t="s">
        <v>6215</v>
      </c>
    </row>
    <row r="3306" ht="168">
      <c r="A3306" s="28" t="s">
        <v>3465</v>
      </c>
      <c r="B3306" s="25" t="s">
        <v>3466</v>
      </c>
      <c r="C3306" s="25" t="s">
        <v>958</v>
      </c>
      <c r="D3306" s="25" t="s">
        <v>2840</v>
      </c>
      <c r="E3306" s="25" t="s">
        <v>3452</v>
      </c>
      <c r="F3306" s="25" t="s">
        <v>97</v>
      </c>
      <c r="G3306" s="25" t="s">
        <v>2078</v>
      </c>
      <c r="H3306" s="25" t="s">
        <v>4715</v>
      </c>
      <c r="I3306" s="25" t="s">
        <v>6258</v>
      </c>
      <c r="J3306" s="25"/>
      <c r="K3306" s="25" t="s">
        <v>3472</v>
      </c>
      <c r="L3306" s="25" t="s">
        <v>4717</v>
      </c>
      <c r="M3306" s="25" t="s">
        <v>6215</v>
      </c>
    </row>
    <row r="3307" ht="154">
      <c r="A3307" s="28" t="s">
        <v>3477</v>
      </c>
      <c r="B3307" s="25" t="s">
        <v>3480</v>
      </c>
      <c r="C3307" s="25" t="s">
        <v>958</v>
      </c>
      <c r="D3307" s="25" t="s">
        <v>2840</v>
      </c>
      <c r="E3307" s="25" t="s">
        <v>3478</v>
      </c>
      <c r="F3307" s="25" t="s">
        <v>97</v>
      </c>
      <c r="G3307" s="25" t="s">
        <v>2078</v>
      </c>
      <c r="H3307" s="25" t="s">
        <v>4715</v>
      </c>
      <c r="I3307" s="25" t="s">
        <v>6259</v>
      </c>
      <c r="J3307" s="25"/>
      <c r="K3307" s="25" t="s">
        <v>3487</v>
      </c>
      <c r="L3307" s="25" t="s">
        <v>4717</v>
      </c>
      <c r="M3307" s="25" t="s">
        <v>6215</v>
      </c>
    </row>
    <row r="3308" ht="154">
      <c r="A3308" s="28" t="s">
        <v>3477</v>
      </c>
      <c r="B3308" s="25" t="s">
        <v>3480</v>
      </c>
      <c r="C3308" s="25" t="s">
        <v>958</v>
      </c>
      <c r="D3308" s="25" t="s">
        <v>2840</v>
      </c>
      <c r="E3308" s="25" t="s">
        <v>3478</v>
      </c>
      <c r="F3308" s="25" t="s">
        <v>97</v>
      </c>
      <c r="G3308" s="25" t="s">
        <v>2078</v>
      </c>
      <c r="H3308" s="25" t="s">
        <v>4715</v>
      </c>
      <c r="I3308" s="25" t="s">
        <v>6260</v>
      </c>
      <c r="J3308" s="25"/>
      <c r="K3308" s="25" t="s">
        <v>3487</v>
      </c>
      <c r="L3308" s="25" t="s">
        <v>4717</v>
      </c>
      <c r="M3308" s="25" t="s">
        <v>6215</v>
      </c>
    </row>
    <row r="3309" ht="154">
      <c r="A3309" s="28" t="s">
        <v>3477</v>
      </c>
      <c r="B3309" s="25" t="s">
        <v>3480</v>
      </c>
      <c r="C3309" s="25" t="s">
        <v>958</v>
      </c>
      <c r="D3309" s="25" t="s">
        <v>2840</v>
      </c>
      <c r="E3309" s="25" t="s">
        <v>3478</v>
      </c>
      <c r="F3309" s="25" t="s">
        <v>97</v>
      </c>
      <c r="G3309" s="25" t="s">
        <v>2078</v>
      </c>
      <c r="H3309" s="25" t="s">
        <v>4715</v>
      </c>
      <c r="I3309" s="25" t="s">
        <v>6261</v>
      </c>
      <c r="J3309" s="25"/>
      <c r="K3309" s="25" t="s">
        <v>3487</v>
      </c>
      <c r="L3309" s="25" t="s">
        <v>4717</v>
      </c>
      <c r="M3309" s="25" t="s">
        <v>6215</v>
      </c>
    </row>
    <row r="3310" ht="182">
      <c r="A3310" s="28" t="s">
        <v>3492</v>
      </c>
      <c r="B3310" s="25" t="s">
        <v>3493</v>
      </c>
      <c r="C3310" s="25" t="s">
        <v>958</v>
      </c>
      <c r="D3310" s="25" t="s">
        <v>2840</v>
      </c>
      <c r="E3310" s="25" t="s">
        <v>3478</v>
      </c>
      <c r="F3310" s="25" t="s">
        <v>97</v>
      </c>
      <c r="G3310" s="25" t="s">
        <v>2078</v>
      </c>
      <c r="H3310" s="25" t="s">
        <v>4715</v>
      </c>
      <c r="I3310" s="25" t="s">
        <v>6262</v>
      </c>
      <c r="J3310" s="25"/>
      <c r="K3310" s="25" t="s">
        <v>3500</v>
      </c>
      <c r="L3310" s="25" t="s">
        <v>4717</v>
      </c>
      <c r="M3310" s="25" t="s">
        <v>6215</v>
      </c>
    </row>
    <row r="3311" ht="182">
      <c r="A3311" s="28" t="s">
        <v>3492</v>
      </c>
      <c r="B3311" s="25" t="s">
        <v>3493</v>
      </c>
      <c r="C3311" s="25" t="s">
        <v>958</v>
      </c>
      <c r="D3311" s="25" t="s">
        <v>2840</v>
      </c>
      <c r="E3311" s="25" t="s">
        <v>3478</v>
      </c>
      <c r="F3311" s="25" t="s">
        <v>97</v>
      </c>
      <c r="G3311" s="25" t="s">
        <v>2078</v>
      </c>
      <c r="H3311" s="25" t="s">
        <v>4715</v>
      </c>
      <c r="I3311" s="25" t="s">
        <v>6263</v>
      </c>
      <c r="J3311" s="25"/>
      <c r="K3311" s="25" t="s">
        <v>3500</v>
      </c>
      <c r="L3311" s="25" t="s">
        <v>4717</v>
      </c>
      <c r="M3311" s="25" t="s">
        <v>6215</v>
      </c>
    </row>
    <row r="3312" ht="182">
      <c r="A3312" s="28" t="s">
        <v>3492</v>
      </c>
      <c r="B3312" s="25" t="s">
        <v>3493</v>
      </c>
      <c r="C3312" s="25" t="s">
        <v>958</v>
      </c>
      <c r="D3312" s="25" t="s">
        <v>2840</v>
      </c>
      <c r="E3312" s="25" t="s">
        <v>3478</v>
      </c>
      <c r="F3312" s="25" t="s">
        <v>97</v>
      </c>
      <c r="G3312" s="25" t="s">
        <v>2078</v>
      </c>
      <c r="H3312" s="25" t="s">
        <v>4715</v>
      </c>
      <c r="I3312" s="25" t="s">
        <v>6264</v>
      </c>
      <c r="J3312" s="25"/>
      <c r="K3312" s="25" t="s">
        <v>3500</v>
      </c>
      <c r="L3312" s="25" t="s">
        <v>4717</v>
      </c>
      <c r="M3312" s="25" t="s">
        <v>6215</v>
      </c>
    </row>
    <row r="3313" ht="182">
      <c r="A3313" s="28" t="s">
        <v>3505</v>
      </c>
      <c r="B3313" s="25" t="s">
        <v>3506</v>
      </c>
      <c r="C3313" s="25" t="s">
        <v>958</v>
      </c>
      <c r="D3313" s="25" t="s">
        <v>2840</v>
      </c>
      <c r="E3313" s="25" t="s">
        <v>3478</v>
      </c>
      <c r="F3313" s="25" t="s">
        <v>97</v>
      </c>
      <c r="G3313" s="25" t="s">
        <v>2078</v>
      </c>
      <c r="H3313" s="25" t="s">
        <v>4715</v>
      </c>
      <c r="I3313" s="25" t="s">
        <v>6265</v>
      </c>
      <c r="J3313" s="25"/>
      <c r="K3313" s="25" t="s">
        <v>3513</v>
      </c>
      <c r="L3313" s="25" t="s">
        <v>4717</v>
      </c>
      <c r="M3313" s="25" t="s">
        <v>6215</v>
      </c>
    </row>
    <row r="3314" ht="182">
      <c r="A3314" s="28" t="s">
        <v>3505</v>
      </c>
      <c r="B3314" s="25" t="s">
        <v>3506</v>
      </c>
      <c r="C3314" s="25" t="s">
        <v>958</v>
      </c>
      <c r="D3314" s="25" t="s">
        <v>2840</v>
      </c>
      <c r="E3314" s="25" t="s">
        <v>3478</v>
      </c>
      <c r="F3314" s="25" t="s">
        <v>97</v>
      </c>
      <c r="G3314" s="25" t="s">
        <v>2078</v>
      </c>
      <c r="H3314" s="25" t="s">
        <v>4715</v>
      </c>
      <c r="I3314" s="25" t="s">
        <v>6266</v>
      </c>
      <c r="J3314" s="25"/>
      <c r="K3314" s="25" t="s">
        <v>3513</v>
      </c>
      <c r="L3314" s="25" t="s">
        <v>4717</v>
      </c>
      <c r="M3314" s="25" t="s">
        <v>6215</v>
      </c>
    </row>
    <row r="3315" ht="182">
      <c r="A3315" s="28" t="s">
        <v>3505</v>
      </c>
      <c r="B3315" s="25" t="s">
        <v>3506</v>
      </c>
      <c r="C3315" s="25" t="s">
        <v>958</v>
      </c>
      <c r="D3315" s="25" t="s">
        <v>2840</v>
      </c>
      <c r="E3315" s="25" t="s">
        <v>3478</v>
      </c>
      <c r="F3315" s="25" t="s">
        <v>97</v>
      </c>
      <c r="G3315" s="25" t="s">
        <v>2078</v>
      </c>
      <c r="H3315" s="25" t="s">
        <v>4715</v>
      </c>
      <c r="I3315" s="25" t="s">
        <v>6267</v>
      </c>
      <c r="J3315" s="25"/>
      <c r="K3315" s="25" t="s">
        <v>3513</v>
      </c>
      <c r="L3315" s="25" t="s">
        <v>4717</v>
      </c>
      <c r="M3315" s="25" t="s">
        <v>6215</v>
      </c>
    </row>
    <row r="3316" ht="154">
      <c r="A3316" s="28" t="s">
        <v>3516</v>
      </c>
      <c r="B3316" s="25" t="s">
        <v>3518</v>
      </c>
      <c r="C3316" s="25" t="s">
        <v>958</v>
      </c>
      <c r="D3316" s="25" t="s">
        <v>2840</v>
      </c>
      <c r="E3316" s="25" t="s">
        <v>3026</v>
      </c>
      <c r="F3316" s="25" t="s">
        <v>154</v>
      </c>
      <c r="G3316" s="25" t="s">
        <v>2078</v>
      </c>
      <c r="H3316" s="25" t="s">
        <v>4715</v>
      </c>
      <c r="I3316" s="25" t="s">
        <v>6268</v>
      </c>
      <c r="J3316" s="25"/>
      <c r="K3316" s="25" t="s">
        <v>3525</v>
      </c>
      <c r="L3316" s="25" t="s">
        <v>4717</v>
      </c>
      <c r="M3316" s="25" t="s">
        <v>6215</v>
      </c>
    </row>
    <row r="3317" ht="154">
      <c r="A3317" s="28" t="s">
        <v>3516</v>
      </c>
      <c r="B3317" s="25" t="s">
        <v>3518</v>
      </c>
      <c r="C3317" s="25" t="s">
        <v>958</v>
      </c>
      <c r="D3317" s="25" t="s">
        <v>2840</v>
      </c>
      <c r="E3317" s="25" t="s">
        <v>3026</v>
      </c>
      <c r="F3317" s="25" t="s">
        <v>154</v>
      </c>
      <c r="G3317" s="25" t="s">
        <v>2078</v>
      </c>
      <c r="H3317" s="25" t="s">
        <v>4715</v>
      </c>
      <c r="I3317" s="25" t="s">
        <v>6269</v>
      </c>
      <c r="J3317" s="25"/>
      <c r="K3317" s="25" t="s">
        <v>3525</v>
      </c>
      <c r="L3317" s="25" t="s">
        <v>4717</v>
      </c>
      <c r="M3317" s="25" t="s">
        <v>6215</v>
      </c>
    </row>
    <row r="3318" ht="154">
      <c r="A3318" s="28" t="s">
        <v>3516</v>
      </c>
      <c r="B3318" s="25" t="s">
        <v>3518</v>
      </c>
      <c r="C3318" s="25" t="s">
        <v>958</v>
      </c>
      <c r="D3318" s="25" t="s">
        <v>2840</v>
      </c>
      <c r="E3318" s="25" t="s">
        <v>3026</v>
      </c>
      <c r="F3318" s="25" t="s">
        <v>154</v>
      </c>
      <c r="G3318" s="25" t="s">
        <v>2078</v>
      </c>
      <c r="H3318" s="25" t="s">
        <v>4715</v>
      </c>
      <c r="I3318" s="25" t="s">
        <v>6270</v>
      </c>
      <c r="J3318" s="25"/>
      <c r="K3318" s="25" t="s">
        <v>3525</v>
      </c>
      <c r="L3318" s="25" t="s">
        <v>4717</v>
      </c>
      <c r="M3318" s="25" t="s">
        <v>6215</v>
      </c>
    </row>
    <row r="3319" ht="168">
      <c r="A3319" s="28" t="s">
        <v>3530</v>
      </c>
      <c r="B3319" s="25" t="s">
        <v>3532</v>
      </c>
      <c r="C3319" s="25" t="s">
        <v>958</v>
      </c>
      <c r="D3319" s="25" t="s">
        <v>2840</v>
      </c>
      <c r="E3319" s="25" t="s">
        <v>3026</v>
      </c>
      <c r="F3319" s="25" t="s">
        <v>120</v>
      </c>
      <c r="G3319" s="25" t="s">
        <v>2078</v>
      </c>
      <c r="H3319" s="25" t="s">
        <v>4715</v>
      </c>
      <c r="I3319" s="25" t="s">
        <v>6271</v>
      </c>
      <c r="J3319" s="25"/>
      <c r="K3319" s="25" t="s">
        <v>3540</v>
      </c>
      <c r="L3319" s="25" t="s">
        <v>4717</v>
      </c>
      <c r="M3319" s="25" t="s">
        <v>6215</v>
      </c>
    </row>
    <row r="3320" ht="168">
      <c r="A3320" s="28" t="s">
        <v>3530</v>
      </c>
      <c r="B3320" s="25" t="s">
        <v>3532</v>
      </c>
      <c r="C3320" s="25" t="s">
        <v>958</v>
      </c>
      <c r="D3320" s="25" t="s">
        <v>2840</v>
      </c>
      <c r="E3320" s="25" t="s">
        <v>3026</v>
      </c>
      <c r="F3320" s="25" t="s">
        <v>120</v>
      </c>
      <c r="G3320" s="25" t="s">
        <v>2078</v>
      </c>
      <c r="H3320" s="25" t="s">
        <v>4715</v>
      </c>
      <c r="I3320" s="25" t="s">
        <v>6272</v>
      </c>
      <c r="J3320" s="25"/>
      <c r="K3320" s="25" t="s">
        <v>3540</v>
      </c>
      <c r="L3320" s="25" t="s">
        <v>4717</v>
      </c>
      <c r="M3320" s="25" t="s">
        <v>6215</v>
      </c>
    </row>
    <row r="3321" ht="168">
      <c r="A3321" s="28" t="s">
        <v>3530</v>
      </c>
      <c r="B3321" s="25" t="s">
        <v>3532</v>
      </c>
      <c r="C3321" s="25" t="s">
        <v>958</v>
      </c>
      <c r="D3321" s="25" t="s">
        <v>2840</v>
      </c>
      <c r="E3321" s="25" t="s">
        <v>3026</v>
      </c>
      <c r="F3321" s="25" t="s">
        <v>120</v>
      </c>
      <c r="G3321" s="25" t="s">
        <v>2078</v>
      </c>
      <c r="H3321" s="25" t="s">
        <v>4715</v>
      </c>
      <c r="I3321" s="25" t="s">
        <v>6273</v>
      </c>
      <c r="J3321" s="25"/>
      <c r="K3321" s="25" t="s">
        <v>3540</v>
      </c>
      <c r="L3321" s="25" t="s">
        <v>4717</v>
      </c>
      <c r="M3321" s="25" t="s">
        <v>6215</v>
      </c>
    </row>
    <row r="3322" ht="168">
      <c r="A3322" s="28" t="s">
        <v>3544</v>
      </c>
      <c r="B3322" s="25" t="s">
        <v>3547</v>
      </c>
      <c r="C3322" s="25" t="s">
        <v>958</v>
      </c>
      <c r="D3322" s="25" t="s">
        <v>2840</v>
      </c>
      <c r="E3322" s="25" t="s">
        <v>3545</v>
      </c>
      <c r="F3322" s="25" t="s">
        <v>154</v>
      </c>
      <c r="G3322" s="25" t="s">
        <v>2078</v>
      </c>
      <c r="H3322" s="25" t="s">
        <v>4715</v>
      </c>
      <c r="I3322" s="25" t="s">
        <v>6274</v>
      </c>
      <c r="J3322" s="25"/>
      <c r="K3322" s="25" t="s">
        <v>3554</v>
      </c>
      <c r="L3322" s="25" t="s">
        <v>4717</v>
      </c>
      <c r="M3322" s="25" t="s">
        <v>6215</v>
      </c>
    </row>
    <row r="3323" ht="168">
      <c r="A3323" s="28" t="s">
        <v>3544</v>
      </c>
      <c r="B3323" s="25" t="s">
        <v>3547</v>
      </c>
      <c r="C3323" s="25" t="s">
        <v>958</v>
      </c>
      <c r="D3323" s="25" t="s">
        <v>2840</v>
      </c>
      <c r="E3323" s="25" t="s">
        <v>3545</v>
      </c>
      <c r="F3323" s="25" t="s">
        <v>154</v>
      </c>
      <c r="G3323" s="25" t="s">
        <v>2078</v>
      </c>
      <c r="H3323" s="25" t="s">
        <v>4715</v>
      </c>
      <c r="I3323" s="25" t="s">
        <v>6275</v>
      </c>
      <c r="J3323" s="25"/>
      <c r="K3323" s="25" t="s">
        <v>3554</v>
      </c>
      <c r="L3323" s="25" t="s">
        <v>4717</v>
      </c>
      <c r="M3323" s="25" t="s">
        <v>6215</v>
      </c>
    </row>
    <row r="3324" ht="168">
      <c r="A3324" s="28" t="s">
        <v>3544</v>
      </c>
      <c r="B3324" s="25" t="s">
        <v>3547</v>
      </c>
      <c r="C3324" s="25" t="s">
        <v>958</v>
      </c>
      <c r="D3324" s="25" t="s">
        <v>2840</v>
      </c>
      <c r="E3324" s="25" t="s">
        <v>3545</v>
      </c>
      <c r="F3324" s="25" t="s">
        <v>154</v>
      </c>
      <c r="G3324" s="25" t="s">
        <v>2078</v>
      </c>
      <c r="H3324" s="25" t="s">
        <v>4715</v>
      </c>
      <c r="I3324" s="25" t="s">
        <v>6276</v>
      </c>
      <c r="J3324" s="25"/>
      <c r="K3324" s="25" t="s">
        <v>3554</v>
      </c>
      <c r="L3324" s="25" t="s">
        <v>4717</v>
      </c>
      <c r="M3324" s="25" t="s">
        <v>6215</v>
      </c>
    </row>
    <row r="3325" ht="168">
      <c r="A3325" s="28" t="s">
        <v>3560</v>
      </c>
      <c r="B3325" s="25" t="s">
        <v>3561</v>
      </c>
      <c r="C3325" s="25" t="s">
        <v>958</v>
      </c>
      <c r="D3325" s="25" t="s">
        <v>2840</v>
      </c>
      <c r="E3325" s="25" t="s">
        <v>3545</v>
      </c>
      <c r="F3325" s="25" t="s">
        <v>120</v>
      </c>
      <c r="G3325" s="25" t="s">
        <v>2078</v>
      </c>
      <c r="H3325" s="25" t="s">
        <v>4715</v>
      </c>
      <c r="I3325" s="25" t="s">
        <v>6277</v>
      </c>
      <c r="J3325" s="25"/>
      <c r="K3325" s="25" t="s">
        <v>3568</v>
      </c>
      <c r="L3325" s="25" t="s">
        <v>4717</v>
      </c>
      <c r="M3325" s="25" t="s">
        <v>6215</v>
      </c>
    </row>
    <row r="3326" ht="168">
      <c r="A3326" s="28" t="s">
        <v>3560</v>
      </c>
      <c r="B3326" s="25" t="s">
        <v>3561</v>
      </c>
      <c r="C3326" s="25" t="s">
        <v>958</v>
      </c>
      <c r="D3326" s="25" t="s">
        <v>2840</v>
      </c>
      <c r="E3326" s="25" t="s">
        <v>3545</v>
      </c>
      <c r="F3326" s="25" t="s">
        <v>120</v>
      </c>
      <c r="G3326" s="25" t="s">
        <v>2078</v>
      </c>
      <c r="H3326" s="25" t="s">
        <v>4715</v>
      </c>
      <c r="I3326" s="25" t="s">
        <v>6278</v>
      </c>
      <c r="J3326" s="25"/>
      <c r="K3326" s="25" t="s">
        <v>3568</v>
      </c>
      <c r="L3326" s="25" t="s">
        <v>4717</v>
      </c>
      <c r="M3326" s="25" t="s">
        <v>6215</v>
      </c>
    </row>
    <row r="3327" ht="168">
      <c r="A3327" s="28" t="s">
        <v>3560</v>
      </c>
      <c r="B3327" s="25" t="s">
        <v>3561</v>
      </c>
      <c r="C3327" s="25" t="s">
        <v>958</v>
      </c>
      <c r="D3327" s="25" t="s">
        <v>2840</v>
      </c>
      <c r="E3327" s="25" t="s">
        <v>3545</v>
      </c>
      <c r="F3327" s="25" t="s">
        <v>120</v>
      </c>
      <c r="G3327" s="25" t="s">
        <v>2078</v>
      </c>
      <c r="H3327" s="25" t="s">
        <v>4715</v>
      </c>
      <c r="I3327" s="25" t="s">
        <v>6279</v>
      </c>
      <c r="J3327" s="25"/>
      <c r="K3327" s="25" t="s">
        <v>3568</v>
      </c>
      <c r="L3327" s="25" t="s">
        <v>4717</v>
      </c>
      <c r="M3327" s="25" t="s">
        <v>6215</v>
      </c>
    </row>
    <row r="3328" ht="154">
      <c r="A3328" s="28" t="s">
        <v>3573</v>
      </c>
      <c r="B3328" s="25" t="s">
        <v>3576</v>
      </c>
      <c r="C3328" s="25" t="s">
        <v>958</v>
      </c>
      <c r="D3328" s="25" t="s">
        <v>2840</v>
      </c>
      <c r="E3328" s="25" t="s">
        <v>3574</v>
      </c>
      <c r="F3328" s="25" t="s">
        <v>97</v>
      </c>
      <c r="G3328" s="25" t="s">
        <v>2078</v>
      </c>
      <c r="H3328" s="25" t="s">
        <v>4715</v>
      </c>
      <c r="I3328" s="25" t="s">
        <v>6280</v>
      </c>
      <c r="J3328" s="25"/>
      <c r="K3328" s="25" t="s">
        <v>3583</v>
      </c>
      <c r="L3328" s="25" t="s">
        <v>4717</v>
      </c>
      <c r="M3328" s="25" t="s">
        <v>6215</v>
      </c>
    </row>
    <row r="3329" ht="154">
      <c r="A3329" s="28" t="s">
        <v>3573</v>
      </c>
      <c r="B3329" s="25" t="s">
        <v>3576</v>
      </c>
      <c r="C3329" s="25" t="s">
        <v>958</v>
      </c>
      <c r="D3329" s="25" t="s">
        <v>2840</v>
      </c>
      <c r="E3329" s="25" t="s">
        <v>3574</v>
      </c>
      <c r="F3329" s="25" t="s">
        <v>97</v>
      </c>
      <c r="G3329" s="25" t="s">
        <v>2078</v>
      </c>
      <c r="H3329" s="25" t="s">
        <v>4715</v>
      </c>
      <c r="I3329" s="25" t="s">
        <v>6281</v>
      </c>
      <c r="J3329" s="25"/>
      <c r="K3329" s="25" t="s">
        <v>3583</v>
      </c>
      <c r="L3329" s="25" t="s">
        <v>4717</v>
      </c>
      <c r="M3329" s="25" t="s">
        <v>6215</v>
      </c>
    </row>
    <row r="3330" ht="154">
      <c r="A3330" s="28" t="s">
        <v>3573</v>
      </c>
      <c r="B3330" s="25" t="s">
        <v>3576</v>
      </c>
      <c r="C3330" s="25" t="s">
        <v>958</v>
      </c>
      <c r="D3330" s="25" t="s">
        <v>2840</v>
      </c>
      <c r="E3330" s="25" t="s">
        <v>3574</v>
      </c>
      <c r="F3330" s="25" t="s">
        <v>97</v>
      </c>
      <c r="G3330" s="25" t="s">
        <v>2078</v>
      </c>
      <c r="H3330" s="25" t="s">
        <v>4715</v>
      </c>
      <c r="I3330" s="25" t="s">
        <v>6282</v>
      </c>
      <c r="J3330" s="25"/>
      <c r="K3330" s="25" t="s">
        <v>3583</v>
      </c>
      <c r="L3330" s="25" t="s">
        <v>4717</v>
      </c>
      <c r="M3330" s="25" t="s">
        <v>6215</v>
      </c>
    </row>
    <row r="3331" ht="154">
      <c r="A3331" s="28" t="s">
        <v>3573</v>
      </c>
      <c r="B3331" s="25" t="s">
        <v>3576</v>
      </c>
      <c r="C3331" s="25" t="s">
        <v>958</v>
      </c>
      <c r="D3331" s="25" t="s">
        <v>2840</v>
      </c>
      <c r="E3331" s="25" t="s">
        <v>3574</v>
      </c>
      <c r="F3331" s="25" t="s">
        <v>97</v>
      </c>
      <c r="G3331" s="25" t="s">
        <v>2078</v>
      </c>
      <c r="H3331" s="25" t="s">
        <v>4715</v>
      </c>
      <c r="I3331" s="25" t="s">
        <v>4918</v>
      </c>
      <c r="J3331" s="25"/>
      <c r="K3331" s="25" t="s">
        <v>3583</v>
      </c>
      <c r="L3331" s="25" t="s">
        <v>4717</v>
      </c>
      <c r="M3331" s="25" t="s">
        <v>6215</v>
      </c>
    </row>
    <row r="3332" ht="154">
      <c r="A3332" s="28" t="s">
        <v>3587</v>
      </c>
      <c r="B3332" s="25" t="s">
        <v>3588</v>
      </c>
      <c r="C3332" s="25" t="s">
        <v>958</v>
      </c>
      <c r="D3332" s="25" t="s">
        <v>2840</v>
      </c>
      <c r="E3332" s="25" t="s">
        <v>3404</v>
      </c>
      <c r="F3332" s="25" t="s">
        <v>120</v>
      </c>
      <c r="G3332" s="25" t="s">
        <v>2078</v>
      </c>
      <c r="H3332" s="25" t="s">
        <v>4715</v>
      </c>
      <c r="I3332" s="25" t="s">
        <v>6283</v>
      </c>
      <c r="J3332" s="25"/>
      <c r="K3332" s="25" t="s">
        <v>3594</v>
      </c>
      <c r="L3332" s="25" t="s">
        <v>4717</v>
      </c>
      <c r="M3332" s="25" t="s">
        <v>6215</v>
      </c>
    </row>
    <row r="3333" ht="154">
      <c r="A3333" s="28" t="s">
        <v>3587</v>
      </c>
      <c r="B3333" s="25" t="s">
        <v>3588</v>
      </c>
      <c r="C3333" s="25" t="s">
        <v>958</v>
      </c>
      <c r="D3333" s="25" t="s">
        <v>2840</v>
      </c>
      <c r="E3333" s="25" t="s">
        <v>3404</v>
      </c>
      <c r="F3333" s="25" t="s">
        <v>120</v>
      </c>
      <c r="G3333" s="25" t="s">
        <v>2078</v>
      </c>
      <c r="H3333" s="25" t="s">
        <v>4715</v>
      </c>
      <c r="I3333" s="25" t="s">
        <v>6284</v>
      </c>
      <c r="J3333" s="25"/>
      <c r="K3333" s="25" t="s">
        <v>3594</v>
      </c>
      <c r="L3333" s="25" t="s">
        <v>4717</v>
      </c>
      <c r="M3333" s="25" t="s">
        <v>6215</v>
      </c>
    </row>
    <row r="3334" ht="154">
      <c r="A3334" s="28" t="s">
        <v>3587</v>
      </c>
      <c r="B3334" s="25" t="s">
        <v>3588</v>
      </c>
      <c r="C3334" s="25" t="s">
        <v>958</v>
      </c>
      <c r="D3334" s="25" t="s">
        <v>2840</v>
      </c>
      <c r="E3334" s="25" t="s">
        <v>3404</v>
      </c>
      <c r="F3334" s="25" t="s">
        <v>120</v>
      </c>
      <c r="G3334" s="25" t="s">
        <v>2078</v>
      </c>
      <c r="H3334" s="25" t="s">
        <v>4715</v>
      </c>
      <c r="I3334" s="25" t="s">
        <v>6285</v>
      </c>
      <c r="J3334" s="25"/>
      <c r="K3334" s="25" t="s">
        <v>3594</v>
      </c>
      <c r="L3334" s="25" t="s">
        <v>4717</v>
      </c>
      <c r="M3334" s="25" t="s">
        <v>6215</v>
      </c>
    </row>
    <row r="3335">
      <c r="A3335" s="29"/>
    </row>
    <row r="3336">
      <c r="A3336" t="s">
        <v>3598</v>
      </c>
      <c r="B3336" t="s">
        <v>3602</v>
      </c>
      <c r="C3336" t="s">
        <v>958</v>
      </c>
      <c r="D3336" t="s">
        <v>3599</v>
      </c>
      <c r="E3336" t="s">
        <v>3600</v>
      </c>
      <c r="F3336" t="s">
        <v>97</v>
      </c>
      <c r="G3336" t="s">
        <v>2046</v>
      </c>
      <c r="H3336" t="s">
        <v>3600</v>
      </c>
      <c r="I3336" t="s">
        <v>6286</v>
      </c>
      <c r="J3336" t="s">
        <v>6287</v>
      </c>
      <c r="K3336" t="s">
        <v>3612</v>
      </c>
      <c r="L3336" t="s">
        <v>6288</v>
      </c>
      <c r="M3336" t="s">
        <v>6289</v>
      </c>
    </row>
    <row r="3337">
      <c r="A3337" t="s">
        <v>3619</v>
      </c>
      <c r="B3337" t="s">
        <v>3620</v>
      </c>
      <c r="C3337" t="s">
        <v>958</v>
      </c>
      <c r="D3337" t="s">
        <v>3599</v>
      </c>
      <c r="E3337" t="s">
        <v>3600</v>
      </c>
      <c r="F3337" t="s">
        <v>97</v>
      </c>
      <c r="G3337" t="s">
        <v>2046</v>
      </c>
      <c r="H3337" t="s">
        <v>3600</v>
      </c>
      <c r="I3337" t="s">
        <v>6290</v>
      </c>
      <c r="J3337" t="s">
        <v>6291</v>
      </c>
      <c r="K3337" t="s">
        <v>3625</v>
      </c>
      <c r="L3337" t="s">
        <v>6288</v>
      </c>
      <c r="M3337" t="s">
        <v>6292</v>
      </c>
    </row>
    <row r="3338">
      <c r="A3338" t="s">
        <v>3626</v>
      </c>
      <c r="B3338" t="s">
        <v>3627</v>
      </c>
      <c r="C3338" t="s">
        <v>958</v>
      </c>
      <c r="D3338" t="s">
        <v>3599</v>
      </c>
      <c r="E3338" t="s">
        <v>3600</v>
      </c>
      <c r="F3338" t="s">
        <v>97</v>
      </c>
      <c r="G3338" t="s">
        <v>2046</v>
      </c>
      <c r="H3338" t="s">
        <v>3600</v>
      </c>
      <c r="I3338" t="s">
        <v>6293</v>
      </c>
      <c r="J3338" t="s">
        <v>6294</v>
      </c>
      <c r="K3338" t="s">
        <v>3632</v>
      </c>
      <c r="L3338" t="s">
        <v>6288</v>
      </c>
      <c r="M3338" t="s">
        <v>6295</v>
      </c>
    </row>
    <row r="3339">
      <c r="A3339" t="s">
        <v>3633</v>
      </c>
      <c r="B3339" t="s">
        <v>3634</v>
      </c>
      <c r="C3339" t="s">
        <v>958</v>
      </c>
      <c r="D3339" t="s">
        <v>3599</v>
      </c>
      <c r="E3339" t="s">
        <v>3600</v>
      </c>
      <c r="F3339" t="s">
        <v>97</v>
      </c>
      <c r="G3339" t="s">
        <v>2046</v>
      </c>
      <c r="H3339" t="s">
        <v>3600</v>
      </c>
      <c r="I3339" t="s">
        <v>6296</v>
      </c>
      <c r="J3339" t="s">
        <v>6297</v>
      </c>
      <c r="K3339" t="s">
        <v>3639</v>
      </c>
      <c r="L3339" t="s">
        <v>6288</v>
      </c>
      <c r="M3339" t="s">
        <v>6298</v>
      </c>
    </row>
    <row r="3340">
      <c r="A3340" t="s">
        <v>3640</v>
      </c>
      <c r="B3340" t="s">
        <v>3641</v>
      </c>
      <c r="C3340" t="s">
        <v>958</v>
      </c>
      <c r="D3340" t="s">
        <v>3599</v>
      </c>
      <c r="E3340" t="s">
        <v>3600</v>
      </c>
      <c r="F3340" t="s">
        <v>97</v>
      </c>
      <c r="G3340" t="s">
        <v>2046</v>
      </c>
      <c r="H3340" t="s">
        <v>3600</v>
      </c>
      <c r="I3340" t="s">
        <v>6299</v>
      </c>
      <c r="J3340" t="s">
        <v>6300</v>
      </c>
      <c r="K3340" t="s">
        <v>3646</v>
      </c>
      <c r="L3340" t="s">
        <v>6288</v>
      </c>
      <c r="M3340" t="s">
        <v>6301</v>
      </c>
    </row>
    <row r="3341">
      <c r="A3341" t="s">
        <v>3647</v>
      </c>
      <c r="B3341" t="s">
        <v>3648</v>
      </c>
      <c r="C3341" t="s">
        <v>958</v>
      </c>
      <c r="D3341" t="s">
        <v>3599</v>
      </c>
      <c r="E3341" t="s">
        <v>3600</v>
      </c>
      <c r="F3341" t="s">
        <v>97</v>
      </c>
      <c r="G3341" t="s">
        <v>2046</v>
      </c>
      <c r="H3341" t="s">
        <v>3600</v>
      </c>
      <c r="I3341" t="s">
        <v>6302</v>
      </c>
      <c r="J3341" t="s">
        <v>6303</v>
      </c>
      <c r="K3341" t="s">
        <v>3653</v>
      </c>
      <c r="L3341" t="s">
        <v>6288</v>
      </c>
      <c r="M3341" t="s">
        <v>6304</v>
      </c>
    </row>
    <row r="3342">
      <c r="A3342" t="s">
        <v>3654</v>
      </c>
      <c r="B3342" t="s">
        <v>3657</v>
      </c>
      <c r="C3342" t="s">
        <v>958</v>
      </c>
      <c r="D3342" t="s">
        <v>3599</v>
      </c>
      <c r="E3342" t="s">
        <v>3655</v>
      </c>
      <c r="F3342" t="s">
        <v>97</v>
      </c>
      <c r="G3342" t="s">
        <v>2046</v>
      </c>
      <c r="H3342" t="s">
        <v>3655</v>
      </c>
      <c r="I3342" t="s">
        <v>6305</v>
      </c>
      <c r="J3342" t="s">
        <v>6306</v>
      </c>
      <c r="K3342" t="s">
        <v>3663</v>
      </c>
      <c r="L3342" t="s">
        <v>6288</v>
      </c>
      <c r="M3342" t="s">
        <v>6307</v>
      </c>
    </row>
    <row r="3343">
      <c r="A3343" t="s">
        <v>3664</v>
      </c>
      <c r="B3343" t="s">
        <v>3665</v>
      </c>
      <c r="C3343" t="s">
        <v>958</v>
      </c>
      <c r="D3343" t="s">
        <v>3599</v>
      </c>
      <c r="E3343" t="s">
        <v>3655</v>
      </c>
      <c r="F3343" t="s">
        <v>97</v>
      </c>
      <c r="G3343" t="s">
        <v>2046</v>
      </c>
      <c r="H3343" t="s">
        <v>3655</v>
      </c>
      <c r="I3343" t="s">
        <v>6308</v>
      </c>
      <c r="J3343" t="s">
        <v>6309</v>
      </c>
      <c r="K3343" t="s">
        <v>3670</v>
      </c>
      <c r="L3343" t="s">
        <v>6288</v>
      </c>
      <c r="M3343" t="s">
        <v>6310</v>
      </c>
    </row>
    <row r="3344">
      <c r="A3344" t="s">
        <v>3671</v>
      </c>
      <c r="B3344" t="s">
        <v>3672</v>
      </c>
      <c r="C3344" t="s">
        <v>958</v>
      </c>
      <c r="D3344" t="s">
        <v>3599</v>
      </c>
      <c r="E3344" t="s">
        <v>3655</v>
      </c>
      <c r="F3344" t="s">
        <v>97</v>
      </c>
      <c r="G3344" t="s">
        <v>2046</v>
      </c>
      <c r="H3344" t="s">
        <v>3655</v>
      </c>
      <c r="I3344" t="s">
        <v>6311</v>
      </c>
      <c r="J3344" t="s">
        <v>6312</v>
      </c>
      <c r="K3344" t="s">
        <v>3677</v>
      </c>
      <c r="L3344" t="s">
        <v>6288</v>
      </c>
      <c r="M3344" t="s">
        <v>6313</v>
      </c>
    </row>
    <row r="3345">
      <c r="A3345" t="s">
        <v>3678</v>
      </c>
      <c r="B3345" t="s">
        <v>3679</v>
      </c>
      <c r="C3345" t="s">
        <v>958</v>
      </c>
      <c r="D3345" t="s">
        <v>3599</v>
      </c>
      <c r="E3345" t="s">
        <v>3655</v>
      </c>
      <c r="F3345" t="s">
        <v>97</v>
      </c>
      <c r="G3345" t="s">
        <v>2046</v>
      </c>
      <c r="H3345" t="s">
        <v>3655</v>
      </c>
      <c r="I3345" t="s">
        <v>6314</v>
      </c>
      <c r="J3345" t="s">
        <v>6315</v>
      </c>
      <c r="K3345" t="s">
        <v>3684</v>
      </c>
      <c r="L3345" t="s">
        <v>6288</v>
      </c>
      <c r="M3345" t="s">
        <v>6316</v>
      </c>
    </row>
    <row r="3346">
      <c r="A3346" t="s">
        <v>3685</v>
      </c>
      <c r="B3346" t="s">
        <v>3686</v>
      </c>
      <c r="C3346" t="s">
        <v>958</v>
      </c>
      <c r="D3346" t="s">
        <v>3599</v>
      </c>
      <c r="E3346" t="s">
        <v>3655</v>
      </c>
      <c r="F3346" t="s">
        <v>97</v>
      </c>
      <c r="G3346" t="s">
        <v>2046</v>
      </c>
      <c r="H3346" t="s">
        <v>3655</v>
      </c>
      <c r="I3346" t="s">
        <v>6317</v>
      </c>
      <c r="J3346" t="s">
        <v>6318</v>
      </c>
      <c r="K3346" t="s">
        <v>3691</v>
      </c>
      <c r="L3346" t="s">
        <v>6288</v>
      </c>
      <c r="M3346" t="s">
        <v>6319</v>
      </c>
    </row>
    <row r="3347">
      <c r="A3347" t="s">
        <v>3692</v>
      </c>
      <c r="B3347" t="s">
        <v>3693</v>
      </c>
      <c r="C3347" t="s">
        <v>958</v>
      </c>
      <c r="D3347" t="s">
        <v>3599</v>
      </c>
      <c r="E3347" t="s">
        <v>3655</v>
      </c>
      <c r="F3347" t="s">
        <v>97</v>
      </c>
      <c r="G3347" t="s">
        <v>2046</v>
      </c>
      <c r="H3347" t="s">
        <v>3655</v>
      </c>
      <c r="I3347" t="s">
        <v>6320</v>
      </c>
      <c r="J3347" t="s">
        <v>6321</v>
      </c>
      <c r="K3347" t="s">
        <v>3698</v>
      </c>
      <c r="L3347" t="s">
        <v>6288</v>
      </c>
      <c r="M3347" t="s">
        <v>6322</v>
      </c>
    </row>
    <row r="3348">
      <c r="A3348" t="s">
        <v>3699</v>
      </c>
      <c r="B3348" t="s">
        <v>3700</v>
      </c>
      <c r="C3348" t="s">
        <v>958</v>
      </c>
      <c r="D3348" t="s">
        <v>3599</v>
      </c>
      <c r="E3348" t="s">
        <v>3655</v>
      </c>
      <c r="F3348" t="s">
        <v>154</v>
      </c>
      <c r="G3348" t="s">
        <v>2046</v>
      </c>
      <c r="H3348" t="s">
        <v>3655</v>
      </c>
      <c r="I3348" t="s">
        <v>6323</v>
      </c>
      <c r="J3348" t="s">
        <v>6324</v>
      </c>
      <c r="K3348" t="s">
        <v>3705</v>
      </c>
      <c r="L3348" t="s">
        <v>6288</v>
      </c>
      <c r="M3348" t="s">
        <v>6325</v>
      </c>
    </row>
    <row r="3349">
      <c r="A3349" t="s">
        <v>3706</v>
      </c>
      <c r="B3349" t="s">
        <v>3707</v>
      </c>
      <c r="C3349" t="s">
        <v>958</v>
      </c>
      <c r="D3349" t="s">
        <v>3599</v>
      </c>
      <c r="E3349" t="s">
        <v>3655</v>
      </c>
      <c r="F3349" t="s">
        <v>154</v>
      </c>
      <c r="G3349" t="s">
        <v>2047</v>
      </c>
      <c r="H3349" t="s">
        <v>3655</v>
      </c>
      <c r="I3349" t="s">
        <v>6326</v>
      </c>
      <c r="J3349" t="s">
        <v>6327</v>
      </c>
      <c r="K3349" t="s">
        <v>3712</v>
      </c>
      <c r="L3349" t="s">
        <v>6288</v>
      </c>
      <c r="M3349" t="s">
        <v>6328</v>
      </c>
    </row>
    <row r="3350">
      <c r="A3350" t="s">
        <v>3713</v>
      </c>
      <c r="B3350" t="s">
        <v>3714</v>
      </c>
      <c r="C3350" t="s">
        <v>958</v>
      </c>
      <c r="D3350" t="s">
        <v>3599</v>
      </c>
      <c r="E3350" t="s">
        <v>3655</v>
      </c>
      <c r="F3350" t="s">
        <v>97</v>
      </c>
      <c r="G3350" t="s">
        <v>2046</v>
      </c>
      <c r="H3350" t="s">
        <v>3655</v>
      </c>
      <c r="I3350" t="s">
        <v>6329</v>
      </c>
      <c r="J3350" t="s">
        <v>6330</v>
      </c>
      <c r="K3350" t="s">
        <v>3719</v>
      </c>
      <c r="L3350" t="s">
        <v>6288</v>
      </c>
      <c r="M3350" t="s">
        <v>6331</v>
      </c>
    </row>
    <row r="3351">
      <c r="A3351" t="s">
        <v>3720</v>
      </c>
      <c r="B3351" t="s">
        <v>3721</v>
      </c>
      <c r="C3351" t="s">
        <v>958</v>
      </c>
      <c r="D3351" t="s">
        <v>3599</v>
      </c>
      <c r="E3351" t="s">
        <v>3655</v>
      </c>
      <c r="F3351" t="s">
        <v>97</v>
      </c>
      <c r="G3351" t="s">
        <v>2046</v>
      </c>
      <c r="H3351" t="s">
        <v>3655</v>
      </c>
      <c r="I3351" t="s">
        <v>6332</v>
      </c>
      <c r="J3351" t="s">
        <v>6333</v>
      </c>
      <c r="K3351" t="s">
        <v>3726</v>
      </c>
      <c r="L3351" t="s">
        <v>6288</v>
      </c>
      <c r="M3351" t="s">
        <v>6334</v>
      </c>
    </row>
    <row r="3352">
      <c r="A3352" t="s">
        <v>3727</v>
      </c>
      <c r="B3352" t="s">
        <v>3730</v>
      </c>
      <c r="C3352" t="s">
        <v>958</v>
      </c>
      <c r="D3352" t="s">
        <v>3599</v>
      </c>
      <c r="E3352" t="s">
        <v>3728</v>
      </c>
      <c r="F3352" t="s">
        <v>120</v>
      </c>
      <c r="G3352" t="s">
        <v>2048</v>
      </c>
      <c r="H3352" t="s">
        <v>3728</v>
      </c>
      <c r="I3352" t="s">
        <v>6335</v>
      </c>
      <c r="J3352" t="s">
        <v>6336</v>
      </c>
      <c r="K3352" t="s">
        <v>3736</v>
      </c>
      <c r="L3352" t="s">
        <v>6288</v>
      </c>
      <c r="M3352" t="s">
        <v>6337</v>
      </c>
    </row>
    <row r="3353">
      <c r="A3353" t="s">
        <v>3737</v>
      </c>
      <c r="B3353" t="s">
        <v>3738</v>
      </c>
      <c r="C3353" t="s">
        <v>958</v>
      </c>
      <c r="D3353" t="s">
        <v>3599</v>
      </c>
      <c r="E3353" t="s">
        <v>3728</v>
      </c>
      <c r="F3353" t="s">
        <v>120</v>
      </c>
      <c r="G3353" t="s">
        <v>2048</v>
      </c>
      <c r="H3353" t="s">
        <v>3728</v>
      </c>
      <c r="I3353" t="s">
        <v>6338</v>
      </c>
      <c r="J3353" t="s">
        <v>6339</v>
      </c>
      <c r="K3353" t="s">
        <v>3743</v>
      </c>
      <c r="L3353" t="s">
        <v>6288</v>
      </c>
      <c r="M3353" t="s">
        <v>6340</v>
      </c>
    </row>
    <row r="3354">
      <c r="A3354" t="s">
        <v>3744</v>
      </c>
      <c r="B3354" t="s">
        <v>3745</v>
      </c>
      <c r="C3354" t="s">
        <v>958</v>
      </c>
      <c r="D3354" t="s">
        <v>3599</v>
      </c>
      <c r="E3354" t="s">
        <v>3728</v>
      </c>
      <c r="F3354" t="s">
        <v>120</v>
      </c>
      <c r="G3354" t="s">
        <v>2048</v>
      </c>
      <c r="H3354" t="s">
        <v>3728</v>
      </c>
      <c r="I3354" t="s">
        <v>6341</v>
      </c>
      <c r="J3354" t="s">
        <v>6342</v>
      </c>
      <c r="K3354" t="s">
        <v>3750</v>
      </c>
      <c r="L3354" t="s">
        <v>6288</v>
      </c>
      <c r="M3354" t="s">
        <v>6343</v>
      </c>
    </row>
    <row r="3355">
      <c r="A3355" t="s">
        <v>3751</v>
      </c>
      <c r="B3355" t="s">
        <v>3752</v>
      </c>
      <c r="C3355" t="s">
        <v>958</v>
      </c>
      <c r="D3355" t="s">
        <v>3599</v>
      </c>
      <c r="E3355" t="s">
        <v>3728</v>
      </c>
      <c r="F3355" t="s">
        <v>120</v>
      </c>
      <c r="G3355" t="s">
        <v>2048</v>
      </c>
      <c r="H3355" t="s">
        <v>3728</v>
      </c>
      <c r="I3355" t="s">
        <v>6344</v>
      </c>
      <c r="J3355" t="s">
        <v>6345</v>
      </c>
      <c r="K3355" t="s">
        <v>3757</v>
      </c>
      <c r="L3355" t="s">
        <v>6288</v>
      </c>
      <c r="M3355" t="s">
        <v>6346</v>
      </c>
    </row>
    <row r="3356">
      <c r="A3356" t="s">
        <v>3758</v>
      </c>
      <c r="B3356" t="s">
        <v>3759</v>
      </c>
      <c r="C3356" t="s">
        <v>958</v>
      </c>
      <c r="D3356" t="s">
        <v>3599</v>
      </c>
      <c r="E3356" t="s">
        <v>3728</v>
      </c>
      <c r="F3356" t="s">
        <v>120</v>
      </c>
      <c r="G3356" t="s">
        <v>2048</v>
      </c>
      <c r="H3356" t="s">
        <v>3728</v>
      </c>
      <c r="I3356" t="s">
        <v>6347</v>
      </c>
      <c r="J3356" t="s">
        <v>6348</v>
      </c>
      <c r="K3356" t="s">
        <v>3764</v>
      </c>
      <c r="L3356" t="s">
        <v>6288</v>
      </c>
      <c r="M3356" t="s">
        <v>6349</v>
      </c>
    </row>
    <row r="3357">
      <c r="A3357" t="s">
        <v>3765</v>
      </c>
      <c r="B3357" t="s">
        <v>3766</v>
      </c>
      <c r="C3357" t="s">
        <v>958</v>
      </c>
      <c r="D3357" t="s">
        <v>3599</v>
      </c>
      <c r="E3357" t="s">
        <v>3728</v>
      </c>
      <c r="F3357" t="s">
        <v>120</v>
      </c>
      <c r="G3357" t="s">
        <v>2048</v>
      </c>
      <c r="H3357" t="s">
        <v>3728</v>
      </c>
      <c r="I3357" t="s">
        <v>6350</v>
      </c>
      <c r="J3357" t="s">
        <v>6351</v>
      </c>
      <c r="K3357" t="s">
        <v>3771</v>
      </c>
      <c r="L3357" t="s">
        <v>6288</v>
      </c>
      <c r="M3357" t="s">
        <v>6352</v>
      </c>
    </row>
    <row r="3358">
      <c r="A3358" t="s">
        <v>3772</v>
      </c>
      <c r="B3358" t="s">
        <v>3773</v>
      </c>
      <c r="C3358" t="s">
        <v>958</v>
      </c>
      <c r="D3358" t="s">
        <v>3599</v>
      </c>
      <c r="E3358" t="s">
        <v>3728</v>
      </c>
      <c r="F3358" t="s">
        <v>120</v>
      </c>
      <c r="G3358" t="s">
        <v>2048</v>
      </c>
      <c r="H3358" t="s">
        <v>3728</v>
      </c>
      <c r="I3358" t="s">
        <v>6353</v>
      </c>
      <c r="J3358" t="s">
        <v>6354</v>
      </c>
      <c r="K3358" t="s">
        <v>3778</v>
      </c>
      <c r="L3358" t="s">
        <v>6288</v>
      </c>
      <c r="M3358" t="s">
        <v>6355</v>
      </c>
    </row>
    <row r="3359">
      <c r="A3359" t="s">
        <v>3779</v>
      </c>
      <c r="B3359" t="s">
        <v>3782</v>
      </c>
      <c r="C3359" t="s">
        <v>958</v>
      </c>
      <c r="D3359" t="s">
        <v>3599</v>
      </c>
      <c r="E3359" t="s">
        <v>3780</v>
      </c>
      <c r="F3359" t="s">
        <v>3783</v>
      </c>
      <c r="G3359" t="s">
        <v>2049</v>
      </c>
      <c r="H3359" t="s">
        <v>3780</v>
      </c>
      <c r="I3359" t="s">
        <v>6356</v>
      </c>
      <c r="J3359" t="s">
        <v>6357</v>
      </c>
      <c r="K3359" t="s">
        <v>3789</v>
      </c>
      <c r="L3359" t="s">
        <v>6288</v>
      </c>
      <c r="M3359" t="s">
        <v>6358</v>
      </c>
    </row>
    <row r="3360">
      <c r="A3360" t="s">
        <v>3792</v>
      </c>
      <c r="B3360" t="s">
        <v>3793</v>
      </c>
      <c r="C3360" t="s">
        <v>958</v>
      </c>
      <c r="D3360" t="s">
        <v>3599</v>
      </c>
      <c r="E3360" t="s">
        <v>3780</v>
      </c>
      <c r="F3360" t="s">
        <v>3783</v>
      </c>
      <c r="G3360" t="s">
        <v>2049</v>
      </c>
      <c r="H3360" t="s">
        <v>3780</v>
      </c>
      <c r="I3360" t="s">
        <v>6359</v>
      </c>
      <c r="J3360" t="s">
        <v>6360</v>
      </c>
      <c r="K3360" t="s">
        <v>3798</v>
      </c>
      <c r="L3360" t="s">
        <v>6288</v>
      </c>
      <c r="M3360" t="s">
        <v>6361</v>
      </c>
    </row>
    <row r="3361">
      <c r="A3361" t="s">
        <v>3799</v>
      </c>
      <c r="B3361" t="s">
        <v>3800</v>
      </c>
      <c r="C3361" t="s">
        <v>958</v>
      </c>
      <c r="D3361" t="s">
        <v>3599</v>
      </c>
      <c r="E3361" t="s">
        <v>3780</v>
      </c>
      <c r="F3361" t="s">
        <v>3783</v>
      </c>
      <c r="G3361" t="s">
        <v>2049</v>
      </c>
      <c r="H3361" t="s">
        <v>3780</v>
      </c>
      <c r="I3361" t="s">
        <v>6362</v>
      </c>
      <c r="J3361" t="s">
        <v>6363</v>
      </c>
      <c r="K3361" t="s">
        <v>3805</v>
      </c>
      <c r="L3361" t="s">
        <v>6288</v>
      </c>
      <c r="M3361" t="s">
        <v>6364</v>
      </c>
    </row>
    <row r="3362">
      <c r="A3362" t="s">
        <v>3806</v>
      </c>
      <c r="B3362" t="s">
        <v>3807</v>
      </c>
      <c r="C3362" t="s">
        <v>958</v>
      </c>
      <c r="D3362" t="s">
        <v>3599</v>
      </c>
      <c r="E3362" t="s">
        <v>3780</v>
      </c>
      <c r="F3362" t="s">
        <v>3783</v>
      </c>
      <c r="G3362" t="s">
        <v>2049</v>
      </c>
      <c r="H3362" t="s">
        <v>3780</v>
      </c>
      <c r="I3362" t="s">
        <v>6365</v>
      </c>
      <c r="J3362" t="s">
        <v>6366</v>
      </c>
      <c r="K3362" t="s">
        <v>3812</v>
      </c>
      <c r="L3362" t="s">
        <v>6288</v>
      </c>
      <c r="M3362" t="s">
        <v>6367</v>
      </c>
    </row>
    <row r="3363">
      <c r="A3363" t="s">
        <v>3813</v>
      </c>
      <c r="B3363" t="s">
        <v>3814</v>
      </c>
      <c r="C3363" t="s">
        <v>958</v>
      </c>
      <c r="D3363" t="s">
        <v>3599</v>
      </c>
      <c r="E3363" t="s">
        <v>3780</v>
      </c>
      <c r="F3363" t="s">
        <v>3783</v>
      </c>
      <c r="G3363" t="s">
        <v>2049</v>
      </c>
      <c r="H3363" t="s">
        <v>3780</v>
      </c>
      <c r="I3363" t="s">
        <v>6368</v>
      </c>
      <c r="J3363" t="s">
        <v>6369</v>
      </c>
      <c r="K3363" t="s">
        <v>3819</v>
      </c>
      <c r="L3363" t="s">
        <v>6288</v>
      </c>
      <c r="M3363" t="s">
        <v>6370</v>
      </c>
    </row>
    <row r="3364">
      <c r="A3364" t="s">
        <v>3820</v>
      </c>
      <c r="B3364" t="s">
        <v>3821</v>
      </c>
      <c r="C3364" t="s">
        <v>958</v>
      </c>
      <c r="D3364" t="s">
        <v>3599</v>
      </c>
      <c r="E3364" t="s">
        <v>3780</v>
      </c>
      <c r="F3364" t="s">
        <v>3783</v>
      </c>
      <c r="G3364" t="s">
        <v>2049</v>
      </c>
      <c r="H3364" t="s">
        <v>3780</v>
      </c>
      <c r="I3364" t="s">
        <v>6371</v>
      </c>
      <c r="J3364" t="s">
        <v>6372</v>
      </c>
      <c r="K3364" t="s">
        <v>3826</v>
      </c>
      <c r="L3364" t="s">
        <v>6288</v>
      </c>
      <c r="M3364" t="s">
        <v>6373</v>
      </c>
    </row>
    <row r="3365">
      <c r="A3365" t="s">
        <v>3827</v>
      </c>
      <c r="B3365" t="s">
        <v>3830</v>
      </c>
      <c r="C3365" t="s">
        <v>958</v>
      </c>
      <c r="D3365" t="s">
        <v>3599</v>
      </c>
      <c r="E3365" t="s">
        <v>3828</v>
      </c>
      <c r="F3365" t="s">
        <v>97</v>
      </c>
      <c r="G3365" t="s">
        <v>2046</v>
      </c>
      <c r="H3365" t="s">
        <v>3828</v>
      </c>
      <c r="I3365" t="s">
        <v>6374</v>
      </c>
      <c r="J3365" t="s">
        <v>6375</v>
      </c>
      <c r="K3365" t="s">
        <v>3836</v>
      </c>
      <c r="L3365" t="s">
        <v>6288</v>
      </c>
      <c r="M3365" t="s">
        <v>6376</v>
      </c>
    </row>
    <row r="3366">
      <c r="A3366" t="s">
        <v>3837</v>
      </c>
      <c r="B3366" t="s">
        <v>3838</v>
      </c>
      <c r="C3366" t="s">
        <v>958</v>
      </c>
      <c r="D3366" t="s">
        <v>3599</v>
      </c>
      <c r="E3366" t="s">
        <v>3828</v>
      </c>
      <c r="F3366" t="s">
        <v>120</v>
      </c>
      <c r="G3366" t="s">
        <v>2048</v>
      </c>
      <c r="H3366" t="s">
        <v>3828</v>
      </c>
      <c r="I3366" t="s">
        <v>6377</v>
      </c>
      <c r="J3366" t="s">
        <v>6378</v>
      </c>
      <c r="K3366" t="s">
        <v>3843</v>
      </c>
      <c r="L3366" t="s">
        <v>6288</v>
      </c>
      <c r="M3366" t="s">
        <v>6379</v>
      </c>
    </row>
    <row r="3367" ht="42" customHeight="1">
      <c r="A3367" s="74" t="s">
        <v>7286</v>
      </c>
      <c r="B3367" s="74" t="s">
        <v>7291</v>
      </c>
      <c r="C3367" s="74" t="str">
        <v>8) Management &amp; Governance</v>
      </c>
      <c r="D3367" s="74" t="str">
        <v>Management &amp; Governance Suite</v>
      </c>
      <c r="E3367" s="74" t="str">
        <v>Enterprise Strategy &amp; Performance Management</v>
      </c>
      <c r="F3367" s="74" t="s">
        <v>120</v>
      </c>
      <c r="G3367" s="74" t="s">
        <v>7303</v>
      </c>
      <c r="H3367" s="74" t="str">
        <v>Strategy Architecture</v>
      </c>
      <c r="I3367" s="74" t="str">
        <v>Strategy Architecture Hub</v>
      </c>
      <c r="J3367" s="74" t="str">
        <v>Review strategy architecture, ownership, active version and publication health.</v>
      </c>
      <c r="K3367" s="74" t="str">
        <v>Enterprise Strategy; Strategy Framework</v>
      </c>
      <c r="L3367" s="74" t="s">
        <v>7380</v>
      </c>
      <c r="M3367" s="74" t="s">
        <v>7307</v>
      </c>
    </row>
    <row r="3368" ht="42" customHeight="1">
      <c r="A3368" s="74" t="s">
        <v>7286</v>
      </c>
      <c r="B3368" s="74" t="s">
        <v>7291</v>
      </c>
      <c r="C3368" s="74" t="str">
        <v>8) Management &amp; Governance</v>
      </c>
      <c r="D3368" s="74" t="str">
        <v>Management &amp; Governance Suite</v>
      </c>
      <c r="E3368" s="74" t="str">
        <v>Enterprise Strategy &amp; Performance Management</v>
      </c>
      <c r="F3368" s="74" t="s">
        <v>120</v>
      </c>
      <c r="G3368" s="74" t="s">
        <v>7303</v>
      </c>
      <c r="H3368" s="74" t="str">
        <v>Strategy Architecture</v>
      </c>
      <c r="I3368" s="74" t="str">
        <v>Strategy Framework Register</v>
      </c>
      <c r="J3368" s="74" t="str">
        <v>Create, compare and govern strategy frameworks and versions.</v>
      </c>
      <c r="K3368" s="74" t="str">
        <v>Strategy Framework; Strategy Version</v>
      </c>
      <c r="L3368" s="74" t="s">
        <v>7380</v>
      </c>
      <c r="M3368" s="74" t="s">
        <v>7307</v>
      </c>
    </row>
    <row r="3369" ht="42" customHeight="1">
      <c r="A3369" s="74" t="s">
        <v>7286</v>
      </c>
      <c r="B3369" s="74" t="s">
        <v>7291</v>
      </c>
      <c r="C3369" s="74" t="str">
        <v>8) Management &amp; Governance</v>
      </c>
      <c r="D3369" s="74" t="str">
        <v>Management &amp; Governance Suite</v>
      </c>
      <c r="E3369" s="74" t="str">
        <v>Enterprise Strategy &amp; Performance Management</v>
      </c>
      <c r="F3369" s="74" t="s">
        <v>120</v>
      </c>
      <c r="G3369" s="74" t="s">
        <v>7303</v>
      </c>
      <c r="H3369" s="74" t="str">
        <v>Planning</v>
      </c>
      <c r="I3369" s="74" t="str">
        <v>Strategy Periods &amp; Planning Cycles</v>
      </c>
      <c r="J3369" s="74" t="str">
        <v>Define effective strategy periods, planning cycles and review windows.</v>
      </c>
      <c r="K3369" s="74" t="str">
        <v>Strategy Period; Planning Cycle</v>
      </c>
      <c r="L3369" s="74" t="s">
        <v>7380</v>
      </c>
      <c r="M3369" s="74" t="s">
        <v>7307</v>
      </c>
    </row>
    <row r="3370" ht="42" customHeight="1">
      <c r="A3370" s="74" t="s">
        <v>7286</v>
      </c>
      <c r="B3370" s="74" t="s">
        <v>7291</v>
      </c>
      <c r="C3370" s="74" t="str">
        <v>8) Management &amp; Governance</v>
      </c>
      <c r="D3370" s="74" t="str">
        <v>Management &amp; Governance Suite</v>
      </c>
      <c r="E3370" s="74" t="str">
        <v>Enterprise Strategy &amp; Performance Management</v>
      </c>
      <c r="F3370" s="74" t="s">
        <v>120</v>
      </c>
      <c r="G3370" s="74" t="s">
        <v>7303</v>
      </c>
      <c r="H3370" s="74" t="str">
        <v>Planning</v>
      </c>
      <c r="I3370" s="74" t="str">
        <v>Strategy Themes &amp; Principles</v>
      </c>
      <c r="J3370" s="74" t="str">
        <v>Manage strategy themes, principles, assumptions and ownership.</v>
      </c>
      <c r="K3370" s="74" t="str">
        <v>Strategy Theme; Strategy Principle</v>
      </c>
      <c r="L3370" s="74" t="s">
        <v>7380</v>
      </c>
      <c r="M3370" s="74" t="s">
        <v>7307</v>
      </c>
    </row>
    <row r="3371" ht="42" customHeight="1">
      <c r="A3371" s="74" t="s">
        <v>7286</v>
      </c>
      <c r="B3371" s="74" t="s">
        <v>7291</v>
      </c>
      <c r="C3371" s="74" t="str">
        <v>8) Management &amp; Governance</v>
      </c>
      <c r="D3371" s="74" t="str">
        <v>Management &amp; Governance Suite</v>
      </c>
      <c r="E3371" s="74" t="str">
        <v>Enterprise Strategy &amp; Performance Management</v>
      </c>
      <c r="F3371" s="74" t="s">
        <v>120</v>
      </c>
      <c r="G3371" s="74" t="s">
        <v>7303</v>
      </c>
      <c r="H3371" s="74" t="str">
        <v>Governance</v>
      </c>
      <c r="I3371" s="74" t="str">
        <v>Strategy Version &amp; Publication</v>
      </c>
      <c r="J3371" s="74" t="str">
        <v>Validate, approve, publish, supersede and archive strategy versions.</v>
      </c>
      <c r="K3371" s="74" t="str">
        <v>Strategy Version; Publication</v>
      </c>
      <c r="L3371" s="74" t="s">
        <v>7380</v>
      </c>
      <c r="M3371" s="74" t="s">
        <v>7307</v>
      </c>
    </row>
    <row r="3372" ht="42" customHeight="1">
      <c r="A3372" s="74" t="s">
        <v>7286</v>
      </c>
      <c r="B3372" s="74" t="s">
        <v>7291</v>
      </c>
      <c r="C3372" s="74" t="str">
        <v>8) Management &amp; Governance</v>
      </c>
      <c r="D3372" s="74" t="str">
        <v>Management &amp; Governance Suite</v>
      </c>
      <c r="E3372" s="74" t="str">
        <v>Enterprise Strategy &amp; Performance Management</v>
      </c>
      <c r="F3372" s="74" t="s">
        <v>120</v>
      </c>
      <c r="G3372" s="74" t="s">
        <v>7303</v>
      </c>
      <c r="H3372" s="74" t="str">
        <v>Governance</v>
      </c>
      <c r="I3372" s="74" t="str">
        <v>Strategy Architecture Audit &amp; Export</v>
      </c>
      <c r="J3372" s="74" t="str">
        <v>Inspect lineage, decisions, evidence, audit history and controlled exports.</v>
      </c>
      <c r="K3372" s="74" t="str">
        <v>Audit Event; Evidence Link; Decision Reference</v>
      </c>
      <c r="L3372" s="74" t="s">
        <v>7380</v>
      </c>
      <c r="M3372" s="74" t="s">
        <v>7307</v>
      </c>
    </row>
    <row r="3373" ht="42" customHeight="1">
      <c r="A3373" s="74" t="s">
        <v>7286</v>
      </c>
      <c r="B3373" s="74" t="s">
        <v>7291</v>
      </c>
      <c r="C3373" s="74" t="str">
        <v>8) Management &amp; Governance</v>
      </c>
      <c r="D3373" s="74" t="str">
        <v>Management &amp; Governance Suite</v>
      </c>
      <c r="E3373" s="74" t="str">
        <v>Enterprise Strategy &amp; Performance Management</v>
      </c>
      <c r="F3373" s="74" t="s">
        <v>120</v>
      </c>
      <c r="G3373" s="74" t="s">
        <v>7303</v>
      </c>
      <c r="H3373" s="74" t="str">
        <v>Goals &amp; Objectives</v>
      </c>
      <c r="I3373" s="74" t="str">
        <v>Goals Register</v>
      </c>
      <c r="J3373" s="74" t="str">
        <v>Create, filter and govern strategic goals.</v>
      </c>
      <c r="K3373" s="74" t="str">
        <v>Strategic Goal</v>
      </c>
      <c r="L3373" s="74" t="s">
        <v>7380</v>
      </c>
      <c r="M3373" s="74" t="s">
        <v>7307</v>
      </c>
    </row>
    <row r="3374" ht="42" customHeight="1">
      <c r="A3374" s="74" t="s">
        <v>7286</v>
      </c>
      <c r="B3374" s="74" t="s">
        <v>7291</v>
      </c>
      <c r="C3374" s="74" t="str">
        <v>8) Management &amp; Governance</v>
      </c>
      <c r="D3374" s="74" t="str">
        <v>Management &amp; Governance Suite</v>
      </c>
      <c r="E3374" s="74" t="str">
        <v>Enterprise Strategy &amp; Performance Management</v>
      </c>
      <c r="F3374" s="74" t="s">
        <v>120</v>
      </c>
      <c r="G3374" s="74" t="s">
        <v>7303</v>
      </c>
      <c r="H3374" s="74" t="str">
        <v>Goals &amp; Objectives</v>
      </c>
      <c r="I3374" s="74" t="str">
        <v>Objectives Register</v>
      </c>
      <c r="J3374" s="74" t="str">
        <v>Create, filter and govern strategic objectives.</v>
      </c>
      <c r="K3374" s="74" t="str">
        <v>Strategic Objective</v>
      </c>
      <c r="L3374" s="74" t="s">
        <v>7380</v>
      </c>
      <c r="M3374" s="74" t="s">
        <v>7307</v>
      </c>
    </row>
    <row r="3375" ht="42" customHeight="1">
      <c r="A3375" s="74" t="s">
        <v>7286</v>
      </c>
      <c r="B3375" s="74" t="s">
        <v>7291</v>
      </c>
      <c r="C3375" s="74" t="str">
        <v>8) Management &amp; Governance</v>
      </c>
      <c r="D3375" s="74" t="str">
        <v>Management &amp; Governance Suite</v>
      </c>
      <c r="E3375" s="74" t="str">
        <v>Enterprise Strategy &amp; Performance Management</v>
      </c>
      <c r="F3375" s="74" t="s">
        <v>120</v>
      </c>
      <c r="G3375" s="74" t="s">
        <v>7303</v>
      </c>
      <c r="H3375" s="74" t="str">
        <v>Goals &amp; Objectives</v>
      </c>
      <c r="I3375" s="74" t="str">
        <v>Goal / Objective Detail</v>
      </c>
      <c r="J3375" s="74" t="str">
        <v>Maintain ownership, horizons, status, metric and delivery references.</v>
      </c>
      <c r="K3375" s="74" t="str">
        <v>Strategic Goal; Strategic Objective; Target Plan</v>
      </c>
      <c r="L3375" s="74" t="s">
        <v>7380</v>
      </c>
      <c r="M3375" s="74" t="s">
        <v>7307</v>
      </c>
    </row>
    <row r="3376" ht="42" customHeight="1">
      <c r="A3376" s="74" t="s">
        <v>7286</v>
      </c>
      <c r="B3376" s="74" t="s">
        <v>7291</v>
      </c>
      <c r="C3376" s="74" t="str">
        <v>8) Management &amp; Governance</v>
      </c>
      <c r="D3376" s="74" t="str">
        <v>Management &amp; Governance Suite</v>
      </c>
      <c r="E3376" s="74" t="str">
        <v>Enterprise Strategy &amp; Performance Management</v>
      </c>
      <c r="F3376" s="74" t="s">
        <v>120</v>
      </c>
      <c r="G3376" s="74" t="s">
        <v>7303</v>
      </c>
      <c r="H3376" s="74" t="str">
        <v>Targets</v>
      </c>
      <c r="I3376" s="74" t="str">
        <v>Targets &amp; Threshold Plans</v>
      </c>
      <c r="J3376" s="74" t="str">
        <v>Define baselines, targets, thresholds, forecasts and review periods.</v>
      </c>
      <c r="K3376" s="74" t="str">
        <v>Target Plan; Threshold</v>
      </c>
      <c r="L3376" s="74" t="s">
        <v>7380</v>
      </c>
      <c r="M3376" s="74" t="s">
        <v>7307</v>
      </c>
    </row>
    <row r="3377" ht="42" customHeight="1">
      <c r="A3377" s="74" t="s">
        <v>7286</v>
      </c>
      <c r="B3377" s="74" t="s">
        <v>7291</v>
      </c>
      <c r="C3377" s="74" t="str">
        <v>8) Management &amp; Governance</v>
      </c>
      <c r="D3377" s="74" t="str">
        <v>Management &amp; Governance Suite</v>
      </c>
      <c r="E3377" s="74" t="str">
        <v>Enterprise Strategy &amp; Performance Management</v>
      </c>
      <c r="F3377" s="74" t="s">
        <v>120</v>
      </c>
      <c r="G3377" s="74" t="s">
        <v>7303</v>
      </c>
      <c r="H3377" s="74" t="str">
        <v>Alignment</v>
      </c>
      <c r="I3377" s="74" t="str">
        <v>Alignment &amp; Cascade Matrix</v>
      </c>
      <c r="J3377" s="74" t="str">
        <v>Create and review goal-to-objective and objective-to-delivery alignment.</v>
      </c>
      <c r="K3377" s="74" t="str">
        <v>Strategy Alignment Link</v>
      </c>
      <c r="L3377" s="74" t="s">
        <v>7380</v>
      </c>
      <c r="M3377" s="74" t="s">
        <v>7307</v>
      </c>
    </row>
    <row r="3378" ht="42" customHeight="1">
      <c r="A3378" s="74" t="s">
        <v>7286</v>
      </c>
      <c r="B3378" s="74" t="s">
        <v>7291</v>
      </c>
      <c r="C3378" s="74" t="str">
        <v>8) Management &amp; Governance</v>
      </c>
      <c r="D3378" s="74" t="str">
        <v>Management &amp; Governance Suite</v>
      </c>
      <c r="E3378" s="74" t="str">
        <v>Enterprise Strategy &amp; Performance Management</v>
      </c>
      <c r="F3378" s="74" t="s">
        <v>120</v>
      </c>
      <c r="G3378" s="74" t="s">
        <v>7303</v>
      </c>
      <c r="H3378" s="74" t="str">
        <v>Alignment</v>
      </c>
      <c r="I3378" s="74" t="str">
        <v>Contribution &amp; Coverage Register</v>
      </c>
      <c r="J3378" s="74" t="str">
        <v>Manage contribution weights, coverage quality and conflicts.</v>
      </c>
      <c r="K3378" s="74" t="str">
        <v>Contribution Weight; Coverage Assessment</v>
      </c>
      <c r="L3378" s="74" t="s">
        <v>7380</v>
      </c>
      <c r="M3378" s="74" t="s">
        <v>7307</v>
      </c>
    </row>
    <row r="3379" ht="42" customHeight="1">
      <c r="A3379" s="74" t="s">
        <v>7286</v>
      </c>
      <c r="B3379" s="74" t="s">
        <v>7291</v>
      </c>
      <c r="C3379" s="74" t="str">
        <v>8) Management &amp; Governance</v>
      </c>
      <c r="D3379" s="74" t="str">
        <v>Management &amp; Governance Suite</v>
      </c>
      <c r="E3379" s="74" t="str">
        <v>Enterprise Strategy &amp; Performance Management</v>
      </c>
      <c r="F3379" s="74" t="s">
        <v>120</v>
      </c>
      <c r="G3379" s="74" t="s">
        <v>7303</v>
      </c>
      <c r="H3379" s="74" t="str">
        <v>Exceptions</v>
      </c>
      <c r="I3379" s="74" t="str">
        <v>Strategy Exceptions</v>
      </c>
      <c r="J3379" s="74" t="str">
        <v>Review missing KPI, target, evidence, approval, scope or horizon issues.</v>
      </c>
      <c r="K3379" s="74" t="str">
        <v>Strategy Exception</v>
      </c>
      <c r="L3379" s="74" t="s">
        <v>7380</v>
      </c>
      <c r="M3379" s="74" t="s">
        <v>7307</v>
      </c>
    </row>
    <row r="3380" ht="42" customHeight="1">
      <c r="A3380" s="74" t="s">
        <v>7286</v>
      </c>
      <c r="B3380" s="74" t="s">
        <v>7291</v>
      </c>
      <c r="C3380" s="74" t="str">
        <v>8) Management &amp; Governance</v>
      </c>
      <c r="D3380" s="74" t="str">
        <v>Management &amp; Governance Suite</v>
      </c>
      <c r="E3380" s="74" t="str">
        <v>Enterprise Strategy &amp; Performance Management</v>
      </c>
      <c r="F3380" s="74" t="s">
        <v>120</v>
      </c>
      <c r="G3380" s="74" t="s">
        <v>7303</v>
      </c>
      <c r="H3380" s="74" t="str">
        <v>Performance</v>
      </c>
      <c r="I3380" s="74" t="str">
        <v>Performance Review Workspace</v>
      </c>
      <c r="J3380" s="74" t="str">
        <v>Review target/KPI results and prepare management-review handoff.</v>
      </c>
      <c r="K3380" s="74" t="str">
        <v>Target Result; KPI Link; Review Reference</v>
      </c>
      <c r="L3380" s="74" t="s">
        <v>7380</v>
      </c>
      <c r="M3380" s="74" t="s">
        <v>7307</v>
      </c>
    </row>
    <row r="3381" ht="42" customHeight="1">
      <c r="A3381" s="74" t="s">
        <v>7308</v>
      </c>
      <c r="B3381" s="74" t="s">
        <v>7311</v>
      </c>
      <c r="C3381" s="74" t="str">
        <v>8) Management &amp; Governance</v>
      </c>
      <c r="D3381" s="74" t="str">
        <v>Management &amp; Governance Suite</v>
      </c>
      <c r="E3381" s="74" t="str">
        <v>Delivery &amp; Execution Management</v>
      </c>
      <c r="F3381" s="74" t="s">
        <v>154</v>
      </c>
      <c r="G3381" s="74" t="s">
        <v>7318</v>
      </c>
      <c r="H3381" s="74" t="str">
        <v>Configuration</v>
      </c>
      <c r="I3381" s="74" t="str">
        <v>Structure Types</v>
      </c>
      <c r="J3381" s="74" t="str">
        <v>Create and version governed structure families.</v>
      </c>
      <c r="K3381" s="74" t="str">
        <v>Structure Type Version</v>
      </c>
      <c r="L3381" s="74" t="s">
        <v>7380</v>
      </c>
      <c r="M3381" s="74" t="s">
        <v>7320</v>
      </c>
    </row>
    <row r="3382" ht="42" customHeight="1">
      <c r="A3382" s="74" t="s">
        <v>7308</v>
      </c>
      <c r="B3382" s="74" t="s">
        <v>7311</v>
      </c>
      <c r="C3382" s="74" t="str">
        <v>8) Management &amp; Governance</v>
      </c>
      <c r="D3382" s="74" t="str">
        <v>Management &amp; Governance Suite</v>
      </c>
      <c r="E3382" s="74" t="str">
        <v>Delivery &amp; Execution Management</v>
      </c>
      <c r="F3382" s="74" t="s">
        <v>154</v>
      </c>
      <c r="G3382" s="74" t="s">
        <v>7318</v>
      </c>
      <c r="H3382" s="74" t="str">
        <v>Configuration</v>
      </c>
      <c r="I3382" s="74" t="str">
        <v>Node Types &amp; Hierarchy Rules</v>
      </c>
      <c r="J3382" s="74" t="str">
        <v>Define node types, parent-child rules, depth, numbering and required fields.</v>
      </c>
      <c r="K3382" s="74" t="str">
        <v>Node Type Version; Hierarchy Rule</v>
      </c>
      <c r="L3382" s="74" t="s">
        <v>7380</v>
      </c>
      <c r="M3382" s="74" t="s">
        <v>7320</v>
      </c>
    </row>
    <row r="3383" ht="42" customHeight="1">
      <c r="A3383" s="74" t="s">
        <v>7308</v>
      </c>
      <c r="B3383" s="74" t="s">
        <v>7311</v>
      </c>
      <c r="C3383" s="74" t="str">
        <v>8) Management &amp; Governance</v>
      </c>
      <c r="D3383" s="74" t="str">
        <v>Management &amp; Governance Suite</v>
      </c>
      <c r="E3383" s="74" t="str">
        <v>Delivery &amp; Execution Management</v>
      </c>
      <c r="F3383" s="74" t="s">
        <v>154</v>
      </c>
      <c r="G3383" s="74" t="s">
        <v>7318</v>
      </c>
      <c r="H3383" s="74" t="str">
        <v>Configuration</v>
      </c>
      <c r="I3383" s="74" t="str">
        <v>Structure Templates</v>
      </c>
      <c r="J3383" s="74" t="str">
        <v>Create, validate, activate and retire reusable structure templates.</v>
      </c>
      <c r="K3383" s="74" t="str">
        <v>Structure Template Version</v>
      </c>
      <c r="L3383" s="74" t="s">
        <v>7380</v>
      </c>
      <c r="M3383" s="74" t="s">
        <v>7320</v>
      </c>
    </row>
    <row r="3384" ht="42" customHeight="1">
      <c r="A3384" s="74" t="s">
        <v>7308</v>
      </c>
      <c r="B3384" s="74" t="s">
        <v>7311</v>
      </c>
      <c r="C3384" s="74" t="str">
        <v>8) Management &amp; Governance</v>
      </c>
      <c r="D3384" s="74" t="str">
        <v>Management &amp; Governance Suite</v>
      </c>
      <c r="E3384" s="74" t="str">
        <v>Delivery &amp; Execution Management</v>
      </c>
      <c r="F3384" s="74" t="s">
        <v>154</v>
      </c>
      <c r="G3384" s="74" t="s">
        <v>7318</v>
      </c>
      <c r="H3384" s="74" t="str">
        <v>Workspace</v>
      </c>
      <c r="I3384" s="74" t="str">
        <v>Structure Workspace (Tree/Table)</v>
      </c>
      <c r="J3384" s="74" t="str">
        <v>Create, edit, move, reorder and inspect nodes with optimistic concurrency.</v>
      </c>
      <c r="K3384" s="74" t="str">
        <v>Structure Instance; Structure Node</v>
      </c>
      <c r="L3384" s="74" t="s">
        <v>7380</v>
      </c>
      <c r="M3384" s="74" t="s">
        <v>7320</v>
      </c>
    </row>
    <row r="3385" ht="42" customHeight="1">
      <c r="A3385" s="74" t="s">
        <v>7308</v>
      </c>
      <c r="B3385" s="74" t="s">
        <v>7311</v>
      </c>
      <c r="C3385" s="74" t="str">
        <v>8) Management &amp; Governance</v>
      </c>
      <c r="D3385" s="74" t="str">
        <v>Management &amp; Governance Suite</v>
      </c>
      <c r="E3385" s="74" t="str">
        <v>Delivery &amp; Execution Management</v>
      </c>
      <c r="F3385" s="74" t="s">
        <v>154</v>
      </c>
      <c r="G3385" s="74" t="s">
        <v>7318</v>
      </c>
      <c r="H3385" s="74" t="str">
        <v>Planning</v>
      </c>
      <c r="I3385" s="74" t="str">
        <v>Dependencies Register</v>
      </c>
      <c r="J3385" s="74" t="str">
        <v>Create and validate structural dependencies, lag and scope.</v>
      </c>
      <c r="K3385" s="74" t="str">
        <v>Structural Dependency</v>
      </c>
      <c r="L3385" s="74" t="s">
        <v>7380</v>
      </c>
      <c r="M3385" s="74" t="s">
        <v>7320</v>
      </c>
    </row>
    <row r="3386" ht="42" customHeight="1">
      <c r="A3386" s="74" t="s">
        <v>7308</v>
      </c>
      <c r="B3386" s="74" t="s">
        <v>7311</v>
      </c>
      <c r="C3386" s="74" t="str">
        <v>8) Management &amp; Governance</v>
      </c>
      <c r="D3386" s="74" t="str">
        <v>Management &amp; Governance Suite</v>
      </c>
      <c r="E3386" s="74" t="str">
        <v>Delivery &amp; Execution Management</v>
      </c>
      <c r="F3386" s="74" t="s">
        <v>154</v>
      </c>
      <c r="G3386" s="74" t="s">
        <v>7318</v>
      </c>
      <c r="H3386" s="74" t="str">
        <v>Baselines</v>
      </c>
      <c r="I3386" s="74" t="str">
        <v>Baselines &amp; Compare</v>
      </c>
      <c r="J3386" s="74" t="str">
        <v>Create immutable baselines, compare deltas and create restore candidates.</v>
      </c>
      <c r="K3386" s="74" t="str">
        <v>Baseline Snapshot; Snapshot Delta</v>
      </c>
      <c r="L3386" s="74" t="s">
        <v>7380</v>
      </c>
      <c r="M3386" s="74" t="s">
        <v>7320</v>
      </c>
    </row>
    <row r="3387" ht="42" customHeight="1">
      <c r="A3387" s="74" t="s">
        <v>7308</v>
      </c>
      <c r="B3387" s="74" t="s">
        <v>7311</v>
      </c>
      <c r="C3387" s="74" t="str">
        <v>8) Management &amp; Governance</v>
      </c>
      <c r="D3387" s="74" t="str">
        <v>Management &amp; Governance Suite</v>
      </c>
      <c r="E3387" s="74" t="str">
        <v>Delivery &amp; Execution Management</v>
      </c>
      <c r="F3387" s="74" t="s">
        <v>154</v>
      </c>
      <c r="G3387" s="74" t="s">
        <v>7318</v>
      </c>
      <c r="H3387" s="74" t="str">
        <v>Integration</v>
      </c>
      <c r="I3387" s="74" t="str">
        <v>Cross-Structure Links</v>
      </c>
      <c r="J3387" s="74" t="str">
        <v>Manage governed cross-structure and external business-object links.</v>
      </c>
      <c r="K3387" s="74" t="str">
        <v>Structure Link; External Reference</v>
      </c>
      <c r="L3387" s="74" t="s">
        <v>7380</v>
      </c>
      <c r="M3387" s="74" t="s">
        <v>7320</v>
      </c>
    </row>
    <row r="3388" ht="42" customHeight="1">
      <c r="A3388" s="74" t="s">
        <v>7308</v>
      </c>
      <c r="B3388" s="74" t="s">
        <v>7311</v>
      </c>
      <c r="C3388" s="74" t="str">
        <v>8) Management &amp; Governance</v>
      </c>
      <c r="D3388" s="74" t="str">
        <v>Management &amp; Governance Suite</v>
      </c>
      <c r="E3388" s="74" t="str">
        <v>Delivery &amp; Execution Management</v>
      </c>
      <c r="F3388" s="74" t="s">
        <v>154</v>
      </c>
      <c r="G3388" s="74" t="s">
        <v>7318</v>
      </c>
      <c r="H3388" s="74" t="str">
        <v>Governance</v>
      </c>
      <c r="I3388" s="74" t="str">
        <v>Structure Governance &amp; Audit</v>
      </c>
      <c r="J3388" s="74" t="str">
        <v>Review permissions, versions, conflicts, outbox/audit and export evidence.</v>
      </c>
      <c r="K3388" s="74" t="str">
        <v>Governance Binding; Outbox Message</v>
      </c>
      <c r="L3388" s="74" t="s">
        <v>7380</v>
      </c>
      <c r="M3388" s="74" t="s">
        <v>7320</v>
      </c>
    </row>
    <row r="3389" ht="42" customHeight="1">
      <c r="A3389" s="74" t="s">
        <v>7321</v>
      </c>
      <c r="B3389" s="74" t="s">
        <v>7324</v>
      </c>
      <c r="C3389" s="74" t="str">
        <v>8) Management &amp; Governance</v>
      </c>
      <c r="D3389" s="74" t="str">
        <v>Management &amp; Governance Suite</v>
      </c>
      <c r="E3389" s="74" t="str">
        <v>Business Process &amp; Operational Management</v>
      </c>
      <c r="F3389" s="74" t="s">
        <v>120</v>
      </c>
      <c r="G3389" s="74" t="s">
        <v>7303</v>
      </c>
      <c r="H3389" s="74" t="str">
        <v>Architecture</v>
      </c>
      <c r="I3389" s="74" t="str">
        <v>Process Architecture Home</v>
      </c>
      <c r="J3389" s="74" t="str">
        <v>Navigate enterprise process architecture, coverage and ownership.</v>
      </c>
      <c r="K3389" s="74" t="str">
        <v>Process Architecture</v>
      </c>
      <c r="L3389" s="74" t="s">
        <v>7380</v>
      </c>
      <c r="M3389" s="74" t="s">
        <v>7331</v>
      </c>
    </row>
    <row r="3390" ht="42" customHeight="1">
      <c r="A3390" s="74" t="s">
        <v>7321</v>
      </c>
      <c r="B3390" s="74" t="s">
        <v>7324</v>
      </c>
      <c r="C3390" s="74" t="str">
        <v>8) Management &amp; Governance</v>
      </c>
      <c r="D3390" s="74" t="str">
        <v>Management &amp; Governance Suite</v>
      </c>
      <c r="E3390" s="74" t="str">
        <v>Business Process &amp; Operational Management</v>
      </c>
      <c r="F3390" s="74" t="s">
        <v>120</v>
      </c>
      <c r="G3390" s="74" t="s">
        <v>7303</v>
      </c>
      <c r="H3390" s="74" t="str">
        <v>Architecture</v>
      </c>
      <c r="I3390" s="74" t="str">
        <v>Process Domain &amp; Family Register</v>
      </c>
      <c r="J3390" s="74" t="str">
        <v>Manage process domains, families, taxonomy and ownership.</v>
      </c>
      <c r="K3390" s="74" t="str">
        <v>Process Domain; Process Family</v>
      </c>
      <c r="L3390" s="74" t="s">
        <v>7380</v>
      </c>
      <c r="M3390" s="74" t="s">
        <v>7331</v>
      </c>
    </row>
    <row r="3391" ht="42" customHeight="1">
      <c r="A3391" s="74" t="s">
        <v>7321</v>
      </c>
      <c r="B3391" s="74" t="s">
        <v>7324</v>
      </c>
      <c r="C3391" s="74" t="str">
        <v>8) Management &amp; Governance</v>
      </c>
      <c r="D3391" s="74" t="str">
        <v>Management &amp; Governance Suite</v>
      </c>
      <c r="E3391" s="74" t="str">
        <v>Business Process &amp; Operational Management</v>
      </c>
      <c r="F3391" s="74" t="s">
        <v>120</v>
      </c>
      <c r="G3391" s="74" t="s">
        <v>7303</v>
      </c>
      <c r="H3391" s="74" t="str">
        <v>Process Register</v>
      </c>
      <c r="I3391" s="74" t="str">
        <v>Process Register</v>
      </c>
      <c r="J3391" s="74" t="str">
        <v>Create and govern business processes and subprocesses.</v>
      </c>
      <c r="K3391" s="74" t="str">
        <v>Business Process; Subprocess</v>
      </c>
      <c r="L3391" s="74" t="s">
        <v>7380</v>
      </c>
      <c r="M3391" s="74" t="s">
        <v>7331</v>
      </c>
    </row>
    <row r="3392" ht="42" customHeight="1">
      <c r="A3392" s="74" t="s">
        <v>7321</v>
      </c>
      <c r="B3392" s="74" t="s">
        <v>7324</v>
      </c>
      <c r="C3392" s="74" t="str">
        <v>8) Management &amp; Governance</v>
      </c>
      <c r="D3392" s="74" t="str">
        <v>Management &amp; Governance Suite</v>
      </c>
      <c r="E3392" s="74" t="str">
        <v>Business Process &amp; Operational Management</v>
      </c>
      <c r="F3392" s="74" t="s">
        <v>120</v>
      </c>
      <c r="G3392" s="74" t="s">
        <v>7303</v>
      </c>
      <c r="H3392" s="74" t="str">
        <v>Modeling</v>
      </c>
      <c r="I3392" s="74" t="str">
        <v>Process Modeler</v>
      </c>
      <c r="J3392" s="74" t="str">
        <v>Design activities, sequence, decisions, inputs, outputs and control points.</v>
      </c>
      <c r="K3392" s="74" t="str">
        <v>Process Model; Process Activity; Sequence</v>
      </c>
      <c r="L3392" s="74" t="s">
        <v>7380</v>
      </c>
      <c r="M3392" s="74" t="s">
        <v>7331</v>
      </c>
    </row>
    <row r="3393" ht="42" customHeight="1">
      <c r="A3393" s="74" t="s">
        <v>7321</v>
      </c>
      <c r="B3393" s="74" t="s">
        <v>7324</v>
      </c>
      <c r="C3393" s="74" t="str">
        <v>8) Management &amp; Governance</v>
      </c>
      <c r="D3393" s="74" t="str">
        <v>Management &amp; Governance Suite</v>
      </c>
      <c r="E3393" s="74" t="str">
        <v>Business Process &amp; Operational Management</v>
      </c>
      <c r="F3393" s="74" t="s">
        <v>120</v>
      </c>
      <c r="G3393" s="74" t="s">
        <v>7303</v>
      </c>
      <c r="H3393" s="74" t="str">
        <v>Modeling</v>
      </c>
      <c r="I3393" s="74" t="str">
        <v>Process Version Detail</v>
      </c>
      <c r="J3393" s="74" t="str">
        <v>Compare, validate and govern process-model versions.</v>
      </c>
      <c r="K3393" s="74" t="str">
        <v>Process Model Version</v>
      </c>
      <c r="L3393" s="74" t="s">
        <v>7380</v>
      </c>
      <c r="M3393" s="74" t="s">
        <v>7331</v>
      </c>
    </row>
    <row r="3394" ht="42" customHeight="1">
      <c r="A3394" s="74" t="s">
        <v>7321</v>
      </c>
      <c r="B3394" s="74" t="s">
        <v>7324</v>
      </c>
      <c r="C3394" s="74" t="str">
        <v>8) Management &amp; Governance</v>
      </c>
      <c r="D3394" s="74" t="str">
        <v>Management &amp; Governance Suite</v>
      </c>
      <c r="E3394" s="74" t="str">
        <v>Business Process &amp; Operational Management</v>
      </c>
      <c r="F3394" s="74" t="s">
        <v>120</v>
      </c>
      <c r="G3394" s="74" t="s">
        <v>7303</v>
      </c>
      <c r="H3394" s="74" t="str">
        <v>Libraries</v>
      </c>
      <c r="I3394" s="74" t="str">
        <v>Activity &amp; Control Point Library</v>
      </c>
      <c r="J3394" s="74" t="str">
        <v>Manage reusable activity, control-point and role definitions.</v>
      </c>
      <c r="K3394" s="74" t="str">
        <v>Activity Definition; Control Point</v>
      </c>
      <c r="L3394" s="74" t="s">
        <v>7380</v>
      </c>
      <c r="M3394" s="74" t="s">
        <v>7331</v>
      </c>
    </row>
    <row r="3395" ht="42" customHeight="1">
      <c r="A3395" s="74" t="s">
        <v>7321</v>
      </c>
      <c r="B3395" s="74" t="s">
        <v>7324</v>
      </c>
      <c r="C3395" s="74" t="str">
        <v>8) Management &amp; Governance</v>
      </c>
      <c r="D3395" s="74" t="str">
        <v>Management &amp; Governance Suite</v>
      </c>
      <c r="E3395" s="74" t="str">
        <v>Business Process &amp; Operational Management</v>
      </c>
      <c r="F3395" s="74" t="s">
        <v>120</v>
      </c>
      <c r="G3395" s="74" t="s">
        <v>7303</v>
      </c>
      <c r="H3395" s="74" t="str">
        <v>Responsibilities</v>
      </c>
      <c r="I3395" s="74" t="str">
        <v>Process Role Matrix</v>
      </c>
      <c r="J3395" s="74" t="str">
        <v>Bind process roles to positions, teams and organization units.</v>
      </c>
      <c r="K3395" s="74" t="str">
        <v>Process Role Binding</v>
      </c>
      <c r="L3395" s="74" t="s">
        <v>7380</v>
      </c>
      <c r="M3395" s="74" t="s">
        <v>7331</v>
      </c>
    </row>
    <row r="3396" ht="42" customHeight="1">
      <c r="A3396" s="74" t="s">
        <v>7321</v>
      </c>
      <c r="B3396" s="74" t="s">
        <v>7324</v>
      </c>
      <c r="C3396" s="74" t="str">
        <v>8) Management &amp; Governance</v>
      </c>
      <c r="D3396" s="74" t="str">
        <v>Management &amp; Governance Suite</v>
      </c>
      <c r="E3396" s="74" t="str">
        <v>Business Process &amp; Operational Management</v>
      </c>
      <c r="F3396" s="74" t="s">
        <v>120</v>
      </c>
      <c r="G3396" s="74" t="s">
        <v>7303</v>
      </c>
      <c r="H3396" s="74" t="str">
        <v>Lifecycle</v>
      </c>
      <c r="I3396" s="74" t="str">
        <v>Publication &amp; Lifecycle</v>
      </c>
      <c r="J3396" s="74" t="str">
        <v>Validate, approve, publish, supersede, retire and archive process versions.</v>
      </c>
      <c r="K3396" s="74" t="str">
        <v>Process Publication; Lifecycle State</v>
      </c>
      <c r="L3396" s="74" t="s">
        <v>7380</v>
      </c>
      <c r="M3396" s="74" t="s">
        <v>7331</v>
      </c>
    </row>
    <row r="3397" ht="42" customHeight="1">
      <c r="A3397" s="74" t="s">
        <v>7321</v>
      </c>
      <c r="B3397" s="74" t="s">
        <v>7324</v>
      </c>
      <c r="C3397" s="74" t="str">
        <v>8) Management &amp; Governance</v>
      </c>
      <c r="D3397" s="74" t="str">
        <v>Management &amp; Governance Suite</v>
      </c>
      <c r="E3397" s="74" t="str">
        <v>Business Process &amp; Operational Management</v>
      </c>
      <c r="F3397" s="74" t="s">
        <v>120</v>
      </c>
      <c r="G3397" s="74" t="s">
        <v>7303</v>
      </c>
      <c r="H3397" s="74" t="str">
        <v>Evidence</v>
      </c>
      <c r="I3397" s="74" t="str">
        <v>Procedure &amp; Evidence Links</v>
      </c>
      <c r="J3397" s="74" t="str">
        <v>Link exact process/activity versions to controlled procedures and evidence.</v>
      </c>
      <c r="K3397" s="74" t="str">
        <v>Controlled Document Link; Evidence Requirement</v>
      </c>
      <c r="L3397" s="74" t="s">
        <v>7380</v>
      </c>
      <c r="M3397" s="74" t="s">
        <v>7331</v>
      </c>
    </row>
    <row r="3398" ht="42" customHeight="1">
      <c r="A3398" s="74" t="s">
        <v>7321</v>
      </c>
      <c r="B3398" s="74" t="s">
        <v>7324</v>
      </c>
      <c r="C3398" s="74" t="str">
        <v>8) Management &amp; Governance</v>
      </c>
      <c r="D3398" s="74" t="str">
        <v>Management &amp; Governance Suite</v>
      </c>
      <c r="E3398" s="74" t="str">
        <v>Business Process &amp; Operational Management</v>
      </c>
      <c r="F3398" s="74" t="s">
        <v>120</v>
      </c>
      <c r="G3398" s="74" t="s">
        <v>7303</v>
      </c>
      <c r="H3398" s="74" t="str">
        <v>Performance</v>
      </c>
      <c r="I3398" s="74" t="str">
        <v>Process KPI Binding</v>
      </c>
      <c r="J3398" s="74" t="str">
        <v>Bind certified metrics and calculation contracts to process versions.</v>
      </c>
      <c r="K3398" s="74" t="s">
        <v>7372</v>
      </c>
      <c r="L3398" s="74" t="s">
        <v>7380</v>
      </c>
      <c r="M3398" s="74" t="s">
        <v>7331</v>
      </c>
    </row>
    <row r="3399" ht="42" customHeight="1">
      <c r="A3399" s="74" t="s">
        <v>7321</v>
      </c>
      <c r="B3399" s="74" t="s">
        <v>7324</v>
      </c>
      <c r="C3399" s="74" t="str">
        <v>8) Management &amp; Governance</v>
      </c>
      <c r="D3399" s="74" t="str">
        <v>Management &amp; Governance Suite</v>
      </c>
      <c r="E3399" s="74" t="str">
        <v>Business Process &amp; Operational Management</v>
      </c>
      <c r="F3399" s="74" t="s">
        <v>120</v>
      </c>
      <c r="G3399" s="74" t="s">
        <v>7303</v>
      </c>
      <c r="H3399" s="74" t="str">
        <v>Improvement</v>
      </c>
      <c r="I3399" s="74" t="str">
        <v>Improvement Opportunity Register</v>
      </c>
      <c r="J3399" s="74" t="str">
        <v>Capture, qualify and prioritize process-improvement opportunities.</v>
      </c>
      <c r="K3399" s="74" t="str">
        <v>Improvement Opportunity</v>
      </c>
      <c r="L3399" s="74" t="s">
        <v>7380</v>
      </c>
      <c r="M3399" s="74" t="s">
        <v>7331</v>
      </c>
    </row>
    <row r="3400" ht="42" customHeight="1">
      <c r="A3400" s="74" t="s">
        <v>7321</v>
      </c>
      <c r="B3400" s="74" t="s">
        <v>7324</v>
      </c>
      <c r="C3400" s="74" t="str">
        <v>8) Management &amp; Governance</v>
      </c>
      <c r="D3400" s="74" t="str">
        <v>Management &amp; Governance Suite</v>
      </c>
      <c r="E3400" s="74" t="str">
        <v>Business Process &amp; Operational Management</v>
      </c>
      <c r="F3400" s="74" t="s">
        <v>120</v>
      </c>
      <c r="G3400" s="74" t="s">
        <v>7303</v>
      </c>
      <c r="H3400" s="74" t="str">
        <v>Improvement</v>
      </c>
      <c r="I3400" s="74" t="str">
        <v>Improvement Detail &amp; Outcome Review</v>
      </c>
      <c r="J3400" s="74" t="str">
        <v>Link decisions, tasks/projects, experiments and realized outcomes.</v>
      </c>
      <c r="K3400" s="74" t="str">
        <v>Improvement Outcome; Decision Reference</v>
      </c>
      <c r="L3400" s="74" t="s">
        <v>7380</v>
      </c>
      <c r="M3400" s="74" t="s">
        <v>7331</v>
      </c>
    </row>
    <row r="3401" ht="42" customHeight="1">
      <c r="A3401" s="74" t="s">
        <v>7334</v>
      </c>
      <c r="B3401" s="74" t="s">
        <v>7337</v>
      </c>
      <c r="C3401" s="74" t="str">
        <v>8) Management &amp; Governance</v>
      </c>
      <c r="D3401" s="74" t="str">
        <v>Management &amp; Governance Suite</v>
      </c>
      <c r="E3401" s="74" t="str">
        <v>Decisioning, Reviews &amp; Management Cadence</v>
      </c>
      <c r="F3401" s="74" t="s">
        <v>3783</v>
      </c>
      <c r="G3401" s="74" t="s">
        <v>7303</v>
      </c>
      <c r="H3401" s="74" t="str">
        <v>Cadence</v>
      </c>
      <c r="I3401" s="74" t="str">
        <v>Management Cadence Calendar</v>
      </c>
      <c r="J3401" s="74" t="str">
        <v>View recurring and ad-hoc management review schedules.</v>
      </c>
      <c r="K3401" s="74" t="str">
        <v>Cadence Configuration; Review Instance</v>
      </c>
      <c r="L3401" s="74" t="s">
        <v>7380</v>
      </c>
      <c r="M3401" s="74" t="s">
        <v>7344</v>
      </c>
    </row>
    <row r="3402" ht="42" customHeight="1">
      <c r="A3402" s="74" t="s">
        <v>7334</v>
      </c>
      <c r="B3402" s="74" t="s">
        <v>7337</v>
      </c>
      <c r="C3402" s="74" t="str">
        <v>8) Management &amp; Governance</v>
      </c>
      <c r="D3402" s="74" t="str">
        <v>Management &amp; Governance Suite</v>
      </c>
      <c r="E3402" s="74" t="str">
        <v>Decisioning, Reviews &amp; Management Cadence</v>
      </c>
      <c r="F3402" s="74" t="s">
        <v>3783</v>
      </c>
      <c r="G3402" s="74" t="s">
        <v>7303</v>
      </c>
      <c r="H3402" s="74" t="str">
        <v>Cadence</v>
      </c>
      <c r="I3402" s="74" t="str">
        <v>Review Cycle Register</v>
      </c>
      <c r="J3402" s="74" t="str">
        <v>Create, version and govern management review cycles.</v>
      </c>
      <c r="K3402" s="74" t="str">
        <v>Management Review Cycle</v>
      </c>
      <c r="L3402" s="74" t="s">
        <v>7380</v>
      </c>
      <c r="M3402" s="74" t="s">
        <v>7344</v>
      </c>
    </row>
    <row r="3403" ht="42" customHeight="1">
      <c r="A3403" s="74" t="s">
        <v>7334</v>
      </c>
      <c r="B3403" s="74" t="s">
        <v>7337</v>
      </c>
      <c r="C3403" s="74" t="str">
        <v>8) Management &amp; Governance</v>
      </c>
      <c r="D3403" s="74" t="str">
        <v>Management &amp; Governance Suite</v>
      </c>
      <c r="E3403" s="74" t="str">
        <v>Decisioning, Reviews &amp; Management Cadence</v>
      </c>
      <c r="F3403" s="74" t="s">
        <v>3783</v>
      </c>
      <c r="G3403" s="74" t="s">
        <v>7303</v>
      </c>
      <c r="H3403" s="74" t="str">
        <v>Review</v>
      </c>
      <c r="I3403" s="74" t="str">
        <v>Review Instance Workspace</v>
      </c>
      <c r="J3403" s="74" t="str">
        <v>Prepare and execute a specific review instance.</v>
      </c>
      <c r="K3403" s="74" t="str">
        <v>Review Instance; Attendance</v>
      </c>
      <c r="L3403" s="74" t="s">
        <v>7380</v>
      </c>
      <c r="M3403" s="74" t="s">
        <v>7344</v>
      </c>
    </row>
    <row r="3404" ht="42" customHeight="1">
      <c r="A3404" s="74" t="s">
        <v>7334</v>
      </c>
      <c r="B3404" s="74" t="s">
        <v>7337</v>
      </c>
      <c r="C3404" s="74" t="str">
        <v>8) Management &amp; Governance</v>
      </c>
      <c r="D3404" s="74" t="str">
        <v>Management &amp; Governance Suite</v>
      </c>
      <c r="E3404" s="74" t="str">
        <v>Decisioning, Reviews &amp; Management Cadence</v>
      </c>
      <c r="F3404" s="74" t="s">
        <v>3783</v>
      </c>
      <c r="G3404" s="74" t="s">
        <v>7303</v>
      </c>
      <c r="H3404" s="74" t="str">
        <v>Review</v>
      </c>
      <c r="I3404" s="74" t="str">
        <v>Agenda Builder</v>
      </c>
      <c r="J3404" s="74" t="str">
        <v>Create agenda items, presenters, timing and source-object links.</v>
      </c>
      <c r="K3404" s="74" t="str">
        <v>Review Agenda; Agenda Item</v>
      </c>
      <c r="L3404" s="74" t="s">
        <v>7380</v>
      </c>
      <c r="M3404" s="74" t="s">
        <v>7344</v>
      </c>
    </row>
    <row r="3405" ht="42" customHeight="1">
      <c r="A3405" s="74" t="s">
        <v>7334</v>
      </c>
      <c r="B3405" s="74" t="s">
        <v>7337</v>
      </c>
      <c r="C3405" s="74" t="str">
        <v>8) Management &amp; Governance</v>
      </c>
      <c r="D3405" s="74" t="str">
        <v>Management &amp; Governance Suite</v>
      </c>
      <c r="E3405" s="74" t="str">
        <v>Decisioning, Reviews &amp; Management Cadence</v>
      </c>
      <c r="F3405" s="74" t="s">
        <v>3783</v>
      </c>
      <c r="G3405" s="74" t="s">
        <v>7303</v>
      </c>
      <c r="H3405" s="74" t="str">
        <v>Review</v>
      </c>
      <c r="I3405" s="74" t="str">
        <v>Review Pack Builder</v>
      </c>
      <c r="J3405" s="74" t="str">
        <v>Assemble governed reports, evidence and decision context.</v>
      </c>
      <c r="K3405" s="74" t="str">
        <v>Review Pack</v>
      </c>
      <c r="L3405" s="74" t="s">
        <v>7380</v>
      </c>
      <c r="M3405" s="74" t="s">
        <v>7344</v>
      </c>
    </row>
    <row r="3406" ht="42" customHeight="1">
      <c r="A3406" s="74" t="s">
        <v>7334</v>
      </c>
      <c r="B3406" s="74" t="s">
        <v>7337</v>
      </c>
      <c r="C3406" s="74" t="str">
        <v>8) Management &amp; Governance</v>
      </c>
      <c r="D3406" s="74" t="str">
        <v>Management &amp; Governance Suite</v>
      </c>
      <c r="E3406" s="74" t="str">
        <v>Decisioning, Reviews &amp; Management Cadence</v>
      </c>
      <c r="F3406" s="74" t="s">
        <v>3783</v>
      </c>
      <c r="G3406" s="74" t="s">
        <v>7303</v>
      </c>
      <c r="H3406" s="74" t="str">
        <v>Forums</v>
      </c>
      <c r="I3406" s="74" t="str">
        <v>Governance Forum Workspace</v>
      </c>
      <c r="J3406" s="74" t="str">
        <v>Operate a scheduled forum referencing its approved governance body.</v>
      </c>
      <c r="K3406" s="74" t="str">
        <v>Governance Body Reference; Review Instance</v>
      </c>
      <c r="L3406" s="74" t="s">
        <v>7380</v>
      </c>
      <c r="M3406" s="74" t="s">
        <v>7344</v>
      </c>
    </row>
    <row r="3407" ht="42" customHeight="1">
      <c r="A3407" s="74" t="s">
        <v>7334</v>
      </c>
      <c r="B3407" s="74" t="s">
        <v>7337</v>
      </c>
      <c r="C3407" s="74" t="str">
        <v>8) Management &amp; Governance</v>
      </c>
      <c r="D3407" s="74" t="str">
        <v>Management &amp; Governance Suite</v>
      </c>
      <c r="E3407" s="74" t="str">
        <v>Decisioning, Reviews &amp; Management Cadence</v>
      </c>
      <c r="F3407" s="74" t="s">
        <v>3783</v>
      </c>
      <c r="G3407" s="74" t="s">
        <v>7303</v>
      </c>
      <c r="H3407" s="74" t="str">
        <v>Outcomes</v>
      </c>
      <c r="I3407" s="74" t="str">
        <v>Review Outcomes &amp; Decision Links</v>
      </c>
      <c r="J3407" s="74" t="str">
        <v>Capture outcomes and link authoritative decisions.</v>
      </c>
      <c r="K3407" s="74" t="str">
        <v>Review Outcome; Decision Reference</v>
      </c>
      <c r="L3407" s="74" t="s">
        <v>7380</v>
      </c>
      <c r="M3407" s="74" t="s">
        <v>7344</v>
      </c>
    </row>
    <row r="3408" ht="42" customHeight="1">
      <c r="A3408" s="74" t="s">
        <v>7334</v>
      </c>
      <c r="B3408" s="74" t="s">
        <v>7337</v>
      </c>
      <c r="C3408" s="74" t="str">
        <v>8) Management &amp; Governance</v>
      </c>
      <c r="D3408" s="74" t="str">
        <v>Management &amp; Governance Suite</v>
      </c>
      <c r="E3408" s="74" t="str">
        <v>Decisioning, Reviews &amp; Management Cadence</v>
      </c>
      <c r="F3408" s="74" t="s">
        <v>3783</v>
      </c>
      <c r="G3408" s="74" t="s">
        <v>7303</v>
      </c>
      <c r="H3408" s="74" t="str">
        <v>Follow-up</v>
      </c>
      <c r="I3408" s="74" t="str">
        <v>Follow-up Register</v>
      </c>
      <c r="J3408" s="74" t="str">
        <v>Track linked tasks and closure evidence without duplicating task lifecycle.</v>
      </c>
      <c r="K3408" s="74" t="str">
        <v>Task Reference; Closure Evidence</v>
      </c>
      <c r="L3408" s="74" t="s">
        <v>7380</v>
      </c>
      <c r="M3408" s="74" t="s">
        <v>7344</v>
      </c>
    </row>
    <row r="3409" ht="42" customHeight="1">
      <c r="A3409" s="74" t="s">
        <v>7334</v>
      </c>
      <c r="B3409" s="74" t="s">
        <v>7337</v>
      </c>
      <c r="C3409" s="74" t="str">
        <v>8) Management &amp; Governance</v>
      </c>
      <c r="D3409" s="74" t="str">
        <v>Management &amp; Governance Suite</v>
      </c>
      <c r="E3409" s="74" t="str">
        <v>Decisioning, Reviews &amp; Management Cadence</v>
      </c>
      <c r="F3409" s="74" t="s">
        <v>3783</v>
      </c>
      <c r="G3409" s="74" t="s">
        <v>7303</v>
      </c>
      <c r="H3409" s="74" t="str">
        <v>Analytics</v>
      </c>
      <c r="I3409" s="74" t="str">
        <v>Cadence Analytics</v>
      </c>
      <c r="J3409" s="74" t="str">
        <v>Monitor review timeliness, attendance, decision and follow-up effectiveness.</v>
      </c>
      <c r="K3409" s="74" t="str">
        <v>Cadence Metric</v>
      </c>
      <c r="L3409" s="74" t="s">
        <v>7380</v>
      </c>
      <c r="M3409" s="74" t="s">
        <v>7344</v>
      </c>
    </row>
    <row r="3410" ht="42" customHeight="1">
      <c r="A3410" s="74" t="s">
        <v>7346</v>
      </c>
      <c r="B3410" s="74" t="s">
        <v>7349</v>
      </c>
      <c r="C3410" s="74" t="str">
        <v>8) Management &amp; Governance</v>
      </c>
      <c r="D3410" s="74" t="str">
        <v>Management &amp; Governance Suite</v>
      </c>
      <c r="E3410" s="74" t="str">
        <v>Policy, Authority &amp; Organizational Governance</v>
      </c>
      <c r="F3410" s="74" t="s">
        <v>154</v>
      </c>
      <c r="G3410" s="74" t="s">
        <v>7318</v>
      </c>
      <c r="H3410" s="74" t="str">
        <v>Authority</v>
      </c>
      <c r="I3410" s="74" t="str">
        <v>Authority Policy Register</v>
      </c>
      <c r="J3410" s="74" t="str">
        <v>Create, version and publish delegated-authority policies.</v>
      </c>
      <c r="K3410" s="74" t="str">
        <v>Authority Policy</v>
      </c>
      <c r="L3410" s="74" t="s">
        <v>7380</v>
      </c>
      <c r="M3410" s="74" t="s">
        <v>7356</v>
      </c>
    </row>
    <row r="3411" ht="42" customHeight="1">
      <c r="A3411" s="74" t="s">
        <v>7346</v>
      </c>
      <c r="B3411" s="74" t="s">
        <v>7349</v>
      </c>
      <c r="C3411" s="74" t="str">
        <v>8) Management &amp; Governance</v>
      </c>
      <c r="D3411" s="74" t="str">
        <v>Management &amp; Governance Suite</v>
      </c>
      <c r="E3411" s="74" t="str">
        <v>Policy, Authority &amp; Organizational Governance</v>
      </c>
      <c r="F3411" s="74" t="s">
        <v>154</v>
      </c>
      <c r="G3411" s="74" t="s">
        <v>7318</v>
      </c>
      <c r="H3411" s="74" t="str">
        <v>Authority</v>
      </c>
      <c r="I3411" s="74" t="str">
        <v>Approval Limits Matrix</v>
      </c>
      <c r="J3411" s="74" t="str">
        <v>Define limits by amount, risk, object, legal entity, role and effective period.</v>
      </c>
      <c r="K3411" s="74" t="str">
        <v>Approval Limit</v>
      </c>
      <c r="L3411" s="74" t="s">
        <v>7380</v>
      </c>
      <c r="M3411" s="74" t="s">
        <v>7356</v>
      </c>
    </row>
    <row r="3412" ht="42" customHeight="1">
      <c r="A3412" s="74" t="s">
        <v>7346</v>
      </c>
      <c r="B3412" s="74" t="s">
        <v>7349</v>
      </c>
      <c r="C3412" s="74" t="str">
        <v>8) Management &amp; Governance</v>
      </c>
      <c r="D3412" s="74" t="str">
        <v>Management &amp; Governance Suite</v>
      </c>
      <c r="E3412" s="74" t="str">
        <v>Policy, Authority &amp; Organizational Governance</v>
      </c>
      <c r="F3412" s="74" t="s">
        <v>154</v>
      </c>
      <c r="G3412" s="74" t="s">
        <v>7318</v>
      </c>
      <c r="H3412" s="74" t="str">
        <v>Authority</v>
      </c>
      <c r="I3412" s="74" t="str">
        <v>Authority Grant Detail</v>
      </c>
      <c r="J3412" s="74" t="str">
        <v>Create and inspect authority grants and mandates.</v>
      </c>
      <c r="K3412" s="74" t="str">
        <v>Authority Grant; Authority Mandate</v>
      </c>
      <c r="L3412" s="74" t="s">
        <v>7380</v>
      </c>
      <c r="M3412" s="74" t="s">
        <v>7356</v>
      </c>
    </row>
    <row r="3413" ht="42" customHeight="1">
      <c r="A3413" s="74" t="s">
        <v>7346</v>
      </c>
      <c r="B3413" s="74" t="s">
        <v>7349</v>
      </c>
      <c r="C3413" s="74" t="str">
        <v>8) Management &amp; Governance</v>
      </c>
      <c r="D3413" s="74" t="str">
        <v>Management &amp; Governance Suite</v>
      </c>
      <c r="E3413" s="74" t="str">
        <v>Policy, Authority &amp; Organizational Governance</v>
      </c>
      <c r="F3413" s="74" t="s">
        <v>154</v>
      </c>
      <c r="G3413" s="74" t="s">
        <v>7318</v>
      </c>
      <c r="H3413" s="74" t="str">
        <v>Delegation</v>
      </c>
      <c r="I3413" s="74" t="str">
        <v>Delegation Requests</v>
      </c>
      <c r="J3413" s="74" t="str">
        <v>Submit, review and decide delegation requests through workflow.</v>
      </c>
      <c r="K3413" s="74" t="str">
        <v>Authority Delegation Request</v>
      </c>
      <c r="L3413" s="74" t="s">
        <v>7380</v>
      </c>
      <c r="M3413" s="74" t="s">
        <v>7356</v>
      </c>
    </row>
    <row r="3414" ht="42" customHeight="1">
      <c r="A3414" s="74" t="s">
        <v>7346</v>
      </c>
      <c r="B3414" s="74" t="s">
        <v>7349</v>
      </c>
      <c r="C3414" s="74" t="str">
        <v>8) Management &amp; Governance</v>
      </c>
      <c r="D3414" s="74" t="str">
        <v>Management &amp; Governance Suite</v>
      </c>
      <c r="E3414" s="74" t="str">
        <v>Policy, Authority &amp; Organizational Governance</v>
      </c>
      <c r="F3414" s="74" t="s">
        <v>154</v>
      </c>
      <c r="G3414" s="74" t="s">
        <v>7318</v>
      </c>
      <c r="H3414" s="74" t="str">
        <v>Delegation</v>
      </c>
      <c r="I3414" s="74" t="str">
        <v>Temporary Delegations</v>
      </c>
      <c r="J3414" s="74" t="str">
        <v>Manage effective-dated temporary delegations, expiry and revocation.</v>
      </c>
      <c r="K3414" s="74" t="str">
        <v>Authority Delegation</v>
      </c>
      <c r="L3414" s="74" t="s">
        <v>7380</v>
      </c>
      <c r="M3414" s="74" t="s">
        <v>7356</v>
      </c>
    </row>
    <row r="3415" ht="42" customHeight="1">
      <c r="A3415" s="74" t="s">
        <v>7346</v>
      </c>
      <c r="B3415" s="74" t="s">
        <v>7349</v>
      </c>
      <c r="C3415" s="74" t="str">
        <v>8) Management &amp; Governance</v>
      </c>
      <c r="D3415" s="74" t="str">
        <v>Management &amp; Governance Suite</v>
      </c>
      <c r="E3415" s="74" t="str">
        <v>Policy, Authority &amp; Organizational Governance</v>
      </c>
      <c r="F3415" s="74" t="s">
        <v>154</v>
      </c>
      <c r="G3415" s="74" t="s">
        <v>7318</v>
      </c>
      <c r="H3415" s="74" t="str">
        <v>Controls</v>
      </c>
      <c r="I3415" s="74" t="str">
        <v>Authority Conflict / SoD Review</v>
      </c>
      <c r="J3415" s="74" t="str">
        <v>Detect conflicting roles, limits and delegations.</v>
      </c>
      <c r="K3415" s="74" t="str">
        <v>Authority Conflict; SoD Finding</v>
      </c>
      <c r="L3415" s="74" t="s">
        <v>7380</v>
      </c>
      <c r="M3415" s="74" t="s">
        <v>7356</v>
      </c>
    </row>
    <row r="3416" ht="42" customHeight="1">
      <c r="A3416" s="74" t="s">
        <v>7346</v>
      </c>
      <c r="B3416" s="74" t="s">
        <v>7349</v>
      </c>
      <c r="C3416" s="74" t="str">
        <v>8) Management &amp; Governance</v>
      </c>
      <c r="D3416" s="74" t="str">
        <v>Management &amp; Governance Suite</v>
      </c>
      <c r="E3416" s="74" t="str">
        <v>Policy, Authority &amp; Organizational Governance</v>
      </c>
      <c r="F3416" s="74" t="s">
        <v>154</v>
      </c>
      <c r="G3416" s="74" t="s">
        <v>7318</v>
      </c>
      <c r="H3416" s="74" t="str">
        <v>Exceptions</v>
      </c>
      <c r="I3416" s="74" t="str">
        <v>Authority Exceptions</v>
      </c>
      <c r="J3416" s="74" t="str">
        <v>Manage approved exceptions, compensating controls and expiry.</v>
      </c>
      <c r="K3416" s="74" t="str">
        <v>Authority Exception</v>
      </c>
      <c r="L3416" s="74" t="s">
        <v>7380</v>
      </c>
      <c r="M3416" s="74" t="s">
        <v>7356</v>
      </c>
    </row>
    <row r="3417" ht="42" customHeight="1">
      <c r="A3417" s="74" t="s">
        <v>7346</v>
      </c>
      <c r="B3417" s="74" t="s">
        <v>7349</v>
      </c>
      <c r="C3417" s="74" t="str">
        <v>8) Management &amp; Governance</v>
      </c>
      <c r="D3417" s="74" t="str">
        <v>Management &amp; Governance Suite</v>
      </c>
      <c r="E3417" s="74" t="str">
        <v>Policy, Authority &amp; Organizational Governance</v>
      </c>
      <c r="F3417" s="74" t="s">
        <v>154</v>
      </c>
      <c r="G3417" s="74" t="s">
        <v>7318</v>
      </c>
      <c r="H3417" s="74" t="str">
        <v>Audit</v>
      </c>
      <c r="I3417" s="74" t="str">
        <v>Authority Audit &amp; Export</v>
      </c>
      <c r="J3417" s="74" t="str">
        <v>Review effective authority history and produce controlled evidence exports.</v>
      </c>
      <c r="K3417" s="74" t="str">
        <v>Authority Audit Projection</v>
      </c>
      <c r="L3417" s="74" t="s">
        <v>7380</v>
      </c>
      <c r="M3417" s="74" t="s">
        <v>7356</v>
      </c>
    </row>
    <row r="3418" ht="42" customHeight="1">
      <c r="A3418" s="74" t="s">
        <v>7358</v>
      </c>
      <c r="B3418" s="74" t="s">
        <v>7360</v>
      </c>
      <c r="C3418" s="74" t="str">
        <v>8) Management &amp; Governance</v>
      </c>
      <c r="D3418" s="74" t="str">
        <v>Management &amp; Governance Suite</v>
      </c>
      <c r="E3418" s="74" t="str">
        <v>Policy, Authority &amp; Organizational Governance</v>
      </c>
      <c r="F3418" s="74" t="s">
        <v>154</v>
      </c>
      <c r="G3418" s="74" t="s">
        <v>7303</v>
      </c>
      <c r="H3418" s="74" t="str">
        <v>Governance Bodies</v>
      </c>
      <c r="I3418" s="74" t="str">
        <v>Governance Bodies Register</v>
      </c>
      <c r="J3418" s="74" t="str">
        <v>Create and govern boards, committees and councils.</v>
      </c>
      <c r="K3418" s="74" t="str">
        <v>Governance Body</v>
      </c>
      <c r="L3418" s="74" t="s">
        <v>7380</v>
      </c>
      <c r="M3418" s="74" t="s">
        <v>7367</v>
      </c>
    </row>
    <row r="3419" ht="42" customHeight="1">
      <c r="A3419" s="74" t="s">
        <v>7358</v>
      </c>
      <c r="B3419" s="74" t="s">
        <v>7360</v>
      </c>
      <c r="C3419" s="74" t="str">
        <v>8) Management &amp; Governance</v>
      </c>
      <c r="D3419" s="74" t="str">
        <v>Management &amp; Governance Suite</v>
      </c>
      <c r="E3419" s="74" t="str">
        <v>Policy, Authority &amp; Organizational Governance</v>
      </c>
      <c r="F3419" s="74" t="s">
        <v>154</v>
      </c>
      <c r="G3419" s="74" t="s">
        <v>7303</v>
      </c>
      <c r="H3419" s="74" t="str">
        <v>Charters</v>
      </c>
      <c r="I3419" s="74" t="str">
        <v>Charter Register</v>
      </c>
      <c r="J3419" s="74" t="str">
        <v>Manage charter inventory, status and renewal dates.</v>
      </c>
      <c r="K3419" s="74" t="str">
        <v>Governance Charter</v>
      </c>
      <c r="L3419" s="74" t="s">
        <v>7380</v>
      </c>
      <c r="M3419" s="74" t="s">
        <v>7367</v>
      </c>
    </row>
    <row r="3420" ht="42" customHeight="1">
      <c r="A3420" s="74" t="s">
        <v>7358</v>
      </c>
      <c r="B3420" s="74" t="s">
        <v>7360</v>
      </c>
      <c r="C3420" s="74" t="str">
        <v>8) Management &amp; Governance</v>
      </c>
      <c r="D3420" s="74" t="str">
        <v>Management &amp; Governance Suite</v>
      </c>
      <c r="E3420" s="74" t="str">
        <v>Policy, Authority &amp; Organizational Governance</v>
      </c>
      <c r="F3420" s="74" t="s">
        <v>154</v>
      </c>
      <c r="G3420" s="74" t="s">
        <v>7303</v>
      </c>
      <c r="H3420" s="74" t="str">
        <v>Charters</v>
      </c>
      <c r="I3420" s="74" t="str">
        <v>Charter Detail &amp; Versioning</v>
      </c>
      <c r="J3420" s="74" t="str">
        <v>Author, compare, approve, publish and supersede charter versions.</v>
      </c>
      <c r="K3420" s="74" t="str">
        <v>Governance Charter Version</v>
      </c>
      <c r="L3420" s="74" t="s">
        <v>7380</v>
      </c>
      <c r="M3420" s="74" t="s">
        <v>7367</v>
      </c>
    </row>
    <row r="3421" ht="42" customHeight="1">
      <c r="A3421" s="74" t="s">
        <v>7358</v>
      </c>
      <c r="B3421" s="74" t="s">
        <v>7360</v>
      </c>
      <c r="C3421" s="74" t="str">
        <v>8) Management &amp; Governance</v>
      </c>
      <c r="D3421" s="74" t="str">
        <v>Management &amp; Governance Suite</v>
      </c>
      <c r="E3421" s="74" t="str">
        <v>Policy, Authority &amp; Organizational Governance</v>
      </c>
      <c r="F3421" s="74" t="s">
        <v>154</v>
      </c>
      <c r="G3421" s="74" t="s">
        <v>7303</v>
      </c>
      <c r="H3421" s="74" t="str">
        <v>Membership</v>
      </c>
      <c r="I3421" s="74" t="str">
        <v>Committee Membership &amp; Terms</v>
      </c>
      <c r="J3421" s="74" t="str">
        <v>Manage member roles, terms, alternates and appointment evidence.</v>
      </c>
      <c r="K3421" s="74" t="str">
        <v>Committee Membership</v>
      </c>
      <c r="L3421" s="74" t="s">
        <v>7380</v>
      </c>
      <c r="M3421" s="74" t="s">
        <v>7367</v>
      </c>
    </row>
    <row r="3422" ht="42" customHeight="1">
      <c r="A3422" s="74" t="s">
        <v>7358</v>
      </c>
      <c r="B3422" s="74" t="s">
        <v>7360</v>
      </c>
      <c r="C3422" s="74" t="str">
        <v>8) Management &amp; Governance</v>
      </c>
      <c r="D3422" s="74" t="str">
        <v>Management &amp; Governance Suite</v>
      </c>
      <c r="E3422" s="74" t="str">
        <v>Policy, Authority &amp; Organizational Governance</v>
      </c>
      <c r="F3422" s="74" t="s">
        <v>154</v>
      </c>
      <c r="G3422" s="74" t="s">
        <v>7303</v>
      </c>
      <c r="H3422" s="74" t="str">
        <v>Decision Rights</v>
      </c>
      <c r="I3422" s="74" t="str">
        <v>Mandate &amp; Decision Rights Matrix</v>
      </c>
      <c r="J3422" s="74" t="str">
        <v>Define mandates, reserved matters and decision-right assignments.</v>
      </c>
      <c r="K3422" s="74" t="str">
        <v>Committee Mandate; Decision Right</v>
      </c>
      <c r="L3422" s="74" t="s">
        <v>7380</v>
      </c>
      <c r="M3422" s="74" t="s">
        <v>7367</v>
      </c>
    </row>
    <row r="3423" ht="42" customHeight="1">
      <c r="A3423" s="74" t="s">
        <v>7358</v>
      </c>
      <c r="B3423" s="74" t="s">
        <v>7360</v>
      </c>
      <c r="C3423" s="74" t="str">
        <v>8) Management &amp; Governance</v>
      </c>
      <c r="D3423" s="74" t="str">
        <v>Management &amp; Governance Suite</v>
      </c>
      <c r="E3423" s="74" t="str">
        <v>Policy, Authority &amp; Organizational Governance</v>
      </c>
      <c r="F3423" s="74" t="s">
        <v>154</v>
      </c>
      <c r="G3423" s="74" t="s">
        <v>7303</v>
      </c>
      <c r="H3423" s="74" t="str">
        <v>Accountability</v>
      </c>
      <c r="I3423" s="74" t="str">
        <v>RACI / Accountability Matrix</v>
      </c>
      <c r="J3423" s="74" t="str">
        <v>Define accountability across processes, portfolios, projects and controls.</v>
      </c>
      <c r="K3423" s="74" t="str">
        <v>Accountability Matrix</v>
      </c>
      <c r="L3423" s="74" t="s">
        <v>7380</v>
      </c>
      <c r="M3423" s="74" t="s">
        <v>7367</v>
      </c>
    </row>
    <row r="3424" ht="42" customHeight="1">
      <c r="A3424" s="74" t="s">
        <v>7358</v>
      </c>
      <c r="B3424" s="74" t="s">
        <v>7360</v>
      </c>
      <c r="C3424" s="74" t="str">
        <v>8) Management &amp; Governance</v>
      </c>
      <c r="D3424" s="74" t="str">
        <v>Management &amp; Governance Suite</v>
      </c>
      <c r="E3424" s="74" t="str">
        <v>Policy, Authority &amp; Organizational Governance</v>
      </c>
      <c r="F3424" s="74" t="s">
        <v>154</v>
      </c>
      <c r="G3424" s="74" t="s">
        <v>7303</v>
      </c>
      <c r="H3424" s="74" t="str">
        <v>Integration</v>
      </c>
      <c r="I3424" s="74" t="str">
        <v>Governance Calendar Linkage</v>
      </c>
      <c r="J3424" s="74" t="str">
        <v>Link persistent governance bodies to review/cadence configurations.</v>
      </c>
      <c r="K3424" s="74" t="str">
        <v>Governance Body Reference</v>
      </c>
      <c r="L3424" s="74" t="s">
        <v>7380</v>
      </c>
      <c r="M3424" s="74" t="s">
        <v>7367</v>
      </c>
    </row>
    <row r="3425" ht="42" customHeight="1">
      <c r="A3425" s="74" t="s">
        <v>7358</v>
      </c>
      <c r="B3425" s="74" t="s">
        <v>7360</v>
      </c>
      <c r="C3425" s="74" t="str">
        <v>8) Management &amp; Governance</v>
      </c>
      <c r="D3425" s="74" t="str">
        <v>Management &amp; Governance Suite</v>
      </c>
      <c r="E3425" s="74" t="str">
        <v>Policy, Authority &amp; Organizational Governance</v>
      </c>
      <c r="F3425" s="74" t="s">
        <v>154</v>
      </c>
      <c r="G3425" s="74" t="s">
        <v>7303</v>
      </c>
      <c r="H3425" s="74" t="str">
        <v>Lifecycle</v>
      </c>
      <c r="I3425" s="74" t="str">
        <v>Charter Review &amp; Renewal</v>
      </c>
      <c r="J3425" s="74" t="str">
        <v>Schedule review, renewal, expiry and archival of charters.</v>
      </c>
      <c r="K3425" s="74" t="str">
        <v>Charter Review</v>
      </c>
      <c r="L3425" s="74" t="s">
        <v>7380</v>
      </c>
      <c r="M3425" s="74" t="s">
        <v>7367</v>
      </c>
    </row>
    <row r="3426" ht="42" customHeight="1">
      <c r="A3426" s="74" t="s">
        <v>7358</v>
      </c>
      <c r="B3426" s="74" t="s">
        <v>7360</v>
      </c>
      <c r="C3426" s="74" t="str">
        <v>8) Management &amp; Governance</v>
      </c>
      <c r="D3426" s="74" t="str">
        <v>Management &amp; Governance Suite</v>
      </c>
      <c r="E3426" s="74" t="str">
        <v>Policy, Authority &amp; Organizational Governance</v>
      </c>
      <c r="F3426" s="74" t="s">
        <v>154</v>
      </c>
      <c r="G3426" s="74" t="s">
        <v>7303</v>
      </c>
      <c r="H3426" s="74" t="str">
        <v>Reporting</v>
      </c>
      <c r="I3426" s="74" t="str">
        <v>Governance Structure Report</v>
      </c>
      <c r="J3426" s="74" t="str">
        <v>Report governance hierarchy, mandates, membership and accountability coverage.</v>
      </c>
      <c r="K3426" s="74" t="str">
        <v>Governance Structure Projection</v>
      </c>
      <c r="L3426" s="74" t="s">
        <v>7380</v>
      </c>
      <c r="M3426" s="74" t="s">
        <v>7367</v>
      </c>
    </row>
  </sheetData>
  <pageMargins left="0.7" right="0.7" top="0.75" bottom="0.75" header="0.3" footer="0.3"/>
</worksheet>
</file>

<file path=xl/worksheets/sheet17.xml><?xml version="1.0" encoding="utf-8"?>
<x:worksheet xmlns:x="http://schemas.openxmlformats.org/spreadsheetml/2006/main">
  <x:sheetFormatPr baseColWidth="10" defaultColWidth="8.83203125" defaultRowHeight="13"/>
  <x:cols>
    <x:col min="1" max="1" width="30" customWidth="1"/>
    <x:col min="2" max="2" width="18" customWidth="1"/>
    <x:col min="3" max="3" width="28" customWidth="1"/>
    <x:col min="4" max="4" width="20" customWidth="1"/>
    <x:col min="5" max="5" width="28" customWidth="1"/>
    <x:col min="6" max="8" width="18" customWidth="1"/>
    <x:col min="9" max="9" width="40" customWidth="1"/>
  </x:cols>
  <x:sheetData>
    <x:row r="1">
      <x:c r="A1" t="s">
        <x:v>2868</x:v>
      </x:c>
      <x:c r="B1" t="s">
        <x:v>6380</x:v>
      </x:c>
      <x:c r="C1" t="s">
        <x:v>6381</x:v>
      </x:c>
      <x:c r="D1" t="s">
        <x:v>6382</x:v>
      </x:c>
      <x:c r="E1" t="s">
        <x:v>6383</x:v>
      </x:c>
      <x:c r="F1" t="s">
        <x:v>6384</x:v>
      </x:c>
      <x:c r="G1" t="s">
        <x:v>6385</x:v>
      </x:c>
      <x:c r="H1" t="s">
        <x:v>6386</x:v>
      </x:c>
      <x:c r="I1" t="s">
        <x:v>4093</x:v>
      </x:c>
    </x:row>
    <x:row r="2" ht="99.75" customHeight="1">
      <x:c r="A2" s="10" t="s">
        <x:v>6387</x:v>
      </x:c>
      <x:c r="B2" s="10" t="s">
        <x:v>6388</x:v>
      </x:c>
      <x:c r="C2" s="10" t="s">
        <x:v>6389</x:v>
      </x:c>
      <x:c r="D2" s="10" t="s">
        <x:v>6390</x:v>
      </x:c>
      <x:c r="E2" s="10" t="s">
        <x:v>2016</x:v>
      </x:c>
      <x:c r="F2" s="10" t="s">
        <x:v>4453</x:v>
      </x:c>
      <x:c r="G2" s="10" t="s">
        <x:v>3304</x:v>
      </x:c>
      <x:c r="H2" s="10" t="s">
        <x:v>2852</x:v>
      </x:c>
      <x:c r="I2" s="10" t="s">
        <x:v>6391</x:v>
      </x:c>
    </x:row>
    <x:row r="3" ht="99.75" customHeight="1">
      <x:c r="A3" s="10" t="s">
        <x:v>2861</x:v>
      </x:c>
      <x:c r="B3" s="10" t="s">
        <x:v>1986</x:v>
      </x:c>
      <x:c r="C3" s="10" t="s">
        <x:v>2865</x:v>
      </x:c>
      <x:c r="D3" s="10" t="s">
        <x:v>2867</x:v>
      </x:c>
      <x:c r="E3" s="10" t="s">
        <x:v>2864</x:v>
      </x:c>
      <x:c r="F3" s="10" t="s">
        <x:v>1976</x:v>
      </x:c>
      <x:c r="G3" s="10" t="s">
        <x:v>2869</x:v>
      </x:c>
      <x:c r="H3" s="10" t="s">
        <x:v>2073</x:v>
      </x:c>
      <x:c r="I3" s="10" t="s">
        <x:v>2862</x:v>
      </x:c>
    </x:row>
    <x:row r="4" ht="99.75" customHeight="1">
      <x:c r="A4" s="10" t="s">
        <x:v>2872</x:v>
      </x:c>
      <x:c r="B4" s="10" t="s">
        <x:v>1986</x:v>
      </x:c>
      <x:c r="C4" s="10" t="s">
        <x:v>2874</x:v>
      </x:c>
      <x:c r="D4" s="10" t="s">
        <x:v>2867</x:v>
      </x:c>
      <x:c r="E4" s="10" t="s">
        <x:v>2864</x:v>
      </x:c>
      <x:c r="F4" s="10" t="s">
        <x:v>1976</x:v>
      </x:c>
      <x:c r="G4" s="10" t="s">
        <x:v>2876</x:v>
      </x:c>
      <x:c r="H4" s="10" t="s">
        <x:v>2073</x:v>
      </x:c>
      <x:c r="I4" s="10" t="s">
        <x:v>2873</x:v>
      </x:c>
    </x:row>
    <x:row r="5" ht="99.75" customHeight="1">
      <x:c r="A5" s="10" t="s">
        <x:v>2878</x:v>
      </x:c>
      <x:c r="B5" s="10" t="s">
        <x:v>1986</x:v>
      </x:c>
      <x:c r="C5" s="10" t="s">
        <x:v>2880</x:v>
      </x:c>
      <x:c r="D5" s="10" t="s">
        <x:v>2867</x:v>
      </x:c>
      <x:c r="E5" s="10" t="s">
        <x:v>2864</x:v>
      </x:c>
      <x:c r="F5" s="10" t="s">
        <x:v>1976</x:v>
      </x:c>
      <x:c r="G5" s="10" t="s">
        <x:v>2882</x:v>
      </x:c>
      <x:c r="H5" s="10" t="s">
        <x:v>2073</x:v>
      </x:c>
      <x:c r="I5" s="10" t="s">
        <x:v>2879</x:v>
      </x:c>
    </x:row>
    <x:row r="6" ht="99.75" customHeight="1">
      <x:c r="A6" s="10" t="s">
        <x:v>2884</x:v>
      </x:c>
      <x:c r="B6" s="10" t="s">
        <x:v>1986</x:v>
      </x:c>
      <x:c r="C6" s="10" t="s">
        <x:v>2886</x:v>
      </x:c>
      <x:c r="D6" s="10" t="s">
        <x:v>2867</x:v>
      </x:c>
      <x:c r="E6" s="10" t="s">
        <x:v>2864</x:v>
      </x:c>
      <x:c r="F6" s="10" t="s">
        <x:v>1976</x:v>
      </x:c>
      <x:c r="G6" s="10" t="s">
        <x:v>2888</x:v>
      </x:c>
      <x:c r="H6" s="10" t="s">
        <x:v>2073</x:v>
      </x:c>
      <x:c r="I6" s="10" t="s">
        <x:v>2885</x:v>
      </x:c>
    </x:row>
    <x:row r="7" ht="99.75" customHeight="1">
      <x:c r="A7" s="10" t="s">
        <x:v>2890</x:v>
      </x:c>
      <x:c r="B7" s="10" t="s">
        <x:v>1986</x:v>
      </x:c>
      <x:c r="C7" s="10" t="s">
        <x:v>2892</x:v>
      </x:c>
      <x:c r="D7" s="10" t="s">
        <x:v>2867</x:v>
      </x:c>
      <x:c r="E7" s="10" t="s">
        <x:v>2864</x:v>
      </x:c>
      <x:c r="F7" s="10" t="s">
        <x:v>1976</x:v>
      </x:c>
      <x:c r="G7" s="10" t="s">
        <x:v>2073</x:v>
      </x:c>
      <x:c r="H7" s="10" t="s">
        <x:v>2073</x:v>
      </x:c>
      <x:c r="I7" s="10" t="s">
        <x:v>2891</x:v>
      </x:c>
    </x:row>
    <x:row r="8" ht="99.75" customHeight="1">
      <x:c r="A8" s="10" t="s">
        <x:v>2895</x:v>
      </x:c>
      <x:c r="B8" s="10" t="s">
        <x:v>1986</x:v>
      </x:c>
      <x:c r="C8" s="10" t="s">
        <x:v>2897</x:v>
      </x:c>
      <x:c r="D8" s="10" t="s">
        <x:v>2867</x:v>
      </x:c>
      <x:c r="E8" s="10" t="s">
        <x:v>2864</x:v>
      </x:c>
      <x:c r="F8" s="10" t="s">
        <x:v>1976</x:v>
      </x:c>
      <x:c r="G8" s="10" t="s">
        <x:v>2899</x:v>
      </x:c>
      <x:c r="H8" s="10" t="s">
        <x:v>2073</x:v>
      </x:c>
      <x:c r="I8" s="10" t="s">
        <x:v>2896</x:v>
      </x:c>
    </x:row>
    <x:row r="9" ht="99.75" customHeight="1">
      <x:c r="A9" s="10" t="s">
        <x:v>2901</x:v>
      </x:c>
      <x:c r="B9" s="10" t="s">
        <x:v>1986</x:v>
      </x:c>
      <x:c r="C9" s="10" t="s">
        <x:v>2903</x:v>
      </x:c>
      <x:c r="D9" s="10" t="s">
        <x:v>2867</x:v>
      </x:c>
      <x:c r="E9" s="10" t="s">
        <x:v>2864</x:v>
      </x:c>
      <x:c r="F9" s="10" t="s">
        <x:v>1976</x:v>
      </x:c>
      <x:c r="G9" s="10" t="s">
        <x:v>2905</x:v>
      </x:c>
      <x:c r="H9" s="10" t="s">
        <x:v>2073</x:v>
      </x:c>
      <x:c r="I9" s="10" t="s">
        <x:v>2902</x:v>
      </x:c>
    </x:row>
    <x:row r="10" ht="99.75" customHeight="1">
      <x:c r="A10" s="10" t="s">
        <x:v>2907</x:v>
      </x:c>
      <x:c r="B10" s="10" t="s">
        <x:v>1986</x:v>
      </x:c>
      <x:c r="C10" s="10" t="s">
        <x:v>2909</x:v>
      </x:c>
      <x:c r="D10" s="10" t="s">
        <x:v>2867</x:v>
      </x:c>
      <x:c r="E10" s="10" t="s">
        <x:v>2864</x:v>
      </x:c>
      <x:c r="F10" s="10" t="s">
        <x:v>1976</x:v>
      </x:c>
      <x:c r="G10" s="10" t="s">
        <x:v>2911</x:v>
      </x:c>
      <x:c r="H10" s="10" t="s">
        <x:v>2073</x:v>
      </x:c>
      <x:c r="I10" s="10" t="s">
        <x:v>2908</x:v>
      </x:c>
    </x:row>
    <x:row r="11" ht="99.75" customHeight="1">
      <x:c r="A11" s="10" t="s">
        <x:v>2913</x:v>
      </x:c>
      <x:c r="B11" s="10" t="s">
        <x:v>1986</x:v>
      </x:c>
      <x:c r="C11" s="10" t="s">
        <x:v>2915</x:v>
      </x:c>
      <x:c r="D11" s="10" t="s">
        <x:v>2867</x:v>
      </x:c>
      <x:c r="E11" s="10" t="s">
        <x:v>2864</x:v>
      </x:c>
      <x:c r="F11" s="10" t="s">
        <x:v>1976</x:v>
      </x:c>
      <x:c r="G11" s="10" t="s">
        <x:v>2917</x:v>
      </x:c>
      <x:c r="H11" s="10" t="s">
        <x:v>2073</x:v>
      </x:c>
      <x:c r="I11" s="10" t="s">
        <x:v>2914</x:v>
      </x:c>
    </x:row>
    <x:row r="12" ht="99.75" customHeight="1">
      <x:c r="A12" s="10" t="s">
        <x:v>2919</x:v>
      </x:c>
      <x:c r="B12" s="10" t="s">
        <x:v>1987</x:v>
      </x:c>
      <x:c r="C12" s="10" t="s">
        <x:v>2921</x:v>
      </x:c>
      <x:c r="D12" s="10" t="s">
        <x:v>2923</x:v>
      </x:c>
      <x:c r="E12" s="10" t="s">
        <x:v>2864</x:v>
      </x:c>
      <x:c r="F12" s="10" t="s">
        <x:v>1975</x:v>
      </x:c>
      <x:c r="G12" s="10" t="s">
        <x:v>2924</x:v>
      </x:c>
      <x:c r="H12" s="10" t="s">
        <x:v>2073</x:v>
      </x:c>
      <x:c r="I12" s="10" t="s">
        <x:v>2920</x:v>
      </x:c>
    </x:row>
    <x:row r="13" ht="99.75" customHeight="1">
      <x:c r="A13" s="10" t="s">
        <x:v>2929</x:v>
      </x:c>
      <x:c r="B13" s="10" t="s">
        <x:v>6388</x:v>
      </x:c>
      <x:c r="C13" s="10" t="s">
        <x:v>6392</x:v>
      </x:c>
      <x:c r="D13" s="10" t="s">
        <x:v>6393</x:v>
      </x:c>
      <x:c r="E13" s="10" t="s">
        <x:v>2934</x:v>
      </x:c>
      <x:c r="F13" s="10" t="s">
        <x:v>6394</x:v>
      </x:c>
      <x:c r="G13" s="10" t="s">
        <x:v>6395</x:v>
      </x:c>
      <x:c r="H13" s="10" t="s">
        <x:v>2075</x:v>
      </x:c>
      <x:c r="I13" s="10" t="s">
        <x:v>6396</x:v>
      </x:c>
    </x:row>
    <x:row r="14" ht="99.75" customHeight="1">
      <x:c r="A14" s="10" t="s">
        <x:v>2941</x:v>
      </x:c>
      <x:c r="B14" s="10" t="s">
        <x:v>1987</x:v>
      </x:c>
      <x:c r="C14" s="10" t="s">
        <x:v>2943</x:v>
      </x:c>
      <x:c r="D14" s="10" t="s">
        <x:v>2923</x:v>
      </x:c>
      <x:c r="E14" s="10" t="s">
        <x:v>2864</x:v>
      </x:c>
      <x:c r="F14" s="10" t="s">
        <x:v>1976</x:v>
      </x:c>
      <x:c r="G14" s="10" t="s">
        <x:v>2074</x:v>
      </x:c>
      <x:c r="H14" s="10" t="s">
        <x:v>2073</x:v>
      </x:c>
      <x:c r="I14" s="10" t="s">
        <x:v>2942</x:v>
      </x:c>
    </x:row>
    <x:row r="15" ht="99.75" customHeight="1">
      <x:c r="A15" s="10" t="s">
        <x:v>2946</x:v>
      </x:c>
      <x:c r="B15" s="10" t="s">
        <x:v>1987</x:v>
      </x:c>
      <x:c r="C15" s="10" t="s">
        <x:v>2138</x:v>
      </x:c>
      <x:c r="D15" s="10" t="s">
        <x:v>2923</x:v>
      </x:c>
      <x:c r="E15" s="10" t="s">
        <x:v>2864</x:v>
      </x:c>
      <x:c r="F15" s="10" t="s">
        <x:v>1976</x:v>
      </x:c>
      <x:c r="G15" s="10" t="s">
        <x:v>2074</x:v>
      </x:c>
      <x:c r="H15" s="10" t="s">
        <x:v>2073</x:v>
      </x:c>
      <x:c r="I15" s="10" t="s">
        <x:v>2947</x:v>
      </x:c>
    </x:row>
    <x:row r="16" ht="99.75" customHeight="1">
      <x:c r="A16" s="10" t="s">
        <x:v>2949</x:v>
      </x:c>
      <x:c r="B16" s="10" t="s">
        <x:v>1987</x:v>
      </x:c>
      <x:c r="C16" s="10" t="s">
        <x:v>2951</x:v>
      </x:c>
      <x:c r="D16" s="10" t="s">
        <x:v>2923</x:v>
      </x:c>
      <x:c r="E16" s="10" t="s">
        <x:v>2864</x:v>
      </x:c>
      <x:c r="F16" s="10" t="s">
        <x:v>1976</x:v>
      </x:c>
      <x:c r="G16" s="10" t="s">
        <x:v>2953</x:v>
      </x:c>
      <x:c r="H16" s="10" t="s">
        <x:v>2073</x:v>
      </x:c>
      <x:c r="I16" s="10" t="s">
        <x:v>2950</x:v>
      </x:c>
    </x:row>
    <x:row r="17" ht="99.75" customHeight="1">
      <x:c r="A17" s="10" t="s">
        <x:v>2955</x:v>
      </x:c>
      <x:c r="B17" s="10" t="s">
        <x:v>1987</x:v>
      </x:c>
      <x:c r="C17" s="10" t="s">
        <x:v>2957</x:v>
      </x:c>
      <x:c r="D17" s="10" t="s">
        <x:v>2923</x:v>
      </x:c>
      <x:c r="E17" s="10" t="s">
        <x:v>2864</x:v>
      </x:c>
      <x:c r="F17" s="10" t="s">
        <x:v>1976</x:v>
      </x:c>
      <x:c r="G17" s="10" t="s">
        <x:v>2959</x:v>
      </x:c>
      <x:c r="H17" s="10" t="s">
        <x:v>2073</x:v>
      </x:c>
      <x:c r="I17" s="10" t="s">
        <x:v>2956</x:v>
      </x:c>
    </x:row>
    <x:row r="18" ht="99.75" customHeight="1">
      <x:c r="A18" s="10" t="s">
        <x:v>2961</x:v>
      </x:c>
      <x:c r="B18" s="10" t="s">
        <x:v>1987</x:v>
      </x:c>
      <x:c r="C18" s="10" t="s">
        <x:v>2963</x:v>
      </x:c>
      <x:c r="D18" s="10" t="s">
        <x:v>2923</x:v>
      </x:c>
      <x:c r="E18" s="10" t="s">
        <x:v>2864</x:v>
      </x:c>
      <x:c r="F18" s="10" t="s">
        <x:v>1976</x:v>
      </x:c>
      <x:c r="G18" s="10" t="s">
        <x:v>2965</x:v>
      </x:c>
      <x:c r="H18" s="10" t="s">
        <x:v>2073</x:v>
      </x:c>
      <x:c r="I18" t="s">
        <x:v>2962</x:v>
      </x:c>
    </x:row>
    <x:row r="19" ht="99.75" customHeight="1">
      <x:c r="A19" s="10" t="s">
        <x:v>2967</x:v>
      </x:c>
      <x:c r="B19" s="10" t="s">
        <x:v>1987</x:v>
      </x:c>
      <x:c r="C19" s="10" t="s">
        <x:v>2969</x:v>
      </x:c>
      <x:c r="D19" s="10" t="s">
        <x:v>2923</x:v>
      </x:c>
      <x:c r="E19" s="10" t="s">
        <x:v>2864</x:v>
      </x:c>
      <x:c r="F19" s="10" t="s">
        <x:v>1976</x:v>
      </x:c>
      <x:c r="G19" s="10" t="s">
        <x:v>2965</x:v>
      </x:c>
      <x:c r="H19" s="10" t="s">
        <x:v>2073</x:v>
      </x:c>
      <x:c r="I19" t="s">
        <x:v>2968</x:v>
      </x:c>
    </x:row>
    <x:row r="20" ht="99.75" customHeight="1">
      <x:c r="A20" s="10" t="s">
        <x:v>2971</x:v>
      </x:c>
      <x:c r="B20" s="10" t="s">
        <x:v>1987</x:v>
      </x:c>
      <x:c r="C20" s="10" t="s">
        <x:v>2973</x:v>
      </x:c>
      <x:c r="D20" s="10" t="s">
        <x:v>2923</x:v>
      </x:c>
      <x:c r="E20" s="10" t="s">
        <x:v>2864</x:v>
      </x:c>
      <x:c r="F20" s="10" t="s">
        <x:v>1976</x:v>
      </x:c>
      <x:c r="G20" s="10" t="s">
        <x:v>2975</x:v>
      </x:c>
      <x:c r="H20" s="10" t="s">
        <x:v>2073</x:v>
      </x:c>
      <x:c r="I20" t="s">
        <x:v>2972</x:v>
      </x:c>
    </x:row>
    <x:row r="21" ht="99.75" customHeight="1">
      <x:c r="A21" s="10" t="s">
        <x:v>2977</x:v>
      </x:c>
      <x:c r="B21" s="10" t="s">
        <x:v>1987</x:v>
      </x:c>
      <x:c r="C21" s="10" t="s">
        <x:v>2979</x:v>
      </x:c>
      <x:c r="D21" s="10" t="s">
        <x:v>2923</x:v>
      </x:c>
      <x:c r="E21" s="10" t="s">
        <x:v>2864</x:v>
      </x:c>
      <x:c r="F21" s="10" t="s">
        <x:v>1976</x:v>
      </x:c>
      <x:c r="G21" s="10" t="s">
        <x:v>2981</x:v>
      </x:c>
      <x:c r="H21" s="10" t="s">
        <x:v>2073</x:v>
      </x:c>
      <x:c r="I21" t="s">
        <x:v>2978</x:v>
      </x:c>
    </x:row>
    <x:row r="22" ht="99.75" customHeight="1">
      <x:c r="A22" s="10" t="s">
        <x:v>2983</x:v>
      </x:c>
      <x:c r="B22" s="10" t="s">
        <x:v>1987</x:v>
      </x:c>
      <x:c r="C22" s="10" t="s">
        <x:v>2985</x:v>
      </x:c>
      <x:c r="D22" s="10" t="s">
        <x:v>2923</x:v>
      </x:c>
      <x:c r="E22" s="10" t="s">
        <x:v>2864</x:v>
      </x:c>
      <x:c r="F22" s="10" t="s">
        <x:v>1976</x:v>
      </x:c>
      <x:c r="G22" s="10" t="s">
        <x:v>2987</x:v>
      </x:c>
      <x:c r="H22" s="10" t="s">
        <x:v>2073</x:v>
      </x:c>
      <x:c r="I22" t="s">
        <x:v>2984</x:v>
      </x:c>
    </x:row>
    <x:row r="23" ht="99.75" customHeight="1">
      <x:c r="A23" s="10" t="s">
        <x:v>2989</x:v>
      </x:c>
      <x:c r="B23" s="10" t="s">
        <x:v>1987</x:v>
      </x:c>
      <x:c r="C23" s="10" t="s">
        <x:v>2991</x:v>
      </x:c>
      <x:c r="D23" s="10" t="s">
        <x:v>2923</x:v>
      </x:c>
      <x:c r="E23" s="10" t="s">
        <x:v>2864</x:v>
      </x:c>
      <x:c r="F23" s="10" t="s">
        <x:v>1976</x:v>
      </x:c>
      <x:c r="G23" s="10" t="s">
        <x:v>2993</x:v>
      </x:c>
      <x:c r="H23" s="10" t="s">
        <x:v>2073</x:v>
      </x:c>
      <x:c r="I23" t="s">
        <x:v>2990</x:v>
      </x:c>
    </x:row>
    <x:row r="24">
      <x:c r="A24" t="s">
        <x:v>2995</x:v>
      </x:c>
      <x:c r="B24" t="s">
        <x:v>1987</x:v>
      </x:c>
      <x:c r="C24" t="s">
        <x:v>2997</x:v>
      </x:c>
      <x:c r="D24" t="s">
        <x:v>2923</x:v>
      </x:c>
      <x:c r="E24" t="s">
        <x:v>2864</x:v>
      </x:c>
      <x:c r="F24" t="s">
        <x:v>1976</x:v>
      </x:c>
      <x:c r="G24" t="s">
        <x:v>2917</x:v>
      </x:c>
      <x:c r="H24" t="s">
        <x:v>2073</x:v>
      </x:c>
      <x:c r="I24" t="s">
        <x:v>2996</x:v>
      </x:c>
    </x:row>
    <x:row r="25">
      <x:c r="A25" t="s">
        <x:v>2999</x:v>
      </x:c>
      <x:c r="B25" t="s">
        <x:v>1987</x:v>
      </x:c>
      <x:c r="C25" t="s">
        <x:v>3001</x:v>
      </x:c>
      <x:c r="D25" t="s">
        <x:v>2923</x:v>
      </x:c>
      <x:c r="E25" t="s">
        <x:v>2864</x:v>
      </x:c>
      <x:c r="F25" t="s">
        <x:v>1976</x:v>
      </x:c>
      <x:c r="G25" t="s">
        <x:v>3003</x:v>
      </x:c>
      <x:c r="H25" t="s">
        <x:v>2073</x:v>
      </x:c>
      <x:c r="I25" t="s">
        <x:v>3000</x:v>
      </x:c>
    </x:row>
    <x:row r="26">
      <x:c r="A26" t="s">
        <x:v>3005</x:v>
      </x:c>
      <x:c r="B26" t="s">
        <x:v>1987</x:v>
      </x:c>
      <x:c r="C26" t="s">
        <x:v>3007</x:v>
      </x:c>
      <x:c r="D26" t="s">
        <x:v>2923</x:v>
      </x:c>
      <x:c r="E26" t="s">
        <x:v>2864</x:v>
      </x:c>
      <x:c r="F26" t="s">
        <x:v>1976</x:v>
      </x:c>
      <x:c r="G26" t="s">
        <x:v>3009</x:v>
      </x:c>
      <x:c r="H26" t="s">
        <x:v>2073</x:v>
      </x:c>
      <x:c r="I26" t="s">
        <x:v>3006</x:v>
      </x:c>
    </x:row>
    <x:row r="27">
      <x:c r="A27" t="s">
        <x:v>3011</x:v>
      </x:c>
      <x:c r="B27" t="s">
        <x:v>1987</x:v>
      </x:c>
      <x:c r="C27" t="s">
        <x:v>3013</x:v>
      </x:c>
      <x:c r="D27" t="s">
        <x:v>2923</x:v>
      </x:c>
      <x:c r="E27" t="s">
        <x:v>2864</x:v>
      </x:c>
      <x:c r="F27" t="s">
        <x:v>1976</x:v>
      </x:c>
      <x:c r="G27" t="s">
        <x:v>2226</x:v>
      </x:c>
      <x:c r="H27" t="s">
        <x:v>2073</x:v>
      </x:c>
      <x:c r="I27" t="s">
        <x:v>3012</x:v>
      </x:c>
    </x:row>
    <x:row r="28">
      <x:c r="A28" t="s">
        <x:v>3016</x:v>
      </x:c>
      <x:c r="B28" t="s">
        <x:v>1987</x:v>
      </x:c>
      <x:c r="C28" t="s">
        <x:v>3018</x:v>
      </x:c>
      <x:c r="D28" t="s">
        <x:v>2923</x:v>
      </x:c>
      <x:c r="E28" t="s">
        <x:v>2864</x:v>
      </x:c>
      <x:c r="F28" t="s">
        <x:v>1976</x:v>
      </x:c>
      <x:c r="G28" t="s">
        <x:v>2975</x:v>
      </x:c>
      <x:c r="H28" t="s">
        <x:v>2073</x:v>
      </x:c>
      <x:c r="I28" t="s">
        <x:v>3017</x:v>
      </x:c>
    </x:row>
    <x:row r="29">
      <x:c r="A29" t="s">
        <x:v>3020</x:v>
      </x:c>
      <x:c r="B29" t="s">
        <x:v>1987</x:v>
      </x:c>
      <x:c r="C29" t="s">
        <x:v>3022</x:v>
      </x:c>
      <x:c r="D29" t="s">
        <x:v>2923</x:v>
      </x:c>
      <x:c r="E29" t="s">
        <x:v>2864</x:v>
      </x:c>
      <x:c r="F29" t="s">
        <x:v>1976</x:v>
      </x:c>
      <x:c r="G29" t="s">
        <x:v>3024</x:v>
      </x:c>
      <x:c r="H29" t="s">
        <x:v>2073</x:v>
      </x:c>
      <x:c r="I29" t="s">
        <x:v>3021</x:v>
      </x:c>
    </x:row>
    <x:row r="30">
      <x:c r="A30" t="s">
        <x:v>6397</x:v>
      </x:c>
      <x:c r="B30" t="s">
        <x:v>6388</x:v>
      </x:c>
      <x:c r="C30" t="s">
        <x:v>3039</x:v>
      </x:c>
      <x:c r="D30" t="s">
        <x:v>6398</x:v>
      </x:c>
      <x:c r="E30" t="s">
        <x:v>3033</x:v>
      </x:c>
      <x:c r="F30" t="s">
        <x:v>6399</x:v>
      </x:c>
      <x:c r="G30" t="s">
        <x:v>4454</x:v>
      </x:c>
      <x:c r="H30" t="s">
        <x:v>2852</x:v>
      </x:c>
      <x:c r="I30" t="s">
        <x:v>6400</x:v>
      </x:c>
    </x:row>
    <x:row r="31">
      <x:c r="A31" t="s">
        <x:v>6401</x:v>
      </x:c>
      <x:c r="B31" t="s">
        <x:v>6388</x:v>
      </x:c>
      <x:c r="C31" t="s">
        <x:v>3053</x:v>
      </x:c>
      <x:c r="D31" t="s">
        <x:v>6402</x:v>
      </x:c>
      <x:c r="E31" t="s">
        <x:v>3049</x:v>
      </x:c>
      <x:c r="F31" t="s">
        <x:v>6403</x:v>
      </x:c>
      <x:c r="G31" t="s">
        <x:v>4256</x:v>
      </x:c>
      <x:c r="H31" t="s">
        <x:v>2852</x:v>
      </x:c>
      <x:c r="I31" t="s">
        <x:v>6404</x:v>
      </x:c>
    </x:row>
  </x:sheetData>
  <x:pageMargins left="0.7" right="0.7" top="0.75" bottom="0.75" header="0.3" footer="0.3"/>
</x:worksheet>
</file>

<file path=xl/worksheets/sheet18.xml><?xml version="1.0" encoding="utf-8"?>
<x:worksheet xmlns:x="http://schemas.openxmlformats.org/spreadsheetml/2006/main">
  <x:sheetFormatPr baseColWidth="10" defaultColWidth="8.83203125" defaultRowHeight="13"/>
  <x:cols>
    <x:col min="1" max="1" width="28" customWidth="1"/>
    <x:col min="2" max="2" width="40" customWidth="1"/>
    <x:col min="3" max="3" width="18" customWidth="1"/>
  </x:cols>
  <x:sheetData>
    <x:row r="1" ht="42.75" customHeight="1">
      <x:c r="A1" s="12" t="s">
        <x:v>6405</x:v>
      </x:c>
    </x:row>
    <x:row r="3">
      <x:c r="A3" s="8" t="s">
        <x:v>6406</x:v>
      </x:c>
      <x:c r="C3" s="8">
        <x:v>0</x:v>
      </x:c>
    </x:row>
    <x:row r="5">
      <x:c r="A5" s="14" t="s">
        <x:v>2058</x:v>
      </x:c>
    </x:row>
    <x:row r="6">
      <x:c r="A6" s="8" t="s">
        <x:v>6407</x:v>
      </x:c>
      <x:c r="C6" s="8" t="n">
        <x:v>0</x:v>
      </x:c>
    </x:row>
    <x:row r="8">
      <x:c r="A8" s="14" t="s">
        <x:v>2058</x:v>
      </x:c>
    </x:row>
    <x:row r="9">
      <x:c r="A9"/>
    </x:row>
    <x:row r="10">
      <x:c r="A10"/>
    </x:row>
  </x:sheetData>
  <x:pageMargins left="0.7" right="0.7" top="0.75" bottom="0.75" header="0.3" footer="0.3"/>
</x:worksheet>
</file>

<file path=xl/worksheets/sheet19.xml><?xml version="1.0" encoding="utf-8"?>
<worksheet xmlns="http://schemas.openxmlformats.org/spreadsheetml/2006/main">
  <sheetFormatPr baseColWidth="10" defaultColWidth="8.83203125" defaultRowHeight="13"/>
  <sheetData>
    <row r="1">
      <c r="A1" t="s">
        <v>6408</v>
      </c>
      <c r="B1" t="s">
        <v>6409</v>
      </c>
      <c r="C1" t="s">
        <v>6410</v>
      </c>
      <c r="D1" t="s">
        <v>4093</v>
      </c>
    </row>
    <row r="2">
      <c r="A2" t="s">
        <v>6411</v>
      </c>
      <c r="B2" t="s">
        <v>6412</v>
      </c>
      <c r="C2" t="s">
        <v>6413</v>
      </c>
    </row>
    <row r="3">
      <c r="A3" t="s">
        <v>2401</v>
      </c>
      <c r="B3" t="s">
        <v>6414</v>
      </c>
      <c r="C3" t="s">
        <v>6413</v>
      </c>
    </row>
    <row r="4">
      <c r="A4" t="s">
        <v>2412</v>
      </c>
      <c r="B4" t="s">
        <v>6415</v>
      </c>
      <c r="C4" t="s">
        <v>6413</v>
      </c>
    </row>
    <row r="5">
      <c r="A5" t="s">
        <v>2205</v>
      </c>
      <c r="B5" t="s">
        <v>6416</v>
      </c>
      <c r="C5" t="s">
        <v>6413</v>
      </c>
    </row>
    <row r="6">
      <c r="A6" t="s">
        <v>6417</v>
      </c>
      <c r="B6" t="s">
        <v>6418</v>
      </c>
      <c r="C6" t="s">
        <v>6413</v>
      </c>
    </row>
    <row r="7">
      <c r="A7" t="s">
        <v>2438</v>
      </c>
      <c r="B7" t="s">
        <v>6419</v>
      </c>
      <c r="C7" t="s">
        <v>6413</v>
      </c>
    </row>
    <row r="8">
      <c r="A8" t="s">
        <v>6420</v>
      </c>
      <c r="B8" t="s">
        <v>6421</v>
      </c>
      <c r="C8" t="s">
        <v>6413</v>
      </c>
    </row>
    <row r="9">
      <c r="A9" t="s">
        <v>2494</v>
      </c>
      <c r="B9" t="s">
        <v>6422</v>
      </c>
      <c r="C9" t="s">
        <v>6413</v>
      </c>
    </row>
    <row r="10">
      <c r="A10" t="s">
        <v>2711</v>
      </c>
      <c r="B10" t="s">
        <v>6423</v>
      </c>
      <c r="C10" t="s">
        <v>6413</v>
      </c>
    </row>
    <row r="11">
      <c r="A11" t="s">
        <v>2607</v>
      </c>
      <c r="B11" t="s">
        <v>6424</v>
      </c>
      <c r="C11" t="s">
        <v>6413</v>
      </c>
    </row>
    <row r="12">
      <c r="A12" t="s">
        <v>2419</v>
      </c>
      <c r="B12" t="s">
        <v>6425</v>
      </c>
      <c r="C12" t="s">
        <v>6413</v>
      </c>
    </row>
    <row r="13">
      <c r="A13" t="s">
        <v>2135</v>
      </c>
      <c r="B13" t="s">
        <v>6426</v>
      </c>
      <c r="C13" t="s">
        <v>6413</v>
      </c>
    </row>
    <row r="14">
      <c r="A14" t="s">
        <v>6427</v>
      </c>
      <c r="B14" t="s">
        <v>6428</v>
      </c>
      <c r="C14" t="s">
        <v>6413</v>
      </c>
    </row>
    <row r="15">
      <c r="A15" t="s">
        <v>2223</v>
      </c>
      <c r="B15" t="s">
        <v>6429</v>
      </c>
      <c r="C15" t="s">
        <v>6413</v>
      </c>
    </row>
    <row r="16">
      <c r="A16" t="s">
        <v>2211</v>
      </c>
      <c r="B16" t="s">
        <v>6430</v>
      </c>
      <c r="C16" t="s">
        <v>6413</v>
      </c>
    </row>
    <row r="17">
      <c r="A17" t="s">
        <v>2267</v>
      </c>
      <c r="B17" t="s">
        <v>6431</v>
      </c>
      <c r="C17" t="s">
        <v>6413</v>
      </c>
    </row>
    <row r="18">
      <c r="A18" t="s">
        <v>2598</v>
      </c>
      <c r="B18" t="s">
        <v>6432</v>
      </c>
      <c r="C18" t="s">
        <v>6413</v>
      </c>
    </row>
    <row r="19">
      <c r="A19" t="s">
        <v>2379</v>
      </c>
      <c r="B19" t="s">
        <v>6433</v>
      </c>
      <c r="C19" t="s">
        <v>6413</v>
      </c>
    </row>
    <row r="20">
      <c r="A20" t="s">
        <v>2595</v>
      </c>
      <c r="B20" t="s">
        <v>6434</v>
      </c>
      <c r="C20" t="s">
        <v>6413</v>
      </c>
    </row>
    <row r="21">
      <c r="A21" t="s">
        <v>2691</v>
      </c>
      <c r="B21" t="s">
        <v>6435</v>
      </c>
      <c r="C21" t="s">
        <v>6413</v>
      </c>
    </row>
    <row r="22">
      <c r="A22" t="s">
        <v>2587</v>
      </c>
      <c r="B22" t="s">
        <v>6436</v>
      </c>
      <c r="C22" t="s">
        <v>6413</v>
      </c>
    </row>
    <row r="23">
      <c r="A23" t="s">
        <v>2491</v>
      </c>
      <c r="B23" t="s">
        <v>6437</v>
      </c>
      <c r="C23" t="s">
        <v>6413</v>
      </c>
    </row>
    <row r="24">
      <c r="A24" t="s">
        <v>2642</v>
      </c>
      <c r="B24" t="s">
        <v>6438</v>
      </c>
      <c r="C24" t="s">
        <v>6413</v>
      </c>
    </row>
    <row r="25">
      <c r="A25" t="s">
        <v>6439</v>
      </c>
      <c r="B25" t="s">
        <v>6440</v>
      </c>
      <c r="C25" t="s">
        <v>6413</v>
      </c>
    </row>
    <row r="26">
      <c r="A26" t="s">
        <v>6441</v>
      </c>
      <c r="B26" t="s">
        <v>6442</v>
      </c>
      <c r="C26" t="s">
        <v>6413</v>
      </c>
    </row>
    <row r="27">
      <c r="A27" t="s">
        <v>6443</v>
      </c>
      <c r="B27" t="s">
        <v>6444</v>
      </c>
      <c r="C27" t="s">
        <v>6413</v>
      </c>
    </row>
    <row r="28">
      <c r="A28" t="s">
        <v>2592</v>
      </c>
      <c r="B28" t="s">
        <v>6445</v>
      </c>
      <c r="C28" t="s">
        <v>6413</v>
      </c>
    </row>
    <row r="29">
      <c r="A29" t="s">
        <v>6446</v>
      </c>
      <c r="B29" t="s">
        <v>6447</v>
      </c>
      <c r="C29" t="s">
        <v>6413</v>
      </c>
    </row>
    <row r="30">
      <c r="A30" t="s">
        <v>2398</v>
      </c>
      <c r="B30" t="s">
        <v>6448</v>
      </c>
      <c r="C30" t="s">
        <v>6413</v>
      </c>
    </row>
    <row r="31">
      <c r="A31" t="s">
        <v>6449</v>
      </c>
      <c r="B31" t="s">
        <v>6450</v>
      </c>
      <c r="C31" t="s">
        <v>6413</v>
      </c>
    </row>
    <row r="32">
      <c r="A32" t="s">
        <v>2392</v>
      </c>
      <c r="B32" t="s">
        <v>6451</v>
      </c>
      <c r="C32" t="s">
        <v>6413</v>
      </c>
    </row>
    <row r="33">
      <c r="A33" t="s">
        <v>6452</v>
      </c>
      <c r="B33" t="s">
        <v>6453</v>
      </c>
      <c r="C33" t="s">
        <v>6413</v>
      </c>
    </row>
    <row r="34">
      <c r="A34" t="s">
        <v>6454</v>
      </c>
      <c r="B34" t="s">
        <v>6455</v>
      </c>
      <c r="C34" t="s">
        <v>6413</v>
      </c>
    </row>
    <row r="35">
      <c r="A35" t="s">
        <v>2651</v>
      </c>
      <c r="B35" t="s">
        <v>6456</v>
      </c>
      <c r="C35" t="s">
        <v>6413</v>
      </c>
    </row>
    <row r="36">
      <c r="A36" t="s">
        <v>6457</v>
      </c>
      <c r="B36" t="s">
        <v>6458</v>
      </c>
      <c r="C36" t="s">
        <v>6413</v>
      </c>
    </row>
    <row r="37">
      <c r="A37" t="s">
        <v>2524</v>
      </c>
      <c r="B37" t="s">
        <v>6459</v>
      </c>
      <c r="C37" t="s">
        <v>6413</v>
      </c>
    </row>
    <row r="38">
      <c r="A38" t="s">
        <v>6460</v>
      </c>
      <c r="B38" t="s">
        <v>6461</v>
      </c>
      <c r="C38" t="s">
        <v>6413</v>
      </c>
    </row>
    <row r="39">
      <c r="A39" t="s">
        <v>2700</v>
      </c>
      <c r="B39" t="s">
        <v>6462</v>
      </c>
      <c r="C39" t="s">
        <v>6413</v>
      </c>
    </row>
    <row r="40">
      <c r="A40" t="s">
        <v>2303</v>
      </c>
      <c r="B40" t="s">
        <v>6463</v>
      </c>
      <c r="C40" t="s">
        <v>6413</v>
      </c>
    </row>
    <row r="41">
      <c r="A41" t="s">
        <v>2682</v>
      </c>
      <c r="B41" t="s">
        <v>6464</v>
      </c>
      <c r="C41" t="s">
        <v>6413</v>
      </c>
    </row>
    <row r="42">
      <c r="A42" t="s">
        <v>2395</v>
      </c>
      <c r="B42" t="s">
        <v>6465</v>
      </c>
      <c r="C42" t="s">
        <v>6413</v>
      </c>
    </row>
    <row r="43">
      <c r="A43" t="s">
        <v>6466</v>
      </c>
      <c r="B43" t="s">
        <v>6467</v>
      </c>
      <c r="C43" t="s">
        <v>6413</v>
      </c>
    </row>
    <row r="44">
      <c r="A44" t="s">
        <v>6468</v>
      </c>
      <c r="B44" t="s">
        <v>6469</v>
      </c>
      <c r="C44" t="s">
        <v>6413</v>
      </c>
    </row>
    <row r="45">
      <c r="A45" t="s">
        <v>6470</v>
      </c>
      <c r="B45" t="s">
        <v>6471</v>
      </c>
      <c r="C45" t="s">
        <v>6413</v>
      </c>
    </row>
    <row r="46">
      <c r="A46" t="s">
        <v>6472</v>
      </c>
      <c r="B46" t="s">
        <v>6473</v>
      </c>
      <c r="C46" t="s">
        <v>6413</v>
      </c>
    </row>
    <row r="47">
      <c r="A47" t="s">
        <v>6474</v>
      </c>
      <c r="B47" t="s">
        <v>6475</v>
      </c>
      <c r="C47" t="s">
        <v>6413</v>
      </c>
    </row>
    <row r="48">
      <c r="A48" t="s">
        <v>2584</v>
      </c>
      <c r="B48" t="s">
        <v>6476</v>
      </c>
      <c r="C48" t="s">
        <v>6413</v>
      </c>
    </row>
    <row r="49">
      <c r="A49" t="s">
        <v>2176</v>
      </c>
      <c r="B49" t="s">
        <v>6477</v>
      </c>
      <c r="C49" t="s">
        <v>6413</v>
      </c>
    </row>
    <row r="50">
      <c r="A50" t="s">
        <v>2160</v>
      </c>
      <c r="B50" t="s">
        <v>6478</v>
      </c>
      <c r="C50" t="s">
        <v>6413</v>
      </c>
    </row>
    <row r="51">
      <c r="A51" t="s">
        <v>6479</v>
      </c>
      <c r="B51" t="s">
        <v>6480</v>
      </c>
      <c r="C51" t="s">
        <v>6413</v>
      </c>
    </row>
    <row r="52">
      <c r="A52" t="s">
        <v>2565</v>
      </c>
      <c r="B52" t="s">
        <v>6481</v>
      </c>
      <c r="C52" t="s">
        <v>6413</v>
      </c>
    </row>
    <row r="53">
      <c r="A53" t="s">
        <v>2569</v>
      </c>
      <c r="B53" t="s">
        <v>6482</v>
      </c>
      <c r="C53" t="s">
        <v>6413</v>
      </c>
    </row>
    <row r="54">
      <c r="A54" t="s">
        <v>2560</v>
      </c>
      <c r="B54" t="s">
        <v>6483</v>
      </c>
      <c r="C54" t="s">
        <v>6413</v>
      </c>
    </row>
    <row r="55">
      <c r="A55" t="s">
        <v>2563</v>
      </c>
      <c r="B55" t="s">
        <v>6484</v>
      </c>
      <c r="C55" t="s">
        <v>6413</v>
      </c>
    </row>
    <row r="56">
      <c r="A56" t="s">
        <v>2540</v>
      </c>
      <c r="B56" t="s">
        <v>6485</v>
      </c>
      <c r="C56" t="s">
        <v>6413</v>
      </c>
    </row>
    <row r="57">
      <c r="A57" t="s">
        <v>2554</v>
      </c>
      <c r="B57" t="s">
        <v>6486</v>
      </c>
      <c r="C57" t="s">
        <v>6413</v>
      </c>
    </row>
    <row r="58">
      <c r="A58" t="s">
        <v>2549</v>
      </c>
      <c r="B58" t="s">
        <v>6487</v>
      </c>
      <c r="C58" t="s">
        <v>6413</v>
      </c>
    </row>
    <row r="59">
      <c r="A59" t="s">
        <v>2546</v>
      </c>
      <c r="B59" t="s">
        <v>6488</v>
      </c>
      <c r="C59" t="s">
        <v>6413</v>
      </c>
    </row>
    <row r="60">
      <c r="A60" t="s">
        <v>2557</v>
      </c>
      <c r="B60" t="s">
        <v>6489</v>
      </c>
      <c r="C60" t="s">
        <v>6413</v>
      </c>
    </row>
    <row r="61">
      <c r="A61" t="s">
        <v>2581</v>
      </c>
      <c r="B61" t="s">
        <v>6490</v>
      </c>
      <c r="C61" t="s">
        <v>6413</v>
      </c>
    </row>
    <row r="62">
      <c r="A62" t="s">
        <v>2229</v>
      </c>
      <c r="B62" t="s">
        <v>6491</v>
      </c>
      <c r="C62" t="s">
        <v>6413</v>
      </c>
    </row>
    <row r="63">
      <c r="A63" t="s">
        <v>6492</v>
      </c>
      <c r="B63" t="s">
        <v>6493</v>
      </c>
      <c r="C63" t="s">
        <v>6413</v>
      </c>
    </row>
    <row r="64">
      <c r="A64" t="s">
        <v>2301</v>
      </c>
      <c r="B64" t="s">
        <v>6494</v>
      </c>
      <c r="C64" t="s">
        <v>6413</v>
      </c>
    </row>
    <row r="65">
      <c r="A65" t="s">
        <v>2604</v>
      </c>
      <c r="B65" t="s">
        <v>6495</v>
      </c>
      <c r="C65" t="s">
        <v>6413</v>
      </c>
    </row>
    <row r="66">
      <c r="A66" t="s">
        <v>6496</v>
      </c>
      <c r="B66" t="s">
        <v>6497</v>
      </c>
      <c r="C66" t="s">
        <v>6413</v>
      </c>
    </row>
    <row r="67">
      <c r="A67" t="s">
        <v>2214</v>
      </c>
      <c r="B67" t="s">
        <v>6498</v>
      </c>
      <c r="C67" t="s">
        <v>6413</v>
      </c>
    </row>
    <row r="68">
      <c r="A68" t="s">
        <v>2685</v>
      </c>
      <c r="B68" t="s">
        <v>6499</v>
      </c>
      <c r="C68" t="s">
        <v>6413</v>
      </c>
    </row>
    <row r="69">
      <c r="A69" t="s">
        <v>2688</v>
      </c>
      <c r="B69" t="s">
        <v>6500</v>
      </c>
      <c r="C69" t="s">
        <v>6413</v>
      </c>
    </row>
    <row r="70">
      <c r="A70" t="s">
        <v>2676</v>
      </c>
      <c r="B70" t="s">
        <v>6501</v>
      </c>
      <c r="C70" t="s">
        <v>6413</v>
      </c>
    </row>
    <row r="71">
      <c r="A71" t="s">
        <v>2187</v>
      </c>
      <c r="B71" t="s">
        <v>6502</v>
      </c>
      <c r="C71" t="s">
        <v>6413</v>
      </c>
    </row>
    <row r="72">
      <c r="A72" t="s">
        <v>6503</v>
      </c>
      <c r="B72" t="s">
        <v>6504</v>
      </c>
      <c r="C72" t="s">
        <v>6413</v>
      </c>
    </row>
    <row r="73">
      <c r="A73" t="s">
        <v>2503</v>
      </c>
      <c r="B73" t="s">
        <v>6505</v>
      </c>
      <c r="C73" t="s">
        <v>6413</v>
      </c>
    </row>
    <row r="74">
      <c r="A74" t="s">
        <v>2500</v>
      </c>
      <c r="B74" t="s">
        <v>6506</v>
      </c>
      <c r="C74" t="s">
        <v>6413</v>
      </c>
    </row>
    <row r="75">
      <c r="A75" t="s">
        <v>2457</v>
      </c>
      <c r="B75" t="s">
        <v>6507</v>
      </c>
      <c r="C75" t="s">
        <v>6413</v>
      </c>
    </row>
    <row r="76">
      <c r="A76" t="s">
        <v>2479</v>
      </c>
      <c r="B76" t="s">
        <v>6508</v>
      </c>
      <c r="C76" t="s">
        <v>6413</v>
      </c>
    </row>
    <row r="77">
      <c r="A77" t="s">
        <v>2445</v>
      </c>
      <c r="B77" t="s">
        <v>6509</v>
      </c>
      <c r="C77" t="s">
        <v>6413</v>
      </c>
    </row>
    <row r="78">
      <c r="A78" t="s">
        <v>2466</v>
      </c>
      <c r="B78" t="s">
        <v>6510</v>
      </c>
      <c r="C78" t="s">
        <v>6413</v>
      </c>
    </row>
    <row r="79">
      <c r="A79" t="s">
        <v>2473</v>
      </c>
      <c r="B79" t="s">
        <v>6511</v>
      </c>
      <c r="C79" t="s">
        <v>6413</v>
      </c>
    </row>
    <row r="80">
      <c r="A80" t="s">
        <v>2460</v>
      </c>
      <c r="B80" t="s">
        <v>6512</v>
      </c>
      <c r="C80" t="s">
        <v>6413</v>
      </c>
    </row>
    <row r="81">
      <c r="A81" t="s">
        <v>2470</v>
      </c>
      <c r="B81" t="s">
        <v>6513</v>
      </c>
      <c r="C81" t="s">
        <v>6413</v>
      </c>
    </row>
    <row r="82">
      <c r="A82" t="s">
        <v>2454</v>
      </c>
      <c r="B82" t="s">
        <v>6514</v>
      </c>
      <c r="C82" t="s">
        <v>6413</v>
      </c>
    </row>
    <row r="83">
      <c r="A83" t="s">
        <v>2482</v>
      </c>
      <c r="B83" t="s">
        <v>6515</v>
      </c>
      <c r="C83" t="s">
        <v>6413</v>
      </c>
    </row>
    <row r="84">
      <c r="A84" t="s">
        <v>2476</v>
      </c>
      <c r="B84" t="s">
        <v>6516</v>
      </c>
      <c r="C84" t="s">
        <v>6413</v>
      </c>
    </row>
    <row r="85">
      <c r="A85" t="s">
        <v>2463</v>
      </c>
      <c r="B85" t="s">
        <v>6517</v>
      </c>
      <c r="C85" t="s">
        <v>6413</v>
      </c>
    </row>
    <row r="86">
      <c r="A86" t="s">
        <v>6518</v>
      </c>
      <c r="B86" t="s">
        <v>6519</v>
      </c>
      <c r="C86" t="s">
        <v>6413</v>
      </c>
    </row>
    <row r="87">
      <c r="A87" t="s">
        <v>2139</v>
      </c>
      <c r="B87" t="s">
        <v>6520</v>
      </c>
      <c r="C87" t="s">
        <v>6413</v>
      </c>
    </row>
    <row r="88">
      <c r="A88" t="s">
        <v>2407</v>
      </c>
      <c r="B88" t="s">
        <v>6521</v>
      </c>
      <c r="C88" t="s">
        <v>6413</v>
      </c>
    </row>
    <row r="89">
      <c r="A89" t="s">
        <v>2183</v>
      </c>
      <c r="B89" t="s">
        <v>6522</v>
      </c>
      <c r="C89" t="s">
        <v>6413</v>
      </c>
    </row>
    <row r="90">
      <c r="A90" t="s">
        <v>2775</v>
      </c>
      <c r="B90" t="s">
        <v>6523</v>
      </c>
      <c r="C90" t="s">
        <v>6413</v>
      </c>
    </row>
    <row r="91">
      <c r="A91" t="s">
        <v>2169</v>
      </c>
      <c r="B91" t="s">
        <v>6524</v>
      </c>
      <c r="C91" t="s">
        <v>6413</v>
      </c>
    </row>
    <row r="92">
      <c r="A92" t="s">
        <v>6525</v>
      </c>
      <c r="B92" t="s">
        <v>6526</v>
      </c>
      <c r="C92" t="s">
        <v>6413</v>
      </c>
    </row>
    <row r="93">
      <c r="A93" t="s">
        <v>2310</v>
      </c>
      <c r="B93" t="s">
        <v>6527</v>
      </c>
      <c r="C93" t="s">
        <v>6413</v>
      </c>
    </row>
    <row r="94">
      <c r="A94" t="s">
        <v>2488</v>
      </c>
      <c r="B94" t="s">
        <v>6528</v>
      </c>
      <c r="C94" t="s">
        <v>6413</v>
      </c>
    </row>
    <row r="95">
      <c r="A95" t="s">
        <v>2427</v>
      </c>
      <c r="B95" t="s">
        <v>6529</v>
      </c>
      <c r="C95" t="s">
        <v>6413</v>
      </c>
    </row>
    <row r="96">
      <c r="A96" t="s">
        <v>2271</v>
      </c>
      <c r="B96" t="s">
        <v>6530</v>
      </c>
      <c r="C96" t="s">
        <v>6413</v>
      </c>
    </row>
    <row r="97">
      <c r="A97" t="s">
        <v>2333</v>
      </c>
      <c r="B97" t="s">
        <v>6531</v>
      </c>
      <c r="C97" t="s">
        <v>6413</v>
      </c>
    </row>
    <row r="98">
      <c r="A98" t="s">
        <v>2855</v>
      </c>
      <c r="B98" t="s">
        <v>6532</v>
      </c>
      <c r="C98" t="s">
        <v>6413</v>
      </c>
    </row>
    <row r="99">
      <c r="A99" t="s">
        <v>2619</v>
      </c>
      <c r="B99" t="s">
        <v>6533</v>
      </c>
      <c r="C99" t="s">
        <v>6413</v>
      </c>
    </row>
    <row r="100">
      <c r="A100" t="s">
        <v>6534</v>
      </c>
      <c r="B100" t="s">
        <v>6535</v>
      </c>
      <c r="C100" t="s">
        <v>6413</v>
      </c>
    </row>
    <row r="101">
      <c r="A101" t="s">
        <v>6536</v>
      </c>
      <c r="B101" t="s">
        <v>6537</v>
      </c>
      <c r="C101" t="s">
        <v>6413</v>
      </c>
    </row>
    <row r="102">
      <c r="A102" t="s">
        <v>110</v>
      </c>
      <c r="B102" t="s">
        <v>6538</v>
      </c>
      <c r="C102" t="s">
        <v>6413</v>
      </c>
    </row>
    <row r="103">
      <c r="A103" t="s">
        <v>6539</v>
      </c>
      <c r="B103" t="s">
        <v>6540</v>
      </c>
      <c r="C103" t="s">
        <v>6413</v>
      </c>
    </row>
    <row r="104">
      <c r="A104" t="s">
        <v>2729</v>
      </c>
      <c r="B104" t="s">
        <v>6541</v>
      </c>
      <c r="C104" t="s">
        <v>6413</v>
      </c>
    </row>
    <row r="105">
      <c r="A105" t="s">
        <v>2518</v>
      </c>
      <c r="B105" t="s">
        <v>6542</v>
      </c>
      <c r="C105" t="s">
        <v>6413</v>
      </c>
    </row>
    <row r="106">
      <c r="A106" t="s">
        <v>2834</v>
      </c>
      <c r="B106" t="s">
        <v>6543</v>
      </c>
      <c r="C106" t="s">
        <v>6413</v>
      </c>
    </row>
    <row r="107">
      <c r="A107" t="s">
        <v>2292</v>
      </c>
      <c r="B107" t="s">
        <v>6544</v>
      </c>
      <c r="C107" t="s">
        <v>6413</v>
      </c>
    </row>
    <row r="108">
      <c r="A108" t="s">
        <v>2415</v>
      </c>
      <c r="B108" t="s">
        <v>6545</v>
      </c>
      <c r="C108" t="s">
        <v>6413</v>
      </c>
    </row>
    <row r="109">
      <c r="A109" t="s">
        <v>2374</v>
      </c>
      <c r="B109" t="s">
        <v>6546</v>
      </c>
      <c r="C109" t="s">
        <v>6413</v>
      </c>
    </row>
    <row r="110">
      <c r="A110" t="s">
        <v>2190</v>
      </c>
      <c r="B110" t="s">
        <v>6547</v>
      </c>
      <c r="C110" t="s">
        <v>6413</v>
      </c>
    </row>
    <row r="111">
      <c r="A111" t="s">
        <v>2817</v>
      </c>
      <c r="B111" t="s">
        <v>6548</v>
      </c>
      <c r="C111" t="s">
        <v>6413</v>
      </c>
    </row>
    <row r="112">
      <c r="A112" t="s">
        <v>2172</v>
      </c>
      <c r="B112" t="s">
        <v>6549</v>
      </c>
      <c r="C112" t="s">
        <v>6413</v>
      </c>
    </row>
    <row r="113">
      <c r="A113" t="s">
        <v>6550</v>
      </c>
      <c r="B113" t="s">
        <v>6551</v>
      </c>
      <c r="C113" t="s">
        <v>6413</v>
      </c>
    </row>
    <row r="114">
      <c r="A114" t="s">
        <v>2610</v>
      </c>
      <c r="B114" t="s">
        <v>6552</v>
      </c>
      <c r="C114" t="s">
        <v>6413</v>
      </c>
    </row>
    <row r="115">
      <c r="A115" t="s">
        <v>6553</v>
      </c>
      <c r="B115" t="s">
        <v>6554</v>
      </c>
      <c r="C115" t="s">
        <v>6413</v>
      </c>
    </row>
    <row r="116">
      <c r="A116" t="s">
        <v>2756</v>
      </c>
      <c r="B116" t="s">
        <v>6555</v>
      </c>
      <c r="C116" t="s">
        <v>6413</v>
      </c>
    </row>
    <row r="117">
      <c r="A117" t="s">
        <v>2422</v>
      </c>
      <c r="B117" t="s">
        <v>6556</v>
      </c>
      <c r="C117" t="s">
        <v>6413</v>
      </c>
    </row>
    <row r="118">
      <c r="A118" t="s">
        <v>2578</v>
      </c>
      <c r="B118" t="s">
        <v>6557</v>
      </c>
      <c r="C118" t="s">
        <v>6413</v>
      </c>
    </row>
    <row r="119">
      <c r="A119" t="s">
        <v>2259</v>
      </c>
      <c r="B119" t="s">
        <v>6558</v>
      </c>
      <c r="C119" t="s">
        <v>6413</v>
      </c>
    </row>
    <row r="120">
      <c r="A120" t="s">
        <v>2274</v>
      </c>
      <c r="B120" t="s">
        <v>6559</v>
      </c>
      <c r="C120" t="s">
        <v>6413</v>
      </c>
    </row>
    <row r="121">
      <c r="A121" t="s">
        <v>6560</v>
      </c>
      <c r="B121" t="s">
        <v>6561</v>
      </c>
      <c r="C121" t="s">
        <v>6413</v>
      </c>
    </row>
    <row r="122">
      <c r="A122" t="s">
        <v>2497</v>
      </c>
      <c r="B122" t="s">
        <v>6562</v>
      </c>
      <c r="C122" t="s">
        <v>6413</v>
      </c>
    </row>
    <row r="123">
      <c r="A123" t="s">
        <v>2744</v>
      </c>
      <c r="B123" t="s">
        <v>6563</v>
      </c>
      <c r="C123" t="s">
        <v>6413</v>
      </c>
    </row>
    <row r="124">
      <c r="A124" t="s">
        <v>6564</v>
      </c>
      <c r="B124" t="s">
        <v>6565</v>
      </c>
      <c r="C124" t="s">
        <v>6413</v>
      </c>
    </row>
    <row r="125">
      <c r="A125" t="s">
        <v>2697</v>
      </c>
      <c r="B125" t="s">
        <v>6566</v>
      </c>
      <c r="C125" t="s">
        <v>6413</v>
      </c>
    </row>
    <row r="126">
      <c r="A126" t="s">
        <v>2250</v>
      </c>
      <c r="B126" t="s">
        <v>6567</v>
      </c>
      <c r="C126" t="s">
        <v>6413</v>
      </c>
    </row>
    <row r="127">
      <c r="A127" t="s">
        <v>2376</v>
      </c>
      <c r="B127" t="s">
        <v>6568</v>
      </c>
      <c r="C127" t="s">
        <v>6413</v>
      </c>
    </row>
    <row r="128">
      <c r="A128" t="s">
        <v>2521</v>
      </c>
      <c r="B128" t="s">
        <v>6569</v>
      </c>
      <c r="C128" t="s">
        <v>6413</v>
      </c>
    </row>
    <row r="129">
      <c r="A129" t="s">
        <v>6570</v>
      </c>
      <c r="B129" t="s">
        <v>6571</v>
      </c>
      <c r="C129" t="s">
        <v>6413</v>
      </c>
    </row>
    <row r="130">
      <c r="A130" t="s">
        <v>2673</v>
      </c>
      <c r="B130" t="s">
        <v>6572</v>
      </c>
      <c r="C130" t="s">
        <v>6413</v>
      </c>
    </row>
    <row r="131">
      <c r="A131" t="s">
        <v>2241</v>
      </c>
      <c r="B131" t="s">
        <v>6573</v>
      </c>
      <c r="C131" t="s">
        <v>6413</v>
      </c>
    </row>
    <row r="132">
      <c r="A132" t="s">
        <v>6574</v>
      </c>
      <c r="B132" t="s">
        <v>6575</v>
      </c>
      <c r="C132" t="s">
        <v>6413</v>
      </c>
    </row>
    <row r="133">
      <c r="A133" t="s">
        <v>2345</v>
      </c>
      <c r="B133" t="s">
        <v>6576</v>
      </c>
      <c r="C133" t="s">
        <v>6413</v>
      </c>
    </row>
    <row r="134">
      <c r="A134" t="s">
        <v>6577</v>
      </c>
      <c r="B134" t="s">
        <v>6578</v>
      </c>
      <c r="C134" t="s">
        <v>6413</v>
      </c>
    </row>
    <row r="135">
      <c r="A135" t="s">
        <v>6579</v>
      </c>
      <c r="B135" t="s">
        <v>6580</v>
      </c>
      <c r="C135" t="s">
        <v>6413</v>
      </c>
    </row>
    <row r="136">
      <c r="A136" t="s">
        <v>2670</v>
      </c>
      <c r="B136" t="s">
        <v>6581</v>
      </c>
      <c r="C136" t="s">
        <v>6413</v>
      </c>
    </row>
    <row r="137">
      <c r="A137" t="s">
        <v>2507</v>
      </c>
      <c r="B137" t="s">
        <v>6582</v>
      </c>
      <c r="C137" t="s">
        <v>6413</v>
      </c>
    </row>
    <row r="138">
      <c r="A138" t="s">
        <v>6583</v>
      </c>
      <c r="B138" t="s">
        <v>6584</v>
      </c>
      <c r="C138" t="s">
        <v>6413</v>
      </c>
    </row>
    <row r="139">
      <c r="A139" t="s">
        <v>2283</v>
      </c>
      <c r="B139" t="s">
        <v>6585</v>
      </c>
      <c r="C139" t="s">
        <v>6413</v>
      </c>
    </row>
    <row r="140">
      <c r="A140" t="s">
        <v>6586</v>
      </c>
      <c r="B140" t="s">
        <v>6587</v>
      </c>
      <c r="C140" t="s">
        <v>6413</v>
      </c>
    </row>
    <row r="141">
      <c r="A141" t="s">
        <v>2286</v>
      </c>
      <c r="B141" t="s">
        <v>6588</v>
      </c>
      <c r="C141" t="s">
        <v>6413</v>
      </c>
    </row>
    <row r="142">
      <c r="A142" t="s">
        <v>2368</v>
      </c>
      <c r="B142" t="s">
        <v>6589</v>
      </c>
      <c r="C142" t="s">
        <v>6413</v>
      </c>
    </row>
    <row r="143">
      <c r="A143" t="s">
        <v>2155</v>
      </c>
      <c r="B143" t="s">
        <v>6590</v>
      </c>
      <c r="C143" t="s">
        <v>6413</v>
      </c>
    </row>
    <row r="144">
      <c r="A144" t="s">
        <v>6591</v>
      </c>
      <c r="B144" t="s">
        <v>6592</v>
      </c>
      <c r="C144" t="s">
        <v>6413</v>
      </c>
    </row>
    <row r="145">
      <c r="A145" t="s">
        <v>2202</v>
      </c>
      <c r="B145" t="s">
        <v>6593</v>
      </c>
      <c r="C145" t="s">
        <v>6413</v>
      </c>
    </row>
    <row r="146">
      <c r="A146" t="s">
        <v>2679</v>
      </c>
      <c r="B146" t="s">
        <v>6594</v>
      </c>
      <c r="C146" t="s">
        <v>6413</v>
      </c>
    </row>
    <row r="147">
      <c r="A147" t="s">
        <v>6595</v>
      </c>
      <c r="B147" t="s">
        <v>6596</v>
      </c>
      <c r="C147" t="s">
        <v>6413</v>
      </c>
    </row>
    <row r="148">
      <c r="A148" t="s">
        <v>2298</v>
      </c>
      <c r="B148" t="s">
        <v>6597</v>
      </c>
      <c r="C148" t="s">
        <v>6413</v>
      </c>
    </row>
    <row r="149">
      <c r="A149" t="s">
        <v>6598</v>
      </c>
      <c r="B149" t="s">
        <v>6599</v>
      </c>
      <c r="C149" t="s">
        <v>6413</v>
      </c>
    </row>
    <row r="150">
      <c r="A150" t="s">
        <v>2529</v>
      </c>
      <c r="B150" t="s">
        <v>6600</v>
      </c>
      <c r="C150" t="s">
        <v>6413</v>
      </c>
    </row>
    <row r="151">
      <c r="A151" t="s">
        <v>2217</v>
      </c>
      <c r="B151" t="s">
        <v>6601</v>
      </c>
      <c r="C151" t="s">
        <v>6413</v>
      </c>
    </row>
    <row r="152">
      <c r="A152" t="s">
        <v>2371</v>
      </c>
      <c r="B152" t="s">
        <v>6602</v>
      </c>
      <c r="C152" t="s">
        <v>6413</v>
      </c>
    </row>
    <row r="153">
      <c r="A153" t="s">
        <v>2277</v>
      </c>
      <c r="B153" t="s">
        <v>6603</v>
      </c>
      <c r="C153" t="s">
        <v>6413</v>
      </c>
    </row>
    <row r="154">
      <c r="A154" t="s">
        <v>2666</v>
      </c>
      <c r="B154" t="s">
        <v>6604</v>
      </c>
      <c r="C154" t="s">
        <v>6413</v>
      </c>
    </row>
    <row r="155">
      <c r="A155" t="s">
        <v>2654</v>
      </c>
      <c r="B155" t="s">
        <v>6605</v>
      </c>
      <c r="C155" t="s">
        <v>6413</v>
      </c>
    </row>
    <row r="156">
      <c r="A156" t="s">
        <v>2657</v>
      </c>
      <c r="B156" t="s">
        <v>6606</v>
      </c>
      <c r="C156" t="s">
        <v>6413</v>
      </c>
    </row>
    <row r="157">
      <c r="A157" t="s">
        <v>2660</v>
      </c>
      <c r="B157" t="s">
        <v>6607</v>
      </c>
      <c r="C157" t="s">
        <v>6413</v>
      </c>
    </row>
    <row r="158">
      <c r="A158" t="s">
        <v>2663</v>
      </c>
      <c r="B158" t="s">
        <v>6608</v>
      </c>
      <c r="C158" t="s">
        <v>6413</v>
      </c>
    </row>
    <row r="159">
      <c r="A159" t="s">
        <v>2099</v>
      </c>
      <c r="B159" t="s">
        <v>6609</v>
      </c>
      <c r="C159" t="s">
        <v>6413</v>
      </c>
    </row>
    <row r="160">
      <c r="A160" t="s">
        <v>2513</v>
      </c>
      <c r="B160" t="s">
        <v>6610</v>
      </c>
      <c r="C160" t="s">
        <v>6413</v>
      </c>
    </row>
    <row r="161">
      <c r="A161" t="s">
        <v>2535</v>
      </c>
      <c r="B161" t="s">
        <v>6611</v>
      </c>
      <c r="C161" t="s">
        <v>6413</v>
      </c>
    </row>
    <row r="162">
      <c r="A162" t="s">
        <v>6612</v>
      </c>
      <c r="B162" t="s">
        <v>6613</v>
      </c>
      <c r="C162" t="s">
        <v>6413</v>
      </c>
    </row>
    <row r="163">
      <c r="A163" t="s">
        <v>2289</v>
      </c>
      <c r="B163" t="s">
        <v>6614</v>
      </c>
      <c r="C163" t="s">
        <v>6413</v>
      </c>
    </row>
    <row r="164">
      <c r="A164" t="s">
        <v>2336</v>
      </c>
      <c r="B164" t="s">
        <v>6615</v>
      </c>
      <c r="C164" t="s">
        <v>6413</v>
      </c>
    </row>
    <row r="165">
      <c r="A165" t="s">
        <v>2706</v>
      </c>
      <c r="B165" t="s">
        <v>6616</v>
      </c>
      <c r="C165" t="s">
        <v>6413</v>
      </c>
    </row>
    <row r="166">
      <c r="A166" t="s">
        <v>2616</v>
      </c>
      <c r="B166" t="s">
        <v>6617</v>
      </c>
      <c r="C166" t="s">
        <v>6413</v>
      </c>
    </row>
    <row r="167">
      <c r="A167" t="s">
        <v>2362</v>
      </c>
      <c r="B167" t="s">
        <v>6618</v>
      </c>
      <c r="C167" t="s">
        <v>6413</v>
      </c>
    </row>
    <row r="168">
      <c r="A168" t="s">
        <v>2622</v>
      </c>
      <c r="B168" t="s">
        <v>6619</v>
      </c>
      <c r="C168" t="s">
        <v>6413</v>
      </c>
    </row>
    <row r="169">
      <c r="A169" t="s">
        <v>2166</v>
      </c>
      <c r="B169" t="s">
        <v>6620</v>
      </c>
      <c r="C169" t="s">
        <v>6413</v>
      </c>
    </row>
    <row r="170">
      <c r="A170" t="s">
        <v>2811</v>
      </c>
      <c r="B170" t="s">
        <v>6621</v>
      </c>
      <c r="C170" t="s">
        <v>6413</v>
      </c>
    </row>
    <row r="171">
      <c r="A171" t="s">
        <v>2784</v>
      </c>
      <c r="B171" t="s">
        <v>6622</v>
      </c>
      <c r="C171" t="s">
        <v>6413</v>
      </c>
    </row>
    <row r="172">
      <c r="A172" t="s">
        <v>2798</v>
      </c>
      <c r="B172" t="s">
        <v>6623</v>
      </c>
      <c r="C172" t="s">
        <v>6413</v>
      </c>
    </row>
    <row r="173">
      <c r="A173" t="s">
        <v>2801</v>
      </c>
      <c r="B173" t="s">
        <v>6624</v>
      </c>
      <c r="C173" t="s">
        <v>6413</v>
      </c>
    </row>
    <row r="174">
      <c r="A174" t="s">
        <v>2795</v>
      </c>
      <c r="B174" t="s">
        <v>6625</v>
      </c>
      <c r="C174" t="s">
        <v>6413</v>
      </c>
    </row>
    <row r="175">
      <c r="A175" t="s">
        <v>6626</v>
      </c>
      <c r="B175" t="s">
        <v>6627</v>
      </c>
      <c r="C175" t="s">
        <v>6413</v>
      </c>
    </row>
    <row r="176">
      <c r="A176" t="s">
        <v>6628</v>
      </c>
      <c r="B176" t="s">
        <v>6629</v>
      </c>
      <c r="C176" t="s">
        <v>6413</v>
      </c>
    </row>
    <row r="177">
      <c r="A177" t="s">
        <v>6630</v>
      </c>
      <c r="B177" t="s">
        <v>6631</v>
      </c>
      <c r="C177" t="s">
        <v>6413</v>
      </c>
    </row>
    <row r="178">
      <c r="A178" t="s">
        <v>6632</v>
      </c>
      <c r="B178" t="s">
        <v>6633</v>
      </c>
      <c r="C178" t="s">
        <v>6413</v>
      </c>
    </row>
    <row r="179">
      <c r="A179" t="s">
        <v>2648</v>
      </c>
      <c r="B179" t="s">
        <v>6634</v>
      </c>
      <c r="C179" t="s">
        <v>6413</v>
      </c>
    </row>
    <row r="180">
      <c r="A180" t="s">
        <v>2389</v>
      </c>
      <c r="B180" t="s">
        <v>6635</v>
      </c>
      <c r="C180" t="s">
        <v>6413</v>
      </c>
    </row>
    <row r="181">
      <c r="A181" t="s">
        <v>6636</v>
      </c>
      <c r="B181" t="s">
        <v>6637</v>
      </c>
      <c r="C181" t="s">
        <v>6413</v>
      </c>
    </row>
    <row r="182">
      <c r="A182" t="s">
        <v>2601</v>
      </c>
      <c r="B182" t="s">
        <v>6638</v>
      </c>
      <c r="C182" t="s">
        <v>6413</v>
      </c>
    </row>
    <row r="183">
      <c r="A183" t="s">
        <v>2645</v>
      </c>
      <c r="B183" t="s">
        <v>6639</v>
      </c>
      <c r="C183" t="s">
        <v>6413</v>
      </c>
    </row>
    <row r="184">
      <c r="A184" t="s">
        <v>2148</v>
      </c>
      <c r="B184" t="s">
        <v>6640</v>
      </c>
      <c r="C184" t="s">
        <v>6413</v>
      </c>
    </row>
    <row r="185">
      <c r="A185" t="s">
        <v>6641</v>
      </c>
      <c r="B185" t="s">
        <v>6642</v>
      </c>
      <c r="C185" t="s">
        <v>6413</v>
      </c>
    </row>
    <row r="186">
      <c r="A186" t="s">
        <v>2636</v>
      </c>
      <c r="B186" t="s">
        <v>6643</v>
      </c>
      <c r="C186" t="s">
        <v>6413</v>
      </c>
    </row>
    <row r="187">
      <c r="A187" t="s">
        <v>2295</v>
      </c>
      <c r="B187" t="s">
        <v>6644</v>
      </c>
      <c r="C187" t="s">
        <v>6413</v>
      </c>
    </row>
    <row r="188">
      <c r="A188" t="s">
        <v>2151</v>
      </c>
      <c r="B188" t="s">
        <v>6645</v>
      </c>
      <c r="C188" t="s">
        <v>6413</v>
      </c>
    </row>
    <row r="189">
      <c r="A189" t="s">
        <v>6646</v>
      </c>
      <c r="B189" t="s">
        <v>6647</v>
      </c>
      <c r="C189" t="s">
        <v>6413</v>
      </c>
    </row>
    <row r="190">
      <c r="A190" t="s">
        <v>2252</v>
      </c>
      <c r="B190" t="s">
        <v>6648</v>
      </c>
      <c r="C190" t="s">
        <v>6413</v>
      </c>
    </row>
    <row r="191">
      <c r="A191" t="s">
        <v>2126</v>
      </c>
      <c r="B191" t="s">
        <v>6649</v>
      </c>
      <c r="C191" t="s">
        <v>6413</v>
      </c>
    </row>
    <row r="192">
      <c r="A192" t="s">
        <v>2132</v>
      </c>
      <c r="B192" t="s">
        <v>6650</v>
      </c>
      <c r="C192" t="s">
        <v>6413</v>
      </c>
    </row>
    <row r="193">
      <c r="A193" t="s">
        <v>2129</v>
      </c>
      <c r="B193" t="s">
        <v>6651</v>
      </c>
      <c r="C193" t="s">
        <v>6413</v>
      </c>
    </row>
    <row r="194">
      <c r="A194" t="s">
        <v>2123</v>
      </c>
      <c r="B194" t="s">
        <v>6652</v>
      </c>
      <c r="C194" t="s">
        <v>6413</v>
      </c>
    </row>
    <row r="195">
      <c r="A195" t="s">
        <v>6653</v>
      </c>
      <c r="B195" t="s">
        <v>6654</v>
      </c>
      <c r="C195" t="s">
        <v>6413</v>
      </c>
    </row>
    <row r="196">
      <c r="A196" t="s">
        <v>2262</v>
      </c>
      <c r="B196" t="s">
        <v>6655</v>
      </c>
      <c r="C196" t="s">
        <v>6413</v>
      </c>
    </row>
    <row r="197">
      <c r="A197" t="s">
        <v>2829</v>
      </c>
      <c r="B197" t="s">
        <v>6656</v>
      </c>
      <c r="C197" t="s">
        <v>6413</v>
      </c>
    </row>
    <row r="198">
      <c r="A198" t="s">
        <v>2825</v>
      </c>
      <c r="B198" t="s">
        <v>6657</v>
      </c>
      <c r="C198" t="s">
        <v>6413</v>
      </c>
    </row>
    <row r="199">
      <c r="A199" t="s">
        <v>2822</v>
      </c>
      <c r="B199" t="s">
        <v>6658</v>
      </c>
      <c r="C199" t="s">
        <v>6413</v>
      </c>
    </row>
    <row r="200">
      <c r="A200" t="s">
        <v>2572</v>
      </c>
      <c r="B200" t="s">
        <v>6659</v>
      </c>
      <c r="C200" t="s">
        <v>6413</v>
      </c>
    </row>
    <row r="201">
      <c r="A201" t="s">
        <v>2575</v>
      </c>
      <c r="B201" t="s">
        <v>6660</v>
      </c>
      <c r="C201" t="s">
        <v>6413</v>
      </c>
    </row>
    <row r="202">
      <c r="A202" t="s">
        <v>2208</v>
      </c>
      <c r="B202" t="s">
        <v>6661</v>
      </c>
      <c r="C202" t="s">
        <v>6413</v>
      </c>
    </row>
    <row r="203">
      <c r="A203" t="s">
        <v>2527</v>
      </c>
      <c r="B203" t="s">
        <v>6662</v>
      </c>
      <c r="C203" t="s">
        <v>6413</v>
      </c>
    </row>
    <row r="204">
      <c r="A204" t="s">
        <v>2694</v>
      </c>
      <c r="B204" t="s">
        <v>6663</v>
      </c>
      <c r="C204" t="s">
        <v>6413</v>
      </c>
    </row>
    <row r="205">
      <c r="A205" t="s">
        <v>2313</v>
      </c>
      <c r="B205" t="s">
        <v>6664</v>
      </c>
      <c r="C205" t="s">
        <v>6413</v>
      </c>
    </row>
    <row r="206">
      <c r="A206" t="s">
        <v>2703</v>
      </c>
      <c r="B206" t="s">
        <v>6665</v>
      </c>
      <c r="C206" t="s">
        <v>6413</v>
      </c>
    </row>
    <row r="207">
      <c r="A207" t="s">
        <v>2356</v>
      </c>
      <c r="B207" t="s">
        <v>6666</v>
      </c>
      <c r="C207" t="s">
        <v>6413</v>
      </c>
    </row>
    <row r="208">
      <c r="A208" t="s">
        <v>2280</v>
      </c>
      <c r="B208" t="s">
        <v>6667</v>
      </c>
      <c r="C208" t="s">
        <v>6413</v>
      </c>
    </row>
    <row r="209">
      <c r="A209" t="s">
        <v>2533</v>
      </c>
      <c r="B209" t="s">
        <v>6668</v>
      </c>
      <c r="C209" t="s">
        <v>6413</v>
      </c>
    </row>
    <row r="210">
      <c r="A210" t="s">
        <v>6669</v>
      </c>
      <c r="B210" t="s">
        <v>6670</v>
      </c>
      <c r="C210" t="s">
        <v>6413</v>
      </c>
    </row>
    <row r="211">
      <c r="A211" t="s">
        <v>6671</v>
      </c>
      <c r="B211" t="s">
        <v>6672</v>
      </c>
      <c r="C211" t="s">
        <v>6413</v>
      </c>
    </row>
    <row r="212">
      <c r="A212" t="s">
        <v>2256</v>
      </c>
      <c r="B212" t="s">
        <v>6673</v>
      </c>
      <c r="C212" t="s">
        <v>6413</v>
      </c>
    </row>
    <row r="213">
      <c r="A213" t="s">
        <v>2639</v>
      </c>
      <c r="B213" t="s">
        <v>6674</v>
      </c>
      <c r="C213" t="s">
        <v>6413</v>
      </c>
    </row>
    <row r="214">
      <c r="A214" t="s">
        <v>2485</v>
      </c>
      <c r="B214" t="s">
        <v>6675</v>
      </c>
      <c r="C214" t="s">
        <v>6413</v>
      </c>
    </row>
    <row r="215">
      <c r="A215" t="s">
        <v>6676</v>
      </c>
      <c r="B215" t="s">
        <v>6677</v>
      </c>
      <c r="C215" t="s">
        <v>6413</v>
      </c>
    </row>
    <row r="216">
      <c r="A216" t="s">
        <v>2613</v>
      </c>
      <c r="B216" t="s">
        <v>6678</v>
      </c>
      <c r="C216" t="s">
        <v>6413</v>
      </c>
    </row>
    <row r="217">
      <c r="A217" t="s">
        <v>6679</v>
      </c>
      <c r="B217" t="s">
        <v>6680</v>
      </c>
      <c r="C217" t="s">
        <v>6413</v>
      </c>
    </row>
    <row r="218">
      <c r="A218" t="s">
        <v>2404</v>
      </c>
      <c r="B218" t="s">
        <v>6681</v>
      </c>
      <c r="C218" t="s">
        <v>6413</v>
      </c>
    </row>
    <row r="219">
      <c r="A219" t="s">
        <v>2430</v>
      </c>
      <c r="B219" t="s">
        <v>6682</v>
      </c>
      <c r="C219" t="s">
        <v>6413</v>
      </c>
    </row>
    <row r="220">
      <c r="A220" t="s">
        <v>2425</v>
      </c>
      <c r="B220" t="s">
        <v>6683</v>
      </c>
      <c r="C220" t="s">
        <v>6413</v>
      </c>
    </row>
    <row r="221">
      <c r="A221" t="s">
        <v>2179</v>
      </c>
      <c r="B221" t="s">
        <v>6684</v>
      </c>
      <c r="C221" t="s">
        <v>6413</v>
      </c>
    </row>
    <row r="222">
      <c r="A222" t="s">
        <v>2625</v>
      </c>
      <c r="B222" t="s">
        <v>6685</v>
      </c>
      <c r="C222" t="s">
        <v>6413</v>
      </c>
    </row>
    <row r="223">
      <c r="A223" t="s">
        <v>2633</v>
      </c>
      <c r="B223" t="s">
        <v>6686</v>
      </c>
      <c r="C223" t="s">
        <v>6413</v>
      </c>
    </row>
    <row r="224">
      <c r="A224" t="s">
        <v>2630</v>
      </c>
      <c r="B224" t="s">
        <v>6687</v>
      </c>
      <c r="C224" t="s">
        <v>6413</v>
      </c>
    </row>
    <row r="225">
      <c r="A225" t="s">
        <v>2142</v>
      </c>
      <c r="B225" t="s">
        <v>6688</v>
      </c>
      <c r="C225" t="s">
        <v>6413</v>
      </c>
    </row>
    <row r="226">
      <c r="A226" t="s">
        <v>2365</v>
      </c>
      <c r="B226" t="s">
        <v>6689</v>
      </c>
      <c r="C226" t="s">
        <v>6413</v>
      </c>
    </row>
    <row r="227">
      <c r="A227" t="s">
        <v>2004</v>
      </c>
      <c r="B227" t="s">
        <v>6690</v>
      </c>
      <c r="C227" t="s">
        <v>6691</v>
      </c>
      <c r="D227" t="s">
        <v>6692</v>
      </c>
    </row>
    <row r="228">
      <c r="A228" t="s">
        <v>2005</v>
      </c>
      <c r="B228" t="s">
        <v>6693</v>
      </c>
      <c r="C228" t="s">
        <v>6691</v>
      </c>
      <c r="D228" t="s">
        <v>6694</v>
      </c>
    </row>
    <row r="229">
      <c r="A229" t="s">
        <v>2006</v>
      </c>
      <c r="B229" t="s">
        <v>6695</v>
      </c>
      <c r="C229" t="s">
        <v>6691</v>
      </c>
      <c r="D229" t="s">
        <v>6696</v>
      </c>
    </row>
    <row r="230">
      <c r="A230" t="s">
        <v>2007</v>
      </c>
      <c r="B230" t="s">
        <v>6697</v>
      </c>
      <c r="C230" t="s">
        <v>6691</v>
      </c>
      <c r="D230" t="s">
        <v>6698</v>
      </c>
    </row>
    <row r="231">
      <c r="A231" t="s">
        <v>2008</v>
      </c>
      <c r="B231" t="s">
        <v>6699</v>
      </c>
      <c r="C231" t="s">
        <v>6691</v>
      </c>
      <c r="D231" t="s">
        <v>6700</v>
      </c>
    </row>
    <row r="232">
      <c r="A232" t="s">
        <v>2009</v>
      </c>
      <c r="B232" t="s">
        <v>6701</v>
      </c>
      <c r="C232" t="s">
        <v>6691</v>
      </c>
      <c r="D232" t="s">
        <v>6702</v>
      </c>
    </row>
    <row r="233">
      <c r="A233" t="s">
        <v>2010</v>
      </c>
      <c r="B233" t="s">
        <v>6703</v>
      </c>
      <c r="C233" t="s">
        <v>6704</v>
      </c>
      <c r="D233" t="s">
        <v>6705</v>
      </c>
    </row>
    <row r="234">
      <c r="A234" t="s">
        <v>2011</v>
      </c>
      <c r="B234" t="s">
        <v>6706</v>
      </c>
      <c r="C234" t="s">
        <v>6704</v>
      </c>
      <c r="D234" t="s">
        <v>6707</v>
      </c>
    </row>
    <row r="235">
      <c r="A235" t="s">
        <v>2012</v>
      </c>
      <c r="B235" t="s">
        <v>6708</v>
      </c>
      <c r="C235" t="s">
        <v>6704</v>
      </c>
      <c r="D235" t="s">
        <v>6709</v>
      </c>
    </row>
    <row r="236">
      <c r="A236" t="s">
        <v>2013</v>
      </c>
      <c r="B236" t="s">
        <v>6710</v>
      </c>
      <c r="C236" t="s">
        <v>6704</v>
      </c>
      <c r="D236" t="s">
        <v>6711</v>
      </c>
    </row>
    <row r="237">
      <c r="A237" t="s">
        <v>2014</v>
      </c>
      <c r="B237" t="s">
        <v>6712</v>
      </c>
      <c r="C237" t="s">
        <v>6704</v>
      </c>
      <c r="D237" t="s">
        <v>6713</v>
      </c>
    </row>
    <row r="238" ht="196">
      <c r="A238" s="25" t="s">
        <v>2015</v>
      </c>
      <c r="B238" s="25" t="s">
        <v>6714</v>
      </c>
      <c r="C238" s="25" t="s">
        <v>6715</v>
      </c>
      <c r="D238" s="25" t="s">
        <v>6716</v>
      </c>
    </row>
    <row r="239" ht="319">
      <c r="A239" s="25" t="s">
        <v>2016</v>
      </c>
      <c r="B239" s="25" t="s">
        <v>6717</v>
      </c>
      <c r="C239" s="25" t="s">
        <v>6715</v>
      </c>
      <c r="D239" s="25" t="s">
        <v>6718</v>
      </c>
    </row>
    <row r="240" ht="280">
      <c r="A240" s="25" t="s">
        <v>2017</v>
      </c>
      <c r="B240" s="25" t="s">
        <v>6719</v>
      </c>
      <c r="C240" s="25" t="s">
        <v>6715</v>
      </c>
      <c r="D240" s="25" t="s">
        <v>6720</v>
      </c>
    </row>
    <row r="241" ht="319">
      <c r="A241" s="25" t="s">
        <v>2018</v>
      </c>
      <c r="B241" s="25" t="s">
        <v>6721</v>
      </c>
      <c r="C241" s="25" t="s">
        <v>6715</v>
      </c>
      <c r="D241" s="25" t="s">
        <v>6722</v>
      </c>
    </row>
    <row r="242" ht="345">
      <c r="A242" s="25" t="s">
        <v>2019</v>
      </c>
      <c r="B242" s="25" t="s">
        <v>6723</v>
      </c>
      <c r="C242" s="25" t="s">
        <v>6715</v>
      </c>
      <c r="D242" s="25" t="s">
        <v>6724</v>
      </c>
    </row>
    <row r="243" ht="332">
      <c r="A243" s="25" t="s">
        <v>2020</v>
      </c>
      <c r="B243" s="25" t="s">
        <v>6725</v>
      </c>
      <c r="C243" s="25" t="s">
        <v>6715</v>
      </c>
      <c r="D243" s="25" t="s">
        <v>6726</v>
      </c>
    </row>
    <row r="244" ht="252">
      <c r="A244" s="25" t="s">
        <v>2021</v>
      </c>
      <c r="B244" s="25" t="s">
        <v>6727</v>
      </c>
      <c r="C244" s="25" t="s">
        <v>6715</v>
      </c>
      <c r="D244" s="25" t="s">
        <v>6728</v>
      </c>
    </row>
    <row r="245" ht="238">
      <c r="A245" s="25" t="s">
        <v>2022</v>
      </c>
      <c r="B245" s="25" t="s">
        <v>6729</v>
      </c>
      <c r="C245" s="25" t="s">
        <v>6715</v>
      </c>
      <c r="D245" s="25" t="s">
        <v>6730</v>
      </c>
    </row>
    <row r="246" ht="252">
      <c r="A246" s="25" t="s">
        <v>2023</v>
      </c>
      <c r="B246" s="25" t="s">
        <v>6731</v>
      </c>
      <c r="C246" s="25" t="s">
        <v>6715</v>
      </c>
      <c r="D246" s="25" t="s">
        <v>6732</v>
      </c>
    </row>
    <row r="247" ht="358">
      <c r="A247" s="25" t="s">
        <v>2024</v>
      </c>
      <c r="B247" s="25" t="s">
        <v>6733</v>
      </c>
      <c r="C247" s="25" t="s">
        <v>6715</v>
      </c>
      <c r="D247" s="25" t="s">
        <v>6734</v>
      </c>
    </row>
    <row r="248" ht="266">
      <c r="A248" s="25" t="s">
        <v>2025</v>
      </c>
      <c r="B248" s="25" t="s">
        <v>6735</v>
      </c>
      <c r="C248" s="25" t="s">
        <v>6715</v>
      </c>
      <c r="D248" s="25" t="s">
        <v>6736</v>
      </c>
    </row>
    <row r="249" ht="266">
      <c r="A249" s="25" t="s">
        <v>2026</v>
      </c>
      <c r="B249" s="25" t="s">
        <v>6737</v>
      </c>
      <c r="C249" s="25" t="s">
        <v>6715</v>
      </c>
      <c r="D249" s="25" t="s">
        <v>6738</v>
      </c>
    </row>
    <row r="250" ht="252">
      <c r="A250" s="25" t="s">
        <v>2027</v>
      </c>
      <c r="B250" s="25" t="s">
        <v>6739</v>
      </c>
      <c r="C250" s="25" t="s">
        <v>6715</v>
      </c>
      <c r="D250" s="25" t="s">
        <v>6740</v>
      </c>
    </row>
    <row r="251">
      <c r="A251" t="s">
        <v>2051</v>
      </c>
      <c r="B251" t="s">
        <v>6741</v>
      </c>
      <c r="C251" t="s">
        <v>6288</v>
      </c>
      <c r="D251" t="s">
        <v>6742</v>
      </c>
    </row>
    <row r="252">
      <c r="A252" t="s">
        <v>2052</v>
      </c>
      <c r="B252" t="s">
        <v>6743</v>
      </c>
      <c r="C252" t="s">
        <v>6288</v>
      </c>
      <c r="D252" t="s">
        <v>6744</v>
      </c>
    </row>
    <row r="253">
      <c r="A253" t="s">
        <v>2053</v>
      </c>
      <c r="B253" t="s">
        <v>6745</v>
      </c>
      <c r="C253" t="s">
        <v>6288</v>
      </c>
      <c r="D253" t="s">
        <v>6746</v>
      </c>
    </row>
    <row r="254">
      <c r="A254" t="s">
        <v>2054</v>
      </c>
      <c r="B254" t="s">
        <v>6747</v>
      </c>
      <c r="C254" t="s">
        <v>6288</v>
      </c>
      <c r="D254" t="s">
        <v>6748</v>
      </c>
    </row>
    <row r="255">
      <c r="A255" t="s">
        <v>2055</v>
      </c>
      <c r="B255" t="s">
        <v>6749</v>
      </c>
      <c r="C255" t="s">
        <v>6288</v>
      </c>
      <c r="D255" t="s">
        <v>6750</v>
      </c>
    </row>
    <row r="256">
      <c r="A256" t="s">
        <v>2056</v>
      </c>
      <c r="B256" t="s">
        <v>6751</v>
      </c>
      <c r="C256" t="s">
        <v>6288</v>
      </c>
      <c r="D256" t="s">
        <v>6752</v>
      </c>
    </row>
    <row r="257">
      <c r="A257" t="s">
        <v>2057</v>
      </c>
      <c r="B257" t="s">
        <v>6753</v>
      </c>
      <c r="C257" t="s">
        <v>6288</v>
      </c>
      <c r="D257" t="s">
        <v>6754</v>
      </c>
    </row>
    <row r="258">
      <c r="A258" s="74" t="str">
        <v>MG-STRATEGY-BUNDLE</v>
      </c>
      <c r="B258" s="74" t="s">
        <v>7381</v>
      </c>
      <c r="C258" s="74" t="s">
        <v>7380</v>
      </c>
      <c r="D258" s="74" t="str">
        <v>Canonical enterprise strategy and alignment contract family.</v>
      </c>
    </row>
    <row r="259">
      <c r="A259" s="74" t="str">
        <v>DWS-BUNDLE</v>
      </c>
      <c r="B259" s="74" t="str">
        <v>structure type, node type, hierarchy rule, template, instance, node, dependency, baseline, projection, ETag, idempotency, audit/outbox and typed external-reference contracts</v>
      </c>
      <c r="C259" s="74" t="s">
        <v>7380</v>
      </c>
      <c r="D259" s="74" t="str">
        <v>Structural mechanics only; no duplicate task, workflow, project or evidence ownership.</v>
      </c>
    </row>
    <row r="260">
      <c r="A260" s="74" t="str">
        <v>BPM-MODEL-BUNDLE</v>
      </c>
      <c r="B260" s="74" t="s">
        <v>7382</v>
      </c>
      <c r="C260" s="74" t="s">
        <v>7380</v>
      </c>
      <c r="D260" s="74" t="s">
        <v>7383</v>
      </c>
    </row>
    <row r="261">
      <c r="A261" s="74" t="str">
        <v>REVIEW-CADENCE-BUNDLE</v>
      </c>
      <c r="B261" s="74" t="str">
        <v>review cycles, review instances, agendas, packs, governance-body references, attendance, outcomes and decision/task/evidence links</v>
      </c>
      <c r="C261" s="74" t="s">
        <v>7380</v>
      </c>
      <c r="D261" s="74" t="str">
        <v>Decisions and tasks remain in canonical shared modules.</v>
      </c>
    </row>
    <row r="262">
      <c r="A262" s="74" t="str">
        <v>AUTHORITY-BUNDLE</v>
      </c>
      <c r="B262" s="74" t="str">
        <v>authority policies, approval limits, grants, mandates, eligibility, delegation, expiry, revocation, exceptions, SoD and workflow-routing hooks</v>
      </c>
      <c r="C262" s="74" t="s">
        <v>7380</v>
      </c>
      <c r="D262" s="74" t="str">
        <v>Person/position/org references resolve through MOD-0288.</v>
      </c>
    </row>
    <row r="263">
      <c r="A263" s="74" t="str">
        <v>GOVERNANCE-CHARTER-BUNDLE</v>
      </c>
      <c r="B263" s="74" t="str">
        <v>governance bodies, charters, mandates, decision rights, memberships, accountability matrices, review and renewal contracts</v>
      </c>
      <c r="C263" s="74" t="s">
        <v>7380</v>
      </c>
      <c r="D263" s="74" t="str">
        <v>Statutory legal-entity actions remain MOD-0220-owned.</v>
      </c>
    </row>
  </sheetData>
  <pageMargins left="0.7" right="0.7" top="0.75" bottom="0.75" header="0.3" footer="0.3"/>
</worksheet>
</file>

<file path=xl/worksheets/sheet20.xml><?xml version="1.0" encoding="utf-8"?>
<worksheet xmlns="http://schemas.openxmlformats.org/spreadsheetml/2006/main">
  <sheetFormatPr baseColWidth="10" defaultColWidth="8.83203125" defaultRowHeight="13"/>
  <sheetData>
    <row r="1">
      <c r="A1" t="s">
        <v>2058</v>
      </c>
      <c r="B1" t="s">
        <v>61</v>
      </c>
      <c r="C1" t="s">
        <v>3845</v>
      </c>
      <c r="D1" t="s">
        <v>3846</v>
      </c>
      <c r="E1" t="s">
        <v>6755</v>
      </c>
      <c r="F1" t="s">
        <v>4093</v>
      </c>
      <c r="G1" t="s">
        <v>6756</v>
      </c>
    </row>
    <row r="2">
      <c r="A2" t="s">
        <v>2071</v>
      </c>
      <c r="B2" t="s">
        <v>96</v>
      </c>
      <c r="C2" t="s">
        <v>2124</v>
      </c>
      <c r="D2" t="s">
        <v>226</v>
      </c>
      <c r="E2" t="s">
        <v>6757</v>
      </c>
      <c r="G2" t="s">
        <v>6758</v>
      </c>
    </row>
    <row r="3">
      <c r="A3" t="s">
        <v>2071</v>
      </c>
      <c r="B3" t="s">
        <v>96</v>
      </c>
      <c r="C3" t="s">
        <v>2133</v>
      </c>
      <c r="D3" t="s">
        <v>248</v>
      </c>
      <c r="E3" t="s">
        <v>6757</v>
      </c>
      <c r="G3" t="s">
        <v>6758</v>
      </c>
    </row>
    <row r="4">
      <c r="A4" t="s">
        <v>2071</v>
      </c>
      <c r="B4" t="s">
        <v>96</v>
      </c>
      <c r="C4" t="s">
        <v>2112</v>
      </c>
      <c r="D4" t="s">
        <v>198</v>
      </c>
      <c r="E4" t="s">
        <v>6757</v>
      </c>
      <c r="G4" t="s">
        <v>6758</v>
      </c>
    </row>
    <row r="5">
      <c r="A5" t="s">
        <v>2079</v>
      </c>
      <c r="B5" t="s">
        <v>106</v>
      </c>
      <c r="C5" t="s">
        <v>2124</v>
      </c>
      <c r="D5" t="s">
        <v>226</v>
      </c>
      <c r="E5" t="s">
        <v>6757</v>
      </c>
      <c r="G5" t="s">
        <v>6758</v>
      </c>
    </row>
    <row r="6">
      <c r="A6" t="s">
        <v>2079</v>
      </c>
      <c r="B6" t="s">
        <v>106</v>
      </c>
      <c r="C6" t="s">
        <v>2133</v>
      </c>
      <c r="D6" t="s">
        <v>248</v>
      </c>
      <c r="E6" t="s">
        <v>6757</v>
      </c>
      <c r="G6" t="s">
        <v>6758</v>
      </c>
    </row>
    <row r="7">
      <c r="A7" t="s">
        <v>2079</v>
      </c>
      <c r="B7" t="s">
        <v>106</v>
      </c>
      <c r="C7" t="s">
        <v>2112</v>
      </c>
      <c r="D7" t="s">
        <v>198</v>
      </c>
      <c r="E7" t="s">
        <v>6757</v>
      </c>
      <c r="G7" t="s">
        <v>6758</v>
      </c>
    </row>
    <row r="8">
      <c r="A8" t="s">
        <v>2079</v>
      </c>
      <c r="B8" t="s">
        <v>106</v>
      </c>
      <c r="C8" t="s">
        <v>2110</v>
      </c>
      <c r="D8" t="s">
        <v>192</v>
      </c>
      <c r="E8" t="s">
        <v>6757</v>
      </c>
      <c r="G8" t="s">
        <v>6758</v>
      </c>
    </row>
    <row r="9">
      <c r="A9" t="s">
        <v>2081</v>
      </c>
      <c r="B9" t="s">
        <v>113</v>
      </c>
      <c r="C9" t="s">
        <v>2079</v>
      </c>
      <c r="D9" t="s">
        <v>106</v>
      </c>
      <c r="E9" t="s">
        <v>6757</v>
      </c>
      <c r="G9" t="s">
        <v>6758</v>
      </c>
    </row>
    <row r="10">
      <c r="A10" t="s">
        <v>2084</v>
      </c>
      <c r="B10" t="s">
        <v>119</v>
      </c>
      <c r="C10" t="s">
        <v>2071</v>
      </c>
      <c r="D10" t="s">
        <v>96</v>
      </c>
      <c r="E10" t="s">
        <v>6757</v>
      </c>
      <c r="G10" t="s">
        <v>6758</v>
      </c>
    </row>
    <row r="11">
      <c r="A11" t="s">
        <v>2084</v>
      </c>
      <c r="B11" t="s">
        <v>119</v>
      </c>
      <c r="C11" t="s">
        <v>2081</v>
      </c>
      <c r="D11" t="s">
        <v>113</v>
      </c>
      <c r="E11" t="s">
        <v>6757</v>
      </c>
      <c r="G11" t="s">
        <v>6758</v>
      </c>
    </row>
    <row r="12">
      <c r="A12" t="s">
        <v>2084</v>
      </c>
      <c r="B12" t="s">
        <v>119</v>
      </c>
      <c r="C12" t="s">
        <v>2242</v>
      </c>
      <c r="D12" t="s">
        <v>502</v>
      </c>
      <c r="E12" t="s">
        <v>6757</v>
      </c>
      <c r="G12" t="s">
        <v>6758</v>
      </c>
    </row>
    <row r="13">
      <c r="A13" t="s">
        <v>2087</v>
      </c>
      <c r="B13" t="s">
        <v>128</v>
      </c>
      <c r="C13" t="s">
        <v>2120</v>
      </c>
      <c r="D13" t="s">
        <v>219</v>
      </c>
      <c r="E13" t="s">
        <v>6757</v>
      </c>
      <c r="G13" t="s">
        <v>6758</v>
      </c>
    </row>
    <row r="14">
      <c r="A14" t="s">
        <v>2087</v>
      </c>
      <c r="B14" t="s">
        <v>128</v>
      </c>
      <c r="C14" t="s">
        <v>2124</v>
      </c>
      <c r="D14" t="s">
        <v>226</v>
      </c>
      <c r="E14" t="s">
        <v>6757</v>
      </c>
      <c r="G14" t="s">
        <v>6758</v>
      </c>
    </row>
    <row r="15">
      <c r="A15" t="s">
        <v>2089</v>
      </c>
      <c r="B15" t="s">
        <v>137</v>
      </c>
      <c r="C15" t="s">
        <v>2087</v>
      </c>
      <c r="D15" t="s">
        <v>128</v>
      </c>
      <c r="E15" t="s">
        <v>6757</v>
      </c>
      <c r="G15" t="s">
        <v>6758</v>
      </c>
    </row>
    <row r="16">
      <c r="A16" t="s">
        <v>2089</v>
      </c>
      <c r="B16" t="s">
        <v>137</v>
      </c>
      <c r="C16" t="s">
        <v>2140</v>
      </c>
      <c r="D16" t="s">
        <v>263</v>
      </c>
      <c r="E16" t="s">
        <v>6757</v>
      </c>
      <c r="G16" t="s">
        <v>6758</v>
      </c>
    </row>
    <row r="17">
      <c r="A17" t="s">
        <v>2089</v>
      </c>
      <c r="B17" t="s">
        <v>137</v>
      </c>
      <c r="C17" t="s">
        <v>2133</v>
      </c>
      <c r="D17" t="s">
        <v>248</v>
      </c>
      <c r="E17" t="s">
        <v>6757</v>
      </c>
      <c r="G17" t="s">
        <v>6758</v>
      </c>
    </row>
    <row r="18">
      <c r="A18" t="s">
        <v>2092</v>
      </c>
      <c r="B18" t="s">
        <v>145</v>
      </c>
      <c r="C18" t="s">
        <v>2120</v>
      </c>
      <c r="D18" t="s">
        <v>219</v>
      </c>
      <c r="E18" t="s">
        <v>6757</v>
      </c>
      <c r="G18" t="s">
        <v>6758</v>
      </c>
    </row>
    <row r="19">
      <c r="A19" t="s">
        <v>2092</v>
      </c>
      <c r="B19" t="s">
        <v>145</v>
      </c>
      <c r="C19" t="s">
        <v>2133</v>
      </c>
      <c r="D19" t="s">
        <v>248</v>
      </c>
      <c r="E19" t="s">
        <v>6757</v>
      </c>
      <c r="G19" t="s">
        <v>6758</v>
      </c>
    </row>
    <row r="20">
      <c r="A20" t="s">
        <v>2095</v>
      </c>
      <c r="B20" t="s">
        <v>153</v>
      </c>
      <c r="C20" t="s">
        <v>2112</v>
      </c>
      <c r="D20" t="s">
        <v>198</v>
      </c>
      <c r="E20" t="s">
        <v>6757</v>
      </c>
      <c r="G20" t="s">
        <v>6758</v>
      </c>
    </row>
    <row r="21">
      <c r="A21" t="s">
        <v>2095</v>
      </c>
      <c r="B21" t="s">
        <v>153</v>
      </c>
      <c r="C21" t="s">
        <v>2071</v>
      </c>
      <c r="D21" t="s">
        <v>96</v>
      </c>
      <c r="E21" t="s">
        <v>6757</v>
      </c>
      <c r="G21" t="s">
        <v>6758</v>
      </c>
    </row>
    <row r="22">
      <c r="A22" t="s">
        <v>2100</v>
      </c>
      <c r="B22" t="s">
        <v>172</v>
      </c>
      <c r="C22" t="s">
        <v>2097</v>
      </c>
      <c r="D22" t="s">
        <v>164</v>
      </c>
      <c r="E22" t="s">
        <v>6757</v>
      </c>
      <c r="G22" t="s">
        <v>6758</v>
      </c>
    </row>
    <row r="23">
      <c r="A23" t="s">
        <v>2100</v>
      </c>
      <c r="B23" t="s">
        <v>172</v>
      </c>
      <c r="C23" t="s">
        <v>2960</v>
      </c>
      <c r="D23" t="s">
        <v>2961</v>
      </c>
      <c r="E23" t="s">
        <v>6757</v>
      </c>
      <c r="G23" t="s">
        <v>6758</v>
      </c>
    </row>
    <row r="24">
      <c r="A24" t="s">
        <v>2100</v>
      </c>
      <c r="B24" t="s">
        <v>172</v>
      </c>
      <c r="C24" t="s">
        <v>2966</v>
      </c>
      <c r="D24" t="s">
        <v>2967</v>
      </c>
      <c r="E24" t="s">
        <v>6757</v>
      </c>
      <c r="G24" t="s">
        <v>6758</v>
      </c>
    </row>
    <row r="25">
      <c r="A25" t="s">
        <v>2104</v>
      </c>
      <c r="B25" t="s">
        <v>177</v>
      </c>
      <c r="E25" t="s">
        <v>6759</v>
      </c>
      <c r="G25" t="s">
        <v>6758</v>
      </c>
    </row>
    <row r="26">
      <c r="A26" t="s">
        <v>2104</v>
      </c>
      <c r="B26" t="s">
        <v>177</v>
      </c>
      <c r="C26" t="s">
        <v>2107</v>
      </c>
      <c r="D26" t="s">
        <v>184</v>
      </c>
      <c r="E26" t="s">
        <v>6757</v>
      </c>
      <c r="G26" t="s">
        <v>6758</v>
      </c>
    </row>
    <row r="27">
      <c r="A27" t="s">
        <v>2107</v>
      </c>
      <c r="B27" t="s">
        <v>184</v>
      </c>
      <c r="C27" t="s">
        <v>2097</v>
      </c>
      <c r="D27" t="s">
        <v>164</v>
      </c>
      <c r="E27" t="s">
        <v>6757</v>
      </c>
      <c r="G27" t="s">
        <v>6758</v>
      </c>
    </row>
    <row r="28">
      <c r="A28" t="s">
        <v>2110</v>
      </c>
      <c r="B28" t="s">
        <v>192</v>
      </c>
      <c r="C28" t="s">
        <v>2100</v>
      </c>
      <c r="D28" t="s">
        <v>172</v>
      </c>
      <c r="E28" t="s">
        <v>6757</v>
      </c>
      <c r="G28" t="s">
        <v>6758</v>
      </c>
    </row>
    <row r="29">
      <c r="A29" t="s">
        <v>2112</v>
      </c>
      <c r="B29" t="s">
        <v>198</v>
      </c>
      <c r="C29" t="s">
        <v>2110</v>
      </c>
      <c r="D29" t="s">
        <v>192</v>
      </c>
      <c r="E29" t="s">
        <v>6757</v>
      </c>
      <c r="G29" t="s">
        <v>6758</v>
      </c>
    </row>
    <row r="30">
      <c r="A30" t="s">
        <v>2114</v>
      </c>
      <c r="B30" t="s">
        <v>204</v>
      </c>
      <c r="C30" t="s">
        <v>2110</v>
      </c>
      <c r="D30" t="s">
        <v>192</v>
      </c>
      <c r="E30" t="s">
        <v>6757</v>
      </c>
      <c r="G30" t="s">
        <v>6758</v>
      </c>
    </row>
    <row r="31">
      <c r="A31" t="s">
        <v>2114</v>
      </c>
      <c r="B31" t="s">
        <v>204</v>
      </c>
      <c r="C31" t="s">
        <v>2112</v>
      </c>
      <c r="D31" t="s">
        <v>198</v>
      </c>
      <c r="E31" t="s">
        <v>6757</v>
      </c>
      <c r="G31" t="s">
        <v>6758</v>
      </c>
    </row>
    <row r="32">
      <c r="A32" t="s">
        <v>2117</v>
      </c>
      <c r="B32" t="s">
        <v>211</v>
      </c>
      <c r="C32" t="s">
        <v>2114</v>
      </c>
      <c r="D32" t="s">
        <v>204</v>
      </c>
      <c r="E32" t="s">
        <v>6757</v>
      </c>
      <c r="G32" t="s">
        <v>6758</v>
      </c>
    </row>
    <row r="33">
      <c r="A33" t="s">
        <v>2120</v>
      </c>
      <c r="B33" t="s">
        <v>219</v>
      </c>
      <c r="C33" t="s">
        <v>2097</v>
      </c>
      <c r="D33" t="s">
        <v>164</v>
      </c>
      <c r="E33" t="s">
        <v>6757</v>
      </c>
      <c r="G33" t="s">
        <v>6758</v>
      </c>
    </row>
    <row r="34">
      <c r="A34" t="s">
        <v>2120</v>
      </c>
      <c r="B34" t="s">
        <v>219</v>
      </c>
      <c r="C34" t="s">
        <v>2918</v>
      </c>
      <c r="D34" t="s">
        <v>2919</v>
      </c>
      <c r="E34" t="s">
        <v>6757</v>
      </c>
      <c r="G34" t="s">
        <v>6758</v>
      </c>
    </row>
    <row r="35">
      <c r="A35" t="s">
        <v>2124</v>
      </c>
      <c r="B35" t="s">
        <v>226</v>
      </c>
      <c r="C35" t="s">
        <v>2120</v>
      </c>
      <c r="D35" t="s">
        <v>219</v>
      </c>
      <c r="E35" t="s">
        <v>6757</v>
      </c>
      <c r="G35" t="s">
        <v>6758</v>
      </c>
    </row>
    <row r="36">
      <c r="A36" t="s">
        <v>2127</v>
      </c>
      <c r="B36" t="s">
        <v>231</v>
      </c>
      <c r="C36" t="s">
        <v>2124</v>
      </c>
      <c r="D36" t="s">
        <v>226</v>
      </c>
      <c r="E36" t="s">
        <v>6757</v>
      </c>
      <c r="G36" t="s">
        <v>6758</v>
      </c>
    </row>
    <row r="37">
      <c r="A37" t="s">
        <v>2127</v>
      </c>
      <c r="B37" t="s">
        <v>231</v>
      </c>
      <c r="E37" t="s">
        <v>6759</v>
      </c>
      <c r="G37" t="s">
        <v>6758</v>
      </c>
    </row>
    <row r="38">
      <c r="A38" t="s">
        <v>2130</v>
      </c>
      <c r="B38" t="s">
        <v>240</v>
      </c>
      <c r="C38" t="s">
        <v>2124</v>
      </c>
      <c r="D38" t="s">
        <v>226</v>
      </c>
      <c r="E38" t="s">
        <v>6757</v>
      </c>
      <c r="G38" t="s">
        <v>6758</v>
      </c>
    </row>
    <row r="39">
      <c r="A39" t="s">
        <v>2130</v>
      </c>
      <c r="B39" t="s">
        <v>240</v>
      </c>
      <c r="C39" t="s">
        <v>2133</v>
      </c>
      <c r="D39" t="s">
        <v>248</v>
      </c>
      <c r="E39" t="s">
        <v>6757</v>
      </c>
      <c r="G39" t="s">
        <v>6758</v>
      </c>
    </row>
    <row r="40">
      <c r="A40" t="s">
        <v>2130</v>
      </c>
      <c r="B40" t="s">
        <v>240</v>
      </c>
      <c r="C40" t="s">
        <v>2140</v>
      </c>
      <c r="D40" t="s">
        <v>263</v>
      </c>
      <c r="E40" t="s">
        <v>6757</v>
      </c>
      <c r="G40" t="s">
        <v>6758</v>
      </c>
    </row>
    <row r="41">
      <c r="A41" t="s">
        <v>2133</v>
      </c>
      <c r="B41" t="s">
        <v>248</v>
      </c>
      <c r="C41" t="s">
        <v>2120</v>
      </c>
      <c r="D41" t="s">
        <v>219</v>
      </c>
      <c r="E41" t="s">
        <v>6757</v>
      </c>
      <c r="G41" t="s">
        <v>6758</v>
      </c>
    </row>
    <row r="42">
      <c r="A42" t="s">
        <v>2136</v>
      </c>
      <c r="B42" t="s">
        <v>254</v>
      </c>
      <c r="C42" t="s">
        <v>2133</v>
      </c>
      <c r="D42" t="s">
        <v>248</v>
      </c>
      <c r="E42" t="s">
        <v>6757</v>
      </c>
      <c r="G42" t="s">
        <v>6758</v>
      </c>
    </row>
    <row r="43">
      <c r="A43" t="s">
        <v>2136</v>
      </c>
      <c r="B43" t="s">
        <v>254</v>
      </c>
      <c r="C43" t="s">
        <v>2161</v>
      </c>
      <c r="D43" t="s">
        <v>313</v>
      </c>
      <c r="E43" t="s">
        <v>6757</v>
      </c>
      <c r="G43" t="s">
        <v>6758</v>
      </c>
    </row>
    <row r="44">
      <c r="A44" t="s">
        <v>2136</v>
      </c>
      <c r="B44" t="s">
        <v>254</v>
      </c>
      <c r="C44" t="s">
        <v>2087</v>
      </c>
      <c r="D44" t="s">
        <v>128</v>
      </c>
      <c r="E44" t="s">
        <v>6757</v>
      </c>
      <c r="G44" t="s">
        <v>6758</v>
      </c>
    </row>
    <row r="45">
      <c r="A45" t="s">
        <v>2136</v>
      </c>
      <c r="B45" t="s">
        <v>254</v>
      </c>
      <c r="C45" t="s">
        <v>2945</v>
      </c>
      <c r="D45" t="s">
        <v>2946</v>
      </c>
      <c r="E45" t="s">
        <v>6757</v>
      </c>
      <c r="G45" t="s">
        <v>6758</v>
      </c>
    </row>
    <row r="46">
      <c r="A46" t="s">
        <v>2140</v>
      </c>
      <c r="B46" t="s">
        <v>263</v>
      </c>
      <c r="C46" t="s">
        <v>2124</v>
      </c>
      <c r="D46" t="s">
        <v>226</v>
      </c>
      <c r="E46" t="s">
        <v>6757</v>
      </c>
      <c r="G46" t="s">
        <v>6758</v>
      </c>
    </row>
    <row r="47">
      <c r="A47" t="s">
        <v>2140</v>
      </c>
      <c r="B47" t="s">
        <v>263</v>
      </c>
      <c r="C47" t="s">
        <v>2133</v>
      </c>
      <c r="D47" t="s">
        <v>248</v>
      </c>
      <c r="E47" t="s">
        <v>6757</v>
      </c>
      <c r="G47" t="s">
        <v>6758</v>
      </c>
    </row>
    <row r="48">
      <c r="A48" t="s">
        <v>2143</v>
      </c>
      <c r="B48" t="s">
        <v>271</v>
      </c>
      <c r="C48" t="s">
        <v>2140</v>
      </c>
      <c r="D48" t="s">
        <v>263</v>
      </c>
      <c r="E48" t="s">
        <v>6757</v>
      </c>
      <c r="G48" t="s">
        <v>6758</v>
      </c>
    </row>
    <row r="49">
      <c r="A49" t="s">
        <v>2146</v>
      </c>
      <c r="B49" t="s">
        <v>279</v>
      </c>
      <c r="C49" t="s">
        <v>2140</v>
      </c>
      <c r="D49" t="s">
        <v>263</v>
      </c>
      <c r="E49" t="s">
        <v>6757</v>
      </c>
      <c r="G49" t="s">
        <v>6758</v>
      </c>
    </row>
    <row r="50">
      <c r="A50" t="s">
        <v>2146</v>
      </c>
      <c r="B50" t="s">
        <v>279</v>
      </c>
      <c r="C50" t="s">
        <v>2133</v>
      </c>
      <c r="D50" t="s">
        <v>248</v>
      </c>
      <c r="E50" t="s">
        <v>6757</v>
      </c>
      <c r="G50" t="s">
        <v>6758</v>
      </c>
    </row>
    <row r="51">
      <c r="A51" t="s">
        <v>2149</v>
      </c>
      <c r="B51" t="s">
        <v>287</v>
      </c>
      <c r="C51" t="s">
        <v>2107</v>
      </c>
      <c r="D51" t="s">
        <v>184</v>
      </c>
      <c r="E51" t="s">
        <v>6757</v>
      </c>
      <c r="G51" t="s">
        <v>6758</v>
      </c>
    </row>
    <row r="52">
      <c r="A52" t="s">
        <v>2149</v>
      </c>
      <c r="B52" t="s">
        <v>287</v>
      </c>
      <c r="C52" t="s">
        <v>2199</v>
      </c>
      <c r="D52" t="s">
        <v>410</v>
      </c>
      <c r="E52" t="s">
        <v>6757</v>
      </c>
      <c r="G52" t="s">
        <v>6758</v>
      </c>
    </row>
    <row r="53">
      <c r="A53" t="s">
        <v>2152</v>
      </c>
      <c r="B53" t="s">
        <v>295</v>
      </c>
      <c r="C53" t="s">
        <v>2140</v>
      </c>
      <c r="D53" t="s">
        <v>263</v>
      </c>
      <c r="E53" t="s">
        <v>6757</v>
      </c>
      <c r="G53" t="s">
        <v>6758</v>
      </c>
    </row>
    <row r="54">
      <c r="A54" t="s">
        <v>2152</v>
      </c>
      <c r="B54" t="s">
        <v>295</v>
      </c>
      <c r="C54" t="s">
        <v>2124</v>
      </c>
      <c r="D54" t="s">
        <v>226</v>
      </c>
      <c r="E54" t="s">
        <v>6757</v>
      </c>
      <c r="G54" t="s">
        <v>6758</v>
      </c>
    </row>
    <row r="55">
      <c r="A55" t="s">
        <v>2152</v>
      </c>
      <c r="B55" t="s">
        <v>295</v>
      </c>
      <c r="C55" t="s">
        <v>2940</v>
      </c>
      <c r="D55" t="s">
        <v>2941</v>
      </c>
      <c r="E55" t="s">
        <v>6757</v>
      </c>
      <c r="G55" t="s">
        <v>6758</v>
      </c>
    </row>
    <row r="56">
      <c r="A56" t="s">
        <v>2156</v>
      </c>
      <c r="B56" t="s">
        <v>306</v>
      </c>
      <c r="C56" t="s">
        <v>2124</v>
      </c>
      <c r="D56" t="s">
        <v>226</v>
      </c>
      <c r="E56" t="s">
        <v>6757</v>
      </c>
      <c r="G56" t="s">
        <v>6758</v>
      </c>
    </row>
    <row r="57">
      <c r="A57" t="s">
        <v>2156</v>
      </c>
      <c r="B57" t="s">
        <v>306</v>
      </c>
      <c r="C57" t="s">
        <v>2133</v>
      </c>
      <c r="D57" t="s">
        <v>248</v>
      </c>
      <c r="E57" t="s">
        <v>6757</v>
      </c>
      <c r="G57" t="s">
        <v>6758</v>
      </c>
    </row>
    <row r="58">
      <c r="A58" t="s">
        <v>2156</v>
      </c>
      <c r="B58" t="s">
        <v>306</v>
      </c>
      <c r="C58" t="s">
        <v>2925</v>
      </c>
      <c r="D58" t="s">
        <v>2929</v>
      </c>
      <c r="E58" t="s">
        <v>6757</v>
      </c>
      <c r="G58" t="s">
        <v>6758</v>
      </c>
    </row>
    <row r="59">
      <c r="A59" t="s">
        <v>2161</v>
      </c>
      <c r="B59" t="s">
        <v>313</v>
      </c>
      <c r="E59" t="s">
        <v>6759</v>
      </c>
      <c r="G59" t="s">
        <v>6758</v>
      </c>
    </row>
    <row r="60">
      <c r="A60" t="s">
        <v>2161</v>
      </c>
      <c r="B60" t="s">
        <v>313</v>
      </c>
      <c r="C60" t="s">
        <v>2140</v>
      </c>
      <c r="D60" t="s">
        <v>263</v>
      </c>
      <c r="E60" t="s">
        <v>6757</v>
      </c>
      <c r="G60" t="s">
        <v>6758</v>
      </c>
    </row>
    <row r="61">
      <c r="A61" t="s">
        <v>2164</v>
      </c>
      <c r="B61" t="s">
        <v>322</v>
      </c>
      <c r="E61" t="s">
        <v>6759</v>
      </c>
      <c r="G61" t="s">
        <v>6758</v>
      </c>
    </row>
    <row r="62">
      <c r="A62" t="s">
        <v>2164</v>
      </c>
      <c r="B62" t="s">
        <v>322</v>
      </c>
      <c r="C62" t="s">
        <v>2133</v>
      </c>
      <c r="D62" t="s">
        <v>248</v>
      </c>
      <c r="E62" t="s">
        <v>6757</v>
      </c>
      <c r="G62" t="s">
        <v>6758</v>
      </c>
    </row>
    <row r="63">
      <c r="A63" t="s">
        <v>2167</v>
      </c>
      <c r="B63" t="s">
        <v>332</v>
      </c>
      <c r="C63" t="s">
        <v>2133</v>
      </c>
      <c r="D63" t="s">
        <v>248</v>
      </c>
      <c r="E63" t="s">
        <v>6757</v>
      </c>
      <c r="G63" t="s">
        <v>6758</v>
      </c>
    </row>
    <row r="64">
      <c r="A64" t="s">
        <v>2167</v>
      </c>
      <c r="B64" t="s">
        <v>332</v>
      </c>
      <c r="E64" t="s">
        <v>6759</v>
      </c>
      <c r="G64" t="s">
        <v>6758</v>
      </c>
    </row>
    <row r="65">
      <c r="A65" t="s">
        <v>2167</v>
      </c>
      <c r="B65" t="s">
        <v>332</v>
      </c>
      <c r="C65" t="s">
        <v>2092</v>
      </c>
      <c r="D65" t="s">
        <v>145</v>
      </c>
      <c r="E65" t="s">
        <v>6757</v>
      </c>
      <c r="G65" t="s">
        <v>6758</v>
      </c>
    </row>
    <row r="66">
      <c r="A66" t="s">
        <v>2170</v>
      </c>
      <c r="B66" t="s">
        <v>343</v>
      </c>
      <c r="C66" t="s">
        <v>2079</v>
      </c>
      <c r="D66" t="s">
        <v>106</v>
      </c>
      <c r="E66" t="s">
        <v>6757</v>
      </c>
      <c r="G66" t="s">
        <v>6758</v>
      </c>
    </row>
    <row r="67">
      <c r="A67" t="s">
        <v>2170</v>
      </c>
      <c r="B67" t="s">
        <v>343</v>
      </c>
      <c r="C67" t="s">
        <v>2107</v>
      </c>
      <c r="D67" t="s">
        <v>184</v>
      </c>
      <c r="E67" t="s">
        <v>6757</v>
      </c>
      <c r="G67" t="s">
        <v>6758</v>
      </c>
    </row>
    <row r="68">
      <c r="A68" t="s">
        <v>2170</v>
      </c>
      <c r="B68" t="s">
        <v>343</v>
      </c>
      <c r="C68" t="s">
        <v>2199</v>
      </c>
      <c r="D68" t="s">
        <v>410</v>
      </c>
      <c r="E68" t="s">
        <v>6757</v>
      </c>
      <c r="G68" t="s">
        <v>6758</v>
      </c>
    </row>
    <row r="69">
      <c r="A69" t="s">
        <v>2170</v>
      </c>
      <c r="B69" t="s">
        <v>343</v>
      </c>
      <c r="C69" t="s">
        <v>2124</v>
      </c>
      <c r="D69" t="s">
        <v>226</v>
      </c>
      <c r="E69" t="s">
        <v>6757</v>
      </c>
      <c r="G69" t="s">
        <v>6758</v>
      </c>
    </row>
    <row r="70">
      <c r="A70" t="s">
        <v>2170</v>
      </c>
      <c r="B70" t="s">
        <v>343</v>
      </c>
      <c r="C70" t="s">
        <v>2954</v>
      </c>
      <c r="D70" t="s">
        <v>2955</v>
      </c>
      <c r="E70" t="s">
        <v>6757</v>
      </c>
      <c r="G70" t="s">
        <v>6758</v>
      </c>
    </row>
    <row r="71">
      <c r="A71" t="s">
        <v>2174</v>
      </c>
      <c r="B71" t="s">
        <v>351</v>
      </c>
      <c r="C71" t="s">
        <v>2170</v>
      </c>
      <c r="D71" t="s">
        <v>343</v>
      </c>
      <c r="E71" t="s">
        <v>6757</v>
      </c>
      <c r="G71" t="s">
        <v>6758</v>
      </c>
    </row>
    <row r="72">
      <c r="A72" t="s">
        <v>2174</v>
      </c>
      <c r="B72" t="s">
        <v>351</v>
      </c>
      <c r="E72" t="s">
        <v>6759</v>
      </c>
      <c r="G72" t="s">
        <v>6758</v>
      </c>
    </row>
    <row r="73">
      <c r="A73" t="s">
        <v>2174</v>
      </c>
      <c r="B73" t="s">
        <v>351</v>
      </c>
      <c r="E73" t="s">
        <v>6759</v>
      </c>
      <c r="G73" t="s">
        <v>6758</v>
      </c>
    </row>
    <row r="74">
      <c r="A74" t="s">
        <v>2174</v>
      </c>
      <c r="B74" t="s">
        <v>351</v>
      </c>
      <c r="C74" t="s">
        <v>2133</v>
      </c>
      <c r="D74" t="s">
        <v>248</v>
      </c>
      <c r="E74" t="s">
        <v>6757</v>
      </c>
      <c r="G74" t="s">
        <v>6758</v>
      </c>
    </row>
    <row r="75">
      <c r="A75" t="s">
        <v>2177</v>
      </c>
      <c r="B75" t="s">
        <v>357</v>
      </c>
      <c r="C75" t="s">
        <v>2170</v>
      </c>
      <c r="D75" t="s">
        <v>343</v>
      </c>
      <c r="E75" t="s">
        <v>6757</v>
      </c>
      <c r="G75" t="s">
        <v>6758</v>
      </c>
    </row>
    <row r="76">
      <c r="A76" t="s">
        <v>2177</v>
      </c>
      <c r="B76" t="s">
        <v>357</v>
      </c>
      <c r="C76" t="s">
        <v>2079</v>
      </c>
      <c r="D76" t="s">
        <v>106</v>
      </c>
      <c r="E76" t="s">
        <v>6757</v>
      </c>
      <c r="G76" t="s">
        <v>6758</v>
      </c>
    </row>
    <row r="77">
      <c r="A77" t="s">
        <v>2180</v>
      </c>
      <c r="B77" t="s">
        <v>363</v>
      </c>
      <c r="C77" t="s">
        <v>2199</v>
      </c>
      <c r="D77" t="s">
        <v>410</v>
      </c>
      <c r="E77" t="s">
        <v>6757</v>
      </c>
      <c r="G77" t="s">
        <v>6758</v>
      </c>
    </row>
    <row r="78">
      <c r="A78" t="s">
        <v>2180</v>
      </c>
      <c r="B78" t="s">
        <v>363</v>
      </c>
      <c r="E78" t="s">
        <v>6759</v>
      </c>
      <c r="G78" t="s">
        <v>6758</v>
      </c>
    </row>
    <row r="79">
      <c r="A79" t="s">
        <v>2180</v>
      </c>
      <c r="B79" t="s">
        <v>363</v>
      </c>
      <c r="E79" t="s">
        <v>6759</v>
      </c>
      <c r="G79" t="s">
        <v>6758</v>
      </c>
    </row>
    <row r="80">
      <c r="A80" t="s">
        <v>2180</v>
      </c>
      <c r="B80" t="s">
        <v>363</v>
      </c>
      <c r="C80" t="s">
        <v>2954</v>
      </c>
      <c r="D80" t="s">
        <v>2955</v>
      </c>
      <c r="E80" t="s">
        <v>6757</v>
      </c>
      <c r="G80" t="s">
        <v>6758</v>
      </c>
    </row>
    <row r="81">
      <c r="A81" t="s">
        <v>2184</v>
      </c>
      <c r="B81" t="s">
        <v>369</v>
      </c>
      <c r="E81" t="s">
        <v>6759</v>
      </c>
      <c r="G81" t="s">
        <v>6758</v>
      </c>
    </row>
    <row r="82">
      <c r="A82" t="s">
        <v>2184</v>
      </c>
      <c r="B82" t="s">
        <v>369</v>
      </c>
      <c r="C82" t="s">
        <v>2081</v>
      </c>
      <c r="D82" t="s">
        <v>113</v>
      </c>
      <c r="E82" t="s">
        <v>6757</v>
      </c>
      <c r="G82" t="s">
        <v>6758</v>
      </c>
    </row>
    <row r="83">
      <c r="A83" t="s">
        <v>2184</v>
      </c>
      <c r="B83" t="s">
        <v>369</v>
      </c>
      <c r="C83" t="s">
        <v>2188</v>
      </c>
      <c r="D83" t="s">
        <v>378</v>
      </c>
      <c r="E83" t="s">
        <v>6757</v>
      </c>
      <c r="G83" t="s">
        <v>6758</v>
      </c>
    </row>
    <row r="84">
      <c r="A84" t="s">
        <v>2184</v>
      </c>
      <c r="B84" t="s">
        <v>369</v>
      </c>
      <c r="C84" t="s">
        <v>2998</v>
      </c>
      <c r="D84" t="s">
        <v>2999</v>
      </c>
      <c r="E84" t="s">
        <v>6757</v>
      </c>
      <c r="G84" t="s">
        <v>6758</v>
      </c>
    </row>
    <row r="85">
      <c r="A85" t="s">
        <v>2188</v>
      </c>
      <c r="B85" t="s">
        <v>378</v>
      </c>
      <c r="C85" t="s">
        <v>2170</v>
      </c>
      <c r="D85" t="s">
        <v>343</v>
      </c>
      <c r="E85" t="s">
        <v>6757</v>
      </c>
      <c r="G85" t="s">
        <v>6758</v>
      </c>
    </row>
    <row r="86">
      <c r="A86" t="s">
        <v>2188</v>
      </c>
      <c r="B86" t="s">
        <v>378</v>
      </c>
      <c r="E86" t="s">
        <v>6759</v>
      </c>
      <c r="G86" t="s">
        <v>6758</v>
      </c>
    </row>
    <row r="87">
      <c r="A87" t="s">
        <v>2188</v>
      </c>
      <c r="B87" t="s">
        <v>378</v>
      </c>
      <c r="C87" t="s">
        <v>2081</v>
      </c>
      <c r="D87" t="s">
        <v>113</v>
      </c>
      <c r="E87" t="s">
        <v>6757</v>
      </c>
      <c r="G87" t="s">
        <v>6758</v>
      </c>
    </row>
    <row r="88">
      <c r="A88" t="s">
        <v>2188</v>
      </c>
      <c r="B88" t="s">
        <v>378</v>
      </c>
      <c r="C88" t="s">
        <v>2199</v>
      </c>
      <c r="D88" t="s">
        <v>410</v>
      </c>
      <c r="E88" t="s">
        <v>6757</v>
      </c>
      <c r="G88" t="s">
        <v>6758</v>
      </c>
    </row>
    <row r="89">
      <c r="A89" t="s">
        <v>2191</v>
      </c>
      <c r="B89" t="s">
        <v>387</v>
      </c>
      <c r="C89" t="s">
        <v>2079</v>
      </c>
      <c r="D89" t="s">
        <v>106</v>
      </c>
      <c r="E89" t="s">
        <v>6757</v>
      </c>
      <c r="G89" t="s">
        <v>6758</v>
      </c>
    </row>
    <row r="90">
      <c r="A90" t="s">
        <v>2191</v>
      </c>
      <c r="B90" t="s">
        <v>387</v>
      </c>
      <c r="C90" t="s">
        <v>2180</v>
      </c>
      <c r="D90" t="s">
        <v>363</v>
      </c>
      <c r="E90" t="s">
        <v>6757</v>
      </c>
      <c r="G90" t="s">
        <v>6758</v>
      </c>
    </row>
    <row r="91">
      <c r="A91" t="s">
        <v>2193</v>
      </c>
      <c r="B91" t="s">
        <v>394</v>
      </c>
      <c r="C91" t="s">
        <v>2081</v>
      </c>
      <c r="D91" t="s">
        <v>113</v>
      </c>
      <c r="E91" t="s">
        <v>6757</v>
      </c>
      <c r="G91" t="s">
        <v>6758</v>
      </c>
    </row>
    <row r="92">
      <c r="A92" t="s">
        <v>2196</v>
      </c>
      <c r="B92" t="s">
        <v>400</v>
      </c>
      <c r="C92" t="s">
        <v>2079</v>
      </c>
      <c r="D92" t="s">
        <v>106</v>
      </c>
      <c r="E92" t="s">
        <v>6757</v>
      </c>
      <c r="G92" t="s">
        <v>6758</v>
      </c>
    </row>
    <row r="93">
      <c r="A93" t="s">
        <v>2196</v>
      </c>
      <c r="B93" t="s">
        <v>400</v>
      </c>
      <c r="C93" t="s">
        <v>2199</v>
      </c>
      <c r="D93" t="s">
        <v>410</v>
      </c>
      <c r="E93" t="s">
        <v>6757</v>
      </c>
      <c r="G93" t="s">
        <v>6758</v>
      </c>
    </row>
    <row r="94">
      <c r="A94" t="s">
        <v>2199</v>
      </c>
      <c r="B94" t="s">
        <v>410</v>
      </c>
      <c r="C94" t="s">
        <v>2097</v>
      </c>
      <c r="D94" t="s">
        <v>164</v>
      </c>
      <c r="E94" t="s">
        <v>6757</v>
      </c>
      <c r="G94" t="s">
        <v>6758</v>
      </c>
    </row>
    <row r="95">
      <c r="A95" t="s">
        <v>2199</v>
      </c>
      <c r="B95" t="s">
        <v>410</v>
      </c>
      <c r="C95" t="s">
        <v>2948</v>
      </c>
      <c r="D95" t="s">
        <v>2949</v>
      </c>
      <c r="E95" t="s">
        <v>6757</v>
      </c>
      <c r="G95" t="s">
        <v>6758</v>
      </c>
    </row>
    <row r="96">
      <c r="A96" t="s">
        <v>2199</v>
      </c>
      <c r="B96" t="s">
        <v>410</v>
      </c>
      <c r="C96" t="s">
        <v>2954</v>
      </c>
      <c r="D96" t="s">
        <v>2955</v>
      </c>
      <c r="E96" t="s">
        <v>6757</v>
      </c>
      <c r="G96" t="s">
        <v>6758</v>
      </c>
    </row>
    <row r="97">
      <c r="A97" t="s">
        <v>2203</v>
      </c>
      <c r="B97" t="s">
        <v>417</v>
      </c>
      <c r="C97" t="s">
        <v>2199</v>
      </c>
      <c r="D97" t="s">
        <v>410</v>
      </c>
      <c r="E97" t="s">
        <v>6757</v>
      </c>
      <c r="G97" t="s">
        <v>6758</v>
      </c>
    </row>
    <row r="98">
      <c r="A98" t="s">
        <v>2206</v>
      </c>
      <c r="B98" t="s">
        <v>423</v>
      </c>
      <c r="C98" t="s">
        <v>2199</v>
      </c>
      <c r="D98" t="s">
        <v>410</v>
      </c>
      <c r="E98" t="s">
        <v>6757</v>
      </c>
      <c r="G98" t="s">
        <v>6758</v>
      </c>
    </row>
    <row r="99">
      <c r="A99" t="s">
        <v>2206</v>
      </c>
      <c r="B99" t="s">
        <v>423</v>
      </c>
      <c r="C99" t="s">
        <v>2203</v>
      </c>
      <c r="D99" t="s">
        <v>417</v>
      </c>
      <c r="E99" t="s">
        <v>6757</v>
      </c>
      <c r="G99" t="s">
        <v>6758</v>
      </c>
    </row>
    <row r="100">
      <c r="A100" t="s">
        <v>2209</v>
      </c>
      <c r="B100" t="s">
        <v>432</v>
      </c>
      <c r="C100" t="s">
        <v>2097</v>
      </c>
      <c r="D100" t="s">
        <v>164</v>
      </c>
      <c r="E100" t="s">
        <v>6757</v>
      </c>
      <c r="G100" t="s">
        <v>6758</v>
      </c>
    </row>
    <row r="101">
      <c r="A101" t="s">
        <v>2209</v>
      </c>
      <c r="B101" t="s">
        <v>432</v>
      </c>
      <c r="E101" t="s">
        <v>6759</v>
      </c>
      <c r="G101" t="s">
        <v>6758</v>
      </c>
    </row>
    <row r="102">
      <c r="A102" t="s">
        <v>2212</v>
      </c>
      <c r="B102" t="s">
        <v>439</v>
      </c>
      <c r="C102" t="s">
        <v>2209</v>
      </c>
      <c r="D102" t="s">
        <v>432</v>
      </c>
      <c r="E102" t="s">
        <v>6757</v>
      </c>
      <c r="G102" t="s">
        <v>6758</v>
      </c>
    </row>
    <row r="103">
      <c r="A103" t="s">
        <v>2212</v>
      </c>
      <c r="B103" t="s">
        <v>439</v>
      </c>
      <c r="E103" t="s">
        <v>6759</v>
      </c>
      <c r="G103" t="s">
        <v>6758</v>
      </c>
    </row>
    <row r="104">
      <c r="A104" t="s">
        <v>2215</v>
      </c>
      <c r="B104" t="s">
        <v>447</v>
      </c>
      <c r="C104" t="s">
        <v>2199</v>
      </c>
      <c r="D104" t="s">
        <v>410</v>
      </c>
      <c r="E104" t="s">
        <v>6757</v>
      </c>
      <c r="G104" t="s">
        <v>6758</v>
      </c>
    </row>
    <row r="105">
      <c r="A105" t="s">
        <v>2215</v>
      </c>
      <c r="B105" t="s">
        <v>447</v>
      </c>
      <c r="E105" t="s">
        <v>6759</v>
      </c>
      <c r="G105" t="s">
        <v>6758</v>
      </c>
    </row>
    <row r="106">
      <c r="A106" t="s">
        <v>2218</v>
      </c>
      <c r="B106" t="s">
        <v>455</v>
      </c>
      <c r="C106" t="s">
        <v>2203</v>
      </c>
      <c r="D106" t="s">
        <v>417</v>
      </c>
      <c r="E106" t="s">
        <v>6757</v>
      </c>
      <c r="G106" t="s">
        <v>6758</v>
      </c>
    </row>
    <row r="107">
      <c r="A107" t="s">
        <v>2218</v>
      </c>
      <c r="B107" t="s">
        <v>455</v>
      </c>
      <c r="E107" t="s">
        <v>6759</v>
      </c>
      <c r="G107" t="s">
        <v>6758</v>
      </c>
    </row>
    <row r="108">
      <c r="A108" t="s">
        <v>2224</v>
      </c>
      <c r="B108" t="s">
        <v>467</v>
      </c>
      <c r="C108" t="s">
        <v>2071</v>
      </c>
      <c r="D108" t="s">
        <v>96</v>
      </c>
      <c r="E108" t="s">
        <v>6757</v>
      </c>
      <c r="G108" t="s">
        <v>6758</v>
      </c>
    </row>
    <row r="109">
      <c r="A109" t="s">
        <v>2224</v>
      </c>
      <c r="B109" t="s">
        <v>467</v>
      </c>
      <c r="C109" t="s">
        <v>2140</v>
      </c>
      <c r="D109" t="s">
        <v>263</v>
      </c>
      <c r="E109" t="s">
        <v>6757</v>
      </c>
      <c r="G109" t="s">
        <v>6758</v>
      </c>
    </row>
    <row r="110">
      <c r="A110" t="s">
        <v>2230</v>
      </c>
      <c r="B110" t="s">
        <v>475</v>
      </c>
      <c r="E110" t="s">
        <v>6759</v>
      </c>
      <c r="G110" t="s">
        <v>6758</v>
      </c>
    </row>
    <row r="111">
      <c r="A111" t="s">
        <v>2230</v>
      </c>
      <c r="B111" t="s">
        <v>475</v>
      </c>
      <c r="C111" t="s">
        <v>2224</v>
      </c>
      <c r="D111" t="s">
        <v>467</v>
      </c>
      <c r="E111" t="s">
        <v>6757</v>
      </c>
      <c r="G111" t="s">
        <v>6758</v>
      </c>
    </row>
    <row r="112">
      <c r="A112" t="s">
        <v>2230</v>
      </c>
      <c r="B112" t="s">
        <v>475</v>
      </c>
      <c r="C112" t="s">
        <v>2081</v>
      </c>
      <c r="D112" t="s">
        <v>113</v>
      </c>
      <c r="E112" t="s">
        <v>6757</v>
      </c>
      <c r="G112" t="s">
        <v>6758</v>
      </c>
    </row>
    <row r="113">
      <c r="A113" t="s">
        <v>2233</v>
      </c>
      <c r="B113" t="s">
        <v>481</v>
      </c>
      <c r="E113" t="s">
        <v>6759</v>
      </c>
      <c r="G113" t="s">
        <v>6758</v>
      </c>
    </row>
    <row r="114">
      <c r="A114" t="s">
        <v>2233</v>
      </c>
      <c r="B114" t="s">
        <v>481</v>
      </c>
      <c r="C114" t="s">
        <v>2140</v>
      </c>
      <c r="D114" t="s">
        <v>263</v>
      </c>
      <c r="E114" t="s">
        <v>6757</v>
      </c>
      <c r="G114" t="s">
        <v>6758</v>
      </c>
    </row>
    <row r="115">
      <c r="A115" t="s">
        <v>2236</v>
      </c>
      <c r="B115" t="s">
        <v>488</v>
      </c>
      <c r="E115" t="s">
        <v>6759</v>
      </c>
      <c r="G115" t="s">
        <v>6758</v>
      </c>
    </row>
    <row r="116">
      <c r="A116" t="s">
        <v>2236</v>
      </c>
      <c r="B116" t="s">
        <v>488</v>
      </c>
      <c r="C116" t="s">
        <v>2233</v>
      </c>
      <c r="D116" t="s">
        <v>481</v>
      </c>
      <c r="E116" t="s">
        <v>6757</v>
      </c>
      <c r="G116" t="s">
        <v>6758</v>
      </c>
    </row>
    <row r="117">
      <c r="A117" t="s">
        <v>2239</v>
      </c>
      <c r="B117" t="s">
        <v>496</v>
      </c>
      <c r="C117" t="s">
        <v>2081</v>
      </c>
      <c r="D117" t="s">
        <v>113</v>
      </c>
      <c r="E117" t="s">
        <v>6757</v>
      </c>
      <c r="G117" t="s">
        <v>6758</v>
      </c>
    </row>
    <row r="118">
      <c r="A118" t="s">
        <v>2239</v>
      </c>
      <c r="B118" t="s">
        <v>496</v>
      </c>
      <c r="E118" t="s">
        <v>6759</v>
      </c>
      <c r="G118" t="s">
        <v>6758</v>
      </c>
    </row>
    <row r="119">
      <c r="A119" t="s">
        <v>2242</v>
      </c>
      <c r="B119" t="s">
        <v>502</v>
      </c>
      <c r="C119" t="s">
        <v>2239</v>
      </c>
      <c r="D119" t="s">
        <v>496</v>
      </c>
      <c r="E119" t="s">
        <v>6757</v>
      </c>
      <c r="G119" t="s">
        <v>6758</v>
      </c>
    </row>
    <row r="120">
      <c r="A120" t="s">
        <v>2245</v>
      </c>
      <c r="B120" t="s">
        <v>508</v>
      </c>
      <c r="C120" t="s">
        <v>2239</v>
      </c>
      <c r="D120" t="s">
        <v>496</v>
      </c>
      <c r="E120" t="s">
        <v>6757</v>
      </c>
      <c r="G120" t="s">
        <v>6758</v>
      </c>
    </row>
    <row r="121">
      <c r="A121" t="s">
        <v>2245</v>
      </c>
      <c r="B121" t="s">
        <v>508</v>
      </c>
      <c r="C121" t="s">
        <v>2081</v>
      </c>
      <c r="D121" t="s">
        <v>113</v>
      </c>
      <c r="E121" t="s">
        <v>6757</v>
      </c>
      <c r="G121" t="s">
        <v>6758</v>
      </c>
    </row>
    <row r="122">
      <c r="A122" t="s">
        <v>2245</v>
      </c>
      <c r="B122" t="s">
        <v>508</v>
      </c>
      <c r="E122" t="s">
        <v>6759</v>
      </c>
      <c r="G122" t="s">
        <v>6758</v>
      </c>
    </row>
    <row r="123">
      <c r="A123" t="s">
        <v>2248</v>
      </c>
      <c r="B123" t="s">
        <v>515</v>
      </c>
      <c r="C123" t="s">
        <v>2239</v>
      </c>
      <c r="D123" t="s">
        <v>496</v>
      </c>
      <c r="E123" t="s">
        <v>6757</v>
      </c>
      <c r="G123" t="s">
        <v>6758</v>
      </c>
    </row>
    <row r="124">
      <c r="A124" t="s">
        <v>2248</v>
      </c>
      <c r="B124" t="s">
        <v>515</v>
      </c>
      <c r="C124" t="s">
        <v>2275</v>
      </c>
      <c r="D124" t="s">
        <v>587</v>
      </c>
      <c r="E124" t="s">
        <v>6757</v>
      </c>
      <c r="G124" t="s">
        <v>6758</v>
      </c>
    </row>
    <row r="125">
      <c r="A125" t="s">
        <v>2251</v>
      </c>
      <c r="B125" t="s">
        <v>524</v>
      </c>
      <c r="C125" t="s">
        <v>2239</v>
      </c>
      <c r="D125" t="s">
        <v>496</v>
      </c>
      <c r="E125" t="s">
        <v>6757</v>
      </c>
      <c r="G125" t="s">
        <v>6758</v>
      </c>
    </row>
    <row r="126">
      <c r="A126" t="s">
        <v>2251</v>
      </c>
      <c r="B126" t="s">
        <v>524</v>
      </c>
      <c r="E126" t="s">
        <v>6759</v>
      </c>
      <c r="G126" t="s">
        <v>6758</v>
      </c>
    </row>
    <row r="127">
      <c r="A127" t="s">
        <v>2254</v>
      </c>
      <c r="B127" t="s">
        <v>532</v>
      </c>
      <c r="E127" t="s">
        <v>6759</v>
      </c>
      <c r="G127" t="s">
        <v>6758</v>
      </c>
    </row>
    <row r="128">
      <c r="A128" t="s">
        <v>2254</v>
      </c>
      <c r="B128" t="s">
        <v>532</v>
      </c>
      <c r="C128" t="s">
        <v>2251</v>
      </c>
      <c r="D128" t="s">
        <v>524</v>
      </c>
      <c r="E128" t="s">
        <v>6757</v>
      </c>
      <c r="G128" t="s">
        <v>6758</v>
      </c>
    </row>
    <row r="129">
      <c r="A129" t="s">
        <v>2257</v>
      </c>
      <c r="B129" t="s">
        <v>538</v>
      </c>
      <c r="C129" t="s">
        <v>2196</v>
      </c>
      <c r="D129" t="s">
        <v>400</v>
      </c>
      <c r="E129" t="s">
        <v>6757</v>
      </c>
      <c r="G129" t="s">
        <v>6758</v>
      </c>
    </row>
    <row r="130">
      <c r="A130" t="s">
        <v>2257</v>
      </c>
      <c r="B130" t="s">
        <v>538</v>
      </c>
      <c r="C130" t="s">
        <v>2239</v>
      </c>
      <c r="D130" t="s">
        <v>496</v>
      </c>
      <c r="E130" t="s">
        <v>6757</v>
      </c>
      <c r="G130" t="s">
        <v>6758</v>
      </c>
    </row>
    <row r="131">
      <c r="A131" t="s">
        <v>2257</v>
      </c>
      <c r="B131" t="s">
        <v>538</v>
      </c>
      <c r="E131" t="s">
        <v>6759</v>
      </c>
      <c r="G131" t="s">
        <v>6758</v>
      </c>
    </row>
    <row r="132">
      <c r="A132" t="s">
        <v>2260</v>
      </c>
      <c r="B132" t="s">
        <v>548</v>
      </c>
      <c r="C132" t="s">
        <v>2084</v>
      </c>
      <c r="D132" t="s">
        <v>119</v>
      </c>
      <c r="E132" t="s">
        <v>6757</v>
      </c>
      <c r="G132" t="s">
        <v>6758</v>
      </c>
    </row>
    <row r="133">
      <c r="A133" t="s">
        <v>2260</v>
      </c>
      <c r="B133" t="s">
        <v>548</v>
      </c>
      <c r="C133" t="s">
        <v>2242</v>
      </c>
      <c r="D133" t="s">
        <v>502</v>
      </c>
      <c r="E133" t="s">
        <v>6757</v>
      </c>
      <c r="G133" t="s">
        <v>6758</v>
      </c>
    </row>
    <row r="134">
      <c r="A134" t="s">
        <v>2263</v>
      </c>
      <c r="B134" t="s">
        <v>556</v>
      </c>
      <c r="C134" t="s">
        <v>2260</v>
      </c>
      <c r="D134" t="s">
        <v>548</v>
      </c>
      <c r="E134" t="s">
        <v>6757</v>
      </c>
      <c r="G134" t="s">
        <v>6758</v>
      </c>
    </row>
    <row r="135">
      <c r="A135" t="s">
        <v>2266</v>
      </c>
      <c r="B135" t="s">
        <v>561</v>
      </c>
      <c r="C135" t="s">
        <v>2084</v>
      </c>
      <c r="D135" t="s">
        <v>119</v>
      </c>
      <c r="E135" t="s">
        <v>6757</v>
      </c>
      <c r="G135" t="s">
        <v>6758</v>
      </c>
    </row>
    <row r="136">
      <c r="A136" t="s">
        <v>2266</v>
      </c>
      <c r="B136" t="s">
        <v>561</v>
      </c>
      <c r="E136" t="s">
        <v>6759</v>
      </c>
      <c r="G136" t="s">
        <v>6758</v>
      </c>
    </row>
    <row r="137">
      <c r="A137" t="s">
        <v>2269</v>
      </c>
      <c r="B137" t="s">
        <v>569</v>
      </c>
      <c r="E137" t="s">
        <v>6759</v>
      </c>
      <c r="G137" t="s">
        <v>6758</v>
      </c>
    </row>
    <row r="138">
      <c r="A138" t="s">
        <v>2269</v>
      </c>
      <c r="B138" t="s">
        <v>569</v>
      </c>
      <c r="C138" t="s">
        <v>2084</v>
      </c>
      <c r="D138" t="s">
        <v>119</v>
      </c>
      <c r="E138" t="s">
        <v>6757</v>
      </c>
      <c r="G138" t="s">
        <v>6758</v>
      </c>
    </row>
    <row r="139">
      <c r="A139" t="s">
        <v>2272</v>
      </c>
      <c r="B139" t="s">
        <v>580</v>
      </c>
      <c r="E139" t="s">
        <v>6759</v>
      </c>
      <c r="G139" t="s">
        <v>6758</v>
      </c>
    </row>
    <row r="140">
      <c r="A140" t="s">
        <v>2272</v>
      </c>
      <c r="B140" t="s">
        <v>580</v>
      </c>
      <c r="C140" t="s">
        <v>2199</v>
      </c>
      <c r="D140" t="s">
        <v>410</v>
      </c>
      <c r="E140" t="s">
        <v>6757</v>
      </c>
      <c r="G140" t="s">
        <v>6758</v>
      </c>
    </row>
    <row r="141">
      <c r="A141" t="s">
        <v>2272</v>
      </c>
      <c r="B141" t="s">
        <v>580</v>
      </c>
      <c r="C141" t="s">
        <v>2081</v>
      </c>
      <c r="D141" t="s">
        <v>113</v>
      </c>
      <c r="E141" t="s">
        <v>6757</v>
      </c>
      <c r="G141" t="s">
        <v>6758</v>
      </c>
    </row>
    <row r="142">
      <c r="A142" t="s">
        <v>2275</v>
      </c>
      <c r="B142" t="s">
        <v>587</v>
      </c>
      <c r="E142" t="s">
        <v>6759</v>
      </c>
      <c r="G142" t="s">
        <v>6758</v>
      </c>
    </row>
    <row r="143">
      <c r="A143" t="s">
        <v>2275</v>
      </c>
      <c r="B143" t="s">
        <v>587</v>
      </c>
      <c r="E143" t="s">
        <v>6759</v>
      </c>
      <c r="G143" t="s">
        <v>6758</v>
      </c>
    </row>
    <row r="144">
      <c r="A144" t="s">
        <v>2275</v>
      </c>
      <c r="B144" t="s">
        <v>587</v>
      </c>
      <c r="C144" t="s">
        <v>2081</v>
      </c>
      <c r="D144" t="s">
        <v>113</v>
      </c>
      <c r="E144" t="s">
        <v>6757</v>
      </c>
      <c r="G144" t="s">
        <v>6758</v>
      </c>
    </row>
    <row r="145">
      <c r="A145" t="s">
        <v>2278</v>
      </c>
      <c r="B145" t="s">
        <v>593</v>
      </c>
      <c r="E145" t="s">
        <v>6759</v>
      </c>
      <c r="G145" t="s">
        <v>6758</v>
      </c>
    </row>
    <row r="146">
      <c r="A146" t="s">
        <v>2278</v>
      </c>
      <c r="B146" t="s">
        <v>593</v>
      </c>
      <c r="E146" t="s">
        <v>6759</v>
      </c>
      <c r="G146" t="s">
        <v>6758</v>
      </c>
    </row>
    <row r="147">
      <c r="A147" t="s">
        <v>2281</v>
      </c>
      <c r="B147" t="s">
        <v>602</v>
      </c>
      <c r="E147" t="s">
        <v>6759</v>
      </c>
      <c r="G147" t="s">
        <v>6758</v>
      </c>
    </row>
    <row r="148">
      <c r="A148" t="s">
        <v>2281</v>
      </c>
      <c r="B148" t="s">
        <v>602</v>
      </c>
      <c r="C148" t="s">
        <v>2087</v>
      </c>
      <c r="D148" t="s">
        <v>128</v>
      </c>
      <c r="E148" t="s">
        <v>6757</v>
      </c>
      <c r="G148" t="s">
        <v>6758</v>
      </c>
    </row>
    <row r="149">
      <c r="A149" t="s">
        <v>2281</v>
      </c>
      <c r="B149" t="s">
        <v>602</v>
      </c>
      <c r="C149" t="s">
        <v>2133</v>
      </c>
      <c r="D149" t="s">
        <v>248</v>
      </c>
      <c r="E149" t="s">
        <v>6757</v>
      </c>
      <c r="G149" t="s">
        <v>6758</v>
      </c>
    </row>
    <row r="150">
      <c r="A150" t="s">
        <v>2284</v>
      </c>
      <c r="B150" t="s">
        <v>610</v>
      </c>
      <c r="E150" t="s">
        <v>6759</v>
      </c>
      <c r="G150" t="s">
        <v>6758</v>
      </c>
    </row>
    <row r="151">
      <c r="A151" t="s">
        <v>2284</v>
      </c>
      <c r="B151" t="s">
        <v>610</v>
      </c>
      <c r="C151" t="s">
        <v>2199</v>
      </c>
      <c r="D151" t="s">
        <v>410</v>
      </c>
      <c r="E151" t="s">
        <v>6757</v>
      </c>
      <c r="G151" t="s">
        <v>6758</v>
      </c>
    </row>
    <row r="152">
      <c r="A152" t="s">
        <v>2287</v>
      </c>
      <c r="B152" t="s">
        <v>617</v>
      </c>
      <c r="C152" t="s">
        <v>2087</v>
      </c>
      <c r="D152" t="s">
        <v>128</v>
      </c>
      <c r="E152" t="s">
        <v>6757</v>
      </c>
      <c r="G152" t="s">
        <v>6758</v>
      </c>
    </row>
    <row r="153">
      <c r="A153" t="s">
        <v>2287</v>
      </c>
      <c r="B153" t="s">
        <v>617</v>
      </c>
      <c r="C153" t="s">
        <v>2140</v>
      </c>
      <c r="D153" t="s">
        <v>263</v>
      </c>
      <c r="E153" t="s">
        <v>6757</v>
      </c>
      <c r="G153" t="s">
        <v>6758</v>
      </c>
    </row>
    <row r="154">
      <c r="A154" t="s">
        <v>2290</v>
      </c>
      <c r="B154" t="s">
        <v>624</v>
      </c>
      <c r="C154" t="s">
        <v>2140</v>
      </c>
      <c r="D154" t="s">
        <v>263</v>
      </c>
      <c r="E154" t="s">
        <v>6757</v>
      </c>
      <c r="G154" t="s">
        <v>6758</v>
      </c>
    </row>
    <row r="155">
      <c r="A155" t="s">
        <v>2290</v>
      </c>
      <c r="B155" t="s">
        <v>624</v>
      </c>
      <c r="E155" t="s">
        <v>6759</v>
      </c>
      <c r="G155" t="s">
        <v>6758</v>
      </c>
    </row>
    <row r="156">
      <c r="A156" t="s">
        <v>2293</v>
      </c>
      <c r="B156" t="s">
        <v>634</v>
      </c>
      <c r="C156" t="s">
        <v>2084</v>
      </c>
      <c r="D156" t="s">
        <v>119</v>
      </c>
      <c r="E156" t="s">
        <v>6757</v>
      </c>
      <c r="G156" t="s">
        <v>6758</v>
      </c>
    </row>
    <row r="157">
      <c r="A157" t="s">
        <v>2293</v>
      </c>
      <c r="B157" t="s">
        <v>634</v>
      </c>
      <c r="E157" t="s">
        <v>6759</v>
      </c>
      <c r="G157" t="s">
        <v>6758</v>
      </c>
    </row>
    <row r="158">
      <c r="A158" t="s">
        <v>2296</v>
      </c>
      <c r="B158" t="s">
        <v>641</v>
      </c>
      <c r="E158" t="s">
        <v>6759</v>
      </c>
      <c r="G158" t="s">
        <v>6758</v>
      </c>
    </row>
    <row r="159">
      <c r="A159" t="s">
        <v>2299</v>
      </c>
      <c r="B159" t="s">
        <v>647</v>
      </c>
      <c r="C159" t="s">
        <v>2092</v>
      </c>
      <c r="D159" t="s">
        <v>145</v>
      </c>
      <c r="E159" t="s">
        <v>6757</v>
      </c>
      <c r="G159" t="s">
        <v>6758</v>
      </c>
    </row>
    <row r="160">
      <c r="A160" t="s">
        <v>2299</v>
      </c>
      <c r="B160" t="s">
        <v>647</v>
      </c>
      <c r="C160" t="s">
        <v>2084</v>
      </c>
      <c r="D160" t="s">
        <v>119</v>
      </c>
      <c r="E160" t="s">
        <v>6757</v>
      </c>
      <c r="G160" t="s">
        <v>6758</v>
      </c>
    </row>
    <row r="161">
      <c r="A161" t="s">
        <v>2302</v>
      </c>
      <c r="B161" t="s">
        <v>656</v>
      </c>
      <c r="E161" t="s">
        <v>6759</v>
      </c>
      <c r="G161" t="s">
        <v>6758</v>
      </c>
    </row>
    <row r="162">
      <c r="A162" t="s">
        <v>2302</v>
      </c>
      <c r="B162" t="s">
        <v>656</v>
      </c>
      <c r="C162" t="s">
        <v>2140</v>
      </c>
      <c r="D162" t="s">
        <v>263</v>
      </c>
      <c r="E162" t="s">
        <v>6757</v>
      </c>
      <c r="G162" t="s">
        <v>6758</v>
      </c>
    </row>
    <row r="163">
      <c r="A163" t="s">
        <v>2305</v>
      </c>
      <c r="B163" t="s">
        <v>664</v>
      </c>
      <c r="C163" t="s">
        <v>2084</v>
      </c>
      <c r="D163" t="s">
        <v>119</v>
      </c>
      <c r="E163" t="s">
        <v>6757</v>
      </c>
      <c r="G163" t="s">
        <v>6758</v>
      </c>
    </row>
    <row r="164">
      <c r="A164" t="s">
        <v>2305</v>
      </c>
      <c r="B164" t="s">
        <v>664</v>
      </c>
      <c r="E164" t="s">
        <v>6759</v>
      </c>
      <c r="G164" t="s">
        <v>6758</v>
      </c>
    </row>
    <row r="165">
      <c r="A165" t="s">
        <v>2308</v>
      </c>
      <c r="B165" t="s">
        <v>671</v>
      </c>
      <c r="E165" t="s">
        <v>6759</v>
      </c>
      <c r="G165" t="s">
        <v>6758</v>
      </c>
    </row>
    <row r="166">
      <c r="A166" t="s">
        <v>2308</v>
      </c>
      <c r="B166" t="s">
        <v>671</v>
      </c>
      <c r="C166" t="s">
        <v>2140</v>
      </c>
      <c r="D166" t="s">
        <v>263</v>
      </c>
      <c r="E166" t="s">
        <v>6757</v>
      </c>
      <c r="G166" t="s">
        <v>6758</v>
      </c>
    </row>
    <row r="167">
      <c r="A167" t="s">
        <v>2308</v>
      </c>
      <c r="B167" t="s">
        <v>671</v>
      </c>
      <c r="E167" t="s">
        <v>6759</v>
      </c>
      <c r="G167" t="s">
        <v>6758</v>
      </c>
    </row>
    <row r="168">
      <c r="A168" t="s">
        <v>2311</v>
      </c>
      <c r="B168" t="s">
        <v>683</v>
      </c>
      <c r="C168" t="s">
        <v>2092</v>
      </c>
      <c r="D168" t="s">
        <v>145</v>
      </c>
      <c r="E168" t="s">
        <v>6757</v>
      </c>
      <c r="G168" t="s">
        <v>6758</v>
      </c>
    </row>
    <row r="169">
      <c r="A169" t="s">
        <v>2311</v>
      </c>
      <c r="B169" t="s">
        <v>683</v>
      </c>
      <c r="C169" t="s">
        <v>2156</v>
      </c>
      <c r="D169" t="s">
        <v>306</v>
      </c>
      <c r="E169" t="s">
        <v>6757</v>
      </c>
      <c r="G169" t="s">
        <v>6758</v>
      </c>
    </row>
    <row r="170">
      <c r="A170" t="s">
        <v>2314</v>
      </c>
      <c r="B170" t="s">
        <v>691</v>
      </c>
      <c r="C170" t="s">
        <v>2311</v>
      </c>
      <c r="D170" t="s">
        <v>683</v>
      </c>
      <c r="E170" t="s">
        <v>6757</v>
      </c>
      <c r="G170" t="s">
        <v>6758</v>
      </c>
    </row>
    <row r="171">
      <c r="A171" t="s">
        <v>2317</v>
      </c>
      <c r="B171" t="s">
        <v>697</v>
      </c>
      <c r="C171" t="s">
        <v>2311</v>
      </c>
      <c r="D171" t="s">
        <v>683</v>
      </c>
      <c r="E171" t="s">
        <v>6757</v>
      </c>
      <c r="G171" t="s">
        <v>6758</v>
      </c>
    </row>
    <row r="172">
      <c r="A172" t="s">
        <v>2320</v>
      </c>
      <c r="B172" t="s">
        <v>702</v>
      </c>
      <c r="C172" t="s">
        <v>2311</v>
      </c>
      <c r="D172" t="s">
        <v>683</v>
      </c>
      <c r="E172" t="s">
        <v>6757</v>
      </c>
      <c r="G172" t="s">
        <v>6758</v>
      </c>
    </row>
    <row r="173">
      <c r="A173" t="s">
        <v>2323</v>
      </c>
      <c r="B173" t="s">
        <v>707</v>
      </c>
      <c r="C173" t="s">
        <v>2320</v>
      </c>
      <c r="D173" t="s">
        <v>702</v>
      </c>
      <c r="E173" t="s">
        <v>6757</v>
      </c>
      <c r="G173" t="s">
        <v>6758</v>
      </c>
    </row>
    <row r="174">
      <c r="A174" t="s">
        <v>2326</v>
      </c>
      <c r="B174" t="s">
        <v>713</v>
      </c>
      <c r="C174" t="s">
        <v>2323</v>
      </c>
      <c r="D174" t="s">
        <v>707</v>
      </c>
      <c r="E174" t="s">
        <v>6757</v>
      </c>
      <c r="G174" t="s">
        <v>6758</v>
      </c>
    </row>
    <row r="175">
      <c r="A175" t="s">
        <v>2326</v>
      </c>
      <c r="B175" t="s">
        <v>713</v>
      </c>
      <c r="C175" t="s">
        <v>2140</v>
      </c>
      <c r="D175" t="s">
        <v>263</v>
      </c>
      <c r="E175" t="s">
        <v>6757</v>
      </c>
      <c r="G175" t="s">
        <v>6758</v>
      </c>
    </row>
    <row r="176">
      <c r="A176" t="s">
        <v>2329</v>
      </c>
      <c r="B176" t="s">
        <v>721</v>
      </c>
      <c r="C176" t="s">
        <v>2311</v>
      </c>
      <c r="D176" t="s">
        <v>683</v>
      </c>
      <c r="E176" t="s">
        <v>6757</v>
      </c>
      <c r="G176" t="s">
        <v>6758</v>
      </c>
    </row>
    <row r="177">
      <c r="A177" t="s">
        <v>2329</v>
      </c>
      <c r="B177" t="s">
        <v>721</v>
      </c>
      <c r="C177" t="s">
        <v>2092</v>
      </c>
      <c r="D177" t="s">
        <v>145</v>
      </c>
      <c r="E177" t="s">
        <v>6757</v>
      </c>
      <c r="G177" t="s">
        <v>6758</v>
      </c>
    </row>
    <row r="178">
      <c r="A178" t="s">
        <v>2332</v>
      </c>
      <c r="B178" t="s">
        <v>728</v>
      </c>
      <c r="C178" t="s">
        <v>2326</v>
      </c>
      <c r="D178" t="s">
        <v>713</v>
      </c>
      <c r="E178" t="s">
        <v>6757</v>
      </c>
      <c r="G178" t="s">
        <v>6758</v>
      </c>
    </row>
    <row r="179">
      <c r="A179" t="s">
        <v>2332</v>
      </c>
      <c r="B179" t="s">
        <v>728</v>
      </c>
      <c r="C179" t="s">
        <v>2156</v>
      </c>
      <c r="D179" t="s">
        <v>306</v>
      </c>
      <c r="E179" t="s">
        <v>6757</v>
      </c>
      <c r="G179" t="s">
        <v>6758</v>
      </c>
    </row>
    <row r="180">
      <c r="A180" t="s">
        <v>2335</v>
      </c>
      <c r="B180" t="s">
        <v>736</v>
      </c>
      <c r="C180" t="s">
        <v>2071</v>
      </c>
      <c r="D180" t="s">
        <v>96</v>
      </c>
      <c r="E180" t="s">
        <v>6757</v>
      </c>
      <c r="G180" t="s">
        <v>6758</v>
      </c>
    </row>
    <row r="181">
      <c r="A181" t="s">
        <v>2335</v>
      </c>
      <c r="B181" t="s">
        <v>736</v>
      </c>
      <c r="C181" t="s">
        <v>2311</v>
      </c>
      <c r="D181" t="s">
        <v>683</v>
      </c>
      <c r="E181" t="s">
        <v>6757</v>
      </c>
      <c r="G181" t="s">
        <v>6758</v>
      </c>
    </row>
    <row r="182">
      <c r="A182" t="s">
        <v>2338</v>
      </c>
      <c r="B182" t="s">
        <v>743</v>
      </c>
      <c r="C182" t="s">
        <v>2079</v>
      </c>
      <c r="D182" t="s">
        <v>106</v>
      </c>
      <c r="E182" t="s">
        <v>6757</v>
      </c>
      <c r="G182" t="s">
        <v>6758</v>
      </c>
    </row>
    <row r="183">
      <c r="A183" t="s">
        <v>2338</v>
      </c>
      <c r="B183" t="s">
        <v>743</v>
      </c>
      <c r="C183" t="s">
        <v>2311</v>
      </c>
      <c r="D183" t="s">
        <v>683</v>
      </c>
      <c r="E183" t="s">
        <v>6757</v>
      </c>
      <c r="G183" t="s">
        <v>6758</v>
      </c>
    </row>
    <row r="184">
      <c r="A184" t="s">
        <v>2340</v>
      </c>
      <c r="B184" t="s">
        <v>749</v>
      </c>
      <c r="E184" t="s">
        <v>6759</v>
      </c>
      <c r="G184" t="s">
        <v>6758</v>
      </c>
    </row>
    <row r="185">
      <c r="A185" t="s">
        <v>2340</v>
      </c>
      <c r="B185" t="s">
        <v>749</v>
      </c>
      <c r="C185" t="s">
        <v>2164</v>
      </c>
      <c r="D185" t="s">
        <v>322</v>
      </c>
      <c r="E185" t="s">
        <v>6757</v>
      </c>
      <c r="G185" t="s">
        <v>6758</v>
      </c>
    </row>
    <row r="186">
      <c r="A186" t="s">
        <v>2343</v>
      </c>
      <c r="B186" t="s">
        <v>758</v>
      </c>
      <c r="C186" t="s">
        <v>2311</v>
      </c>
      <c r="D186" t="s">
        <v>683</v>
      </c>
      <c r="E186" t="s">
        <v>6757</v>
      </c>
      <c r="G186" t="s">
        <v>6758</v>
      </c>
    </row>
    <row r="187">
      <c r="A187" t="s">
        <v>2346</v>
      </c>
      <c r="B187" t="s">
        <v>764</v>
      </c>
      <c r="C187" t="s">
        <v>2343</v>
      </c>
      <c r="D187" t="s">
        <v>758</v>
      </c>
      <c r="E187" t="s">
        <v>6757</v>
      </c>
      <c r="G187" t="s">
        <v>6758</v>
      </c>
    </row>
    <row r="188">
      <c r="A188" t="s">
        <v>2349</v>
      </c>
      <c r="B188" t="s">
        <v>769</v>
      </c>
      <c r="C188" t="s">
        <v>2269</v>
      </c>
      <c r="D188" t="s">
        <v>569</v>
      </c>
      <c r="E188" t="s">
        <v>6757</v>
      </c>
      <c r="G188" t="s">
        <v>6758</v>
      </c>
    </row>
    <row r="189">
      <c r="A189" t="s">
        <v>2351</v>
      </c>
      <c r="B189" t="s">
        <v>775</v>
      </c>
      <c r="C189" t="s">
        <v>2092</v>
      </c>
      <c r="D189" t="s">
        <v>145</v>
      </c>
      <c r="E189" t="s">
        <v>6757</v>
      </c>
      <c r="G189" t="s">
        <v>6758</v>
      </c>
    </row>
    <row r="190">
      <c r="A190" t="s">
        <v>2351</v>
      </c>
      <c r="B190" t="s">
        <v>775</v>
      </c>
      <c r="C190" t="s">
        <v>2329</v>
      </c>
      <c r="D190" t="s">
        <v>721</v>
      </c>
      <c r="E190" t="s">
        <v>6757</v>
      </c>
      <c r="G190" t="s">
        <v>6758</v>
      </c>
    </row>
    <row r="191">
      <c r="A191" t="s">
        <v>2354</v>
      </c>
      <c r="B191" t="s">
        <v>783</v>
      </c>
      <c r="C191" t="s">
        <v>2311</v>
      </c>
      <c r="D191" t="s">
        <v>683</v>
      </c>
      <c r="E191" t="s">
        <v>6757</v>
      </c>
      <c r="G191" t="s">
        <v>6758</v>
      </c>
    </row>
    <row r="192">
      <c r="A192" t="s">
        <v>2357</v>
      </c>
      <c r="B192" t="s">
        <v>790</v>
      </c>
      <c r="C192" t="s">
        <v>2354</v>
      </c>
      <c r="D192" t="s">
        <v>783</v>
      </c>
      <c r="E192" t="s">
        <v>6757</v>
      </c>
      <c r="G192" t="s">
        <v>6758</v>
      </c>
    </row>
    <row r="193">
      <c r="A193" t="s">
        <v>2360</v>
      </c>
      <c r="B193" t="s">
        <v>795</v>
      </c>
      <c r="C193" t="s">
        <v>2354</v>
      </c>
      <c r="D193" t="s">
        <v>783</v>
      </c>
      <c r="E193" t="s">
        <v>6757</v>
      </c>
      <c r="G193" t="s">
        <v>6758</v>
      </c>
    </row>
    <row r="194">
      <c r="A194" t="s">
        <v>2363</v>
      </c>
      <c r="B194" t="s">
        <v>800</v>
      </c>
      <c r="C194" t="s">
        <v>2343</v>
      </c>
      <c r="D194" t="s">
        <v>758</v>
      </c>
      <c r="E194" t="s">
        <v>6757</v>
      </c>
      <c r="G194" t="s">
        <v>6758</v>
      </c>
    </row>
    <row r="195">
      <c r="A195" t="s">
        <v>2366</v>
      </c>
      <c r="B195" t="s">
        <v>808</v>
      </c>
      <c r="C195" t="s">
        <v>2311</v>
      </c>
      <c r="D195" t="s">
        <v>683</v>
      </c>
      <c r="E195" t="s">
        <v>6757</v>
      </c>
      <c r="G195" t="s">
        <v>6758</v>
      </c>
    </row>
    <row r="196">
      <c r="A196" t="s">
        <v>2369</v>
      </c>
      <c r="B196" t="s">
        <v>815</v>
      </c>
      <c r="C196" t="s">
        <v>2366</v>
      </c>
      <c r="D196" t="s">
        <v>808</v>
      </c>
      <c r="E196" t="s">
        <v>6757</v>
      </c>
      <c r="G196" t="s">
        <v>6758</v>
      </c>
    </row>
    <row r="197">
      <c r="A197" t="s">
        <v>2372</v>
      </c>
      <c r="B197" t="s">
        <v>820</v>
      </c>
      <c r="C197" t="s">
        <v>2366</v>
      </c>
      <c r="D197" t="s">
        <v>808</v>
      </c>
      <c r="E197" t="s">
        <v>6757</v>
      </c>
      <c r="G197" t="s">
        <v>6758</v>
      </c>
    </row>
    <row r="198">
      <c r="A198" t="s">
        <v>2375</v>
      </c>
      <c r="B198" t="s">
        <v>826</v>
      </c>
      <c r="C198" t="s">
        <v>2754</v>
      </c>
      <c r="D198" t="s">
        <v>1735</v>
      </c>
      <c r="E198" t="s">
        <v>6757</v>
      </c>
      <c r="G198" t="s">
        <v>6758</v>
      </c>
    </row>
    <row r="199">
      <c r="A199" t="s">
        <v>2375</v>
      </c>
      <c r="B199" t="s">
        <v>826</v>
      </c>
      <c r="C199" t="s">
        <v>2311</v>
      </c>
      <c r="D199" t="s">
        <v>683</v>
      </c>
      <c r="E199" t="s">
        <v>6757</v>
      </c>
      <c r="G199" t="s">
        <v>6758</v>
      </c>
    </row>
    <row r="200">
      <c r="A200" t="s">
        <v>2378</v>
      </c>
      <c r="B200" t="s">
        <v>836</v>
      </c>
      <c r="C200" t="s">
        <v>2112</v>
      </c>
      <c r="D200" t="s">
        <v>198</v>
      </c>
      <c r="E200" t="s">
        <v>6757</v>
      </c>
      <c r="G200" t="s">
        <v>6758</v>
      </c>
    </row>
    <row r="201">
      <c r="A201" t="s">
        <v>2378</v>
      </c>
      <c r="B201" t="s">
        <v>836</v>
      </c>
      <c r="C201" t="s">
        <v>2311</v>
      </c>
      <c r="D201" t="s">
        <v>683</v>
      </c>
      <c r="E201" t="s">
        <v>6757</v>
      </c>
      <c r="G201" t="s">
        <v>6758</v>
      </c>
    </row>
    <row r="202">
      <c r="A202" t="s">
        <v>2381</v>
      </c>
      <c r="B202" t="s">
        <v>843</v>
      </c>
      <c r="C202" t="s">
        <v>2079</v>
      </c>
      <c r="D202" t="s">
        <v>106</v>
      </c>
      <c r="E202" t="s">
        <v>6757</v>
      </c>
      <c r="G202" t="s">
        <v>6758</v>
      </c>
    </row>
    <row r="203">
      <c r="A203" t="s">
        <v>2381</v>
      </c>
      <c r="B203" t="s">
        <v>843</v>
      </c>
      <c r="C203" t="s">
        <v>2140</v>
      </c>
      <c r="D203" t="s">
        <v>263</v>
      </c>
      <c r="E203" t="s">
        <v>6757</v>
      </c>
      <c r="G203" t="s">
        <v>6758</v>
      </c>
    </row>
    <row r="204">
      <c r="A204" t="s">
        <v>2384</v>
      </c>
      <c r="B204" t="s">
        <v>850</v>
      </c>
      <c r="C204" t="s">
        <v>2140</v>
      </c>
      <c r="D204" t="s">
        <v>263</v>
      </c>
      <c r="E204" t="s">
        <v>6757</v>
      </c>
      <c r="G204" t="s">
        <v>6758</v>
      </c>
    </row>
    <row r="205">
      <c r="A205" t="s">
        <v>2384</v>
      </c>
      <c r="B205" t="s">
        <v>850</v>
      </c>
      <c r="C205" t="s">
        <v>2354</v>
      </c>
      <c r="D205" t="s">
        <v>783</v>
      </c>
      <c r="E205" t="s">
        <v>6757</v>
      </c>
      <c r="G205" t="s">
        <v>6758</v>
      </c>
    </row>
    <row r="206">
      <c r="A206" t="s">
        <v>2387</v>
      </c>
      <c r="B206" t="s">
        <v>857</v>
      </c>
      <c r="C206" t="s">
        <v>2378</v>
      </c>
      <c r="D206" t="s">
        <v>836</v>
      </c>
      <c r="E206" t="s">
        <v>6757</v>
      </c>
      <c r="G206" t="s">
        <v>6758</v>
      </c>
    </row>
    <row r="207">
      <c r="A207" t="s">
        <v>2390</v>
      </c>
      <c r="B207" t="s">
        <v>864</v>
      </c>
      <c r="C207" t="s">
        <v>2326</v>
      </c>
      <c r="D207" t="s">
        <v>713</v>
      </c>
      <c r="E207" t="s">
        <v>6757</v>
      </c>
      <c r="G207" t="s">
        <v>6758</v>
      </c>
    </row>
    <row r="208">
      <c r="A208" t="s">
        <v>2390</v>
      </c>
      <c r="B208" t="s">
        <v>864</v>
      </c>
      <c r="C208" t="s">
        <v>2084</v>
      </c>
      <c r="D208" t="s">
        <v>119</v>
      </c>
      <c r="E208" t="s">
        <v>6757</v>
      </c>
      <c r="G208" t="s">
        <v>6758</v>
      </c>
    </row>
    <row r="209">
      <c r="A209" t="s">
        <v>2393</v>
      </c>
      <c r="B209" t="s">
        <v>870</v>
      </c>
      <c r="C209" t="s">
        <v>2354</v>
      </c>
      <c r="D209" t="s">
        <v>783</v>
      </c>
      <c r="E209" t="s">
        <v>6757</v>
      </c>
      <c r="G209" t="s">
        <v>6758</v>
      </c>
    </row>
    <row r="210">
      <c r="A210" t="s">
        <v>2393</v>
      </c>
      <c r="B210" t="s">
        <v>870</v>
      </c>
      <c r="C210" t="s">
        <v>2390</v>
      </c>
      <c r="D210" t="s">
        <v>864</v>
      </c>
      <c r="E210" t="s">
        <v>6757</v>
      </c>
      <c r="G210" t="s">
        <v>6758</v>
      </c>
    </row>
    <row r="211">
      <c r="A211" t="s">
        <v>2396</v>
      </c>
      <c r="B211" t="s">
        <v>877</v>
      </c>
      <c r="C211" t="s">
        <v>2354</v>
      </c>
      <c r="D211" t="s">
        <v>783</v>
      </c>
      <c r="E211" t="s">
        <v>6757</v>
      </c>
      <c r="G211" t="s">
        <v>6758</v>
      </c>
    </row>
    <row r="212">
      <c r="A212" t="s">
        <v>2399</v>
      </c>
      <c r="B212" t="s">
        <v>882</v>
      </c>
      <c r="C212" t="s">
        <v>2266</v>
      </c>
      <c r="D212" t="s">
        <v>561</v>
      </c>
      <c r="E212" t="s">
        <v>6757</v>
      </c>
      <c r="G212" t="s">
        <v>6758</v>
      </c>
    </row>
    <row r="213">
      <c r="A213" t="s">
        <v>2399</v>
      </c>
      <c r="B213" t="s">
        <v>882</v>
      </c>
      <c r="C213" t="s">
        <v>2140</v>
      </c>
      <c r="D213" t="s">
        <v>263</v>
      </c>
      <c r="E213" t="s">
        <v>6757</v>
      </c>
      <c r="G213" t="s">
        <v>6758</v>
      </c>
    </row>
    <row r="214">
      <c r="A214" t="s">
        <v>2402</v>
      </c>
      <c r="B214" t="s">
        <v>889</v>
      </c>
      <c r="C214" t="s">
        <v>2161</v>
      </c>
      <c r="D214" t="s">
        <v>313</v>
      </c>
      <c r="E214" t="s">
        <v>6757</v>
      </c>
      <c r="G214" t="s">
        <v>6758</v>
      </c>
    </row>
    <row r="215">
      <c r="A215" t="s">
        <v>2402</v>
      </c>
      <c r="B215" t="s">
        <v>889</v>
      </c>
      <c r="C215" t="s">
        <v>2390</v>
      </c>
      <c r="D215" t="s">
        <v>864</v>
      </c>
      <c r="E215" t="s">
        <v>6757</v>
      </c>
      <c r="G215" t="s">
        <v>6758</v>
      </c>
    </row>
    <row r="216">
      <c r="A216" t="s">
        <v>2405</v>
      </c>
      <c r="B216" t="s">
        <v>899</v>
      </c>
      <c r="C216" t="s">
        <v>2087</v>
      </c>
      <c r="D216" t="s">
        <v>128</v>
      </c>
      <c r="E216" t="s">
        <v>6757</v>
      </c>
      <c r="G216" t="s">
        <v>6758</v>
      </c>
    </row>
    <row r="217">
      <c r="A217" t="s">
        <v>2405</v>
      </c>
      <c r="B217" t="s">
        <v>899</v>
      </c>
      <c r="C217" t="s">
        <v>2140</v>
      </c>
      <c r="D217" t="s">
        <v>263</v>
      </c>
      <c r="E217" t="s">
        <v>6757</v>
      </c>
      <c r="G217" t="s">
        <v>6758</v>
      </c>
    </row>
    <row r="218">
      <c r="A218" t="s">
        <v>2408</v>
      </c>
      <c r="B218" t="s">
        <v>906</v>
      </c>
      <c r="C218" t="s">
        <v>2405</v>
      </c>
      <c r="D218" t="s">
        <v>899</v>
      </c>
      <c r="E218" t="s">
        <v>6757</v>
      </c>
      <c r="G218" t="s">
        <v>6758</v>
      </c>
    </row>
    <row r="219">
      <c r="A219" t="s">
        <v>2408</v>
      </c>
      <c r="B219" t="s">
        <v>906</v>
      </c>
      <c r="C219" t="s">
        <v>2354</v>
      </c>
      <c r="D219" t="s">
        <v>783</v>
      </c>
      <c r="E219" t="s">
        <v>6757</v>
      </c>
      <c r="G219" t="s">
        <v>6758</v>
      </c>
    </row>
    <row r="220">
      <c r="A220" t="s">
        <v>2411</v>
      </c>
      <c r="B220" t="s">
        <v>912</v>
      </c>
      <c r="C220" t="s">
        <v>2281</v>
      </c>
      <c r="D220" t="s">
        <v>602</v>
      </c>
      <c r="E220" t="s">
        <v>6757</v>
      </c>
      <c r="G220" t="s">
        <v>6758</v>
      </c>
    </row>
    <row r="221">
      <c r="A221" t="s">
        <v>2411</v>
      </c>
      <c r="B221" t="s">
        <v>912</v>
      </c>
      <c r="C221" t="s">
        <v>2405</v>
      </c>
      <c r="D221" t="s">
        <v>899</v>
      </c>
      <c r="E221" t="s">
        <v>6757</v>
      </c>
      <c r="G221" t="s">
        <v>6758</v>
      </c>
    </row>
    <row r="222">
      <c r="A222" t="s">
        <v>2414</v>
      </c>
      <c r="B222" t="s">
        <v>919</v>
      </c>
      <c r="C222" t="s">
        <v>2084</v>
      </c>
      <c r="D222" t="s">
        <v>119</v>
      </c>
      <c r="E222" t="s">
        <v>6757</v>
      </c>
      <c r="G222" t="s">
        <v>6758</v>
      </c>
    </row>
    <row r="223">
      <c r="A223" t="s">
        <v>2417</v>
      </c>
      <c r="B223" t="s">
        <v>925</v>
      </c>
      <c r="C223" t="s">
        <v>2727</v>
      </c>
      <c r="D223" t="s">
        <v>1671</v>
      </c>
      <c r="E223" t="s">
        <v>6757</v>
      </c>
      <c r="G223" t="s">
        <v>6758</v>
      </c>
    </row>
    <row r="224">
      <c r="A224" t="s">
        <v>2417</v>
      </c>
      <c r="B224" t="s">
        <v>925</v>
      </c>
      <c r="C224" t="s">
        <v>2136</v>
      </c>
      <c r="D224" t="s">
        <v>254</v>
      </c>
      <c r="E224" t="s">
        <v>6757</v>
      </c>
      <c r="G224" t="s">
        <v>6758</v>
      </c>
    </row>
    <row r="225">
      <c r="A225" t="s">
        <v>2420</v>
      </c>
      <c r="B225" t="s">
        <v>935</v>
      </c>
      <c r="C225" t="s">
        <v>2366</v>
      </c>
      <c r="D225" t="s">
        <v>808</v>
      </c>
      <c r="E225" t="s">
        <v>6757</v>
      </c>
      <c r="G225" t="s">
        <v>6758</v>
      </c>
    </row>
    <row r="226">
      <c r="A226" t="s">
        <v>2423</v>
      </c>
      <c r="B226" t="s">
        <v>940</v>
      </c>
      <c r="C226" t="s">
        <v>2420</v>
      </c>
      <c r="D226" t="s">
        <v>935</v>
      </c>
      <c r="E226" t="s">
        <v>6757</v>
      </c>
      <c r="G226" t="s">
        <v>6758</v>
      </c>
    </row>
    <row r="227">
      <c r="A227" t="s">
        <v>2423</v>
      </c>
      <c r="B227" t="s">
        <v>940</v>
      </c>
      <c r="C227" t="s">
        <v>2140</v>
      </c>
      <c r="D227" t="s">
        <v>263</v>
      </c>
      <c r="E227" t="s">
        <v>6757</v>
      </c>
      <c r="G227" t="s">
        <v>6758</v>
      </c>
    </row>
    <row r="228">
      <c r="A228" t="s">
        <v>2426</v>
      </c>
      <c r="B228" t="s">
        <v>946</v>
      </c>
      <c r="C228" t="s">
        <v>2084</v>
      </c>
      <c r="D228" t="s">
        <v>119</v>
      </c>
      <c r="E228" t="s">
        <v>6757</v>
      </c>
      <c r="G228" t="s">
        <v>6758</v>
      </c>
    </row>
    <row r="229">
      <c r="A229" t="s">
        <v>2426</v>
      </c>
      <c r="B229" t="s">
        <v>946</v>
      </c>
      <c r="C229" t="s">
        <v>2423</v>
      </c>
      <c r="D229" t="s">
        <v>940</v>
      </c>
      <c r="E229" t="s">
        <v>6757</v>
      </c>
      <c r="G229" t="s">
        <v>6758</v>
      </c>
    </row>
    <row r="230">
      <c r="A230" t="s">
        <v>2429</v>
      </c>
      <c r="B230" t="s">
        <v>953</v>
      </c>
      <c r="C230" t="s">
        <v>2084</v>
      </c>
      <c r="D230" t="s">
        <v>119</v>
      </c>
      <c r="E230" t="s">
        <v>6757</v>
      </c>
      <c r="G230" t="s">
        <v>6758</v>
      </c>
    </row>
    <row r="231">
      <c r="A231" t="s">
        <v>2431</v>
      </c>
      <c r="B231" t="s">
        <v>962</v>
      </c>
      <c r="C231" t="s">
        <v>2092</v>
      </c>
      <c r="D231" t="s">
        <v>145</v>
      </c>
      <c r="E231" t="s">
        <v>6757</v>
      </c>
      <c r="G231" t="s">
        <v>6758</v>
      </c>
    </row>
    <row r="232">
      <c r="A232" t="s">
        <v>2431</v>
      </c>
      <c r="B232" t="s">
        <v>962</v>
      </c>
      <c r="C232" t="s">
        <v>2140</v>
      </c>
      <c r="D232" t="s">
        <v>263</v>
      </c>
      <c r="E232" t="s">
        <v>6757</v>
      </c>
      <c r="G232" t="s">
        <v>6758</v>
      </c>
    </row>
    <row r="233">
      <c r="A233" t="s">
        <v>2431</v>
      </c>
      <c r="B233" t="s">
        <v>962</v>
      </c>
      <c r="C233" t="s">
        <v>2071</v>
      </c>
      <c r="D233" t="s">
        <v>96</v>
      </c>
      <c r="E233" t="s">
        <v>6757</v>
      </c>
      <c r="G233" t="s">
        <v>6758</v>
      </c>
    </row>
    <row r="234">
      <c r="A234" t="s">
        <v>2431</v>
      </c>
      <c r="B234" t="s">
        <v>962</v>
      </c>
      <c r="C234" t="s">
        <v>2156</v>
      </c>
      <c r="D234" t="s">
        <v>306</v>
      </c>
      <c r="E234" t="s">
        <v>6757</v>
      </c>
      <c r="G234" t="s">
        <v>6758</v>
      </c>
    </row>
    <row r="235">
      <c r="A235" t="s">
        <v>2439</v>
      </c>
      <c r="B235" t="s">
        <v>973</v>
      </c>
      <c r="C235" t="s">
        <v>2170</v>
      </c>
      <c r="D235" t="s">
        <v>343</v>
      </c>
      <c r="E235" t="s">
        <v>6757</v>
      </c>
      <c r="G235" t="s">
        <v>6758</v>
      </c>
    </row>
    <row r="236">
      <c r="A236" t="s">
        <v>2439</v>
      </c>
      <c r="B236" t="s">
        <v>973</v>
      </c>
      <c r="C236" t="s">
        <v>2081</v>
      </c>
      <c r="D236" t="s">
        <v>113</v>
      </c>
      <c r="E236" t="s">
        <v>6757</v>
      </c>
      <c r="G236" t="s">
        <v>6758</v>
      </c>
    </row>
    <row r="237">
      <c r="A237" t="s">
        <v>2439</v>
      </c>
      <c r="B237" t="s">
        <v>973</v>
      </c>
      <c r="E237" t="s">
        <v>6759</v>
      </c>
      <c r="G237" t="s">
        <v>6758</v>
      </c>
    </row>
    <row r="238">
      <c r="A238" t="s">
        <v>2446</v>
      </c>
      <c r="B238" t="s">
        <v>981</v>
      </c>
      <c r="C238" t="s">
        <v>2140</v>
      </c>
      <c r="D238" t="s">
        <v>263</v>
      </c>
      <c r="E238" t="s">
        <v>6757</v>
      </c>
      <c r="G238" t="s">
        <v>6758</v>
      </c>
    </row>
    <row r="239">
      <c r="A239" t="s">
        <v>2446</v>
      </c>
      <c r="B239" t="s">
        <v>981</v>
      </c>
      <c r="C239" t="s">
        <v>2081</v>
      </c>
      <c r="D239" t="s">
        <v>113</v>
      </c>
      <c r="E239" t="s">
        <v>6757</v>
      </c>
      <c r="G239" t="s">
        <v>6758</v>
      </c>
    </row>
    <row r="240">
      <c r="A240" t="s">
        <v>2446</v>
      </c>
      <c r="B240" t="s">
        <v>981</v>
      </c>
      <c r="C240" t="s">
        <v>2133</v>
      </c>
      <c r="D240" t="s">
        <v>248</v>
      </c>
      <c r="E240" t="s">
        <v>6757</v>
      </c>
      <c r="G240" t="s">
        <v>6758</v>
      </c>
    </row>
    <row r="241">
      <c r="A241" t="s">
        <v>2449</v>
      </c>
      <c r="B241" t="s">
        <v>987</v>
      </c>
      <c r="C241" t="s">
        <v>2081</v>
      </c>
      <c r="D241" t="s">
        <v>113</v>
      </c>
      <c r="E241" t="s">
        <v>6757</v>
      </c>
      <c r="G241" t="s">
        <v>6758</v>
      </c>
    </row>
    <row r="242">
      <c r="A242" t="s">
        <v>2449</v>
      </c>
      <c r="B242" t="s">
        <v>987</v>
      </c>
      <c r="E242" t="s">
        <v>6759</v>
      </c>
      <c r="G242" t="s">
        <v>6758</v>
      </c>
    </row>
    <row r="243">
      <c r="A243" t="s">
        <v>2452</v>
      </c>
      <c r="B243" t="s">
        <v>993</v>
      </c>
      <c r="E243" t="s">
        <v>6759</v>
      </c>
      <c r="G243" t="s">
        <v>6758</v>
      </c>
    </row>
    <row r="244">
      <c r="A244" t="s">
        <v>2452</v>
      </c>
      <c r="B244" t="s">
        <v>993</v>
      </c>
      <c r="C244" t="s">
        <v>2188</v>
      </c>
      <c r="D244" t="s">
        <v>378</v>
      </c>
      <c r="E244" t="s">
        <v>6757</v>
      </c>
      <c r="G244" t="s">
        <v>6758</v>
      </c>
    </row>
    <row r="245">
      <c r="A245" t="s">
        <v>2455</v>
      </c>
      <c r="B245" t="s">
        <v>1001</v>
      </c>
      <c r="E245" t="s">
        <v>6759</v>
      </c>
      <c r="G245" t="s">
        <v>6758</v>
      </c>
    </row>
    <row r="246">
      <c r="A246" t="s">
        <v>2455</v>
      </c>
      <c r="B246" t="s">
        <v>1001</v>
      </c>
      <c r="C246" t="s">
        <v>2143</v>
      </c>
      <c r="D246" t="s">
        <v>271</v>
      </c>
      <c r="E246" t="s">
        <v>6757</v>
      </c>
      <c r="G246" t="s">
        <v>6758</v>
      </c>
    </row>
    <row r="247">
      <c r="A247" t="s">
        <v>2455</v>
      </c>
      <c r="B247" t="s">
        <v>1001</v>
      </c>
      <c r="E247" t="s">
        <v>6759</v>
      </c>
      <c r="G247" t="s">
        <v>6758</v>
      </c>
    </row>
    <row r="248">
      <c r="A248" t="s">
        <v>2458</v>
      </c>
      <c r="B248" t="s">
        <v>1007</v>
      </c>
      <c r="C248" t="s">
        <v>2081</v>
      </c>
      <c r="D248" t="s">
        <v>113</v>
      </c>
      <c r="E248" t="s">
        <v>6757</v>
      </c>
      <c r="G248" t="s">
        <v>6758</v>
      </c>
    </row>
    <row r="249">
      <c r="A249" t="s">
        <v>2458</v>
      </c>
      <c r="B249" t="s">
        <v>1007</v>
      </c>
      <c r="E249" t="s">
        <v>6759</v>
      </c>
      <c r="G249" t="s">
        <v>6758</v>
      </c>
    </row>
    <row r="250">
      <c r="A250" t="s">
        <v>2458</v>
      </c>
      <c r="B250" t="s">
        <v>1007</v>
      </c>
      <c r="C250" t="s">
        <v>2188</v>
      </c>
      <c r="D250" t="s">
        <v>378</v>
      </c>
      <c r="E250" t="s">
        <v>6757</v>
      </c>
      <c r="G250" t="s">
        <v>6758</v>
      </c>
    </row>
    <row r="251">
      <c r="A251" t="s">
        <v>2461</v>
      </c>
      <c r="B251" t="s">
        <v>1015</v>
      </c>
      <c r="C251" t="s">
        <v>2081</v>
      </c>
      <c r="D251" t="s">
        <v>113</v>
      </c>
      <c r="E251" t="s">
        <v>6757</v>
      </c>
      <c r="G251" t="s">
        <v>6758</v>
      </c>
    </row>
    <row r="252">
      <c r="A252" t="s">
        <v>2461</v>
      </c>
      <c r="B252" t="s">
        <v>1015</v>
      </c>
      <c r="C252" t="s">
        <v>2188</v>
      </c>
      <c r="D252" t="s">
        <v>378</v>
      </c>
      <c r="E252" t="s">
        <v>6757</v>
      </c>
      <c r="G252" t="s">
        <v>6758</v>
      </c>
    </row>
    <row r="253">
      <c r="A253" t="s">
        <v>2464</v>
      </c>
      <c r="B253" t="s">
        <v>1022</v>
      </c>
      <c r="E253" t="s">
        <v>6759</v>
      </c>
      <c r="G253" t="s">
        <v>6758</v>
      </c>
    </row>
    <row r="254">
      <c r="A254" t="s">
        <v>2464</v>
      </c>
      <c r="B254" t="s">
        <v>1022</v>
      </c>
      <c r="C254" t="s">
        <v>2084</v>
      </c>
      <c r="D254" t="s">
        <v>119</v>
      </c>
      <c r="E254" t="s">
        <v>6757</v>
      </c>
      <c r="G254" t="s">
        <v>6758</v>
      </c>
    </row>
    <row r="255">
      <c r="A255" t="s">
        <v>2467</v>
      </c>
      <c r="B255" t="s">
        <v>1029</v>
      </c>
      <c r="C255" t="s">
        <v>2140</v>
      </c>
      <c r="D255" t="s">
        <v>263</v>
      </c>
      <c r="E255" t="s">
        <v>6757</v>
      </c>
      <c r="G255" t="s">
        <v>6758</v>
      </c>
    </row>
    <row r="256">
      <c r="A256" t="s">
        <v>2467</v>
      </c>
      <c r="B256" t="s">
        <v>1029</v>
      </c>
      <c r="C256" t="s">
        <v>2133</v>
      </c>
      <c r="D256" t="s">
        <v>248</v>
      </c>
      <c r="E256" t="s">
        <v>6757</v>
      </c>
      <c r="G256" t="s">
        <v>6758</v>
      </c>
    </row>
    <row r="257">
      <c r="A257" t="s">
        <v>2467</v>
      </c>
      <c r="B257" t="s">
        <v>1029</v>
      </c>
      <c r="C257" t="s">
        <v>2970</v>
      </c>
      <c r="D257" t="s">
        <v>2971</v>
      </c>
      <c r="E257" t="s">
        <v>6757</v>
      </c>
      <c r="G257" t="s">
        <v>6758</v>
      </c>
    </row>
    <row r="258">
      <c r="A258" t="s">
        <v>2471</v>
      </c>
      <c r="B258" t="s">
        <v>1035</v>
      </c>
      <c r="E258" t="s">
        <v>6759</v>
      </c>
      <c r="G258" t="s">
        <v>6758</v>
      </c>
    </row>
    <row r="259">
      <c r="A259" t="s">
        <v>2471</v>
      </c>
      <c r="B259" t="s">
        <v>1035</v>
      </c>
      <c r="E259" t="s">
        <v>6759</v>
      </c>
      <c r="G259" t="s">
        <v>6758</v>
      </c>
    </row>
    <row r="260">
      <c r="A260" t="s">
        <v>2474</v>
      </c>
      <c r="B260" t="s">
        <v>1043</v>
      </c>
      <c r="C260" t="s">
        <v>2081</v>
      </c>
      <c r="D260" t="s">
        <v>113</v>
      </c>
      <c r="E260" t="s">
        <v>6757</v>
      </c>
      <c r="G260" t="s">
        <v>6758</v>
      </c>
    </row>
    <row r="261">
      <c r="A261" t="s">
        <v>2474</v>
      </c>
      <c r="B261" t="s">
        <v>1043</v>
      </c>
      <c r="E261" t="s">
        <v>6759</v>
      </c>
      <c r="G261" t="s">
        <v>6758</v>
      </c>
    </row>
    <row r="262">
      <c r="A262" t="s">
        <v>2477</v>
      </c>
      <c r="B262" t="s">
        <v>1050</v>
      </c>
      <c r="C262" t="s">
        <v>2170</v>
      </c>
      <c r="D262" t="s">
        <v>343</v>
      </c>
      <c r="E262" t="s">
        <v>6757</v>
      </c>
      <c r="G262" t="s">
        <v>6758</v>
      </c>
    </row>
    <row r="263">
      <c r="A263" t="s">
        <v>2477</v>
      </c>
      <c r="B263" t="s">
        <v>1050</v>
      </c>
      <c r="E263" t="s">
        <v>6759</v>
      </c>
      <c r="G263" t="s">
        <v>6758</v>
      </c>
    </row>
    <row r="264">
      <c r="A264" t="s">
        <v>2480</v>
      </c>
      <c r="B264" t="s">
        <v>1058</v>
      </c>
      <c r="C264" t="s">
        <v>2084</v>
      </c>
      <c r="D264" t="s">
        <v>119</v>
      </c>
      <c r="E264" t="s">
        <v>6757</v>
      </c>
      <c r="G264" t="s">
        <v>6758</v>
      </c>
    </row>
    <row r="265">
      <c r="A265" t="s">
        <v>2480</v>
      </c>
      <c r="B265" t="s">
        <v>1058</v>
      </c>
      <c r="E265" t="s">
        <v>6759</v>
      </c>
      <c r="G265" t="s">
        <v>6758</v>
      </c>
    </row>
    <row r="266">
      <c r="A266" t="s">
        <v>2483</v>
      </c>
      <c r="B266" t="s">
        <v>1064</v>
      </c>
      <c r="E266" t="s">
        <v>6759</v>
      </c>
      <c r="G266" t="s">
        <v>6758</v>
      </c>
    </row>
    <row r="267">
      <c r="A267" t="s">
        <v>2483</v>
      </c>
      <c r="B267" t="s">
        <v>1064</v>
      </c>
      <c r="C267" t="s">
        <v>2248</v>
      </c>
      <c r="D267" t="s">
        <v>515</v>
      </c>
      <c r="E267" t="s">
        <v>6757</v>
      </c>
      <c r="G267" t="s">
        <v>6758</v>
      </c>
    </row>
    <row r="268">
      <c r="A268" t="s">
        <v>2486</v>
      </c>
      <c r="B268" t="s">
        <v>1074</v>
      </c>
      <c r="C268" t="s">
        <v>2087</v>
      </c>
      <c r="D268" t="s">
        <v>128</v>
      </c>
      <c r="E268" t="s">
        <v>6757</v>
      </c>
      <c r="G268" t="s">
        <v>6758</v>
      </c>
    </row>
    <row r="269">
      <c r="A269" t="s">
        <v>2486</v>
      </c>
      <c r="B269" t="s">
        <v>1074</v>
      </c>
      <c r="C269" t="s">
        <v>2140</v>
      </c>
      <c r="D269" t="s">
        <v>263</v>
      </c>
      <c r="E269" t="s">
        <v>6757</v>
      </c>
      <c r="G269" t="s">
        <v>6758</v>
      </c>
    </row>
    <row r="270">
      <c r="A270" t="s">
        <v>2489</v>
      </c>
      <c r="B270" t="s">
        <v>1081</v>
      </c>
      <c r="E270" t="s">
        <v>6759</v>
      </c>
      <c r="G270" t="s">
        <v>6758</v>
      </c>
    </row>
    <row r="271">
      <c r="A271" t="s">
        <v>2489</v>
      </c>
      <c r="B271" t="s">
        <v>1081</v>
      </c>
      <c r="C271" t="s">
        <v>2188</v>
      </c>
      <c r="D271" t="s">
        <v>378</v>
      </c>
      <c r="E271" t="s">
        <v>6757</v>
      </c>
      <c r="G271" t="s">
        <v>6758</v>
      </c>
    </row>
    <row r="272">
      <c r="A272" t="s">
        <v>2492</v>
      </c>
      <c r="B272" t="s">
        <v>1087</v>
      </c>
      <c r="E272" t="s">
        <v>6759</v>
      </c>
      <c r="G272" t="s">
        <v>6758</v>
      </c>
    </row>
    <row r="273">
      <c r="A273" t="s">
        <v>2492</v>
      </c>
      <c r="B273" t="s">
        <v>1087</v>
      </c>
      <c r="C273" t="s">
        <v>2081</v>
      </c>
      <c r="D273" t="s">
        <v>113</v>
      </c>
      <c r="E273" t="s">
        <v>6757</v>
      </c>
      <c r="G273" t="s">
        <v>6758</v>
      </c>
    </row>
    <row r="274">
      <c r="A274" t="s">
        <v>2495</v>
      </c>
      <c r="B274" t="s">
        <v>1094</v>
      </c>
      <c r="E274" t="s">
        <v>6759</v>
      </c>
      <c r="G274" t="s">
        <v>6758</v>
      </c>
    </row>
    <row r="275">
      <c r="A275" t="s">
        <v>2495</v>
      </c>
      <c r="B275" t="s">
        <v>1094</v>
      </c>
      <c r="C275" t="s">
        <v>2081</v>
      </c>
      <c r="D275" t="s">
        <v>113</v>
      </c>
      <c r="E275" t="s">
        <v>6757</v>
      </c>
      <c r="G275" t="s">
        <v>6758</v>
      </c>
    </row>
    <row r="276">
      <c r="A276" t="s">
        <v>2498</v>
      </c>
      <c r="B276" t="s">
        <v>1101</v>
      </c>
      <c r="C276" t="s">
        <v>2084</v>
      </c>
      <c r="D276" t="s">
        <v>119</v>
      </c>
      <c r="E276" t="s">
        <v>6757</v>
      </c>
      <c r="G276" t="s">
        <v>6758</v>
      </c>
    </row>
    <row r="277">
      <c r="A277" t="s">
        <v>2498</v>
      </c>
      <c r="B277" t="s">
        <v>1101</v>
      </c>
      <c r="C277" t="s">
        <v>2140</v>
      </c>
      <c r="D277" t="s">
        <v>263</v>
      </c>
      <c r="E277" t="s">
        <v>6757</v>
      </c>
      <c r="G277" t="s">
        <v>6758</v>
      </c>
    </row>
    <row r="278">
      <c r="A278" t="s">
        <v>2501</v>
      </c>
      <c r="B278" t="s">
        <v>1109</v>
      </c>
      <c r="E278" t="s">
        <v>6759</v>
      </c>
      <c r="G278" t="s">
        <v>6758</v>
      </c>
    </row>
    <row r="279">
      <c r="A279" t="s">
        <v>2501</v>
      </c>
      <c r="B279" t="s">
        <v>1109</v>
      </c>
      <c r="C279" t="s">
        <v>2084</v>
      </c>
      <c r="D279" t="s">
        <v>119</v>
      </c>
      <c r="E279" t="s">
        <v>6757</v>
      </c>
      <c r="G279" t="s">
        <v>6758</v>
      </c>
    </row>
    <row r="280">
      <c r="A280" t="s">
        <v>2504</v>
      </c>
      <c r="B280" t="s">
        <v>1114</v>
      </c>
      <c r="C280" t="s">
        <v>2293</v>
      </c>
      <c r="D280" t="s">
        <v>634</v>
      </c>
      <c r="E280" t="s">
        <v>6757</v>
      </c>
      <c r="G280" t="s">
        <v>6758</v>
      </c>
    </row>
    <row r="281">
      <c r="A281" t="s">
        <v>2505</v>
      </c>
      <c r="B281" t="s">
        <v>1121</v>
      </c>
      <c r="E281" t="s">
        <v>6759</v>
      </c>
      <c r="G281" t="s">
        <v>6758</v>
      </c>
    </row>
    <row r="282">
      <c r="A282" t="s">
        <v>2505</v>
      </c>
      <c r="B282" t="s">
        <v>1121</v>
      </c>
      <c r="C282" t="s">
        <v>2084</v>
      </c>
      <c r="D282" t="s">
        <v>119</v>
      </c>
      <c r="E282" t="s">
        <v>6757</v>
      </c>
      <c r="G282" t="s">
        <v>6758</v>
      </c>
    </row>
    <row r="283">
      <c r="A283" t="s">
        <v>2508</v>
      </c>
      <c r="B283" t="s">
        <v>1131</v>
      </c>
      <c r="C283" t="s">
        <v>2120</v>
      </c>
      <c r="D283" t="s">
        <v>219</v>
      </c>
      <c r="E283" t="s">
        <v>6757</v>
      </c>
      <c r="G283" t="s">
        <v>6758</v>
      </c>
    </row>
    <row r="284">
      <c r="A284" t="s">
        <v>2508</v>
      </c>
      <c r="B284" t="s">
        <v>1131</v>
      </c>
      <c r="C284" t="s">
        <v>2140</v>
      </c>
      <c r="D284" t="s">
        <v>263</v>
      </c>
      <c r="E284" t="s">
        <v>6757</v>
      </c>
      <c r="G284" t="s">
        <v>6758</v>
      </c>
    </row>
    <row r="285">
      <c r="A285" t="s">
        <v>2508</v>
      </c>
      <c r="B285" t="s">
        <v>1131</v>
      </c>
      <c r="C285" t="s">
        <v>2156</v>
      </c>
      <c r="D285" t="s">
        <v>306</v>
      </c>
      <c r="E285" t="s">
        <v>6757</v>
      </c>
      <c r="G285" t="s">
        <v>6758</v>
      </c>
    </row>
    <row r="286">
      <c r="A286" t="s">
        <v>2508</v>
      </c>
      <c r="B286" t="s">
        <v>1131</v>
      </c>
      <c r="C286" t="s">
        <v>2087</v>
      </c>
      <c r="D286" t="s">
        <v>128</v>
      </c>
      <c r="E286" t="s">
        <v>6757</v>
      </c>
      <c r="G286" t="s">
        <v>6758</v>
      </c>
    </row>
    <row r="287">
      <c r="A287" t="s">
        <v>2508</v>
      </c>
      <c r="B287" t="s">
        <v>1131</v>
      </c>
      <c r="C287" t="s">
        <v>2976</v>
      </c>
      <c r="D287" t="s">
        <v>2977</v>
      </c>
      <c r="E287" t="s">
        <v>6757</v>
      </c>
      <c r="G287" t="s">
        <v>6758</v>
      </c>
    </row>
    <row r="288">
      <c r="A288" t="s">
        <v>2510</v>
      </c>
      <c r="B288" t="s">
        <v>1139</v>
      </c>
      <c r="C288" t="s">
        <v>2170</v>
      </c>
      <c r="D288" t="s">
        <v>343</v>
      </c>
      <c r="E288" t="s">
        <v>6757</v>
      </c>
      <c r="G288" t="s">
        <v>6758</v>
      </c>
    </row>
    <row r="289">
      <c r="A289" t="s">
        <v>2510</v>
      </c>
      <c r="B289" t="s">
        <v>1139</v>
      </c>
      <c r="C289" t="s">
        <v>2081</v>
      </c>
      <c r="D289" t="s">
        <v>113</v>
      </c>
      <c r="E289" t="s">
        <v>6757</v>
      </c>
      <c r="G289" t="s">
        <v>6758</v>
      </c>
    </row>
    <row r="290">
      <c r="A290" t="s">
        <v>2510</v>
      </c>
      <c r="B290" t="s">
        <v>1139</v>
      </c>
      <c r="C290" t="s">
        <v>2140</v>
      </c>
      <c r="D290" t="s">
        <v>263</v>
      </c>
      <c r="E290" t="s">
        <v>6757</v>
      </c>
      <c r="G290" t="s">
        <v>6758</v>
      </c>
    </row>
    <row r="291">
      <c r="A291" t="s">
        <v>2514</v>
      </c>
      <c r="B291" t="s">
        <v>1145</v>
      </c>
      <c r="C291" t="s">
        <v>2510</v>
      </c>
      <c r="D291" t="s">
        <v>1139</v>
      </c>
      <c r="E291" t="s">
        <v>6757</v>
      </c>
      <c r="G291" t="s">
        <v>6758</v>
      </c>
    </row>
    <row r="292">
      <c r="A292" t="s">
        <v>2514</v>
      </c>
      <c r="B292" t="s">
        <v>1145</v>
      </c>
      <c r="C292" t="s">
        <v>2081</v>
      </c>
      <c r="D292" t="s">
        <v>113</v>
      </c>
      <c r="E292" t="s">
        <v>6757</v>
      </c>
      <c r="G292" t="s">
        <v>6758</v>
      </c>
    </row>
    <row r="293">
      <c r="A293" t="s">
        <v>2519</v>
      </c>
      <c r="B293" t="s">
        <v>1152</v>
      </c>
      <c r="C293" t="s">
        <v>2514</v>
      </c>
      <c r="D293" t="s">
        <v>1145</v>
      </c>
      <c r="E293" t="s">
        <v>6757</v>
      </c>
      <c r="G293" t="s">
        <v>6758</v>
      </c>
    </row>
    <row r="294">
      <c r="A294" t="s">
        <v>2519</v>
      </c>
      <c r="B294" t="s">
        <v>1152</v>
      </c>
      <c r="E294" t="s">
        <v>6759</v>
      </c>
      <c r="G294" t="s">
        <v>6758</v>
      </c>
    </row>
    <row r="295">
      <c r="A295" t="s">
        <v>2519</v>
      </c>
      <c r="B295" t="s">
        <v>1152</v>
      </c>
      <c r="C295" t="s">
        <v>2140</v>
      </c>
      <c r="D295" t="s">
        <v>263</v>
      </c>
      <c r="E295" t="s">
        <v>6757</v>
      </c>
      <c r="G295" t="s">
        <v>6758</v>
      </c>
    </row>
    <row r="296">
      <c r="A296" t="s">
        <v>2522</v>
      </c>
      <c r="B296" t="s">
        <v>1160</v>
      </c>
      <c r="E296" t="s">
        <v>6759</v>
      </c>
      <c r="G296" t="s">
        <v>6758</v>
      </c>
    </row>
    <row r="297">
      <c r="A297" t="s">
        <v>2522</v>
      </c>
      <c r="B297" t="s">
        <v>1160</v>
      </c>
      <c r="C297" t="s">
        <v>2745</v>
      </c>
      <c r="D297" t="s">
        <v>1713</v>
      </c>
      <c r="E297" t="s">
        <v>6757</v>
      </c>
      <c r="G297" t="s">
        <v>6758</v>
      </c>
    </row>
    <row r="298">
      <c r="A298" t="s">
        <v>2522</v>
      </c>
      <c r="B298" t="s">
        <v>1160</v>
      </c>
      <c r="E298" t="s">
        <v>6759</v>
      </c>
      <c r="G298" t="s">
        <v>6758</v>
      </c>
    </row>
    <row r="299">
      <c r="A299" t="s">
        <v>2525</v>
      </c>
      <c r="B299" t="s">
        <v>1168</v>
      </c>
      <c r="E299" t="s">
        <v>6759</v>
      </c>
      <c r="G299" t="s">
        <v>6758</v>
      </c>
    </row>
    <row r="300">
      <c r="A300" t="s">
        <v>2525</v>
      </c>
      <c r="B300" t="s">
        <v>1168</v>
      </c>
      <c r="C300" t="s">
        <v>2140</v>
      </c>
      <c r="D300" t="s">
        <v>263</v>
      </c>
      <c r="E300" t="s">
        <v>6757</v>
      </c>
      <c r="G300" t="s">
        <v>6758</v>
      </c>
    </row>
    <row r="301">
      <c r="A301" t="s">
        <v>2528</v>
      </c>
      <c r="B301" t="s">
        <v>1174</v>
      </c>
      <c r="C301" t="s">
        <v>2467</v>
      </c>
      <c r="D301" t="s">
        <v>1029</v>
      </c>
      <c r="E301" t="s">
        <v>6757</v>
      </c>
      <c r="G301" t="s">
        <v>6758</v>
      </c>
    </row>
    <row r="302">
      <c r="A302" t="s">
        <v>2528</v>
      </c>
      <c r="B302" t="s">
        <v>1174</v>
      </c>
      <c r="E302" t="s">
        <v>6759</v>
      </c>
      <c r="G302" t="s">
        <v>6758</v>
      </c>
    </row>
    <row r="303">
      <c r="A303" t="s">
        <v>2531</v>
      </c>
      <c r="B303" t="s">
        <v>1182</v>
      </c>
      <c r="E303" t="s">
        <v>6759</v>
      </c>
      <c r="G303" t="s">
        <v>6758</v>
      </c>
    </row>
    <row r="304">
      <c r="A304" t="s">
        <v>2531</v>
      </c>
      <c r="B304" t="s">
        <v>1182</v>
      </c>
      <c r="C304" t="s">
        <v>2084</v>
      </c>
      <c r="D304" t="s">
        <v>119</v>
      </c>
      <c r="E304" t="s">
        <v>6757</v>
      </c>
      <c r="G304" t="s">
        <v>6758</v>
      </c>
    </row>
    <row r="305">
      <c r="A305" t="s">
        <v>2531</v>
      </c>
      <c r="B305" t="s">
        <v>1182</v>
      </c>
      <c r="E305" t="s">
        <v>6759</v>
      </c>
      <c r="G305" t="s">
        <v>6758</v>
      </c>
    </row>
    <row r="306">
      <c r="A306" t="s">
        <v>2534</v>
      </c>
      <c r="B306" t="s">
        <v>1190</v>
      </c>
      <c r="E306" t="s">
        <v>6759</v>
      </c>
      <c r="G306" t="s">
        <v>6758</v>
      </c>
    </row>
    <row r="307">
      <c r="A307" t="s">
        <v>2534</v>
      </c>
      <c r="B307" t="s">
        <v>1190</v>
      </c>
      <c r="C307" t="s">
        <v>2170</v>
      </c>
      <c r="D307" t="s">
        <v>343</v>
      </c>
      <c r="E307" t="s">
        <v>6757</v>
      </c>
      <c r="G307" t="s">
        <v>6758</v>
      </c>
    </row>
    <row r="308">
      <c r="A308" t="s">
        <v>2537</v>
      </c>
      <c r="B308" t="s">
        <v>1201</v>
      </c>
      <c r="E308" t="s">
        <v>6759</v>
      </c>
      <c r="G308" t="s">
        <v>6758</v>
      </c>
    </row>
    <row r="309">
      <c r="A309" t="s">
        <v>2537</v>
      </c>
      <c r="B309" t="s">
        <v>1201</v>
      </c>
      <c r="E309" t="s">
        <v>6759</v>
      </c>
      <c r="G309" t="s">
        <v>6758</v>
      </c>
    </row>
    <row r="310">
      <c r="A310" t="s">
        <v>2537</v>
      </c>
      <c r="B310" t="s">
        <v>1201</v>
      </c>
      <c r="C310" t="s">
        <v>2081</v>
      </c>
      <c r="D310" t="s">
        <v>113</v>
      </c>
      <c r="E310" t="s">
        <v>6757</v>
      </c>
      <c r="G310" t="s">
        <v>6758</v>
      </c>
    </row>
    <row r="311">
      <c r="A311" t="s">
        <v>2541</v>
      </c>
      <c r="B311" t="s">
        <v>1209</v>
      </c>
      <c r="E311" t="s">
        <v>6759</v>
      </c>
      <c r="G311" t="s">
        <v>6758</v>
      </c>
    </row>
    <row r="312">
      <c r="A312" t="s">
        <v>2541</v>
      </c>
      <c r="B312" t="s">
        <v>1209</v>
      </c>
      <c r="E312" t="s">
        <v>6759</v>
      </c>
      <c r="G312" t="s">
        <v>6758</v>
      </c>
    </row>
    <row r="313">
      <c r="A313" t="s">
        <v>2544</v>
      </c>
      <c r="B313" t="s">
        <v>1215</v>
      </c>
      <c r="E313" t="s">
        <v>6759</v>
      </c>
      <c r="G313" t="s">
        <v>6758</v>
      </c>
    </row>
    <row r="314">
      <c r="A314" t="s">
        <v>2544</v>
      </c>
      <c r="B314" t="s">
        <v>1215</v>
      </c>
      <c r="C314" t="s">
        <v>2140</v>
      </c>
      <c r="D314" t="s">
        <v>263</v>
      </c>
      <c r="E314" t="s">
        <v>6757</v>
      </c>
      <c r="G314" t="s">
        <v>6758</v>
      </c>
    </row>
    <row r="315">
      <c r="A315" t="s">
        <v>2547</v>
      </c>
      <c r="B315" t="s">
        <v>1223</v>
      </c>
      <c r="C315" t="s">
        <v>2140</v>
      </c>
      <c r="D315" t="s">
        <v>263</v>
      </c>
      <c r="E315" t="s">
        <v>6757</v>
      </c>
      <c r="G315" t="s">
        <v>6758</v>
      </c>
    </row>
    <row r="316">
      <c r="A316" t="s">
        <v>2547</v>
      </c>
      <c r="B316" t="s">
        <v>1223</v>
      </c>
      <c r="C316" t="s">
        <v>2081</v>
      </c>
      <c r="D316" t="s">
        <v>113</v>
      </c>
      <c r="E316" t="s">
        <v>6757</v>
      </c>
      <c r="G316" t="s">
        <v>6758</v>
      </c>
    </row>
    <row r="317">
      <c r="A317" t="s">
        <v>2550</v>
      </c>
      <c r="B317" t="s">
        <v>1229</v>
      </c>
      <c r="C317" t="s">
        <v>2547</v>
      </c>
      <c r="D317" t="s">
        <v>1223</v>
      </c>
      <c r="E317" t="s">
        <v>6757</v>
      </c>
      <c r="G317" t="s">
        <v>6758</v>
      </c>
    </row>
    <row r="318">
      <c r="A318" t="s">
        <v>2550</v>
      </c>
      <c r="B318" t="s">
        <v>1229</v>
      </c>
      <c r="C318" t="s">
        <v>2084</v>
      </c>
      <c r="D318" t="s">
        <v>119</v>
      </c>
      <c r="E318" t="s">
        <v>6757</v>
      </c>
      <c r="G318" t="s">
        <v>6758</v>
      </c>
    </row>
    <row r="319">
      <c r="A319" t="s">
        <v>2553</v>
      </c>
      <c r="B319" t="s">
        <v>1235</v>
      </c>
      <c r="E319" t="s">
        <v>6759</v>
      </c>
      <c r="G319" t="s">
        <v>6758</v>
      </c>
    </row>
    <row r="320">
      <c r="A320" t="s">
        <v>2553</v>
      </c>
      <c r="B320" t="s">
        <v>1235</v>
      </c>
      <c r="C320" t="s">
        <v>2084</v>
      </c>
      <c r="D320" t="s">
        <v>119</v>
      </c>
      <c r="E320" t="s">
        <v>6757</v>
      </c>
      <c r="G320" t="s">
        <v>6758</v>
      </c>
    </row>
    <row r="321">
      <c r="A321" t="s">
        <v>2555</v>
      </c>
      <c r="B321" t="s">
        <v>1242</v>
      </c>
      <c r="C321" t="s">
        <v>2550</v>
      </c>
      <c r="D321" t="s">
        <v>1229</v>
      </c>
      <c r="E321" t="s">
        <v>6757</v>
      </c>
      <c r="G321" t="s">
        <v>6758</v>
      </c>
    </row>
    <row r="322">
      <c r="A322" t="s">
        <v>2558</v>
      </c>
      <c r="B322" t="s">
        <v>1250</v>
      </c>
      <c r="C322" t="s">
        <v>2087</v>
      </c>
      <c r="D322" t="s">
        <v>128</v>
      </c>
      <c r="E322" t="s">
        <v>6757</v>
      </c>
      <c r="G322" t="s">
        <v>6758</v>
      </c>
    </row>
    <row r="323">
      <c r="A323" t="s">
        <v>2558</v>
      </c>
      <c r="B323" t="s">
        <v>1250</v>
      </c>
      <c r="C323" t="s">
        <v>2140</v>
      </c>
      <c r="D323" t="s">
        <v>263</v>
      </c>
      <c r="E323" t="s">
        <v>6757</v>
      </c>
      <c r="G323" t="s">
        <v>6758</v>
      </c>
    </row>
    <row r="324">
      <c r="A324" t="s">
        <v>2561</v>
      </c>
      <c r="B324" t="s">
        <v>1257</v>
      </c>
      <c r="C324" t="s">
        <v>2558</v>
      </c>
      <c r="D324" t="s">
        <v>1250</v>
      </c>
      <c r="E324" t="s">
        <v>6757</v>
      </c>
      <c r="G324" t="s">
        <v>6758</v>
      </c>
    </row>
    <row r="325">
      <c r="A325" t="s">
        <v>2561</v>
      </c>
      <c r="B325" t="s">
        <v>1257</v>
      </c>
      <c r="C325" t="s">
        <v>2140</v>
      </c>
      <c r="D325" t="s">
        <v>263</v>
      </c>
      <c r="E325" t="s">
        <v>6757</v>
      </c>
      <c r="G325" t="s">
        <v>6758</v>
      </c>
    </row>
    <row r="326">
      <c r="A326" t="s">
        <v>2564</v>
      </c>
      <c r="B326" t="s">
        <v>1263</v>
      </c>
      <c r="E326" t="s">
        <v>6759</v>
      </c>
      <c r="G326" t="s">
        <v>6758</v>
      </c>
    </row>
    <row r="327">
      <c r="A327" t="s">
        <v>2564</v>
      </c>
      <c r="B327" t="s">
        <v>1263</v>
      </c>
      <c r="C327" t="s">
        <v>2561</v>
      </c>
      <c r="D327" t="s">
        <v>1257</v>
      </c>
      <c r="E327" t="s">
        <v>6757</v>
      </c>
      <c r="G327" t="s">
        <v>6758</v>
      </c>
    </row>
    <row r="328">
      <c r="A328" t="s">
        <v>2567</v>
      </c>
      <c r="B328" t="s">
        <v>1271</v>
      </c>
      <c r="C328" t="s">
        <v>2146</v>
      </c>
      <c r="D328" t="s">
        <v>279</v>
      </c>
      <c r="E328" t="s">
        <v>6757</v>
      </c>
      <c r="G328" t="s">
        <v>6758</v>
      </c>
    </row>
    <row r="329">
      <c r="A329" t="s">
        <v>2567</v>
      </c>
      <c r="B329" t="s">
        <v>1271</v>
      </c>
      <c r="C329" t="s">
        <v>2081</v>
      </c>
      <c r="D329" t="s">
        <v>113</v>
      </c>
      <c r="E329" t="s">
        <v>6757</v>
      </c>
      <c r="G329" t="s">
        <v>6758</v>
      </c>
    </row>
    <row r="330">
      <c r="A330" t="s">
        <v>2570</v>
      </c>
      <c r="B330" t="s">
        <v>1279</v>
      </c>
      <c r="C330" t="s">
        <v>2140</v>
      </c>
      <c r="D330" t="s">
        <v>263</v>
      </c>
      <c r="E330" t="s">
        <v>6757</v>
      </c>
      <c r="G330" t="s">
        <v>6758</v>
      </c>
    </row>
    <row r="331">
      <c r="A331" t="s">
        <v>2570</v>
      </c>
      <c r="B331" t="s">
        <v>1279</v>
      </c>
      <c r="E331" t="s">
        <v>6759</v>
      </c>
      <c r="G331" t="s">
        <v>6758</v>
      </c>
    </row>
    <row r="332">
      <c r="A332" t="s">
        <v>2570</v>
      </c>
      <c r="B332" t="s">
        <v>1279</v>
      </c>
      <c r="E332" t="s">
        <v>6759</v>
      </c>
      <c r="G332" t="s">
        <v>6758</v>
      </c>
    </row>
    <row r="333">
      <c r="A333" t="s">
        <v>2573</v>
      </c>
      <c r="B333" t="s">
        <v>1287</v>
      </c>
      <c r="C333" t="s">
        <v>2570</v>
      </c>
      <c r="D333" t="s">
        <v>1279</v>
      </c>
      <c r="E333" t="s">
        <v>6757</v>
      </c>
      <c r="G333" t="s">
        <v>6758</v>
      </c>
    </row>
    <row r="334">
      <c r="A334" t="s">
        <v>2573</v>
      </c>
      <c r="B334" t="s">
        <v>1287</v>
      </c>
      <c r="C334" t="s">
        <v>2140</v>
      </c>
      <c r="D334" t="s">
        <v>263</v>
      </c>
      <c r="E334" t="s">
        <v>6757</v>
      </c>
      <c r="G334" t="s">
        <v>6758</v>
      </c>
    </row>
    <row r="335">
      <c r="A335" t="s">
        <v>2576</v>
      </c>
      <c r="B335" t="s">
        <v>1294</v>
      </c>
      <c r="E335" t="s">
        <v>6759</v>
      </c>
      <c r="G335" t="s">
        <v>6758</v>
      </c>
    </row>
    <row r="336">
      <c r="A336" t="s">
        <v>2576</v>
      </c>
      <c r="B336" t="s">
        <v>1294</v>
      </c>
      <c r="C336" t="s">
        <v>2251</v>
      </c>
      <c r="D336" t="s">
        <v>524</v>
      </c>
      <c r="E336" t="s">
        <v>6757</v>
      </c>
      <c r="G336" t="s">
        <v>6758</v>
      </c>
    </row>
    <row r="337">
      <c r="A337" t="s">
        <v>2579</v>
      </c>
      <c r="B337" t="s">
        <v>1302</v>
      </c>
      <c r="C337" t="s">
        <v>2570</v>
      </c>
      <c r="D337" t="s">
        <v>1279</v>
      </c>
      <c r="E337" t="s">
        <v>6757</v>
      </c>
      <c r="G337" t="s">
        <v>6758</v>
      </c>
    </row>
    <row r="338">
      <c r="A338" t="s">
        <v>2579</v>
      </c>
      <c r="B338" t="s">
        <v>1302</v>
      </c>
      <c r="E338" t="s">
        <v>6759</v>
      </c>
      <c r="G338" t="s">
        <v>6758</v>
      </c>
    </row>
    <row r="339">
      <c r="A339" t="s">
        <v>2582</v>
      </c>
      <c r="B339" t="s">
        <v>1312</v>
      </c>
      <c r="E339" t="s">
        <v>6759</v>
      </c>
      <c r="G339" t="s">
        <v>6758</v>
      </c>
    </row>
    <row r="340">
      <c r="A340" t="s">
        <v>2582</v>
      </c>
      <c r="B340" t="s">
        <v>1312</v>
      </c>
      <c r="C340" t="s">
        <v>2087</v>
      </c>
      <c r="D340" t="s">
        <v>128</v>
      </c>
      <c r="E340" t="s">
        <v>6757</v>
      </c>
      <c r="G340" t="s">
        <v>6758</v>
      </c>
    </row>
    <row r="341">
      <c r="A341" t="s">
        <v>2582</v>
      </c>
      <c r="B341" t="s">
        <v>1312</v>
      </c>
      <c r="E341" t="s">
        <v>6759</v>
      </c>
      <c r="G341" t="s">
        <v>6758</v>
      </c>
    </row>
    <row r="342">
      <c r="A342" t="s">
        <v>2585</v>
      </c>
      <c r="B342" t="s">
        <v>1320</v>
      </c>
      <c r="E342" t="s">
        <v>6759</v>
      </c>
      <c r="G342" t="s">
        <v>6758</v>
      </c>
    </row>
    <row r="343">
      <c r="A343" t="s">
        <v>2585</v>
      </c>
      <c r="B343" t="s">
        <v>1320</v>
      </c>
      <c r="C343" t="s">
        <v>2084</v>
      </c>
      <c r="D343" t="s">
        <v>119</v>
      </c>
      <c r="E343" t="s">
        <v>6757</v>
      </c>
      <c r="G343" t="s">
        <v>6758</v>
      </c>
    </row>
    <row r="344">
      <c r="A344" t="s">
        <v>2588</v>
      </c>
      <c r="B344" t="s">
        <v>1328</v>
      </c>
      <c r="C344" t="s">
        <v>2140</v>
      </c>
      <c r="D344" t="s">
        <v>263</v>
      </c>
      <c r="E344" t="s">
        <v>6757</v>
      </c>
      <c r="G344" t="s">
        <v>6758</v>
      </c>
    </row>
    <row r="345">
      <c r="A345" t="s">
        <v>2588</v>
      </c>
      <c r="B345" t="s">
        <v>1328</v>
      </c>
      <c r="E345" t="s">
        <v>6759</v>
      </c>
      <c r="G345" t="s">
        <v>6758</v>
      </c>
    </row>
    <row r="346">
      <c r="A346" t="s">
        <v>2590</v>
      </c>
      <c r="B346" t="s">
        <v>1334</v>
      </c>
      <c r="E346" t="s">
        <v>6759</v>
      </c>
      <c r="G346" t="s">
        <v>6758</v>
      </c>
    </row>
    <row r="347">
      <c r="A347" t="s">
        <v>2590</v>
      </c>
      <c r="B347" t="s">
        <v>1334</v>
      </c>
      <c r="C347" t="s">
        <v>2245</v>
      </c>
      <c r="D347" t="s">
        <v>508</v>
      </c>
      <c r="E347" t="s">
        <v>6757</v>
      </c>
      <c r="G347" t="s">
        <v>6758</v>
      </c>
    </row>
    <row r="348">
      <c r="A348" t="s">
        <v>2590</v>
      </c>
      <c r="B348" t="s">
        <v>1334</v>
      </c>
      <c r="E348" t="s">
        <v>6759</v>
      </c>
      <c r="G348" t="s">
        <v>6758</v>
      </c>
    </row>
    <row r="349">
      <c r="A349" t="s">
        <v>2593</v>
      </c>
      <c r="B349" t="s">
        <v>1344</v>
      </c>
      <c r="C349" t="s">
        <v>2081</v>
      </c>
      <c r="D349" t="s">
        <v>113</v>
      </c>
      <c r="E349" t="s">
        <v>6757</v>
      </c>
      <c r="G349" t="s">
        <v>6758</v>
      </c>
    </row>
    <row r="350">
      <c r="A350" t="s">
        <v>2593</v>
      </c>
      <c r="B350" t="s">
        <v>1344</v>
      </c>
      <c r="C350" t="s">
        <v>2170</v>
      </c>
      <c r="D350" t="s">
        <v>343</v>
      </c>
      <c r="E350" t="s">
        <v>6757</v>
      </c>
      <c r="G350" t="s">
        <v>6758</v>
      </c>
    </row>
    <row r="351">
      <c r="A351" t="s">
        <v>2596</v>
      </c>
      <c r="B351" t="s">
        <v>1352</v>
      </c>
      <c r="C351" t="s">
        <v>2593</v>
      </c>
      <c r="D351" t="s">
        <v>1344</v>
      </c>
      <c r="E351" t="s">
        <v>6757</v>
      </c>
      <c r="G351" t="s">
        <v>6758</v>
      </c>
    </row>
    <row r="352">
      <c r="A352" t="s">
        <v>2596</v>
      </c>
      <c r="B352" t="s">
        <v>1352</v>
      </c>
      <c r="E352" t="s">
        <v>6759</v>
      </c>
      <c r="G352" t="s">
        <v>6758</v>
      </c>
    </row>
    <row r="353">
      <c r="A353" t="s">
        <v>2596</v>
      </c>
      <c r="B353" t="s">
        <v>1352</v>
      </c>
      <c r="C353" t="s">
        <v>2081</v>
      </c>
      <c r="D353" t="s">
        <v>113</v>
      </c>
      <c r="E353" t="s">
        <v>6757</v>
      </c>
      <c r="G353" t="s">
        <v>6758</v>
      </c>
    </row>
    <row r="354">
      <c r="A354" t="s">
        <v>2599</v>
      </c>
      <c r="B354" t="s">
        <v>1359</v>
      </c>
      <c r="C354" t="s">
        <v>2593</v>
      </c>
      <c r="D354" t="s">
        <v>1344</v>
      </c>
      <c r="E354" t="s">
        <v>6757</v>
      </c>
      <c r="G354" t="s">
        <v>6758</v>
      </c>
    </row>
    <row r="355">
      <c r="A355" t="s">
        <v>2599</v>
      </c>
      <c r="B355" t="s">
        <v>1359</v>
      </c>
      <c r="C355" t="s">
        <v>2140</v>
      </c>
      <c r="D355" t="s">
        <v>263</v>
      </c>
      <c r="E355" t="s">
        <v>6757</v>
      </c>
      <c r="G355" t="s">
        <v>6758</v>
      </c>
    </row>
    <row r="356">
      <c r="A356" t="s">
        <v>2602</v>
      </c>
      <c r="B356" t="s">
        <v>1366</v>
      </c>
      <c r="C356" t="s">
        <v>2596</v>
      </c>
      <c r="D356" t="s">
        <v>1352</v>
      </c>
      <c r="E356" t="s">
        <v>6757</v>
      </c>
      <c r="G356" t="s">
        <v>6758</v>
      </c>
    </row>
    <row r="357">
      <c r="A357" t="s">
        <v>2602</v>
      </c>
      <c r="B357" t="s">
        <v>1366</v>
      </c>
      <c r="C357" t="s">
        <v>2140</v>
      </c>
      <c r="D357" t="s">
        <v>263</v>
      </c>
      <c r="E357" t="s">
        <v>6757</v>
      </c>
      <c r="G357" t="s">
        <v>6758</v>
      </c>
    </row>
    <row r="358">
      <c r="A358" t="s">
        <v>2605</v>
      </c>
      <c r="B358" t="s">
        <v>1372</v>
      </c>
      <c r="C358" t="s">
        <v>2652</v>
      </c>
      <c r="D358" t="s">
        <v>1489</v>
      </c>
      <c r="E358" t="s">
        <v>6757</v>
      </c>
      <c r="G358" t="s">
        <v>6758</v>
      </c>
    </row>
    <row r="359">
      <c r="A359" t="s">
        <v>2605</v>
      </c>
      <c r="B359" t="s">
        <v>1372</v>
      </c>
      <c r="C359" t="s">
        <v>2608</v>
      </c>
      <c r="D359" t="s">
        <v>1383</v>
      </c>
      <c r="E359" t="s">
        <v>6757</v>
      </c>
      <c r="G359" t="s">
        <v>6758</v>
      </c>
    </row>
    <row r="360">
      <c r="A360" t="s">
        <v>2608</v>
      </c>
      <c r="B360" t="s">
        <v>1383</v>
      </c>
      <c r="C360" t="s">
        <v>2081</v>
      </c>
      <c r="D360" t="s">
        <v>113</v>
      </c>
      <c r="E360" t="s">
        <v>6757</v>
      </c>
      <c r="G360" t="s">
        <v>6758</v>
      </c>
    </row>
    <row r="361">
      <c r="A361" t="s">
        <v>2608</v>
      </c>
      <c r="B361" t="s">
        <v>1383</v>
      </c>
      <c r="E361" t="s">
        <v>6759</v>
      </c>
      <c r="G361" t="s">
        <v>6758</v>
      </c>
    </row>
    <row r="362">
      <c r="A362" t="s">
        <v>2611</v>
      </c>
      <c r="B362" t="s">
        <v>1390</v>
      </c>
      <c r="E362" t="s">
        <v>6759</v>
      </c>
      <c r="G362" t="s">
        <v>6758</v>
      </c>
    </row>
    <row r="363">
      <c r="A363" t="s">
        <v>2611</v>
      </c>
      <c r="B363" t="s">
        <v>1390</v>
      </c>
      <c r="C363" t="s">
        <v>2081</v>
      </c>
      <c r="D363" t="s">
        <v>113</v>
      </c>
      <c r="E363" t="s">
        <v>6757</v>
      </c>
      <c r="G363" t="s">
        <v>6758</v>
      </c>
    </row>
    <row r="364">
      <c r="A364" t="s">
        <v>2614</v>
      </c>
      <c r="B364" t="s">
        <v>1396</v>
      </c>
      <c r="E364" t="s">
        <v>6759</v>
      </c>
      <c r="G364" t="s">
        <v>6758</v>
      </c>
    </row>
    <row r="365">
      <c r="A365" t="s">
        <v>2614</v>
      </c>
      <c r="B365" t="s">
        <v>1396</v>
      </c>
      <c r="C365" t="s">
        <v>2140</v>
      </c>
      <c r="D365" t="s">
        <v>263</v>
      </c>
      <c r="E365" t="s">
        <v>6757</v>
      </c>
      <c r="G365" t="s">
        <v>6758</v>
      </c>
    </row>
    <row r="366">
      <c r="A366" t="s">
        <v>2617</v>
      </c>
      <c r="B366" t="s">
        <v>1402</v>
      </c>
      <c r="E366" t="s">
        <v>6759</v>
      </c>
      <c r="G366" t="s">
        <v>6758</v>
      </c>
    </row>
    <row r="367">
      <c r="A367" t="s">
        <v>2617</v>
      </c>
      <c r="B367" t="s">
        <v>1402</v>
      </c>
      <c r="C367" t="s">
        <v>2652</v>
      </c>
      <c r="D367" t="s">
        <v>1489</v>
      </c>
      <c r="E367" t="s">
        <v>6757</v>
      </c>
      <c r="G367" t="s">
        <v>6758</v>
      </c>
    </row>
    <row r="368">
      <c r="A368" t="s">
        <v>2620</v>
      </c>
      <c r="B368" t="s">
        <v>1410</v>
      </c>
      <c r="E368" t="s">
        <v>6759</v>
      </c>
      <c r="G368" t="s">
        <v>6758</v>
      </c>
    </row>
    <row r="369">
      <c r="A369" t="s">
        <v>2620</v>
      </c>
      <c r="B369" t="s">
        <v>1410</v>
      </c>
      <c r="E369" t="s">
        <v>6759</v>
      </c>
      <c r="G369" t="s">
        <v>6758</v>
      </c>
    </row>
    <row r="370">
      <c r="A370" t="s">
        <v>2623</v>
      </c>
      <c r="B370" t="s">
        <v>1420</v>
      </c>
      <c r="C370" t="s">
        <v>2608</v>
      </c>
      <c r="D370" t="s">
        <v>1383</v>
      </c>
      <c r="E370" t="s">
        <v>6757</v>
      </c>
      <c r="G370" t="s">
        <v>6758</v>
      </c>
    </row>
    <row r="371">
      <c r="A371" t="s">
        <v>2623</v>
      </c>
      <c r="B371" t="s">
        <v>1420</v>
      </c>
      <c r="C371" t="s">
        <v>2081</v>
      </c>
      <c r="D371" t="s">
        <v>113</v>
      </c>
      <c r="E371" t="s">
        <v>6757</v>
      </c>
      <c r="G371" t="s">
        <v>6758</v>
      </c>
    </row>
    <row r="372">
      <c r="A372" t="s">
        <v>2626</v>
      </c>
      <c r="B372" t="s">
        <v>1428</v>
      </c>
      <c r="C372" t="s">
        <v>2170</v>
      </c>
      <c r="D372" t="s">
        <v>343</v>
      </c>
      <c r="E372" t="s">
        <v>6757</v>
      </c>
      <c r="G372" t="s">
        <v>6758</v>
      </c>
    </row>
    <row r="373">
      <c r="A373" t="s">
        <v>2626</v>
      </c>
      <c r="B373" t="s">
        <v>1428</v>
      </c>
      <c r="C373" t="s">
        <v>2188</v>
      </c>
      <c r="D373" t="s">
        <v>378</v>
      </c>
      <c r="E373" t="s">
        <v>6757</v>
      </c>
      <c r="G373" t="s">
        <v>6758</v>
      </c>
    </row>
    <row r="374">
      <c r="A374" t="s">
        <v>2628</v>
      </c>
      <c r="B374" t="s">
        <v>1435</v>
      </c>
      <c r="C374" t="s">
        <v>2623</v>
      </c>
      <c r="D374" t="s">
        <v>1420</v>
      </c>
      <c r="E374" t="s">
        <v>6757</v>
      </c>
      <c r="G374" t="s">
        <v>6758</v>
      </c>
    </row>
    <row r="375">
      <c r="A375" t="s">
        <v>2631</v>
      </c>
      <c r="B375" t="s">
        <v>1440</v>
      </c>
      <c r="C375" t="s">
        <v>2608</v>
      </c>
      <c r="D375" t="s">
        <v>1383</v>
      </c>
      <c r="E375" t="s">
        <v>6757</v>
      </c>
      <c r="G375" t="s">
        <v>6758</v>
      </c>
    </row>
    <row r="376">
      <c r="A376" t="s">
        <v>2634</v>
      </c>
      <c r="B376" t="s">
        <v>1445</v>
      </c>
      <c r="C376" t="s">
        <v>2623</v>
      </c>
      <c r="D376" t="s">
        <v>1420</v>
      </c>
      <c r="E376" t="s">
        <v>6757</v>
      </c>
      <c r="G376" t="s">
        <v>6758</v>
      </c>
    </row>
    <row r="377">
      <c r="A377" t="s">
        <v>2634</v>
      </c>
      <c r="B377" t="s">
        <v>1445</v>
      </c>
      <c r="E377" t="s">
        <v>6759</v>
      </c>
      <c r="G377" t="s">
        <v>6758</v>
      </c>
    </row>
    <row r="378">
      <c r="A378" t="s">
        <v>2637</v>
      </c>
      <c r="B378" t="s">
        <v>1455</v>
      </c>
      <c r="E378" t="s">
        <v>6759</v>
      </c>
      <c r="G378" t="s">
        <v>6758</v>
      </c>
    </row>
    <row r="379">
      <c r="A379" t="s">
        <v>2637</v>
      </c>
      <c r="B379" t="s">
        <v>1455</v>
      </c>
      <c r="C379" t="s">
        <v>2188</v>
      </c>
      <c r="D379" t="s">
        <v>378</v>
      </c>
      <c r="E379" t="s">
        <v>6757</v>
      </c>
      <c r="G379" t="s">
        <v>6758</v>
      </c>
    </row>
    <row r="380">
      <c r="A380" t="s">
        <v>2640</v>
      </c>
      <c r="B380" t="s">
        <v>1463</v>
      </c>
      <c r="C380" t="s">
        <v>2081</v>
      </c>
      <c r="D380" t="s">
        <v>113</v>
      </c>
      <c r="E380" t="s">
        <v>6757</v>
      </c>
      <c r="G380" t="s">
        <v>6758</v>
      </c>
    </row>
    <row r="381">
      <c r="A381" t="s">
        <v>2643</v>
      </c>
      <c r="B381" t="s">
        <v>1468</v>
      </c>
      <c r="C381" t="s">
        <v>2640</v>
      </c>
      <c r="D381" t="s">
        <v>1463</v>
      </c>
      <c r="E381" t="s">
        <v>6757</v>
      </c>
      <c r="G381" t="s">
        <v>6758</v>
      </c>
    </row>
    <row r="382">
      <c r="A382" t="s">
        <v>2646</v>
      </c>
      <c r="B382" t="s">
        <v>1473</v>
      </c>
      <c r="C382" t="s">
        <v>2599</v>
      </c>
      <c r="D382" t="s">
        <v>1359</v>
      </c>
      <c r="E382" t="s">
        <v>6757</v>
      </c>
      <c r="G382" t="s">
        <v>6758</v>
      </c>
    </row>
    <row r="383">
      <c r="A383" t="s">
        <v>2646</v>
      </c>
      <c r="B383" t="s">
        <v>1473</v>
      </c>
      <c r="C383" t="s">
        <v>2637</v>
      </c>
      <c r="D383" t="s">
        <v>1455</v>
      </c>
      <c r="E383" t="s">
        <v>6757</v>
      </c>
      <c r="G383" t="s">
        <v>6758</v>
      </c>
    </row>
    <row r="384">
      <c r="A384" t="s">
        <v>2649</v>
      </c>
      <c r="B384" t="s">
        <v>1481</v>
      </c>
      <c r="C384" t="s">
        <v>2637</v>
      </c>
      <c r="D384" t="s">
        <v>1455</v>
      </c>
      <c r="E384" t="s">
        <v>6757</v>
      </c>
      <c r="G384" t="s">
        <v>6758</v>
      </c>
    </row>
    <row r="385">
      <c r="A385" t="s">
        <v>2652</v>
      </c>
      <c r="B385" t="s">
        <v>1489</v>
      </c>
      <c r="E385" t="s">
        <v>6759</v>
      </c>
      <c r="G385" t="s">
        <v>6758</v>
      </c>
    </row>
    <row r="386">
      <c r="A386" t="s">
        <v>2652</v>
      </c>
      <c r="B386" t="s">
        <v>1489</v>
      </c>
      <c r="C386" t="s">
        <v>2084</v>
      </c>
      <c r="D386" t="s">
        <v>119</v>
      </c>
      <c r="E386" t="s">
        <v>6757</v>
      </c>
      <c r="G386" t="s">
        <v>6758</v>
      </c>
    </row>
    <row r="387">
      <c r="A387" t="s">
        <v>2655</v>
      </c>
      <c r="B387" t="s">
        <v>1497</v>
      </c>
      <c r="C387" t="s">
        <v>2652</v>
      </c>
      <c r="D387" t="s">
        <v>1489</v>
      </c>
      <c r="E387" t="s">
        <v>6757</v>
      </c>
      <c r="G387" t="s">
        <v>6758</v>
      </c>
    </row>
    <row r="388">
      <c r="A388" t="s">
        <v>2658</v>
      </c>
      <c r="B388" t="s">
        <v>1502</v>
      </c>
      <c r="C388" t="s">
        <v>2140</v>
      </c>
      <c r="D388" t="s">
        <v>263</v>
      </c>
      <c r="E388" t="s">
        <v>6757</v>
      </c>
      <c r="G388" t="s">
        <v>6758</v>
      </c>
    </row>
    <row r="389">
      <c r="A389" t="s">
        <v>2658</v>
      </c>
      <c r="B389" t="s">
        <v>1502</v>
      </c>
      <c r="C389" t="s">
        <v>2652</v>
      </c>
      <c r="D389" t="s">
        <v>1489</v>
      </c>
      <c r="E389" t="s">
        <v>6757</v>
      </c>
      <c r="G389" t="s">
        <v>6758</v>
      </c>
    </row>
    <row r="390">
      <c r="A390" t="s">
        <v>2661</v>
      </c>
      <c r="B390" t="s">
        <v>1509</v>
      </c>
      <c r="C390" t="s">
        <v>2655</v>
      </c>
      <c r="D390" t="s">
        <v>1497</v>
      </c>
      <c r="E390" t="s">
        <v>6757</v>
      </c>
      <c r="G390" t="s">
        <v>6758</v>
      </c>
    </row>
    <row r="391">
      <c r="A391" t="s">
        <v>2661</v>
      </c>
      <c r="B391" t="s">
        <v>1509</v>
      </c>
      <c r="E391" t="s">
        <v>6759</v>
      </c>
      <c r="G391" t="s">
        <v>6758</v>
      </c>
    </row>
    <row r="392">
      <c r="A392" t="s">
        <v>2664</v>
      </c>
      <c r="B392" t="s">
        <v>1515</v>
      </c>
      <c r="C392" t="s">
        <v>2652</v>
      </c>
      <c r="D392" t="s">
        <v>1489</v>
      </c>
      <c r="E392" t="s">
        <v>6757</v>
      </c>
      <c r="G392" t="s">
        <v>6758</v>
      </c>
    </row>
    <row r="393">
      <c r="A393" t="s">
        <v>2664</v>
      </c>
      <c r="B393" t="s">
        <v>1515</v>
      </c>
      <c r="E393" t="s">
        <v>6759</v>
      </c>
      <c r="G393" t="s">
        <v>6758</v>
      </c>
    </row>
    <row r="394">
      <c r="A394" t="s">
        <v>2667</v>
      </c>
      <c r="B394" t="s">
        <v>1524</v>
      </c>
      <c r="C394" t="s">
        <v>2081</v>
      </c>
      <c r="D394" t="s">
        <v>113</v>
      </c>
      <c r="E394" t="s">
        <v>6757</v>
      </c>
      <c r="G394" t="s">
        <v>6758</v>
      </c>
    </row>
    <row r="395">
      <c r="A395" t="s">
        <v>2667</v>
      </c>
      <c r="B395" t="s">
        <v>1524</v>
      </c>
      <c r="C395" t="s">
        <v>2718</v>
      </c>
      <c r="D395" t="s">
        <v>1651</v>
      </c>
      <c r="E395" t="s">
        <v>6757</v>
      </c>
      <c r="G395" t="s">
        <v>6758</v>
      </c>
    </row>
    <row r="396">
      <c r="A396" t="s">
        <v>2671</v>
      </c>
      <c r="B396" t="s">
        <v>1532</v>
      </c>
      <c r="C396" t="s">
        <v>2667</v>
      </c>
      <c r="D396" t="s">
        <v>1524</v>
      </c>
      <c r="E396" t="s">
        <v>6757</v>
      </c>
      <c r="G396" t="s">
        <v>6758</v>
      </c>
    </row>
    <row r="397">
      <c r="A397" t="s">
        <v>2674</v>
      </c>
      <c r="B397" t="s">
        <v>1539</v>
      </c>
      <c r="C397" t="s">
        <v>2686</v>
      </c>
      <c r="D397" t="s">
        <v>1532</v>
      </c>
      <c r="E397" t="s">
        <v>6757</v>
      </c>
      <c r="G397" t="s">
        <v>6758</v>
      </c>
    </row>
    <row r="398">
      <c r="A398" t="s">
        <v>2674</v>
      </c>
      <c r="B398" t="s">
        <v>1539</v>
      </c>
      <c r="C398" t="s">
        <v>2136</v>
      </c>
      <c r="D398" t="s">
        <v>254</v>
      </c>
      <c r="E398" t="s">
        <v>6757</v>
      </c>
      <c r="G398" t="s">
        <v>6758</v>
      </c>
    </row>
    <row r="399">
      <c r="A399" t="s">
        <v>2677</v>
      </c>
      <c r="B399" t="s">
        <v>1547</v>
      </c>
      <c r="C399" t="s">
        <v>2199</v>
      </c>
      <c r="D399" t="s">
        <v>410</v>
      </c>
      <c r="E399" t="s">
        <v>6757</v>
      </c>
      <c r="G399" t="s">
        <v>6758</v>
      </c>
    </row>
    <row r="400">
      <c r="A400" t="s">
        <v>2677</v>
      </c>
      <c r="B400" t="s">
        <v>1547</v>
      </c>
      <c r="E400" t="s">
        <v>6759</v>
      </c>
      <c r="G400" t="s">
        <v>6758</v>
      </c>
    </row>
    <row r="401">
      <c r="A401" t="s">
        <v>2680</v>
      </c>
      <c r="B401" t="s">
        <v>1555</v>
      </c>
      <c r="C401" t="s">
        <v>2721</v>
      </c>
      <c r="D401" t="s">
        <v>1657</v>
      </c>
      <c r="E401" t="s">
        <v>6757</v>
      </c>
      <c r="G401" t="s">
        <v>6758</v>
      </c>
    </row>
    <row r="402">
      <c r="A402" t="s">
        <v>2680</v>
      </c>
      <c r="B402" t="s">
        <v>1555</v>
      </c>
      <c r="E402" t="s">
        <v>6759</v>
      </c>
      <c r="G402" t="s">
        <v>6758</v>
      </c>
    </row>
    <row r="403">
      <c r="A403" t="s">
        <v>2683</v>
      </c>
      <c r="B403" t="s">
        <v>1566</v>
      </c>
      <c r="E403" t="s">
        <v>6759</v>
      </c>
      <c r="G403" t="s">
        <v>6758</v>
      </c>
    </row>
    <row r="404">
      <c r="A404" t="s">
        <v>2686</v>
      </c>
      <c r="B404" t="s">
        <v>1532</v>
      </c>
      <c r="E404" t="s">
        <v>6759</v>
      </c>
      <c r="G404" t="s">
        <v>6758</v>
      </c>
    </row>
    <row r="405">
      <c r="A405" t="s">
        <v>2689</v>
      </c>
      <c r="B405" t="s">
        <v>1578</v>
      </c>
      <c r="E405" t="s">
        <v>6759</v>
      </c>
      <c r="G405" t="s">
        <v>6758</v>
      </c>
    </row>
    <row r="406">
      <c r="A406" t="s">
        <v>2689</v>
      </c>
      <c r="B406" t="s">
        <v>1578</v>
      </c>
      <c r="E406" t="s">
        <v>6759</v>
      </c>
      <c r="G406" t="s">
        <v>6758</v>
      </c>
    </row>
    <row r="407">
      <c r="A407" t="s">
        <v>2692</v>
      </c>
      <c r="B407" t="s">
        <v>1586</v>
      </c>
      <c r="C407" t="s">
        <v>2608</v>
      </c>
      <c r="D407" t="s">
        <v>1383</v>
      </c>
      <c r="E407" t="s">
        <v>6757</v>
      </c>
      <c r="G407" t="s">
        <v>6758</v>
      </c>
    </row>
    <row r="408">
      <c r="A408" t="s">
        <v>2695</v>
      </c>
      <c r="B408" t="s">
        <v>1596</v>
      </c>
      <c r="C408" t="s">
        <v>2707</v>
      </c>
      <c r="D408" t="s">
        <v>1632</v>
      </c>
      <c r="E408" t="s">
        <v>6757</v>
      </c>
      <c r="G408" t="s">
        <v>6758</v>
      </c>
    </row>
    <row r="409">
      <c r="A409" t="s">
        <v>2695</v>
      </c>
      <c r="B409" t="s">
        <v>1596</v>
      </c>
      <c r="C409" t="s">
        <v>2081</v>
      </c>
      <c r="D409" t="s">
        <v>113</v>
      </c>
      <c r="E409" t="s">
        <v>6757</v>
      </c>
      <c r="G409" t="s">
        <v>6758</v>
      </c>
    </row>
    <row r="410">
      <c r="A410" t="s">
        <v>2698</v>
      </c>
      <c r="B410" t="s">
        <v>1604</v>
      </c>
      <c r="C410" t="s">
        <v>2695</v>
      </c>
      <c r="D410" t="s">
        <v>1596</v>
      </c>
      <c r="E410" t="s">
        <v>6757</v>
      </c>
      <c r="G410" t="s">
        <v>6758</v>
      </c>
    </row>
    <row r="411">
      <c r="A411" t="s">
        <v>2698</v>
      </c>
      <c r="B411" t="s">
        <v>1604</v>
      </c>
      <c r="E411" t="s">
        <v>6759</v>
      </c>
      <c r="G411" t="s">
        <v>6758</v>
      </c>
    </row>
    <row r="412">
      <c r="A412" t="s">
        <v>2701</v>
      </c>
      <c r="B412" t="s">
        <v>1612</v>
      </c>
      <c r="C412" t="s">
        <v>2695</v>
      </c>
      <c r="D412" t="s">
        <v>1596</v>
      </c>
      <c r="E412" t="s">
        <v>6757</v>
      </c>
      <c r="G412" t="s">
        <v>6758</v>
      </c>
    </row>
    <row r="413">
      <c r="A413" t="s">
        <v>2701</v>
      </c>
      <c r="B413" t="s">
        <v>1612</v>
      </c>
      <c r="E413" t="s">
        <v>6759</v>
      </c>
      <c r="G413" t="s">
        <v>6758</v>
      </c>
    </row>
    <row r="414">
      <c r="A414" t="s">
        <v>2704</v>
      </c>
      <c r="B414" t="s">
        <v>1620</v>
      </c>
      <c r="E414" t="s">
        <v>6759</v>
      </c>
      <c r="G414" t="s">
        <v>6758</v>
      </c>
    </row>
    <row r="415">
      <c r="A415" t="s">
        <v>2707</v>
      </c>
      <c r="B415" t="s">
        <v>1632</v>
      </c>
      <c r="E415" t="s">
        <v>6759</v>
      </c>
      <c r="G415" t="s">
        <v>6758</v>
      </c>
    </row>
    <row r="416">
      <c r="A416" t="s">
        <v>2707</v>
      </c>
      <c r="B416" t="s">
        <v>1632</v>
      </c>
      <c r="C416" t="s">
        <v>2140</v>
      </c>
      <c r="D416" t="s">
        <v>263</v>
      </c>
      <c r="E416" t="s">
        <v>6757</v>
      </c>
      <c r="G416" t="s">
        <v>6758</v>
      </c>
    </row>
    <row r="417">
      <c r="A417" t="s">
        <v>2707</v>
      </c>
      <c r="B417" t="s">
        <v>1632</v>
      </c>
      <c r="C417" t="s">
        <v>2133</v>
      </c>
      <c r="D417" t="s">
        <v>248</v>
      </c>
      <c r="E417" t="s">
        <v>6757</v>
      </c>
      <c r="G417" t="s">
        <v>6758</v>
      </c>
    </row>
    <row r="418">
      <c r="A418" t="s">
        <v>2712</v>
      </c>
      <c r="B418" t="s">
        <v>1640</v>
      </c>
      <c r="C418" t="s">
        <v>2140</v>
      </c>
      <c r="D418" t="s">
        <v>263</v>
      </c>
      <c r="E418" t="s">
        <v>6757</v>
      </c>
      <c r="G418" t="s">
        <v>6758</v>
      </c>
    </row>
    <row r="419">
      <c r="A419" t="s">
        <v>2712</v>
      </c>
      <c r="B419" t="s">
        <v>1640</v>
      </c>
      <c r="C419" t="s">
        <v>2133</v>
      </c>
      <c r="D419" t="s">
        <v>248</v>
      </c>
      <c r="E419" t="s">
        <v>6757</v>
      </c>
      <c r="G419" t="s">
        <v>6758</v>
      </c>
    </row>
    <row r="420">
      <c r="A420" t="s">
        <v>2715</v>
      </c>
      <c r="B420" t="s">
        <v>1645</v>
      </c>
      <c r="C420" t="s">
        <v>2712</v>
      </c>
      <c r="D420" t="s">
        <v>1640</v>
      </c>
      <c r="E420" t="s">
        <v>6757</v>
      </c>
      <c r="G420" t="s">
        <v>6758</v>
      </c>
    </row>
    <row r="421">
      <c r="A421" t="s">
        <v>2715</v>
      </c>
      <c r="B421" t="s">
        <v>1645</v>
      </c>
      <c r="C421" t="s">
        <v>2140</v>
      </c>
      <c r="D421" t="s">
        <v>263</v>
      </c>
      <c r="E421" t="s">
        <v>6757</v>
      </c>
      <c r="G421" t="s">
        <v>6758</v>
      </c>
    </row>
    <row r="422">
      <c r="A422" t="s">
        <v>2718</v>
      </c>
      <c r="B422" t="s">
        <v>1651</v>
      </c>
      <c r="C422" t="s">
        <v>2140</v>
      </c>
      <c r="D422" t="s">
        <v>263</v>
      </c>
      <c r="E422" t="s">
        <v>6757</v>
      </c>
      <c r="G422" t="s">
        <v>6758</v>
      </c>
    </row>
    <row r="423">
      <c r="A423" t="s">
        <v>2718</v>
      </c>
      <c r="B423" t="s">
        <v>1651</v>
      </c>
      <c r="C423" t="s">
        <v>2087</v>
      </c>
      <c r="D423" t="s">
        <v>128</v>
      </c>
      <c r="E423" t="s">
        <v>6757</v>
      </c>
      <c r="G423" t="s">
        <v>6758</v>
      </c>
    </row>
    <row r="424">
      <c r="A424" t="s">
        <v>2718</v>
      </c>
      <c r="B424" t="s">
        <v>1651</v>
      </c>
      <c r="C424" t="s">
        <v>2133</v>
      </c>
      <c r="D424" t="s">
        <v>248</v>
      </c>
      <c r="E424" t="s">
        <v>6757</v>
      </c>
      <c r="G424" t="s">
        <v>6758</v>
      </c>
    </row>
    <row r="425">
      <c r="A425" t="s">
        <v>2721</v>
      </c>
      <c r="B425" t="s">
        <v>1657</v>
      </c>
      <c r="E425" t="s">
        <v>6759</v>
      </c>
      <c r="G425" t="s">
        <v>6758</v>
      </c>
    </row>
    <row r="426">
      <c r="A426" t="s">
        <v>2721</v>
      </c>
      <c r="B426" t="s">
        <v>1657</v>
      </c>
      <c r="C426" t="s">
        <v>2715</v>
      </c>
      <c r="D426" t="s">
        <v>1645</v>
      </c>
      <c r="E426" t="s">
        <v>6757</v>
      </c>
      <c r="G426" t="s">
        <v>6758</v>
      </c>
    </row>
    <row r="427">
      <c r="A427" t="s">
        <v>2724</v>
      </c>
      <c r="B427" t="s">
        <v>1663</v>
      </c>
      <c r="C427" t="s">
        <v>2140</v>
      </c>
      <c r="D427" t="s">
        <v>263</v>
      </c>
      <c r="E427" t="s">
        <v>6757</v>
      </c>
      <c r="G427" t="s">
        <v>6758</v>
      </c>
    </row>
    <row r="428">
      <c r="A428" t="s">
        <v>2724</v>
      </c>
      <c r="B428" t="s">
        <v>1663</v>
      </c>
      <c r="C428" t="s">
        <v>2133</v>
      </c>
      <c r="D428" t="s">
        <v>248</v>
      </c>
      <c r="E428" t="s">
        <v>6757</v>
      </c>
      <c r="G428" t="s">
        <v>6758</v>
      </c>
    </row>
    <row r="429">
      <c r="A429" t="s">
        <v>2727</v>
      </c>
      <c r="B429" t="s">
        <v>1671</v>
      </c>
      <c r="C429" t="s">
        <v>2087</v>
      </c>
      <c r="D429" t="s">
        <v>128</v>
      </c>
      <c r="E429" t="s">
        <v>6757</v>
      </c>
      <c r="G429" t="s">
        <v>6758</v>
      </c>
    </row>
    <row r="430">
      <c r="A430" t="s">
        <v>2727</v>
      </c>
      <c r="B430" t="s">
        <v>1671</v>
      </c>
      <c r="C430" t="s">
        <v>2140</v>
      </c>
      <c r="D430" t="s">
        <v>263</v>
      </c>
      <c r="E430" t="s">
        <v>6757</v>
      </c>
      <c r="G430" t="s">
        <v>6758</v>
      </c>
    </row>
    <row r="431">
      <c r="A431" t="s">
        <v>2727</v>
      </c>
      <c r="B431" t="s">
        <v>1671</v>
      </c>
      <c r="C431" t="s">
        <v>2133</v>
      </c>
      <c r="D431" t="s">
        <v>248</v>
      </c>
      <c r="E431" t="s">
        <v>6757</v>
      </c>
      <c r="G431" t="s">
        <v>6758</v>
      </c>
    </row>
    <row r="432">
      <c r="A432" t="s">
        <v>2730</v>
      </c>
      <c r="B432" t="s">
        <v>1678</v>
      </c>
      <c r="C432" t="s">
        <v>2727</v>
      </c>
      <c r="D432" t="s">
        <v>1671</v>
      </c>
      <c r="E432" t="s">
        <v>6757</v>
      </c>
      <c r="G432" t="s">
        <v>6758</v>
      </c>
    </row>
    <row r="433">
      <c r="A433" t="s">
        <v>2730</v>
      </c>
      <c r="B433" t="s">
        <v>1678</v>
      </c>
      <c r="C433" t="s">
        <v>2087</v>
      </c>
      <c r="D433" t="s">
        <v>128</v>
      </c>
      <c r="E433" t="s">
        <v>6757</v>
      </c>
      <c r="G433" t="s">
        <v>6758</v>
      </c>
    </row>
    <row r="434">
      <c r="A434" t="s">
        <v>2733</v>
      </c>
      <c r="B434" t="s">
        <v>1684</v>
      </c>
      <c r="C434" t="s">
        <v>2730</v>
      </c>
      <c r="D434" t="s">
        <v>1678</v>
      </c>
      <c r="E434" t="s">
        <v>6757</v>
      </c>
      <c r="G434" t="s">
        <v>6758</v>
      </c>
    </row>
    <row r="435">
      <c r="A435" t="s">
        <v>2733</v>
      </c>
      <c r="B435" t="s">
        <v>1684</v>
      </c>
      <c r="E435" t="s">
        <v>6759</v>
      </c>
      <c r="G435" t="s">
        <v>6758</v>
      </c>
    </row>
    <row r="436">
      <c r="A436" t="s">
        <v>2736</v>
      </c>
      <c r="B436" t="s">
        <v>1690</v>
      </c>
      <c r="C436" t="s">
        <v>2733</v>
      </c>
      <c r="D436" t="s">
        <v>1684</v>
      </c>
      <c r="E436" t="s">
        <v>6757</v>
      </c>
      <c r="G436" t="s">
        <v>6758</v>
      </c>
    </row>
    <row r="437">
      <c r="A437" t="s">
        <v>2736</v>
      </c>
      <c r="B437" t="s">
        <v>1690</v>
      </c>
      <c r="C437" t="s">
        <v>2140</v>
      </c>
      <c r="D437" t="s">
        <v>263</v>
      </c>
      <c r="E437" t="s">
        <v>6757</v>
      </c>
      <c r="G437" t="s">
        <v>6758</v>
      </c>
    </row>
    <row r="438">
      <c r="A438" t="s">
        <v>2739</v>
      </c>
      <c r="B438" t="s">
        <v>1696</v>
      </c>
      <c r="C438" t="s">
        <v>2730</v>
      </c>
      <c r="D438" t="s">
        <v>1678</v>
      </c>
      <c r="E438" t="s">
        <v>6757</v>
      </c>
      <c r="G438" t="s">
        <v>6758</v>
      </c>
    </row>
    <row r="439">
      <c r="A439" t="s">
        <v>2739</v>
      </c>
      <c r="B439" t="s">
        <v>1696</v>
      </c>
      <c r="E439" t="s">
        <v>6759</v>
      </c>
      <c r="G439" t="s">
        <v>6758</v>
      </c>
    </row>
    <row r="440">
      <c r="A440" t="s">
        <v>2739</v>
      </c>
      <c r="B440" t="s">
        <v>1696</v>
      </c>
      <c r="E440" t="s">
        <v>6759</v>
      </c>
      <c r="G440" t="s">
        <v>6758</v>
      </c>
    </row>
    <row r="441">
      <c r="A441" t="s">
        <v>2742</v>
      </c>
      <c r="B441" t="s">
        <v>1706</v>
      </c>
      <c r="E441" t="s">
        <v>6759</v>
      </c>
      <c r="G441" t="s">
        <v>6758</v>
      </c>
    </row>
    <row r="442">
      <c r="A442" t="s">
        <v>2742</v>
      </c>
      <c r="B442" t="s">
        <v>1706</v>
      </c>
      <c r="C442" t="s">
        <v>2140</v>
      </c>
      <c r="D442" t="s">
        <v>263</v>
      </c>
      <c r="E442" t="s">
        <v>6757</v>
      </c>
      <c r="G442" t="s">
        <v>6758</v>
      </c>
    </row>
    <row r="443">
      <c r="A443" t="s">
        <v>2742</v>
      </c>
      <c r="B443" t="s">
        <v>1706</v>
      </c>
      <c r="C443" t="s">
        <v>2133</v>
      </c>
      <c r="D443" t="s">
        <v>248</v>
      </c>
      <c r="E443" t="s">
        <v>6757</v>
      </c>
      <c r="G443" t="s">
        <v>6758</v>
      </c>
    </row>
    <row r="444">
      <c r="A444" t="s">
        <v>2745</v>
      </c>
      <c r="B444" t="s">
        <v>1713</v>
      </c>
      <c r="E444" t="s">
        <v>6759</v>
      </c>
      <c r="G444" t="s">
        <v>6758</v>
      </c>
    </row>
    <row r="445">
      <c r="A445" t="s">
        <v>2748</v>
      </c>
      <c r="B445" t="s">
        <v>1720</v>
      </c>
      <c r="E445" t="s">
        <v>6759</v>
      </c>
      <c r="G445" t="s">
        <v>6758</v>
      </c>
    </row>
    <row r="446">
      <c r="A446" t="s">
        <v>2748</v>
      </c>
      <c r="B446" t="s">
        <v>1720</v>
      </c>
      <c r="E446" t="s">
        <v>6759</v>
      </c>
      <c r="G446" t="s">
        <v>6758</v>
      </c>
    </row>
    <row r="447">
      <c r="A447" t="s">
        <v>2751</v>
      </c>
      <c r="B447" t="s">
        <v>1726</v>
      </c>
      <c r="E447" t="s">
        <v>6759</v>
      </c>
      <c r="G447" t="s">
        <v>6758</v>
      </c>
    </row>
    <row r="448">
      <c r="A448" t="s">
        <v>2754</v>
      </c>
      <c r="B448" t="s">
        <v>1735</v>
      </c>
      <c r="C448" t="s">
        <v>2199</v>
      </c>
      <c r="D448" t="s">
        <v>410</v>
      </c>
      <c r="E448" t="s">
        <v>6757</v>
      </c>
      <c r="G448" t="s">
        <v>6758</v>
      </c>
    </row>
    <row r="449">
      <c r="A449" t="s">
        <v>2754</v>
      </c>
      <c r="B449" t="s">
        <v>1735</v>
      </c>
      <c r="C449" t="s">
        <v>2140</v>
      </c>
      <c r="D449" t="s">
        <v>263</v>
      </c>
      <c r="E449" t="s">
        <v>6757</v>
      </c>
      <c r="G449" t="s">
        <v>6758</v>
      </c>
    </row>
    <row r="450">
      <c r="A450" t="s">
        <v>2754</v>
      </c>
      <c r="B450" t="s">
        <v>1735</v>
      </c>
      <c r="C450" t="s">
        <v>2133</v>
      </c>
      <c r="D450" t="s">
        <v>248</v>
      </c>
      <c r="E450" t="s">
        <v>6757</v>
      </c>
      <c r="G450" t="s">
        <v>6758</v>
      </c>
    </row>
    <row r="451">
      <c r="A451" t="s">
        <v>2757</v>
      </c>
      <c r="B451" t="s">
        <v>1743</v>
      </c>
      <c r="C451" t="s">
        <v>2769</v>
      </c>
      <c r="D451" t="s">
        <v>1768</v>
      </c>
      <c r="E451" t="s">
        <v>6757</v>
      </c>
      <c r="G451" t="s">
        <v>6758</v>
      </c>
    </row>
    <row r="452">
      <c r="A452" t="s">
        <v>2757</v>
      </c>
      <c r="B452" t="s">
        <v>1743</v>
      </c>
      <c r="C452" t="s">
        <v>2140</v>
      </c>
      <c r="D452" t="s">
        <v>263</v>
      </c>
      <c r="E452" t="s">
        <v>6757</v>
      </c>
      <c r="G452" t="s">
        <v>6758</v>
      </c>
    </row>
    <row r="453">
      <c r="A453" t="s">
        <v>2760</v>
      </c>
      <c r="B453" t="s">
        <v>1750</v>
      </c>
      <c r="C453" t="s">
        <v>2754</v>
      </c>
      <c r="D453" t="s">
        <v>1735</v>
      </c>
      <c r="E453" t="s">
        <v>6757</v>
      </c>
      <c r="G453" t="s">
        <v>6758</v>
      </c>
    </row>
    <row r="454">
      <c r="A454" t="s">
        <v>2760</v>
      </c>
      <c r="B454" t="s">
        <v>1750</v>
      </c>
      <c r="E454" t="s">
        <v>6759</v>
      </c>
      <c r="G454" t="s">
        <v>6758</v>
      </c>
    </row>
    <row r="455">
      <c r="A455" t="s">
        <v>2763</v>
      </c>
      <c r="B455" t="s">
        <v>1756</v>
      </c>
      <c r="C455" t="s">
        <v>2718</v>
      </c>
      <c r="D455" t="s">
        <v>1651</v>
      </c>
      <c r="E455" t="s">
        <v>6757</v>
      </c>
      <c r="G455" t="s">
        <v>6758</v>
      </c>
    </row>
    <row r="456">
      <c r="A456" t="s">
        <v>2763</v>
      </c>
      <c r="B456" t="s">
        <v>1756</v>
      </c>
      <c r="C456" t="s">
        <v>2140</v>
      </c>
      <c r="D456" t="s">
        <v>263</v>
      </c>
      <c r="E456" t="s">
        <v>6757</v>
      </c>
      <c r="G456" t="s">
        <v>6758</v>
      </c>
    </row>
    <row r="457">
      <c r="A457" t="s">
        <v>2763</v>
      </c>
      <c r="B457" t="s">
        <v>1756</v>
      </c>
      <c r="C457" t="s">
        <v>2133</v>
      </c>
      <c r="D457" t="s">
        <v>248</v>
      </c>
      <c r="E457" t="s">
        <v>6757</v>
      </c>
      <c r="G457" t="s">
        <v>6758</v>
      </c>
    </row>
    <row r="458">
      <c r="A458" t="s">
        <v>2766</v>
      </c>
      <c r="B458" t="s">
        <v>1762</v>
      </c>
      <c r="C458" t="s">
        <v>2769</v>
      </c>
      <c r="D458" t="s">
        <v>1768</v>
      </c>
      <c r="E458" t="s">
        <v>6757</v>
      </c>
      <c r="G458" t="s">
        <v>6758</v>
      </c>
    </row>
    <row r="459">
      <c r="A459" t="s">
        <v>2766</v>
      </c>
      <c r="B459" t="s">
        <v>1762</v>
      </c>
      <c r="C459" t="s">
        <v>2763</v>
      </c>
      <c r="D459" t="s">
        <v>1756</v>
      </c>
      <c r="E459" t="s">
        <v>6757</v>
      </c>
      <c r="G459" t="s">
        <v>6758</v>
      </c>
    </row>
    <row r="460">
      <c r="A460" t="s">
        <v>2769</v>
      </c>
      <c r="B460" t="s">
        <v>1768</v>
      </c>
      <c r="E460" t="s">
        <v>6759</v>
      </c>
      <c r="G460" t="s">
        <v>6758</v>
      </c>
    </row>
    <row r="461">
      <c r="A461" t="s">
        <v>2769</v>
      </c>
      <c r="B461" t="s">
        <v>1768</v>
      </c>
      <c r="C461" t="s">
        <v>2124</v>
      </c>
      <c r="D461" t="s">
        <v>226</v>
      </c>
      <c r="E461" t="s">
        <v>6757</v>
      </c>
      <c r="G461" t="s">
        <v>6758</v>
      </c>
    </row>
    <row r="462">
      <c r="A462" t="s">
        <v>2772</v>
      </c>
      <c r="B462" t="s">
        <v>1777</v>
      </c>
      <c r="C462" t="s">
        <v>2087</v>
      </c>
      <c r="D462" t="s">
        <v>128</v>
      </c>
      <c r="E462" t="s">
        <v>6757</v>
      </c>
      <c r="G462" t="s">
        <v>6758</v>
      </c>
    </row>
    <row r="463">
      <c r="A463" t="s">
        <v>2772</v>
      </c>
      <c r="B463" t="s">
        <v>1777</v>
      </c>
      <c r="E463" t="s">
        <v>6759</v>
      </c>
      <c r="G463" t="s">
        <v>6758</v>
      </c>
    </row>
    <row r="464">
      <c r="A464" t="s">
        <v>2772</v>
      </c>
      <c r="B464" t="s">
        <v>1777</v>
      </c>
      <c r="E464" t="s">
        <v>6759</v>
      </c>
      <c r="G464" t="s">
        <v>6758</v>
      </c>
    </row>
    <row r="465">
      <c r="A465" t="s">
        <v>2776</v>
      </c>
      <c r="B465" t="s">
        <v>1785</v>
      </c>
      <c r="C465" t="s">
        <v>2772</v>
      </c>
      <c r="D465" t="s">
        <v>1777</v>
      </c>
      <c r="E465" t="s">
        <v>6757</v>
      </c>
      <c r="G465" t="s">
        <v>6758</v>
      </c>
    </row>
    <row r="466">
      <c r="A466" t="s">
        <v>2776</v>
      </c>
      <c r="B466" t="s">
        <v>1785</v>
      </c>
      <c r="C466" t="s">
        <v>2170</v>
      </c>
      <c r="D466" t="s">
        <v>343</v>
      </c>
      <c r="E466" t="s">
        <v>6757</v>
      </c>
      <c r="G466" t="s">
        <v>6758</v>
      </c>
    </row>
    <row r="467">
      <c r="A467" t="s">
        <v>2776</v>
      </c>
      <c r="B467" t="s">
        <v>1785</v>
      </c>
      <c r="C467" t="s">
        <v>2133</v>
      </c>
      <c r="D467" t="s">
        <v>248</v>
      </c>
      <c r="E467" t="s">
        <v>6757</v>
      </c>
      <c r="G467" t="s">
        <v>6758</v>
      </c>
    </row>
    <row r="468">
      <c r="A468" t="s">
        <v>2779</v>
      </c>
      <c r="B468" t="s">
        <v>1792</v>
      </c>
      <c r="C468" t="s">
        <v>2776</v>
      </c>
      <c r="D468" t="s">
        <v>1785</v>
      </c>
      <c r="E468" t="s">
        <v>6757</v>
      </c>
      <c r="G468" t="s">
        <v>6758</v>
      </c>
    </row>
    <row r="469">
      <c r="A469" t="s">
        <v>2779</v>
      </c>
      <c r="B469" t="s">
        <v>1792</v>
      </c>
      <c r="E469" t="s">
        <v>6759</v>
      </c>
      <c r="G469" t="s">
        <v>6758</v>
      </c>
    </row>
    <row r="470">
      <c r="A470" t="s">
        <v>2782</v>
      </c>
      <c r="B470" t="s">
        <v>1802</v>
      </c>
      <c r="C470" t="s">
        <v>2140</v>
      </c>
      <c r="D470" t="s">
        <v>263</v>
      </c>
      <c r="E470" t="s">
        <v>6757</v>
      </c>
      <c r="G470" t="s">
        <v>6758</v>
      </c>
    </row>
    <row r="471">
      <c r="A471" t="s">
        <v>2782</v>
      </c>
      <c r="B471" t="s">
        <v>1802</v>
      </c>
      <c r="C471" t="s">
        <v>2133</v>
      </c>
      <c r="D471" t="s">
        <v>248</v>
      </c>
      <c r="E471" t="s">
        <v>6757</v>
      </c>
      <c r="G471" t="s">
        <v>6758</v>
      </c>
    </row>
    <row r="472">
      <c r="A472" t="s">
        <v>2782</v>
      </c>
      <c r="B472" t="s">
        <v>1802</v>
      </c>
      <c r="C472" t="s">
        <v>2127</v>
      </c>
      <c r="D472" t="s">
        <v>231</v>
      </c>
      <c r="E472" t="s">
        <v>6757</v>
      </c>
      <c r="G472" t="s">
        <v>6758</v>
      </c>
    </row>
    <row r="473">
      <c r="A473" t="s">
        <v>2785</v>
      </c>
      <c r="B473" t="s">
        <v>1810</v>
      </c>
      <c r="C473" t="s">
        <v>2782</v>
      </c>
      <c r="D473" t="s">
        <v>1802</v>
      </c>
      <c r="E473" t="s">
        <v>6757</v>
      </c>
      <c r="G473" t="s">
        <v>6758</v>
      </c>
    </row>
    <row r="474">
      <c r="A474" t="s">
        <v>2785</v>
      </c>
      <c r="B474" t="s">
        <v>1810</v>
      </c>
      <c r="E474" t="s">
        <v>6759</v>
      </c>
      <c r="G474" t="s">
        <v>6758</v>
      </c>
    </row>
    <row r="475">
      <c r="A475" t="s">
        <v>2788</v>
      </c>
      <c r="B475" t="s">
        <v>1816</v>
      </c>
      <c r="C475" t="s">
        <v>2785</v>
      </c>
      <c r="D475" t="s">
        <v>1810</v>
      </c>
      <c r="E475" t="s">
        <v>6757</v>
      </c>
      <c r="G475" t="s">
        <v>6758</v>
      </c>
    </row>
    <row r="476">
      <c r="A476" t="s">
        <v>2790</v>
      </c>
      <c r="B476" t="s">
        <v>1822</v>
      </c>
      <c r="C476" t="s">
        <v>2785</v>
      </c>
      <c r="D476" t="s">
        <v>1810</v>
      </c>
      <c r="E476" t="s">
        <v>6757</v>
      </c>
      <c r="G476" t="s">
        <v>6758</v>
      </c>
    </row>
    <row r="477">
      <c r="A477" t="s">
        <v>2790</v>
      </c>
      <c r="B477" t="s">
        <v>1822</v>
      </c>
      <c r="C477" t="s">
        <v>2164</v>
      </c>
      <c r="D477" t="s">
        <v>322</v>
      </c>
      <c r="E477" t="s">
        <v>6757</v>
      </c>
      <c r="G477" t="s">
        <v>6758</v>
      </c>
    </row>
    <row r="478">
      <c r="A478" t="s">
        <v>2790</v>
      </c>
      <c r="B478" t="s">
        <v>1822</v>
      </c>
      <c r="C478" t="s">
        <v>2136</v>
      </c>
      <c r="D478" t="s">
        <v>254</v>
      </c>
      <c r="E478" t="s">
        <v>6757</v>
      </c>
      <c r="G478" t="s">
        <v>6758</v>
      </c>
    </row>
    <row r="479">
      <c r="A479" t="s">
        <v>2790</v>
      </c>
      <c r="B479" t="s">
        <v>1822</v>
      </c>
      <c r="C479" t="s">
        <v>2988</v>
      </c>
      <c r="D479" t="s">
        <v>2989</v>
      </c>
      <c r="E479" t="s">
        <v>6757</v>
      </c>
      <c r="G479" t="s">
        <v>6758</v>
      </c>
    </row>
    <row r="480">
      <c r="A480" t="s">
        <v>2793</v>
      </c>
      <c r="B480" t="s">
        <v>1829</v>
      </c>
      <c r="E480" t="s">
        <v>6759</v>
      </c>
      <c r="G480" t="s">
        <v>6758</v>
      </c>
    </row>
    <row r="481">
      <c r="A481" t="s">
        <v>2793</v>
      </c>
      <c r="B481" t="s">
        <v>1829</v>
      </c>
      <c r="C481" t="s">
        <v>2084</v>
      </c>
      <c r="D481" t="s">
        <v>119</v>
      </c>
      <c r="E481" t="s">
        <v>6757</v>
      </c>
      <c r="G481" t="s">
        <v>6758</v>
      </c>
    </row>
    <row r="482">
      <c r="A482" t="s">
        <v>2796</v>
      </c>
      <c r="B482" t="s">
        <v>1836</v>
      </c>
      <c r="E482" t="s">
        <v>6759</v>
      </c>
      <c r="G482" t="s">
        <v>6758</v>
      </c>
    </row>
    <row r="483">
      <c r="A483" t="s">
        <v>2796</v>
      </c>
      <c r="B483" t="s">
        <v>1836</v>
      </c>
      <c r="C483" t="s">
        <v>2779</v>
      </c>
      <c r="D483" t="s">
        <v>1792</v>
      </c>
      <c r="E483" t="s">
        <v>6757</v>
      </c>
      <c r="G483" t="s">
        <v>6758</v>
      </c>
    </row>
    <row r="484">
      <c r="A484" t="s">
        <v>2799</v>
      </c>
      <c r="B484" t="s">
        <v>1847</v>
      </c>
      <c r="C484" t="s">
        <v>2707</v>
      </c>
      <c r="D484" t="s">
        <v>1632</v>
      </c>
      <c r="E484" t="s">
        <v>6757</v>
      </c>
      <c r="G484" t="s">
        <v>6758</v>
      </c>
    </row>
    <row r="485">
      <c r="A485" t="s">
        <v>2799</v>
      </c>
      <c r="B485" t="s">
        <v>1847</v>
      </c>
      <c r="E485" t="s">
        <v>6759</v>
      </c>
      <c r="G485" t="s">
        <v>6758</v>
      </c>
    </row>
    <row r="486">
      <c r="A486" t="s">
        <v>2802</v>
      </c>
      <c r="B486" t="s">
        <v>1855</v>
      </c>
      <c r="C486" t="s">
        <v>2799</v>
      </c>
      <c r="D486" t="s">
        <v>1847</v>
      </c>
      <c r="E486" t="s">
        <v>6757</v>
      </c>
      <c r="G486" t="s">
        <v>6758</v>
      </c>
    </row>
    <row r="487">
      <c r="A487" t="s">
        <v>2804</v>
      </c>
      <c r="B487" t="s">
        <v>1861</v>
      </c>
      <c r="C487" t="s">
        <v>2707</v>
      </c>
      <c r="D487" t="s">
        <v>1632</v>
      </c>
      <c r="E487" t="s">
        <v>6757</v>
      </c>
      <c r="G487" t="s">
        <v>6758</v>
      </c>
    </row>
    <row r="488">
      <c r="A488" t="s">
        <v>2804</v>
      </c>
      <c r="B488" t="s">
        <v>1861</v>
      </c>
      <c r="C488" t="s">
        <v>2140</v>
      </c>
      <c r="D488" t="s">
        <v>263</v>
      </c>
      <c r="E488" t="s">
        <v>6757</v>
      </c>
      <c r="G488" t="s">
        <v>6758</v>
      </c>
    </row>
    <row r="489">
      <c r="A489" t="s">
        <v>2804</v>
      </c>
      <c r="B489" t="s">
        <v>1861</v>
      </c>
      <c r="C489" t="s">
        <v>2136</v>
      </c>
      <c r="D489" t="s">
        <v>254</v>
      </c>
      <c r="E489" t="s">
        <v>6757</v>
      </c>
      <c r="G489" t="s">
        <v>6758</v>
      </c>
    </row>
    <row r="490">
      <c r="A490" t="s">
        <v>2806</v>
      </c>
      <c r="B490" t="s">
        <v>1868</v>
      </c>
      <c r="C490" t="s">
        <v>2799</v>
      </c>
      <c r="D490" t="s">
        <v>1847</v>
      </c>
      <c r="E490" t="s">
        <v>6757</v>
      </c>
      <c r="G490" t="s">
        <v>6758</v>
      </c>
    </row>
    <row r="491">
      <c r="A491" t="s">
        <v>2809</v>
      </c>
      <c r="B491" t="s">
        <v>1877</v>
      </c>
      <c r="C491" t="s">
        <v>2707</v>
      </c>
      <c r="D491" t="s">
        <v>1632</v>
      </c>
      <c r="E491" t="s">
        <v>6757</v>
      </c>
      <c r="G491" t="s">
        <v>6758</v>
      </c>
    </row>
    <row r="492">
      <c r="A492" t="s">
        <v>2809</v>
      </c>
      <c r="B492" t="s">
        <v>1877</v>
      </c>
      <c r="C492" t="s">
        <v>2140</v>
      </c>
      <c r="D492" t="s">
        <v>263</v>
      </c>
      <c r="E492" t="s">
        <v>6757</v>
      </c>
      <c r="G492" t="s">
        <v>6758</v>
      </c>
    </row>
    <row r="493">
      <c r="A493" t="s">
        <v>2812</v>
      </c>
      <c r="B493" t="s">
        <v>1885</v>
      </c>
      <c r="C493" t="s">
        <v>2809</v>
      </c>
      <c r="D493" t="s">
        <v>1877</v>
      </c>
      <c r="E493" t="s">
        <v>6757</v>
      </c>
      <c r="G493" t="s">
        <v>6758</v>
      </c>
    </row>
    <row r="494">
      <c r="A494" t="s">
        <v>2814</v>
      </c>
      <c r="B494" t="s">
        <v>1890</v>
      </c>
      <c r="C494" t="s">
        <v>2812</v>
      </c>
      <c r="D494" t="s">
        <v>1885</v>
      </c>
      <c r="E494" t="s">
        <v>6757</v>
      </c>
      <c r="G494" t="s">
        <v>6758</v>
      </c>
    </row>
    <row r="495">
      <c r="A495" t="s">
        <v>2814</v>
      </c>
      <c r="B495" t="s">
        <v>1890</v>
      </c>
      <c r="C495" t="s">
        <v>2140</v>
      </c>
      <c r="D495" t="s">
        <v>263</v>
      </c>
      <c r="E495" t="s">
        <v>6757</v>
      </c>
      <c r="G495" t="s">
        <v>6758</v>
      </c>
    </row>
    <row r="496">
      <c r="A496" t="s">
        <v>2816</v>
      </c>
      <c r="B496" t="s">
        <v>1897</v>
      </c>
      <c r="E496" t="s">
        <v>6759</v>
      </c>
      <c r="G496" t="s">
        <v>6758</v>
      </c>
    </row>
    <row r="497">
      <c r="A497" t="s">
        <v>2816</v>
      </c>
      <c r="B497" t="s">
        <v>1897</v>
      </c>
      <c r="E497" t="s">
        <v>6759</v>
      </c>
      <c r="G497" t="s">
        <v>6758</v>
      </c>
    </row>
    <row r="498">
      <c r="A498" t="s">
        <v>2816</v>
      </c>
      <c r="B498" t="s">
        <v>1897</v>
      </c>
      <c r="C498" t="s">
        <v>2170</v>
      </c>
      <c r="D498" t="s">
        <v>343</v>
      </c>
      <c r="E498" t="s">
        <v>6757</v>
      </c>
      <c r="G498" t="s">
        <v>6758</v>
      </c>
    </row>
    <row r="499">
      <c r="A499" t="s">
        <v>2819</v>
      </c>
      <c r="B499" t="s">
        <v>1905</v>
      </c>
      <c r="C499" t="s">
        <v>2782</v>
      </c>
      <c r="D499" t="s">
        <v>1802</v>
      </c>
      <c r="E499" t="s">
        <v>6757</v>
      </c>
      <c r="G499" t="s">
        <v>6758</v>
      </c>
    </row>
    <row r="500">
      <c r="A500" t="s">
        <v>2819</v>
      </c>
      <c r="B500" t="s">
        <v>1905</v>
      </c>
      <c r="C500" t="s">
        <v>2196</v>
      </c>
      <c r="D500" t="s">
        <v>400</v>
      </c>
      <c r="E500" t="s">
        <v>6757</v>
      </c>
      <c r="G500" t="s">
        <v>6758</v>
      </c>
    </row>
    <row r="501">
      <c r="A501" t="s">
        <v>2819</v>
      </c>
      <c r="B501" t="s">
        <v>1905</v>
      </c>
      <c r="C501" t="s">
        <v>2188</v>
      </c>
      <c r="D501" t="s">
        <v>378</v>
      </c>
      <c r="E501" t="s">
        <v>6757</v>
      </c>
      <c r="G501" t="s">
        <v>6758</v>
      </c>
    </row>
    <row r="502">
      <c r="A502" t="s">
        <v>2821</v>
      </c>
      <c r="B502" t="s">
        <v>1916</v>
      </c>
      <c r="C502" t="s">
        <v>2170</v>
      </c>
      <c r="D502" t="s">
        <v>343</v>
      </c>
      <c r="E502" t="s">
        <v>6757</v>
      </c>
      <c r="G502" t="s">
        <v>6758</v>
      </c>
    </row>
    <row r="503">
      <c r="A503" t="s">
        <v>2821</v>
      </c>
      <c r="B503" t="s">
        <v>1916</v>
      </c>
      <c r="C503" t="s">
        <v>2081</v>
      </c>
      <c r="D503" t="s">
        <v>113</v>
      </c>
      <c r="E503" t="s">
        <v>6757</v>
      </c>
      <c r="G503" t="s">
        <v>6758</v>
      </c>
    </row>
    <row r="504">
      <c r="A504" t="s">
        <v>2821</v>
      </c>
      <c r="B504" t="s">
        <v>1916</v>
      </c>
      <c r="C504" t="s">
        <v>2188</v>
      </c>
      <c r="D504" t="s">
        <v>378</v>
      </c>
      <c r="E504" t="s">
        <v>6757</v>
      </c>
      <c r="G504" t="s">
        <v>6758</v>
      </c>
    </row>
    <row r="505">
      <c r="A505" t="s">
        <v>2823</v>
      </c>
      <c r="B505" t="s">
        <v>1924</v>
      </c>
      <c r="C505" t="s">
        <v>2821</v>
      </c>
      <c r="D505" t="s">
        <v>1916</v>
      </c>
      <c r="E505" t="s">
        <v>6757</v>
      </c>
      <c r="G505" t="s">
        <v>6758</v>
      </c>
    </row>
    <row r="506">
      <c r="A506" t="s">
        <v>2823</v>
      </c>
      <c r="B506" t="s">
        <v>1924</v>
      </c>
      <c r="C506" t="s">
        <v>2180</v>
      </c>
      <c r="D506" t="s">
        <v>363</v>
      </c>
      <c r="E506" t="s">
        <v>6757</v>
      </c>
      <c r="G506" t="s">
        <v>6758</v>
      </c>
    </row>
    <row r="507">
      <c r="A507" t="s">
        <v>2826</v>
      </c>
      <c r="B507" t="s">
        <v>1932</v>
      </c>
      <c r="C507" t="s">
        <v>2821</v>
      </c>
      <c r="D507" t="s">
        <v>1916</v>
      </c>
      <c r="E507" t="s">
        <v>6757</v>
      </c>
      <c r="G507" t="s">
        <v>6758</v>
      </c>
    </row>
    <row r="508">
      <c r="A508" t="s">
        <v>2826</v>
      </c>
      <c r="B508" t="s">
        <v>1932</v>
      </c>
      <c r="C508" t="s">
        <v>2184</v>
      </c>
      <c r="D508" t="s">
        <v>369</v>
      </c>
      <c r="E508" t="s">
        <v>6757</v>
      </c>
      <c r="G508" t="s">
        <v>6758</v>
      </c>
    </row>
    <row r="509">
      <c r="A509" t="s">
        <v>2826</v>
      </c>
      <c r="B509" t="s">
        <v>1932</v>
      </c>
      <c r="C509" t="s">
        <v>2164</v>
      </c>
      <c r="D509" t="s">
        <v>322</v>
      </c>
      <c r="E509" t="s">
        <v>6757</v>
      </c>
      <c r="G509" t="s">
        <v>6758</v>
      </c>
    </row>
    <row r="510">
      <c r="A510" t="s">
        <v>2826</v>
      </c>
      <c r="B510" t="s">
        <v>1932</v>
      </c>
      <c r="C510" t="s">
        <v>2994</v>
      </c>
      <c r="D510" t="s">
        <v>2995</v>
      </c>
      <c r="E510" t="s">
        <v>6757</v>
      </c>
      <c r="G510" t="s">
        <v>6758</v>
      </c>
    </row>
    <row r="511">
      <c r="A511" t="s">
        <v>2830</v>
      </c>
      <c r="B511" t="s">
        <v>1942</v>
      </c>
      <c r="C511" t="s">
        <v>2707</v>
      </c>
      <c r="D511" t="s">
        <v>1632</v>
      </c>
      <c r="E511" t="s">
        <v>6757</v>
      </c>
      <c r="G511" t="s">
        <v>6758</v>
      </c>
    </row>
    <row r="512">
      <c r="A512" t="s">
        <v>2830</v>
      </c>
      <c r="B512" t="s">
        <v>1942</v>
      </c>
      <c r="C512" t="s">
        <v>2140</v>
      </c>
      <c r="D512" t="s">
        <v>263</v>
      </c>
      <c r="E512" t="s">
        <v>6757</v>
      </c>
      <c r="G512" t="s">
        <v>6758</v>
      </c>
    </row>
    <row r="513">
      <c r="A513" t="s">
        <v>2835</v>
      </c>
      <c r="B513" t="s">
        <v>1949</v>
      </c>
      <c r="E513" t="s">
        <v>6759</v>
      </c>
      <c r="G513" t="s">
        <v>6758</v>
      </c>
    </row>
    <row r="514">
      <c r="A514" t="s">
        <v>2835</v>
      </c>
      <c r="B514" t="s">
        <v>1949</v>
      </c>
      <c r="E514" t="s">
        <v>6759</v>
      </c>
      <c r="G514" t="s">
        <v>6758</v>
      </c>
    </row>
    <row r="515">
      <c r="A515" t="s">
        <v>2837</v>
      </c>
      <c r="B515" t="s">
        <v>1955</v>
      </c>
      <c r="C515" t="s">
        <v>2835</v>
      </c>
      <c r="D515" t="s">
        <v>1949</v>
      </c>
      <c r="E515" t="s">
        <v>6757</v>
      </c>
      <c r="G515" t="s">
        <v>6758</v>
      </c>
    </row>
    <row r="516">
      <c r="A516" t="s">
        <v>2837</v>
      </c>
      <c r="B516" t="s">
        <v>1955</v>
      </c>
      <c r="C516" t="s">
        <v>2779</v>
      </c>
      <c r="D516" t="s">
        <v>1792</v>
      </c>
      <c r="E516" t="s">
        <v>6757</v>
      </c>
      <c r="G516" t="s">
        <v>6758</v>
      </c>
    </row>
    <row r="517">
      <c r="A517" t="s">
        <v>3025</v>
      </c>
      <c r="B517" t="s">
        <v>3028</v>
      </c>
      <c r="C517" t="s">
        <v>2120</v>
      </c>
      <c r="D517" t="s">
        <v>219</v>
      </c>
      <c r="E517" t="s">
        <v>6757</v>
      </c>
      <c r="G517" t="s">
        <v>6758</v>
      </c>
    </row>
    <row r="518">
      <c r="A518" t="s">
        <v>3025</v>
      </c>
      <c r="B518" t="s">
        <v>3028</v>
      </c>
      <c r="C518" t="s">
        <v>2081</v>
      </c>
      <c r="D518" t="s">
        <v>113</v>
      </c>
      <c r="E518" t="s">
        <v>6757</v>
      </c>
      <c r="G518" t="s">
        <v>6758</v>
      </c>
    </row>
    <row r="519">
      <c r="A519" t="s">
        <v>3025</v>
      </c>
      <c r="B519" t="s">
        <v>3028</v>
      </c>
      <c r="C519" t="s">
        <v>2170</v>
      </c>
      <c r="D519" t="s">
        <v>343</v>
      </c>
      <c r="E519" t="s">
        <v>6757</v>
      </c>
      <c r="G519" t="s">
        <v>6758</v>
      </c>
    </row>
    <row r="520">
      <c r="A520" t="s">
        <v>3025</v>
      </c>
      <c r="B520" t="s">
        <v>3028</v>
      </c>
      <c r="C520" t="s">
        <v>2188</v>
      </c>
      <c r="D520" t="s">
        <v>378</v>
      </c>
      <c r="E520" t="s">
        <v>6757</v>
      </c>
      <c r="G520" t="s">
        <v>6758</v>
      </c>
    </row>
    <row r="521">
      <c r="A521" t="s">
        <v>3042</v>
      </c>
      <c r="B521" t="s">
        <v>3044</v>
      </c>
      <c r="C521" t="s">
        <v>2120</v>
      </c>
      <c r="D521" t="s">
        <v>219</v>
      </c>
      <c r="E521" t="s">
        <v>6757</v>
      </c>
      <c r="G521" t="s">
        <v>6758</v>
      </c>
    </row>
    <row r="522">
      <c r="A522" t="s">
        <v>3042</v>
      </c>
      <c r="B522" t="s">
        <v>3044</v>
      </c>
      <c r="C522" t="s">
        <v>2081</v>
      </c>
      <c r="D522" t="s">
        <v>113</v>
      </c>
      <c r="E522" t="s">
        <v>6757</v>
      </c>
      <c r="G522" t="s">
        <v>6758</v>
      </c>
    </row>
    <row r="523">
      <c r="A523" t="s">
        <v>3042</v>
      </c>
      <c r="B523" t="s">
        <v>3044</v>
      </c>
      <c r="C523" t="s">
        <v>2170</v>
      </c>
      <c r="D523" t="s">
        <v>343</v>
      </c>
      <c r="E523" t="s">
        <v>6757</v>
      </c>
      <c r="G523" t="s">
        <v>6758</v>
      </c>
    </row>
    <row r="524">
      <c r="A524" t="s">
        <v>3042</v>
      </c>
      <c r="B524" t="s">
        <v>3044</v>
      </c>
      <c r="C524" t="s">
        <v>2188</v>
      </c>
      <c r="D524" t="s">
        <v>378</v>
      </c>
      <c r="E524" t="s">
        <v>6757</v>
      </c>
      <c r="G524" t="s">
        <v>6758</v>
      </c>
    </row>
    <row r="525">
      <c r="A525" t="s">
        <v>3055</v>
      </c>
      <c r="B525" t="s">
        <v>3057</v>
      </c>
      <c r="C525" t="s">
        <v>2170</v>
      </c>
      <c r="D525" t="s">
        <v>343</v>
      </c>
      <c r="E525" t="s">
        <v>6757</v>
      </c>
      <c r="G525" t="s">
        <v>6758</v>
      </c>
    </row>
    <row r="526">
      <c r="A526" t="s">
        <v>3055</v>
      </c>
      <c r="B526" t="s">
        <v>3057</v>
      </c>
      <c r="C526" t="s">
        <v>2180</v>
      </c>
      <c r="D526" t="s">
        <v>363</v>
      </c>
      <c r="E526" t="s">
        <v>6757</v>
      </c>
      <c r="G526" t="s">
        <v>6758</v>
      </c>
    </row>
    <row r="527">
      <c r="A527" t="s">
        <v>3055</v>
      </c>
      <c r="B527" t="s">
        <v>3057</v>
      </c>
      <c r="C527" t="s">
        <v>2081</v>
      </c>
      <c r="D527" t="s">
        <v>113</v>
      </c>
      <c r="E527" t="s">
        <v>6757</v>
      </c>
      <c r="G527" t="s">
        <v>6758</v>
      </c>
    </row>
    <row r="528">
      <c r="A528" t="s">
        <v>3055</v>
      </c>
      <c r="B528" t="s">
        <v>3057</v>
      </c>
      <c r="C528" t="s">
        <v>2188</v>
      </c>
      <c r="D528" t="s">
        <v>378</v>
      </c>
      <c r="E528" t="s">
        <v>6757</v>
      </c>
      <c r="G528" t="s">
        <v>6758</v>
      </c>
    </row>
    <row r="529">
      <c r="A529" t="s">
        <v>3055</v>
      </c>
      <c r="B529" t="s">
        <v>3057</v>
      </c>
      <c r="C529" t="s">
        <v>2133</v>
      </c>
      <c r="D529" t="s">
        <v>248</v>
      </c>
      <c r="E529" t="s">
        <v>6757</v>
      </c>
      <c r="G529" t="s">
        <v>6758</v>
      </c>
    </row>
    <row r="530">
      <c r="A530" t="s">
        <v>3055</v>
      </c>
      <c r="B530" t="s">
        <v>3057</v>
      </c>
      <c r="C530" t="s">
        <v>2140</v>
      </c>
      <c r="D530" t="s">
        <v>263</v>
      </c>
      <c r="E530" t="s">
        <v>6757</v>
      </c>
      <c r="G530" t="s">
        <v>6758</v>
      </c>
    </row>
    <row r="531">
      <c r="A531" t="s">
        <v>3055</v>
      </c>
      <c r="B531" t="s">
        <v>3057</v>
      </c>
      <c r="C531" t="s">
        <v>2164</v>
      </c>
      <c r="D531" t="s">
        <v>322</v>
      </c>
      <c r="E531" t="s">
        <v>6757</v>
      </c>
      <c r="G531" t="s">
        <v>6758</v>
      </c>
    </row>
    <row r="532">
      <c r="A532" t="s">
        <v>3069</v>
      </c>
      <c r="B532" t="s">
        <v>3072</v>
      </c>
      <c r="C532" t="s">
        <v>2537</v>
      </c>
      <c r="D532" t="s">
        <v>1201</v>
      </c>
      <c r="E532" t="s">
        <v>6757</v>
      </c>
      <c r="G532" t="s">
        <v>6758</v>
      </c>
    </row>
    <row r="533">
      <c r="A533" t="s">
        <v>3069</v>
      </c>
      <c r="B533" t="s">
        <v>3072</v>
      </c>
      <c r="C533" t="s">
        <v>2140</v>
      </c>
      <c r="D533" t="s">
        <v>263</v>
      </c>
      <c r="E533" t="s">
        <v>6757</v>
      </c>
      <c r="G533" t="s">
        <v>6758</v>
      </c>
    </row>
    <row r="534">
      <c r="A534" t="s">
        <v>3069</v>
      </c>
      <c r="B534" t="s">
        <v>3072</v>
      </c>
      <c r="C534" t="s">
        <v>2156</v>
      </c>
      <c r="D534" t="s">
        <v>306</v>
      </c>
      <c r="E534" t="s">
        <v>6757</v>
      </c>
      <c r="G534" t="s">
        <v>6758</v>
      </c>
    </row>
    <row r="535">
      <c r="A535" t="s">
        <v>3069</v>
      </c>
      <c r="B535" t="s">
        <v>3072</v>
      </c>
      <c r="C535" t="s">
        <v>2133</v>
      </c>
      <c r="D535" t="s">
        <v>248</v>
      </c>
      <c r="E535" t="s">
        <v>6757</v>
      </c>
      <c r="G535" t="s">
        <v>6758</v>
      </c>
    </row>
    <row r="536">
      <c r="A536" t="s">
        <v>3069</v>
      </c>
      <c r="B536" t="s">
        <v>3072</v>
      </c>
      <c r="C536" t="s">
        <v>2196</v>
      </c>
      <c r="D536" t="s">
        <v>400</v>
      </c>
      <c r="E536" t="s">
        <v>6757</v>
      </c>
      <c r="G536" t="s">
        <v>6758</v>
      </c>
    </row>
    <row r="537">
      <c r="A537" t="s">
        <v>3086</v>
      </c>
      <c r="B537" t="s">
        <v>3088</v>
      </c>
      <c r="C537" t="s">
        <v>3069</v>
      </c>
      <c r="D537" t="s">
        <v>3072</v>
      </c>
      <c r="E537" t="s">
        <v>6757</v>
      </c>
      <c r="G537" t="s">
        <v>6758</v>
      </c>
    </row>
    <row r="538">
      <c r="A538" t="s">
        <v>3086</v>
      </c>
      <c r="B538" t="s">
        <v>3088</v>
      </c>
      <c r="C538" t="s">
        <v>2550</v>
      </c>
      <c r="D538" t="s">
        <v>1229</v>
      </c>
      <c r="E538" t="s">
        <v>6757</v>
      </c>
      <c r="G538" t="s">
        <v>6758</v>
      </c>
    </row>
    <row r="539">
      <c r="A539" t="s">
        <v>3086</v>
      </c>
      <c r="B539" t="s">
        <v>3088</v>
      </c>
      <c r="C539" t="s">
        <v>2156</v>
      </c>
      <c r="D539" t="s">
        <v>306</v>
      </c>
      <c r="E539" t="s">
        <v>6757</v>
      </c>
      <c r="G539" t="s">
        <v>6758</v>
      </c>
    </row>
    <row r="540">
      <c r="A540" t="s">
        <v>3086</v>
      </c>
      <c r="B540" t="s">
        <v>3088</v>
      </c>
      <c r="C540" t="s">
        <v>2161</v>
      </c>
      <c r="D540" t="s">
        <v>313</v>
      </c>
      <c r="E540" t="s">
        <v>6757</v>
      </c>
      <c r="G540" t="s">
        <v>6758</v>
      </c>
    </row>
    <row r="541">
      <c r="A541" t="s">
        <v>3086</v>
      </c>
      <c r="B541" t="s">
        <v>3088</v>
      </c>
      <c r="C541" t="s">
        <v>2140</v>
      </c>
      <c r="D541" t="s">
        <v>263</v>
      </c>
      <c r="E541" t="s">
        <v>6757</v>
      </c>
      <c r="G541" t="s">
        <v>6758</v>
      </c>
    </row>
    <row r="542">
      <c r="A542" t="s">
        <v>3086</v>
      </c>
      <c r="B542" t="s">
        <v>3088</v>
      </c>
      <c r="C542" t="s">
        <v>2133</v>
      </c>
      <c r="D542" t="s">
        <v>248</v>
      </c>
      <c r="E542" t="s">
        <v>6757</v>
      </c>
      <c r="G542" t="s">
        <v>6758</v>
      </c>
    </row>
    <row r="543">
      <c r="A543" t="s">
        <v>3099</v>
      </c>
      <c r="B543" t="s">
        <v>3101</v>
      </c>
      <c r="C543" t="s">
        <v>2558</v>
      </c>
      <c r="D543" t="s">
        <v>1250</v>
      </c>
      <c r="E543" t="s">
        <v>6757</v>
      </c>
      <c r="G543" t="s">
        <v>6758</v>
      </c>
    </row>
    <row r="544">
      <c r="A544" t="s">
        <v>3099</v>
      </c>
      <c r="B544" t="s">
        <v>3101</v>
      </c>
      <c r="C544" t="s">
        <v>2561</v>
      </c>
      <c r="D544" t="s">
        <v>1257</v>
      </c>
      <c r="E544" t="s">
        <v>6757</v>
      </c>
      <c r="G544" t="s">
        <v>6758</v>
      </c>
    </row>
    <row r="545">
      <c r="A545" t="s">
        <v>3099</v>
      </c>
      <c r="B545" t="s">
        <v>3101</v>
      </c>
      <c r="C545" t="s">
        <v>2087</v>
      </c>
      <c r="D545" t="s">
        <v>128</v>
      </c>
      <c r="E545" t="s">
        <v>6757</v>
      </c>
      <c r="G545" t="s">
        <v>6758</v>
      </c>
    </row>
    <row r="546">
      <c r="A546" t="s">
        <v>3099</v>
      </c>
      <c r="B546" t="s">
        <v>3101</v>
      </c>
      <c r="C546" t="s">
        <v>2140</v>
      </c>
      <c r="D546" t="s">
        <v>263</v>
      </c>
      <c r="E546" t="s">
        <v>6757</v>
      </c>
      <c r="G546" t="s">
        <v>6758</v>
      </c>
    </row>
    <row r="547">
      <c r="A547" t="s">
        <v>3099</v>
      </c>
      <c r="B547" t="s">
        <v>3101</v>
      </c>
      <c r="C547" t="s">
        <v>2133</v>
      </c>
      <c r="D547" t="s">
        <v>248</v>
      </c>
      <c r="E547" t="s">
        <v>6757</v>
      </c>
      <c r="G547" t="s">
        <v>6758</v>
      </c>
    </row>
    <row r="548">
      <c r="A548" t="s">
        <v>3099</v>
      </c>
      <c r="B548" t="s">
        <v>3101</v>
      </c>
      <c r="C548" t="s">
        <v>2156</v>
      </c>
      <c r="D548" t="s">
        <v>306</v>
      </c>
      <c r="E548" t="s">
        <v>6757</v>
      </c>
      <c r="G548" t="s">
        <v>6758</v>
      </c>
    </row>
    <row r="549">
      <c r="A549" t="s">
        <v>3055</v>
      </c>
      <c r="B549" t="s">
        <v>3057</v>
      </c>
      <c r="C549" t="s">
        <v>3025</v>
      </c>
      <c r="D549" t="s">
        <v>3028</v>
      </c>
      <c r="E549" t="s">
        <v>6757</v>
      </c>
      <c r="G549" t="s">
        <v>6758</v>
      </c>
    </row>
    <row r="550">
      <c r="A550" t="s">
        <v>3055</v>
      </c>
      <c r="B550" t="s">
        <v>3057</v>
      </c>
      <c r="C550" t="s">
        <v>3042</v>
      </c>
      <c r="D550" t="s">
        <v>3044</v>
      </c>
      <c r="E550" t="s">
        <v>6757</v>
      </c>
      <c r="G550" t="s">
        <v>6758</v>
      </c>
    </row>
    <row r="551">
      <c r="A551" t="s">
        <v>2439</v>
      </c>
      <c r="B551" t="s">
        <v>973</v>
      </c>
      <c r="C551" t="s">
        <v>2287</v>
      </c>
      <c r="D551" t="s">
        <v>617</v>
      </c>
      <c r="E551" t="s">
        <v>6757</v>
      </c>
      <c r="G551" t="s">
        <v>6758</v>
      </c>
    </row>
    <row r="552">
      <c r="A552" t="s">
        <v>2439</v>
      </c>
      <c r="B552" t="s">
        <v>973</v>
      </c>
      <c r="C552" t="s">
        <v>2290</v>
      </c>
      <c r="D552" t="s">
        <v>624</v>
      </c>
      <c r="E552" t="s">
        <v>6757</v>
      </c>
      <c r="G552" t="s">
        <v>6758</v>
      </c>
    </row>
    <row r="553">
      <c r="A553" t="s">
        <v>2439</v>
      </c>
      <c r="B553" t="s">
        <v>973</v>
      </c>
      <c r="C553" t="s">
        <v>2281</v>
      </c>
      <c r="D553" t="s">
        <v>602</v>
      </c>
      <c r="E553" t="s">
        <v>6757</v>
      </c>
      <c r="G553" t="s">
        <v>6758</v>
      </c>
    </row>
    <row r="554">
      <c r="A554" t="s">
        <v>2439</v>
      </c>
      <c r="B554" t="s">
        <v>973</v>
      </c>
      <c r="C554" t="s">
        <v>2284</v>
      </c>
      <c r="D554" t="s">
        <v>610</v>
      </c>
      <c r="E554" t="s">
        <v>6757</v>
      </c>
      <c r="G554" t="s">
        <v>6758</v>
      </c>
    </row>
    <row r="555">
      <c r="A555" t="s">
        <v>2439</v>
      </c>
      <c r="B555" t="s">
        <v>973</v>
      </c>
      <c r="C555" t="s">
        <v>2199</v>
      </c>
      <c r="D555" t="s">
        <v>410</v>
      </c>
      <c r="E555" t="s">
        <v>6757</v>
      </c>
      <c r="G555" t="s">
        <v>6758</v>
      </c>
    </row>
    <row r="556">
      <c r="A556" t="s">
        <v>2446</v>
      </c>
      <c r="B556" t="s">
        <v>981</v>
      </c>
      <c r="C556" t="s">
        <v>2287</v>
      </c>
      <c r="D556" t="s">
        <v>617</v>
      </c>
      <c r="E556" t="s">
        <v>6757</v>
      </c>
      <c r="G556" t="s">
        <v>6758</v>
      </c>
    </row>
    <row r="557">
      <c r="A557" t="s">
        <v>2446</v>
      </c>
      <c r="B557" t="s">
        <v>981</v>
      </c>
      <c r="C557" t="s">
        <v>2290</v>
      </c>
      <c r="D557" t="s">
        <v>624</v>
      </c>
      <c r="E557" t="s">
        <v>6757</v>
      </c>
      <c r="G557" t="s">
        <v>6758</v>
      </c>
    </row>
    <row r="558">
      <c r="A558" t="s">
        <v>2446</v>
      </c>
      <c r="B558" t="s">
        <v>981</v>
      </c>
      <c r="C558" t="s">
        <v>2281</v>
      </c>
      <c r="D558" t="s">
        <v>602</v>
      </c>
      <c r="E558" t="s">
        <v>6757</v>
      </c>
      <c r="G558" t="s">
        <v>6758</v>
      </c>
    </row>
    <row r="559">
      <c r="A559" t="s">
        <v>2446</v>
      </c>
      <c r="B559" t="s">
        <v>981</v>
      </c>
      <c r="C559" t="s">
        <v>2284</v>
      </c>
      <c r="D559" t="s">
        <v>610</v>
      </c>
      <c r="E559" t="s">
        <v>6757</v>
      </c>
      <c r="G559" t="s">
        <v>6758</v>
      </c>
    </row>
    <row r="560">
      <c r="A560" t="s">
        <v>2446</v>
      </c>
      <c r="B560" t="s">
        <v>981</v>
      </c>
      <c r="C560" t="s">
        <v>2199</v>
      </c>
      <c r="D560" t="s">
        <v>410</v>
      </c>
      <c r="E560" t="s">
        <v>6757</v>
      </c>
      <c r="G560" t="s">
        <v>6758</v>
      </c>
    </row>
    <row r="561">
      <c r="A561" t="s">
        <v>2449</v>
      </c>
      <c r="B561" t="s">
        <v>987</v>
      </c>
      <c r="C561" t="s">
        <v>2287</v>
      </c>
      <c r="D561" t="s">
        <v>617</v>
      </c>
      <c r="E561" t="s">
        <v>6757</v>
      </c>
      <c r="G561" t="s">
        <v>6758</v>
      </c>
    </row>
    <row r="562">
      <c r="A562" t="s">
        <v>2449</v>
      </c>
      <c r="B562" t="s">
        <v>987</v>
      </c>
      <c r="C562" t="s">
        <v>2290</v>
      </c>
      <c r="D562" t="s">
        <v>624</v>
      </c>
      <c r="E562" t="s">
        <v>6757</v>
      </c>
      <c r="G562" t="s">
        <v>6758</v>
      </c>
    </row>
    <row r="563">
      <c r="A563" t="s">
        <v>2449</v>
      </c>
      <c r="B563" t="s">
        <v>987</v>
      </c>
      <c r="C563" t="s">
        <v>2281</v>
      </c>
      <c r="D563" t="s">
        <v>602</v>
      </c>
      <c r="E563" t="s">
        <v>6757</v>
      </c>
      <c r="G563" t="s">
        <v>6758</v>
      </c>
    </row>
    <row r="564">
      <c r="A564" t="s">
        <v>2449</v>
      </c>
      <c r="B564" t="s">
        <v>987</v>
      </c>
      <c r="C564" t="s">
        <v>2284</v>
      </c>
      <c r="D564" t="s">
        <v>610</v>
      </c>
      <c r="E564" t="s">
        <v>6757</v>
      </c>
      <c r="G564" t="s">
        <v>6758</v>
      </c>
    </row>
    <row r="565">
      <c r="A565" t="s">
        <v>2449</v>
      </c>
      <c r="B565" t="s">
        <v>987</v>
      </c>
      <c r="C565" t="s">
        <v>2199</v>
      </c>
      <c r="D565" t="s">
        <v>410</v>
      </c>
      <c r="E565" t="s">
        <v>6757</v>
      </c>
      <c r="G565" t="s">
        <v>6758</v>
      </c>
    </row>
    <row r="566">
      <c r="A566" t="s">
        <v>2452</v>
      </c>
      <c r="B566" t="s">
        <v>993</v>
      </c>
      <c r="C566" t="s">
        <v>2287</v>
      </c>
      <c r="D566" t="s">
        <v>617</v>
      </c>
      <c r="E566" t="s">
        <v>6757</v>
      </c>
      <c r="G566" t="s">
        <v>6758</v>
      </c>
    </row>
    <row r="567">
      <c r="A567" t="s">
        <v>2452</v>
      </c>
      <c r="B567" t="s">
        <v>993</v>
      </c>
      <c r="C567" t="s">
        <v>2290</v>
      </c>
      <c r="D567" t="s">
        <v>624</v>
      </c>
      <c r="E567" t="s">
        <v>6757</v>
      </c>
      <c r="G567" t="s">
        <v>6758</v>
      </c>
    </row>
    <row r="568">
      <c r="A568" t="s">
        <v>2452</v>
      </c>
      <c r="B568" t="s">
        <v>993</v>
      </c>
      <c r="C568" t="s">
        <v>2281</v>
      </c>
      <c r="D568" t="s">
        <v>602</v>
      </c>
      <c r="E568" t="s">
        <v>6757</v>
      </c>
      <c r="G568" t="s">
        <v>6758</v>
      </c>
    </row>
    <row r="569">
      <c r="A569" t="s">
        <v>2452</v>
      </c>
      <c r="B569" t="s">
        <v>993</v>
      </c>
      <c r="C569" t="s">
        <v>2284</v>
      </c>
      <c r="D569" t="s">
        <v>610</v>
      </c>
      <c r="E569" t="s">
        <v>6757</v>
      </c>
      <c r="G569" t="s">
        <v>6758</v>
      </c>
    </row>
    <row r="570">
      <c r="A570" t="s">
        <v>2452</v>
      </c>
      <c r="B570" t="s">
        <v>993</v>
      </c>
      <c r="C570" t="s">
        <v>2199</v>
      </c>
      <c r="D570" t="s">
        <v>410</v>
      </c>
      <c r="E570" t="s">
        <v>6757</v>
      </c>
      <c r="G570" t="s">
        <v>6758</v>
      </c>
    </row>
    <row r="571">
      <c r="A571" t="s">
        <v>2455</v>
      </c>
      <c r="B571" t="s">
        <v>1001</v>
      </c>
      <c r="C571" t="s">
        <v>2287</v>
      </c>
      <c r="D571" t="s">
        <v>617</v>
      </c>
      <c r="E571" t="s">
        <v>6757</v>
      </c>
      <c r="G571" t="s">
        <v>6758</v>
      </c>
    </row>
    <row r="572">
      <c r="A572" t="s">
        <v>2455</v>
      </c>
      <c r="B572" t="s">
        <v>1001</v>
      </c>
      <c r="C572" t="s">
        <v>2290</v>
      </c>
      <c r="D572" t="s">
        <v>624</v>
      </c>
      <c r="E572" t="s">
        <v>6757</v>
      </c>
      <c r="G572" t="s">
        <v>6758</v>
      </c>
    </row>
    <row r="573">
      <c r="A573" t="s">
        <v>2455</v>
      </c>
      <c r="B573" t="s">
        <v>1001</v>
      </c>
      <c r="C573" t="s">
        <v>2281</v>
      </c>
      <c r="D573" t="s">
        <v>602</v>
      </c>
      <c r="E573" t="s">
        <v>6757</v>
      </c>
      <c r="G573" t="s">
        <v>6758</v>
      </c>
    </row>
    <row r="574">
      <c r="A574" t="s">
        <v>2455</v>
      </c>
      <c r="B574" t="s">
        <v>1001</v>
      </c>
      <c r="C574" t="s">
        <v>2284</v>
      </c>
      <c r="D574" t="s">
        <v>610</v>
      </c>
      <c r="E574" t="s">
        <v>6757</v>
      </c>
      <c r="G574" t="s">
        <v>6758</v>
      </c>
    </row>
    <row r="575">
      <c r="A575" t="s">
        <v>2455</v>
      </c>
      <c r="B575" t="s">
        <v>1001</v>
      </c>
      <c r="C575" t="s">
        <v>2199</v>
      </c>
      <c r="D575" t="s">
        <v>410</v>
      </c>
      <c r="E575" t="s">
        <v>6757</v>
      </c>
      <c r="G575" t="s">
        <v>6758</v>
      </c>
    </row>
    <row r="576">
      <c r="A576" t="s">
        <v>2458</v>
      </c>
      <c r="B576" t="s">
        <v>1007</v>
      </c>
      <c r="C576" t="s">
        <v>2287</v>
      </c>
      <c r="D576" t="s">
        <v>617</v>
      </c>
      <c r="E576" t="s">
        <v>6757</v>
      </c>
      <c r="G576" t="s">
        <v>6758</v>
      </c>
    </row>
    <row r="577">
      <c r="A577" t="s">
        <v>2458</v>
      </c>
      <c r="B577" t="s">
        <v>1007</v>
      </c>
      <c r="C577" t="s">
        <v>2290</v>
      </c>
      <c r="D577" t="s">
        <v>624</v>
      </c>
      <c r="E577" t="s">
        <v>6757</v>
      </c>
      <c r="G577" t="s">
        <v>6758</v>
      </c>
    </row>
    <row r="578">
      <c r="A578" t="s">
        <v>2458</v>
      </c>
      <c r="B578" t="s">
        <v>1007</v>
      </c>
      <c r="C578" t="s">
        <v>2281</v>
      </c>
      <c r="D578" t="s">
        <v>602</v>
      </c>
      <c r="E578" t="s">
        <v>6757</v>
      </c>
      <c r="G578" t="s">
        <v>6758</v>
      </c>
    </row>
    <row r="579">
      <c r="A579" t="s">
        <v>2458</v>
      </c>
      <c r="B579" t="s">
        <v>1007</v>
      </c>
      <c r="C579" t="s">
        <v>2284</v>
      </c>
      <c r="D579" t="s">
        <v>610</v>
      </c>
      <c r="E579" t="s">
        <v>6757</v>
      </c>
      <c r="G579" t="s">
        <v>6758</v>
      </c>
    </row>
    <row r="580">
      <c r="A580" t="s">
        <v>2458</v>
      </c>
      <c r="B580" t="s">
        <v>1007</v>
      </c>
      <c r="C580" t="s">
        <v>2199</v>
      </c>
      <c r="D580" t="s">
        <v>410</v>
      </c>
      <c r="E580" t="s">
        <v>6757</v>
      </c>
      <c r="G580" t="s">
        <v>6758</v>
      </c>
    </row>
    <row r="581">
      <c r="A581" t="s">
        <v>2461</v>
      </c>
      <c r="B581" t="s">
        <v>1015</v>
      </c>
      <c r="C581" t="s">
        <v>2287</v>
      </c>
      <c r="D581" t="s">
        <v>617</v>
      </c>
      <c r="E581" t="s">
        <v>6757</v>
      </c>
      <c r="G581" t="s">
        <v>6758</v>
      </c>
    </row>
    <row r="582">
      <c r="A582" t="s">
        <v>2461</v>
      </c>
      <c r="B582" t="s">
        <v>1015</v>
      </c>
      <c r="C582" t="s">
        <v>2290</v>
      </c>
      <c r="D582" t="s">
        <v>624</v>
      </c>
      <c r="E582" t="s">
        <v>6757</v>
      </c>
      <c r="G582" t="s">
        <v>6758</v>
      </c>
    </row>
    <row r="583">
      <c r="A583" t="s">
        <v>2461</v>
      </c>
      <c r="B583" t="s">
        <v>1015</v>
      </c>
      <c r="C583" t="s">
        <v>2281</v>
      </c>
      <c r="D583" t="s">
        <v>602</v>
      </c>
      <c r="E583" t="s">
        <v>6757</v>
      </c>
      <c r="G583" t="s">
        <v>6758</v>
      </c>
    </row>
    <row r="584">
      <c r="A584" t="s">
        <v>2461</v>
      </c>
      <c r="B584" t="s">
        <v>1015</v>
      </c>
      <c r="C584" t="s">
        <v>2284</v>
      </c>
      <c r="D584" t="s">
        <v>610</v>
      </c>
      <c r="E584" t="s">
        <v>6757</v>
      </c>
      <c r="G584" t="s">
        <v>6758</v>
      </c>
    </row>
    <row r="585">
      <c r="A585" t="s">
        <v>2461</v>
      </c>
      <c r="B585" t="s">
        <v>1015</v>
      </c>
      <c r="C585" t="s">
        <v>2199</v>
      </c>
      <c r="D585" t="s">
        <v>410</v>
      </c>
      <c r="E585" t="s">
        <v>6757</v>
      </c>
      <c r="G585" t="s">
        <v>6758</v>
      </c>
    </row>
    <row r="586">
      <c r="A586" t="s">
        <v>2464</v>
      </c>
      <c r="B586" t="s">
        <v>1022</v>
      </c>
      <c r="C586" t="s">
        <v>2287</v>
      </c>
      <c r="D586" t="s">
        <v>617</v>
      </c>
      <c r="E586" t="s">
        <v>6757</v>
      </c>
      <c r="G586" t="s">
        <v>6758</v>
      </c>
    </row>
    <row r="587">
      <c r="A587" t="s">
        <v>2464</v>
      </c>
      <c r="B587" t="s">
        <v>1022</v>
      </c>
      <c r="C587" t="s">
        <v>2290</v>
      </c>
      <c r="D587" t="s">
        <v>624</v>
      </c>
      <c r="E587" t="s">
        <v>6757</v>
      </c>
      <c r="G587" t="s">
        <v>6758</v>
      </c>
    </row>
    <row r="588">
      <c r="A588" t="s">
        <v>2464</v>
      </c>
      <c r="B588" t="s">
        <v>1022</v>
      </c>
      <c r="C588" t="s">
        <v>2281</v>
      </c>
      <c r="D588" t="s">
        <v>602</v>
      </c>
      <c r="E588" t="s">
        <v>6757</v>
      </c>
      <c r="G588" t="s">
        <v>6758</v>
      </c>
    </row>
    <row r="589">
      <c r="A589" t="s">
        <v>2464</v>
      </c>
      <c r="B589" t="s">
        <v>1022</v>
      </c>
      <c r="C589" t="s">
        <v>2284</v>
      </c>
      <c r="D589" t="s">
        <v>610</v>
      </c>
      <c r="E589" t="s">
        <v>6757</v>
      </c>
      <c r="G589" t="s">
        <v>6758</v>
      </c>
    </row>
    <row r="590">
      <c r="A590" t="s">
        <v>2464</v>
      </c>
      <c r="B590" t="s">
        <v>1022</v>
      </c>
      <c r="C590" t="s">
        <v>2199</v>
      </c>
      <c r="D590" t="s">
        <v>410</v>
      </c>
      <c r="E590" t="s">
        <v>6757</v>
      </c>
      <c r="G590" t="s">
        <v>6758</v>
      </c>
    </row>
    <row r="591">
      <c r="A591" t="s">
        <v>2467</v>
      </c>
      <c r="B591" t="s">
        <v>1029</v>
      </c>
      <c r="C591" t="s">
        <v>2287</v>
      </c>
      <c r="D591" t="s">
        <v>617</v>
      </c>
      <c r="E591" t="s">
        <v>6757</v>
      </c>
      <c r="G591" t="s">
        <v>6758</v>
      </c>
    </row>
    <row r="592">
      <c r="A592" t="s">
        <v>2467</v>
      </c>
      <c r="B592" t="s">
        <v>1029</v>
      </c>
      <c r="C592" t="s">
        <v>2290</v>
      </c>
      <c r="D592" t="s">
        <v>624</v>
      </c>
      <c r="E592" t="s">
        <v>6757</v>
      </c>
      <c r="G592" t="s">
        <v>6758</v>
      </c>
    </row>
    <row r="593">
      <c r="A593" t="s">
        <v>2467</v>
      </c>
      <c r="B593" t="s">
        <v>1029</v>
      </c>
      <c r="C593" t="s">
        <v>2281</v>
      </c>
      <c r="D593" t="s">
        <v>602</v>
      </c>
      <c r="E593" t="s">
        <v>6757</v>
      </c>
      <c r="G593" t="s">
        <v>6758</v>
      </c>
    </row>
    <row r="594">
      <c r="A594" t="s">
        <v>2467</v>
      </c>
      <c r="B594" t="s">
        <v>1029</v>
      </c>
      <c r="C594" t="s">
        <v>2284</v>
      </c>
      <c r="D594" t="s">
        <v>610</v>
      </c>
      <c r="E594" t="s">
        <v>6757</v>
      </c>
      <c r="G594" t="s">
        <v>6758</v>
      </c>
    </row>
    <row r="595">
      <c r="A595" t="s">
        <v>2467</v>
      </c>
      <c r="B595" t="s">
        <v>1029</v>
      </c>
      <c r="C595" t="s">
        <v>2199</v>
      </c>
      <c r="D595" t="s">
        <v>410</v>
      </c>
      <c r="E595" t="s">
        <v>6757</v>
      </c>
      <c r="G595" t="s">
        <v>6758</v>
      </c>
    </row>
    <row r="596">
      <c r="A596" t="s">
        <v>2471</v>
      </c>
      <c r="B596" t="s">
        <v>1035</v>
      </c>
      <c r="C596" t="s">
        <v>2287</v>
      </c>
      <c r="D596" t="s">
        <v>617</v>
      </c>
      <c r="E596" t="s">
        <v>6757</v>
      </c>
      <c r="G596" t="s">
        <v>6758</v>
      </c>
    </row>
    <row r="597">
      <c r="A597" t="s">
        <v>2471</v>
      </c>
      <c r="B597" t="s">
        <v>1035</v>
      </c>
      <c r="C597" t="s">
        <v>2290</v>
      </c>
      <c r="D597" t="s">
        <v>624</v>
      </c>
      <c r="E597" t="s">
        <v>6757</v>
      </c>
      <c r="G597" t="s">
        <v>6758</v>
      </c>
    </row>
    <row r="598">
      <c r="A598" t="s">
        <v>2471</v>
      </c>
      <c r="B598" t="s">
        <v>1035</v>
      </c>
      <c r="C598" t="s">
        <v>2281</v>
      </c>
      <c r="D598" t="s">
        <v>602</v>
      </c>
      <c r="E598" t="s">
        <v>6757</v>
      </c>
      <c r="G598" t="s">
        <v>6758</v>
      </c>
    </row>
    <row r="599">
      <c r="A599" t="s">
        <v>2471</v>
      </c>
      <c r="B599" t="s">
        <v>1035</v>
      </c>
      <c r="C599" t="s">
        <v>2284</v>
      </c>
      <c r="D599" t="s">
        <v>610</v>
      </c>
      <c r="E599" t="s">
        <v>6757</v>
      </c>
      <c r="G599" t="s">
        <v>6758</v>
      </c>
    </row>
    <row r="600">
      <c r="A600" t="s">
        <v>2471</v>
      </c>
      <c r="B600" t="s">
        <v>1035</v>
      </c>
      <c r="C600" t="s">
        <v>2199</v>
      </c>
      <c r="D600" t="s">
        <v>410</v>
      </c>
      <c r="E600" t="s">
        <v>6757</v>
      </c>
      <c r="G600" t="s">
        <v>6758</v>
      </c>
    </row>
    <row r="601">
      <c r="A601" t="s">
        <v>2474</v>
      </c>
      <c r="B601" t="s">
        <v>1043</v>
      </c>
      <c r="C601" t="s">
        <v>2287</v>
      </c>
      <c r="D601" t="s">
        <v>617</v>
      </c>
      <c r="E601" t="s">
        <v>6757</v>
      </c>
      <c r="G601" t="s">
        <v>6758</v>
      </c>
    </row>
    <row r="602">
      <c r="A602" t="s">
        <v>2474</v>
      </c>
      <c r="B602" t="s">
        <v>1043</v>
      </c>
      <c r="C602" t="s">
        <v>2290</v>
      </c>
      <c r="D602" t="s">
        <v>624</v>
      </c>
      <c r="E602" t="s">
        <v>6757</v>
      </c>
      <c r="G602" t="s">
        <v>6758</v>
      </c>
    </row>
    <row r="603">
      <c r="A603" t="s">
        <v>2474</v>
      </c>
      <c r="B603" t="s">
        <v>1043</v>
      </c>
      <c r="C603" t="s">
        <v>2281</v>
      </c>
      <c r="D603" t="s">
        <v>602</v>
      </c>
      <c r="E603" t="s">
        <v>6757</v>
      </c>
      <c r="G603" t="s">
        <v>6758</v>
      </c>
    </row>
    <row r="604">
      <c r="A604" t="s">
        <v>2474</v>
      </c>
      <c r="B604" t="s">
        <v>1043</v>
      </c>
      <c r="C604" t="s">
        <v>2284</v>
      </c>
      <c r="D604" t="s">
        <v>610</v>
      </c>
      <c r="E604" t="s">
        <v>6757</v>
      </c>
      <c r="G604" t="s">
        <v>6758</v>
      </c>
    </row>
    <row r="605">
      <c r="A605" t="s">
        <v>2474</v>
      </c>
      <c r="B605" t="s">
        <v>1043</v>
      </c>
      <c r="C605" t="s">
        <v>2199</v>
      </c>
      <c r="D605" t="s">
        <v>410</v>
      </c>
      <c r="E605" t="s">
        <v>6757</v>
      </c>
      <c r="G605" t="s">
        <v>6758</v>
      </c>
    </row>
    <row r="606">
      <c r="A606" t="s">
        <v>2477</v>
      </c>
      <c r="B606" t="s">
        <v>1050</v>
      </c>
      <c r="C606" t="s">
        <v>2287</v>
      </c>
      <c r="D606" t="s">
        <v>617</v>
      </c>
      <c r="E606" t="s">
        <v>6757</v>
      </c>
      <c r="G606" t="s">
        <v>6758</v>
      </c>
    </row>
    <row r="607">
      <c r="A607" t="s">
        <v>2477</v>
      </c>
      <c r="B607" t="s">
        <v>1050</v>
      </c>
      <c r="C607" t="s">
        <v>2290</v>
      </c>
      <c r="D607" t="s">
        <v>624</v>
      </c>
      <c r="E607" t="s">
        <v>6757</v>
      </c>
      <c r="G607" t="s">
        <v>6758</v>
      </c>
    </row>
    <row r="608">
      <c r="A608" t="s">
        <v>2477</v>
      </c>
      <c r="B608" t="s">
        <v>1050</v>
      </c>
      <c r="C608" t="s">
        <v>2281</v>
      </c>
      <c r="D608" t="s">
        <v>602</v>
      </c>
      <c r="E608" t="s">
        <v>6757</v>
      </c>
      <c r="G608" t="s">
        <v>6758</v>
      </c>
    </row>
    <row r="609">
      <c r="A609" t="s">
        <v>2477</v>
      </c>
      <c r="B609" t="s">
        <v>1050</v>
      </c>
      <c r="C609" t="s">
        <v>2284</v>
      </c>
      <c r="D609" t="s">
        <v>610</v>
      </c>
      <c r="E609" t="s">
        <v>6757</v>
      </c>
      <c r="G609" t="s">
        <v>6758</v>
      </c>
    </row>
    <row r="610">
      <c r="A610" t="s">
        <v>2477</v>
      </c>
      <c r="B610" t="s">
        <v>1050</v>
      </c>
      <c r="C610" t="s">
        <v>2199</v>
      </c>
      <c r="D610" t="s">
        <v>410</v>
      </c>
      <c r="E610" t="s">
        <v>6757</v>
      </c>
      <c r="G610" t="s">
        <v>6758</v>
      </c>
    </row>
    <row r="611">
      <c r="A611" t="s">
        <v>2480</v>
      </c>
      <c r="B611" t="s">
        <v>1058</v>
      </c>
      <c r="C611" t="s">
        <v>2287</v>
      </c>
      <c r="D611" t="s">
        <v>617</v>
      </c>
      <c r="E611" t="s">
        <v>6757</v>
      </c>
      <c r="G611" t="s">
        <v>6758</v>
      </c>
    </row>
    <row r="612">
      <c r="A612" t="s">
        <v>2480</v>
      </c>
      <c r="B612" t="s">
        <v>1058</v>
      </c>
      <c r="C612" t="s">
        <v>2290</v>
      </c>
      <c r="D612" t="s">
        <v>624</v>
      </c>
      <c r="E612" t="s">
        <v>6757</v>
      </c>
      <c r="G612" t="s">
        <v>6758</v>
      </c>
    </row>
    <row r="613">
      <c r="A613" t="s">
        <v>2480</v>
      </c>
      <c r="B613" t="s">
        <v>1058</v>
      </c>
      <c r="C613" t="s">
        <v>2281</v>
      </c>
      <c r="D613" t="s">
        <v>602</v>
      </c>
      <c r="E613" t="s">
        <v>6757</v>
      </c>
      <c r="G613" t="s">
        <v>6758</v>
      </c>
    </row>
    <row r="614">
      <c r="A614" t="s">
        <v>2480</v>
      </c>
      <c r="B614" t="s">
        <v>1058</v>
      </c>
      <c r="C614" t="s">
        <v>2284</v>
      </c>
      <c r="D614" t="s">
        <v>610</v>
      </c>
      <c r="E614" t="s">
        <v>6757</v>
      </c>
      <c r="G614" t="s">
        <v>6758</v>
      </c>
    </row>
    <row r="615">
      <c r="A615" t="s">
        <v>2480</v>
      </c>
      <c r="B615" t="s">
        <v>1058</v>
      </c>
      <c r="C615" t="s">
        <v>2199</v>
      </c>
      <c r="D615" t="s">
        <v>410</v>
      </c>
      <c r="E615" t="s">
        <v>6757</v>
      </c>
      <c r="G615" t="s">
        <v>6758</v>
      </c>
    </row>
    <row r="616">
      <c r="A616" t="s">
        <v>2483</v>
      </c>
      <c r="B616" t="s">
        <v>1064</v>
      </c>
      <c r="C616" t="s">
        <v>2287</v>
      </c>
      <c r="D616" t="s">
        <v>617</v>
      </c>
      <c r="E616" t="s">
        <v>6757</v>
      </c>
      <c r="G616" t="s">
        <v>6758</v>
      </c>
    </row>
    <row r="617">
      <c r="A617" t="s">
        <v>2483</v>
      </c>
      <c r="B617" t="s">
        <v>1064</v>
      </c>
      <c r="C617" t="s">
        <v>2290</v>
      </c>
      <c r="D617" t="s">
        <v>624</v>
      </c>
      <c r="E617" t="s">
        <v>6757</v>
      </c>
      <c r="G617" t="s">
        <v>6758</v>
      </c>
    </row>
    <row r="618">
      <c r="A618" t="s">
        <v>2483</v>
      </c>
      <c r="B618" t="s">
        <v>1064</v>
      </c>
      <c r="C618" t="s">
        <v>2281</v>
      </c>
      <c r="D618" t="s">
        <v>602</v>
      </c>
      <c r="E618" t="s">
        <v>6757</v>
      </c>
      <c r="G618" t="s">
        <v>6758</v>
      </c>
    </row>
    <row r="619">
      <c r="A619" t="s">
        <v>2483</v>
      </c>
      <c r="B619" t="s">
        <v>1064</v>
      </c>
      <c r="C619" t="s">
        <v>2284</v>
      </c>
      <c r="D619" t="s">
        <v>610</v>
      </c>
      <c r="E619" t="s">
        <v>6757</v>
      </c>
      <c r="G619" t="s">
        <v>6758</v>
      </c>
    </row>
    <row r="620">
      <c r="A620" t="s">
        <v>2483</v>
      </c>
      <c r="B620" t="s">
        <v>1064</v>
      </c>
      <c r="C620" t="s">
        <v>2199</v>
      </c>
      <c r="D620" t="s">
        <v>410</v>
      </c>
      <c r="E620" t="s">
        <v>6757</v>
      </c>
      <c r="G620" t="s">
        <v>6758</v>
      </c>
    </row>
    <row r="621">
      <c r="A621" t="s">
        <v>2486</v>
      </c>
      <c r="B621" t="s">
        <v>1074</v>
      </c>
      <c r="C621" t="s">
        <v>2287</v>
      </c>
      <c r="D621" t="s">
        <v>617</v>
      </c>
      <c r="E621" t="s">
        <v>6757</v>
      </c>
      <c r="G621" t="s">
        <v>6758</v>
      </c>
    </row>
    <row r="622">
      <c r="A622" t="s">
        <v>2486</v>
      </c>
      <c r="B622" t="s">
        <v>1074</v>
      </c>
      <c r="C622" t="s">
        <v>2290</v>
      </c>
      <c r="D622" t="s">
        <v>624</v>
      </c>
      <c r="E622" t="s">
        <v>6757</v>
      </c>
      <c r="G622" t="s">
        <v>6758</v>
      </c>
    </row>
    <row r="623">
      <c r="A623" t="s">
        <v>2486</v>
      </c>
      <c r="B623" t="s">
        <v>1074</v>
      </c>
      <c r="C623" t="s">
        <v>2281</v>
      </c>
      <c r="D623" t="s">
        <v>602</v>
      </c>
      <c r="E623" t="s">
        <v>6757</v>
      </c>
      <c r="G623" t="s">
        <v>6758</v>
      </c>
    </row>
    <row r="624">
      <c r="A624" t="s">
        <v>2486</v>
      </c>
      <c r="B624" t="s">
        <v>1074</v>
      </c>
      <c r="C624" t="s">
        <v>2284</v>
      </c>
      <c r="D624" t="s">
        <v>610</v>
      </c>
      <c r="E624" t="s">
        <v>6757</v>
      </c>
      <c r="G624" t="s">
        <v>6758</v>
      </c>
    </row>
    <row r="625">
      <c r="A625" t="s">
        <v>2486</v>
      </c>
      <c r="B625" t="s">
        <v>1074</v>
      </c>
      <c r="C625" t="s">
        <v>2199</v>
      </c>
      <c r="D625" t="s">
        <v>410</v>
      </c>
      <c r="E625" t="s">
        <v>6757</v>
      </c>
      <c r="G625" t="s">
        <v>6758</v>
      </c>
    </row>
    <row r="626">
      <c r="A626" t="s">
        <v>2489</v>
      </c>
      <c r="B626" t="s">
        <v>1081</v>
      </c>
      <c r="C626" t="s">
        <v>2287</v>
      </c>
      <c r="D626" t="s">
        <v>617</v>
      </c>
      <c r="E626" t="s">
        <v>6757</v>
      </c>
      <c r="G626" t="s">
        <v>6758</v>
      </c>
    </row>
    <row r="627">
      <c r="A627" t="s">
        <v>2489</v>
      </c>
      <c r="B627" t="s">
        <v>1081</v>
      </c>
      <c r="C627" t="s">
        <v>2290</v>
      </c>
      <c r="D627" t="s">
        <v>624</v>
      </c>
      <c r="E627" t="s">
        <v>6757</v>
      </c>
      <c r="G627" t="s">
        <v>6758</v>
      </c>
    </row>
    <row r="628">
      <c r="A628" t="s">
        <v>2489</v>
      </c>
      <c r="B628" t="s">
        <v>1081</v>
      </c>
      <c r="C628" t="s">
        <v>2281</v>
      </c>
      <c r="D628" t="s">
        <v>602</v>
      </c>
      <c r="E628" t="s">
        <v>6757</v>
      </c>
      <c r="G628" t="s">
        <v>6758</v>
      </c>
    </row>
    <row r="629">
      <c r="A629" t="s">
        <v>2489</v>
      </c>
      <c r="B629" t="s">
        <v>1081</v>
      </c>
      <c r="C629" t="s">
        <v>2284</v>
      </c>
      <c r="D629" t="s">
        <v>610</v>
      </c>
      <c r="E629" t="s">
        <v>6757</v>
      </c>
      <c r="G629" t="s">
        <v>6758</v>
      </c>
    </row>
    <row r="630">
      <c r="A630" t="s">
        <v>2489</v>
      </c>
      <c r="B630" t="s">
        <v>1081</v>
      </c>
      <c r="C630" t="s">
        <v>2199</v>
      </c>
      <c r="D630" t="s">
        <v>410</v>
      </c>
      <c r="E630" t="s">
        <v>6757</v>
      </c>
      <c r="G630" t="s">
        <v>6758</v>
      </c>
    </row>
    <row r="631">
      <c r="A631" t="s">
        <v>2492</v>
      </c>
      <c r="B631" t="s">
        <v>1087</v>
      </c>
      <c r="C631" t="s">
        <v>2287</v>
      </c>
      <c r="D631" t="s">
        <v>617</v>
      </c>
      <c r="E631" t="s">
        <v>6757</v>
      </c>
      <c r="G631" t="s">
        <v>6758</v>
      </c>
    </row>
    <row r="632">
      <c r="A632" t="s">
        <v>2492</v>
      </c>
      <c r="B632" t="s">
        <v>1087</v>
      </c>
      <c r="C632" t="s">
        <v>2290</v>
      </c>
      <c r="D632" t="s">
        <v>624</v>
      </c>
      <c r="E632" t="s">
        <v>6757</v>
      </c>
      <c r="G632" t="s">
        <v>6758</v>
      </c>
    </row>
    <row r="633">
      <c r="A633" t="s">
        <v>2492</v>
      </c>
      <c r="B633" t="s">
        <v>1087</v>
      </c>
      <c r="C633" t="s">
        <v>2281</v>
      </c>
      <c r="D633" t="s">
        <v>602</v>
      </c>
      <c r="E633" t="s">
        <v>6757</v>
      </c>
      <c r="G633" t="s">
        <v>6758</v>
      </c>
    </row>
    <row r="634">
      <c r="A634" t="s">
        <v>2492</v>
      </c>
      <c r="B634" t="s">
        <v>1087</v>
      </c>
      <c r="C634" t="s">
        <v>2284</v>
      </c>
      <c r="D634" t="s">
        <v>610</v>
      </c>
      <c r="E634" t="s">
        <v>6757</v>
      </c>
      <c r="G634" t="s">
        <v>6758</v>
      </c>
    </row>
    <row r="635">
      <c r="A635" t="s">
        <v>2492</v>
      </c>
      <c r="B635" t="s">
        <v>1087</v>
      </c>
      <c r="C635" t="s">
        <v>2199</v>
      </c>
      <c r="D635" t="s">
        <v>410</v>
      </c>
      <c r="E635" t="s">
        <v>6757</v>
      </c>
      <c r="G635" t="s">
        <v>6758</v>
      </c>
    </row>
    <row r="636">
      <c r="A636" t="s">
        <v>2495</v>
      </c>
      <c r="B636" t="s">
        <v>1094</v>
      </c>
      <c r="C636" t="s">
        <v>2287</v>
      </c>
      <c r="D636" t="s">
        <v>617</v>
      </c>
      <c r="E636" t="s">
        <v>6757</v>
      </c>
      <c r="G636" t="s">
        <v>6758</v>
      </c>
    </row>
    <row r="637">
      <c r="A637" t="s">
        <v>2495</v>
      </c>
      <c r="B637" t="s">
        <v>1094</v>
      </c>
      <c r="C637" t="s">
        <v>2290</v>
      </c>
      <c r="D637" t="s">
        <v>624</v>
      </c>
      <c r="E637" t="s">
        <v>6757</v>
      </c>
      <c r="G637" t="s">
        <v>6758</v>
      </c>
    </row>
    <row r="638">
      <c r="A638" t="s">
        <v>2495</v>
      </c>
      <c r="B638" t="s">
        <v>1094</v>
      </c>
      <c r="C638" t="s">
        <v>2281</v>
      </c>
      <c r="D638" t="s">
        <v>602</v>
      </c>
      <c r="E638" t="s">
        <v>6757</v>
      </c>
      <c r="G638" t="s">
        <v>6758</v>
      </c>
    </row>
    <row r="639">
      <c r="A639" t="s">
        <v>2495</v>
      </c>
      <c r="B639" t="s">
        <v>1094</v>
      </c>
      <c r="C639" t="s">
        <v>2284</v>
      </c>
      <c r="D639" t="s">
        <v>610</v>
      </c>
      <c r="E639" t="s">
        <v>6757</v>
      </c>
      <c r="G639" t="s">
        <v>6758</v>
      </c>
    </row>
    <row r="640">
      <c r="A640" t="s">
        <v>2495</v>
      </c>
      <c r="B640" t="s">
        <v>1094</v>
      </c>
      <c r="C640" t="s">
        <v>2199</v>
      </c>
      <c r="D640" t="s">
        <v>410</v>
      </c>
      <c r="E640" t="s">
        <v>6757</v>
      </c>
      <c r="G640" t="s">
        <v>6758</v>
      </c>
    </row>
    <row r="641">
      <c r="A641" t="s">
        <v>2498</v>
      </c>
      <c r="B641" t="s">
        <v>1101</v>
      </c>
      <c r="C641" t="s">
        <v>2287</v>
      </c>
      <c r="D641" t="s">
        <v>617</v>
      </c>
      <c r="E641" t="s">
        <v>6757</v>
      </c>
      <c r="G641" t="s">
        <v>6758</v>
      </c>
    </row>
    <row r="642">
      <c r="A642" t="s">
        <v>2498</v>
      </c>
      <c r="B642" t="s">
        <v>1101</v>
      </c>
      <c r="C642" t="s">
        <v>2290</v>
      </c>
      <c r="D642" t="s">
        <v>624</v>
      </c>
      <c r="E642" t="s">
        <v>6757</v>
      </c>
      <c r="G642" t="s">
        <v>6758</v>
      </c>
    </row>
    <row r="643">
      <c r="A643" t="s">
        <v>2498</v>
      </c>
      <c r="B643" t="s">
        <v>1101</v>
      </c>
      <c r="C643" t="s">
        <v>2281</v>
      </c>
      <c r="D643" t="s">
        <v>602</v>
      </c>
      <c r="E643" t="s">
        <v>6757</v>
      </c>
      <c r="G643" t="s">
        <v>6758</v>
      </c>
    </row>
    <row r="644">
      <c r="A644" t="s">
        <v>2498</v>
      </c>
      <c r="B644" t="s">
        <v>1101</v>
      </c>
      <c r="C644" t="s">
        <v>2284</v>
      </c>
      <c r="D644" t="s">
        <v>610</v>
      </c>
      <c r="E644" t="s">
        <v>6757</v>
      </c>
      <c r="G644" t="s">
        <v>6758</v>
      </c>
    </row>
    <row r="645">
      <c r="A645" t="s">
        <v>2498</v>
      </c>
      <c r="B645" t="s">
        <v>1101</v>
      </c>
      <c r="C645" t="s">
        <v>2199</v>
      </c>
      <c r="D645" t="s">
        <v>410</v>
      </c>
      <c r="E645" t="s">
        <v>6757</v>
      </c>
      <c r="G645" t="s">
        <v>6758</v>
      </c>
    </row>
    <row r="646">
      <c r="A646" t="s">
        <v>2501</v>
      </c>
      <c r="B646" t="s">
        <v>1109</v>
      </c>
      <c r="C646" t="s">
        <v>2287</v>
      </c>
      <c r="D646" t="s">
        <v>617</v>
      </c>
      <c r="E646" t="s">
        <v>6757</v>
      </c>
      <c r="G646" t="s">
        <v>6758</v>
      </c>
    </row>
    <row r="647">
      <c r="A647" t="s">
        <v>2501</v>
      </c>
      <c r="B647" t="s">
        <v>1109</v>
      </c>
      <c r="C647" t="s">
        <v>2290</v>
      </c>
      <c r="D647" t="s">
        <v>624</v>
      </c>
      <c r="E647" t="s">
        <v>6757</v>
      </c>
      <c r="G647" t="s">
        <v>6758</v>
      </c>
    </row>
    <row r="648">
      <c r="A648" t="s">
        <v>2501</v>
      </c>
      <c r="B648" t="s">
        <v>1109</v>
      </c>
      <c r="C648" t="s">
        <v>2281</v>
      </c>
      <c r="D648" t="s">
        <v>602</v>
      </c>
      <c r="E648" t="s">
        <v>6757</v>
      </c>
      <c r="G648" t="s">
        <v>6758</v>
      </c>
    </row>
    <row r="649">
      <c r="A649" t="s">
        <v>2501</v>
      </c>
      <c r="B649" t="s">
        <v>1109</v>
      </c>
      <c r="C649" t="s">
        <v>2284</v>
      </c>
      <c r="D649" t="s">
        <v>610</v>
      </c>
      <c r="E649" t="s">
        <v>6757</v>
      </c>
      <c r="G649" t="s">
        <v>6758</v>
      </c>
    </row>
    <row r="650">
      <c r="A650" t="s">
        <v>2501</v>
      </c>
      <c r="B650" t="s">
        <v>1109</v>
      </c>
      <c r="C650" t="s">
        <v>2199</v>
      </c>
      <c r="D650" t="s">
        <v>410</v>
      </c>
      <c r="E650" t="s">
        <v>6757</v>
      </c>
      <c r="G650" t="s">
        <v>6758</v>
      </c>
    </row>
    <row r="651">
      <c r="A651" t="s">
        <v>2504</v>
      </c>
      <c r="B651" t="s">
        <v>1114</v>
      </c>
      <c r="C651" t="s">
        <v>2287</v>
      </c>
      <c r="D651" t="s">
        <v>617</v>
      </c>
      <c r="E651" t="s">
        <v>6757</v>
      </c>
      <c r="G651" t="s">
        <v>6758</v>
      </c>
    </row>
    <row r="652">
      <c r="A652" t="s">
        <v>2504</v>
      </c>
      <c r="B652" t="s">
        <v>1114</v>
      </c>
      <c r="C652" t="s">
        <v>2290</v>
      </c>
      <c r="D652" t="s">
        <v>624</v>
      </c>
      <c r="E652" t="s">
        <v>6757</v>
      </c>
      <c r="G652" t="s">
        <v>6758</v>
      </c>
    </row>
    <row r="653">
      <c r="A653" t="s">
        <v>2504</v>
      </c>
      <c r="B653" t="s">
        <v>1114</v>
      </c>
      <c r="C653" t="s">
        <v>2281</v>
      </c>
      <c r="D653" t="s">
        <v>602</v>
      </c>
      <c r="E653" t="s">
        <v>6757</v>
      </c>
      <c r="G653" t="s">
        <v>6758</v>
      </c>
    </row>
    <row r="654">
      <c r="A654" t="s">
        <v>2504</v>
      </c>
      <c r="B654" t="s">
        <v>1114</v>
      </c>
      <c r="C654" t="s">
        <v>2284</v>
      </c>
      <c r="D654" t="s">
        <v>610</v>
      </c>
      <c r="E654" t="s">
        <v>6757</v>
      </c>
      <c r="G654" t="s">
        <v>6758</v>
      </c>
    </row>
    <row r="655">
      <c r="A655" t="s">
        <v>2504</v>
      </c>
      <c r="B655" t="s">
        <v>1114</v>
      </c>
      <c r="C655" t="s">
        <v>2199</v>
      </c>
      <c r="D655" t="s">
        <v>410</v>
      </c>
      <c r="E655" t="s">
        <v>6757</v>
      </c>
      <c r="G655" t="s">
        <v>6758</v>
      </c>
    </row>
    <row r="656">
      <c r="A656" t="s">
        <v>2505</v>
      </c>
      <c r="B656" t="s">
        <v>1121</v>
      </c>
      <c r="C656" t="s">
        <v>2287</v>
      </c>
      <c r="D656" t="s">
        <v>617</v>
      </c>
      <c r="E656" t="s">
        <v>6757</v>
      </c>
      <c r="G656" t="s">
        <v>6758</v>
      </c>
    </row>
    <row r="657">
      <c r="A657" t="s">
        <v>2505</v>
      </c>
      <c r="B657" t="s">
        <v>1121</v>
      </c>
      <c r="C657" t="s">
        <v>2290</v>
      </c>
      <c r="D657" t="s">
        <v>624</v>
      </c>
      <c r="E657" t="s">
        <v>6757</v>
      </c>
      <c r="G657" t="s">
        <v>6758</v>
      </c>
    </row>
    <row r="658">
      <c r="A658" t="s">
        <v>2505</v>
      </c>
      <c r="B658" t="s">
        <v>1121</v>
      </c>
      <c r="C658" t="s">
        <v>2281</v>
      </c>
      <c r="D658" t="s">
        <v>602</v>
      </c>
      <c r="E658" t="s">
        <v>6757</v>
      </c>
      <c r="G658" t="s">
        <v>6758</v>
      </c>
    </row>
    <row r="659">
      <c r="A659" t="s">
        <v>2505</v>
      </c>
      <c r="B659" t="s">
        <v>1121</v>
      </c>
      <c r="C659" t="s">
        <v>2284</v>
      </c>
      <c r="D659" t="s">
        <v>610</v>
      </c>
      <c r="E659" t="s">
        <v>6757</v>
      </c>
      <c r="G659" t="s">
        <v>6758</v>
      </c>
    </row>
    <row r="660">
      <c r="A660" t="s">
        <v>2505</v>
      </c>
      <c r="B660" t="s">
        <v>1121</v>
      </c>
      <c r="C660" t="s">
        <v>2199</v>
      </c>
      <c r="D660" t="s">
        <v>410</v>
      </c>
      <c r="E660" t="s">
        <v>6757</v>
      </c>
      <c r="G660" t="s">
        <v>6758</v>
      </c>
    </row>
    <row r="661">
      <c r="A661" t="s">
        <v>2508</v>
      </c>
      <c r="B661" t="s">
        <v>1131</v>
      </c>
      <c r="C661" t="s">
        <v>2287</v>
      </c>
      <c r="D661" t="s">
        <v>617</v>
      </c>
      <c r="E661" t="s">
        <v>6757</v>
      </c>
      <c r="G661" t="s">
        <v>6758</v>
      </c>
    </row>
    <row r="662">
      <c r="A662" t="s">
        <v>2508</v>
      </c>
      <c r="B662" t="s">
        <v>1131</v>
      </c>
      <c r="C662" t="s">
        <v>2290</v>
      </c>
      <c r="D662" t="s">
        <v>624</v>
      </c>
      <c r="E662" t="s">
        <v>6757</v>
      </c>
      <c r="G662" t="s">
        <v>6758</v>
      </c>
    </row>
    <row r="663">
      <c r="A663" t="s">
        <v>2508</v>
      </c>
      <c r="B663" t="s">
        <v>1131</v>
      </c>
      <c r="C663" t="s">
        <v>2281</v>
      </c>
      <c r="D663" t="s">
        <v>602</v>
      </c>
      <c r="E663" t="s">
        <v>6757</v>
      </c>
      <c r="G663" t="s">
        <v>6758</v>
      </c>
    </row>
    <row r="664">
      <c r="A664" t="s">
        <v>2508</v>
      </c>
      <c r="B664" t="s">
        <v>1131</v>
      </c>
      <c r="C664" t="s">
        <v>2284</v>
      </c>
      <c r="D664" t="s">
        <v>610</v>
      </c>
      <c r="E664" t="s">
        <v>6757</v>
      </c>
      <c r="G664" t="s">
        <v>6758</v>
      </c>
    </row>
    <row r="665">
      <c r="A665" t="s">
        <v>2508</v>
      </c>
      <c r="B665" t="s">
        <v>1131</v>
      </c>
      <c r="C665" t="s">
        <v>2199</v>
      </c>
      <c r="D665" t="s">
        <v>410</v>
      </c>
      <c r="E665" t="s">
        <v>6757</v>
      </c>
      <c r="G665" t="s">
        <v>6758</v>
      </c>
    </row>
    <row r="666">
      <c r="A666" t="s">
        <v>2510</v>
      </c>
      <c r="B666" t="s">
        <v>1139</v>
      </c>
      <c r="C666" t="s">
        <v>2287</v>
      </c>
      <c r="D666" t="s">
        <v>617</v>
      </c>
      <c r="E666" t="s">
        <v>6757</v>
      </c>
      <c r="G666" t="s">
        <v>6758</v>
      </c>
    </row>
    <row r="667">
      <c r="A667" t="s">
        <v>2510</v>
      </c>
      <c r="B667" t="s">
        <v>1139</v>
      </c>
      <c r="C667" t="s">
        <v>2290</v>
      </c>
      <c r="D667" t="s">
        <v>624</v>
      </c>
      <c r="E667" t="s">
        <v>6757</v>
      </c>
      <c r="G667" t="s">
        <v>6758</v>
      </c>
    </row>
    <row r="668">
      <c r="A668" t="s">
        <v>2510</v>
      </c>
      <c r="B668" t="s">
        <v>1139</v>
      </c>
      <c r="C668" t="s">
        <v>2281</v>
      </c>
      <c r="D668" t="s">
        <v>602</v>
      </c>
      <c r="E668" t="s">
        <v>6757</v>
      </c>
      <c r="G668" t="s">
        <v>6758</v>
      </c>
    </row>
    <row r="669">
      <c r="A669" t="s">
        <v>2510</v>
      </c>
      <c r="B669" t="s">
        <v>1139</v>
      </c>
      <c r="C669" t="s">
        <v>2284</v>
      </c>
      <c r="D669" t="s">
        <v>610</v>
      </c>
      <c r="E669" t="s">
        <v>6757</v>
      </c>
      <c r="G669" t="s">
        <v>6758</v>
      </c>
    </row>
    <row r="670">
      <c r="A670" t="s">
        <v>2510</v>
      </c>
      <c r="B670" t="s">
        <v>1139</v>
      </c>
      <c r="C670" t="s">
        <v>2199</v>
      </c>
      <c r="D670" t="s">
        <v>410</v>
      </c>
      <c r="E670" t="s">
        <v>6757</v>
      </c>
      <c r="G670" t="s">
        <v>6758</v>
      </c>
    </row>
    <row r="671">
      <c r="A671" t="s">
        <v>2514</v>
      </c>
      <c r="B671" t="s">
        <v>1145</v>
      </c>
      <c r="C671" t="s">
        <v>2287</v>
      </c>
      <c r="D671" t="s">
        <v>617</v>
      </c>
      <c r="E671" t="s">
        <v>6757</v>
      </c>
      <c r="G671" t="s">
        <v>6758</v>
      </c>
    </row>
    <row r="672">
      <c r="A672" t="s">
        <v>2514</v>
      </c>
      <c r="B672" t="s">
        <v>1145</v>
      </c>
      <c r="C672" t="s">
        <v>2290</v>
      </c>
      <c r="D672" t="s">
        <v>624</v>
      </c>
      <c r="E672" t="s">
        <v>6757</v>
      </c>
      <c r="G672" t="s">
        <v>6758</v>
      </c>
    </row>
    <row r="673">
      <c r="A673" t="s">
        <v>2514</v>
      </c>
      <c r="B673" t="s">
        <v>1145</v>
      </c>
      <c r="C673" t="s">
        <v>2281</v>
      </c>
      <c r="D673" t="s">
        <v>602</v>
      </c>
      <c r="E673" t="s">
        <v>6757</v>
      </c>
      <c r="G673" t="s">
        <v>6758</v>
      </c>
    </row>
    <row r="674">
      <c r="A674" t="s">
        <v>2514</v>
      </c>
      <c r="B674" t="s">
        <v>1145</v>
      </c>
      <c r="C674" t="s">
        <v>2284</v>
      </c>
      <c r="D674" t="s">
        <v>610</v>
      </c>
      <c r="E674" t="s">
        <v>6757</v>
      </c>
      <c r="G674" t="s">
        <v>6758</v>
      </c>
    </row>
    <row r="675">
      <c r="A675" t="s">
        <v>2514</v>
      </c>
      <c r="B675" t="s">
        <v>1145</v>
      </c>
      <c r="C675" t="s">
        <v>2199</v>
      </c>
      <c r="D675" t="s">
        <v>410</v>
      </c>
      <c r="E675" t="s">
        <v>6757</v>
      </c>
      <c r="G675" t="s">
        <v>6758</v>
      </c>
    </row>
    <row r="676">
      <c r="A676" t="s">
        <v>2519</v>
      </c>
      <c r="B676" t="s">
        <v>1152</v>
      </c>
      <c r="C676" t="s">
        <v>2287</v>
      </c>
      <c r="D676" t="s">
        <v>617</v>
      </c>
      <c r="E676" t="s">
        <v>6757</v>
      </c>
      <c r="G676" t="s">
        <v>6758</v>
      </c>
    </row>
    <row r="677">
      <c r="A677" t="s">
        <v>2519</v>
      </c>
      <c r="B677" t="s">
        <v>1152</v>
      </c>
      <c r="C677" t="s">
        <v>2290</v>
      </c>
      <c r="D677" t="s">
        <v>624</v>
      </c>
      <c r="E677" t="s">
        <v>6757</v>
      </c>
      <c r="G677" t="s">
        <v>6758</v>
      </c>
    </row>
    <row r="678">
      <c r="A678" t="s">
        <v>2519</v>
      </c>
      <c r="B678" t="s">
        <v>1152</v>
      </c>
      <c r="C678" t="s">
        <v>2281</v>
      </c>
      <c r="D678" t="s">
        <v>602</v>
      </c>
      <c r="E678" t="s">
        <v>6757</v>
      </c>
      <c r="G678" t="s">
        <v>6758</v>
      </c>
    </row>
    <row r="679">
      <c r="A679" t="s">
        <v>2519</v>
      </c>
      <c r="B679" t="s">
        <v>1152</v>
      </c>
      <c r="C679" t="s">
        <v>2284</v>
      </c>
      <c r="D679" t="s">
        <v>610</v>
      </c>
      <c r="E679" t="s">
        <v>6757</v>
      </c>
      <c r="G679" t="s">
        <v>6758</v>
      </c>
    </row>
    <row r="680">
      <c r="A680" t="s">
        <v>2519</v>
      </c>
      <c r="B680" t="s">
        <v>1152</v>
      </c>
      <c r="C680" t="s">
        <v>2199</v>
      </c>
      <c r="D680" t="s">
        <v>410</v>
      </c>
      <c r="E680" t="s">
        <v>6757</v>
      </c>
      <c r="G680" t="s">
        <v>6758</v>
      </c>
    </row>
    <row r="681">
      <c r="A681" t="s">
        <v>2522</v>
      </c>
      <c r="B681" t="s">
        <v>1160</v>
      </c>
      <c r="C681" t="s">
        <v>2287</v>
      </c>
      <c r="D681" t="s">
        <v>617</v>
      </c>
      <c r="E681" t="s">
        <v>6757</v>
      </c>
      <c r="G681" t="s">
        <v>6758</v>
      </c>
    </row>
    <row r="682">
      <c r="A682" t="s">
        <v>2522</v>
      </c>
      <c r="B682" t="s">
        <v>1160</v>
      </c>
      <c r="C682" t="s">
        <v>2290</v>
      </c>
      <c r="D682" t="s">
        <v>624</v>
      </c>
      <c r="E682" t="s">
        <v>6757</v>
      </c>
      <c r="G682" t="s">
        <v>6758</v>
      </c>
    </row>
    <row r="683">
      <c r="A683" t="s">
        <v>2522</v>
      </c>
      <c r="B683" t="s">
        <v>1160</v>
      </c>
      <c r="C683" t="s">
        <v>2281</v>
      </c>
      <c r="D683" t="s">
        <v>602</v>
      </c>
      <c r="E683" t="s">
        <v>6757</v>
      </c>
      <c r="G683" t="s">
        <v>6758</v>
      </c>
    </row>
    <row r="684">
      <c r="A684" t="s">
        <v>2522</v>
      </c>
      <c r="B684" t="s">
        <v>1160</v>
      </c>
      <c r="C684" t="s">
        <v>2284</v>
      </c>
      <c r="D684" t="s">
        <v>610</v>
      </c>
      <c r="E684" t="s">
        <v>6757</v>
      </c>
      <c r="G684" t="s">
        <v>6758</v>
      </c>
    </row>
    <row r="685">
      <c r="A685" t="s">
        <v>2522</v>
      </c>
      <c r="B685" t="s">
        <v>1160</v>
      </c>
      <c r="C685" t="s">
        <v>2199</v>
      </c>
      <c r="D685" t="s">
        <v>410</v>
      </c>
      <c r="E685" t="s">
        <v>6757</v>
      </c>
      <c r="G685" t="s">
        <v>6758</v>
      </c>
    </row>
    <row r="686">
      <c r="A686" t="s">
        <v>2525</v>
      </c>
      <c r="B686" t="s">
        <v>1168</v>
      </c>
      <c r="C686" t="s">
        <v>2287</v>
      </c>
      <c r="D686" t="s">
        <v>617</v>
      </c>
      <c r="E686" t="s">
        <v>6757</v>
      </c>
      <c r="G686" t="s">
        <v>6758</v>
      </c>
    </row>
    <row r="687">
      <c r="A687" t="s">
        <v>2525</v>
      </c>
      <c r="B687" t="s">
        <v>1168</v>
      </c>
      <c r="C687" t="s">
        <v>2290</v>
      </c>
      <c r="D687" t="s">
        <v>624</v>
      </c>
      <c r="E687" t="s">
        <v>6757</v>
      </c>
      <c r="G687" t="s">
        <v>6758</v>
      </c>
    </row>
    <row r="688">
      <c r="A688" t="s">
        <v>2525</v>
      </c>
      <c r="B688" t="s">
        <v>1168</v>
      </c>
      <c r="C688" t="s">
        <v>2281</v>
      </c>
      <c r="D688" t="s">
        <v>602</v>
      </c>
      <c r="E688" t="s">
        <v>6757</v>
      </c>
      <c r="G688" t="s">
        <v>6758</v>
      </c>
    </row>
    <row r="689">
      <c r="A689" t="s">
        <v>2525</v>
      </c>
      <c r="B689" t="s">
        <v>1168</v>
      </c>
      <c r="C689" t="s">
        <v>2284</v>
      </c>
      <c r="D689" t="s">
        <v>610</v>
      </c>
      <c r="E689" t="s">
        <v>6757</v>
      </c>
      <c r="G689" t="s">
        <v>6758</v>
      </c>
    </row>
    <row r="690">
      <c r="A690" t="s">
        <v>2525</v>
      </c>
      <c r="B690" t="s">
        <v>1168</v>
      </c>
      <c r="C690" t="s">
        <v>2199</v>
      </c>
      <c r="D690" t="s">
        <v>410</v>
      </c>
      <c r="E690" t="s">
        <v>6757</v>
      </c>
      <c r="G690" t="s">
        <v>6758</v>
      </c>
    </row>
    <row r="691">
      <c r="A691" t="s">
        <v>2528</v>
      </c>
      <c r="B691" t="s">
        <v>1174</v>
      </c>
      <c r="C691" t="s">
        <v>2287</v>
      </c>
      <c r="D691" t="s">
        <v>617</v>
      </c>
      <c r="E691" t="s">
        <v>6757</v>
      </c>
      <c r="G691" t="s">
        <v>6758</v>
      </c>
    </row>
    <row r="692">
      <c r="A692" t="s">
        <v>2528</v>
      </c>
      <c r="B692" t="s">
        <v>1174</v>
      </c>
      <c r="C692" t="s">
        <v>2290</v>
      </c>
      <c r="D692" t="s">
        <v>624</v>
      </c>
      <c r="E692" t="s">
        <v>6757</v>
      </c>
      <c r="G692" t="s">
        <v>6758</v>
      </c>
    </row>
    <row r="693">
      <c r="A693" t="s">
        <v>2528</v>
      </c>
      <c r="B693" t="s">
        <v>1174</v>
      </c>
      <c r="C693" t="s">
        <v>2281</v>
      </c>
      <c r="D693" t="s">
        <v>602</v>
      </c>
      <c r="E693" t="s">
        <v>6757</v>
      </c>
      <c r="G693" t="s">
        <v>6758</v>
      </c>
    </row>
    <row r="694">
      <c r="A694" t="s">
        <v>2528</v>
      </c>
      <c r="B694" t="s">
        <v>1174</v>
      </c>
      <c r="C694" t="s">
        <v>2284</v>
      </c>
      <c r="D694" t="s">
        <v>610</v>
      </c>
      <c r="E694" t="s">
        <v>6757</v>
      </c>
      <c r="G694" t="s">
        <v>6758</v>
      </c>
    </row>
    <row r="695">
      <c r="A695" t="s">
        <v>2528</v>
      </c>
      <c r="B695" t="s">
        <v>1174</v>
      </c>
      <c r="C695" t="s">
        <v>2199</v>
      </c>
      <c r="D695" t="s">
        <v>410</v>
      </c>
      <c r="E695" t="s">
        <v>6757</v>
      </c>
      <c r="G695" t="s">
        <v>6758</v>
      </c>
    </row>
    <row r="696">
      <c r="A696" t="s">
        <v>2531</v>
      </c>
      <c r="B696" t="s">
        <v>1182</v>
      </c>
      <c r="C696" t="s">
        <v>2287</v>
      </c>
      <c r="D696" t="s">
        <v>617</v>
      </c>
      <c r="E696" t="s">
        <v>6757</v>
      </c>
      <c r="G696" t="s">
        <v>6758</v>
      </c>
    </row>
    <row r="697">
      <c r="A697" t="s">
        <v>2531</v>
      </c>
      <c r="B697" t="s">
        <v>1182</v>
      </c>
      <c r="C697" t="s">
        <v>2290</v>
      </c>
      <c r="D697" t="s">
        <v>624</v>
      </c>
      <c r="E697" t="s">
        <v>6757</v>
      </c>
      <c r="G697" t="s">
        <v>6758</v>
      </c>
    </row>
    <row r="698">
      <c r="A698" t="s">
        <v>2531</v>
      </c>
      <c r="B698" t="s">
        <v>1182</v>
      </c>
      <c r="C698" t="s">
        <v>2281</v>
      </c>
      <c r="D698" t="s">
        <v>602</v>
      </c>
      <c r="E698" t="s">
        <v>6757</v>
      </c>
      <c r="G698" t="s">
        <v>6758</v>
      </c>
    </row>
    <row r="699">
      <c r="A699" t="s">
        <v>2531</v>
      </c>
      <c r="B699" t="s">
        <v>1182</v>
      </c>
      <c r="C699" t="s">
        <v>2284</v>
      </c>
      <c r="D699" t="s">
        <v>610</v>
      </c>
      <c r="E699" t="s">
        <v>6757</v>
      </c>
      <c r="G699" t="s">
        <v>6758</v>
      </c>
    </row>
    <row r="700">
      <c r="A700" t="s">
        <v>2531</v>
      </c>
      <c r="B700" t="s">
        <v>1182</v>
      </c>
      <c r="C700" t="s">
        <v>2199</v>
      </c>
      <c r="D700" t="s">
        <v>410</v>
      </c>
      <c r="E700" t="s">
        <v>6757</v>
      </c>
      <c r="G700" t="s">
        <v>6758</v>
      </c>
    </row>
    <row r="701">
      <c r="A701" t="s">
        <v>2534</v>
      </c>
      <c r="B701" t="s">
        <v>1190</v>
      </c>
      <c r="C701" t="s">
        <v>2287</v>
      </c>
      <c r="D701" t="s">
        <v>617</v>
      </c>
      <c r="E701" t="s">
        <v>6757</v>
      </c>
      <c r="G701" t="s">
        <v>6758</v>
      </c>
    </row>
    <row r="702">
      <c r="A702" t="s">
        <v>2534</v>
      </c>
      <c r="B702" t="s">
        <v>1190</v>
      </c>
      <c r="C702" t="s">
        <v>2290</v>
      </c>
      <c r="D702" t="s">
        <v>624</v>
      </c>
      <c r="E702" t="s">
        <v>6757</v>
      </c>
      <c r="G702" t="s">
        <v>6758</v>
      </c>
    </row>
    <row r="703">
      <c r="A703" t="s">
        <v>2534</v>
      </c>
      <c r="B703" t="s">
        <v>1190</v>
      </c>
      <c r="C703" t="s">
        <v>2281</v>
      </c>
      <c r="D703" t="s">
        <v>602</v>
      </c>
      <c r="E703" t="s">
        <v>6757</v>
      </c>
      <c r="G703" t="s">
        <v>6758</v>
      </c>
    </row>
    <row r="704">
      <c r="A704" t="s">
        <v>2534</v>
      </c>
      <c r="B704" t="s">
        <v>1190</v>
      </c>
      <c r="C704" t="s">
        <v>2284</v>
      </c>
      <c r="D704" t="s">
        <v>610</v>
      </c>
      <c r="E704" t="s">
        <v>6757</v>
      </c>
      <c r="G704" t="s">
        <v>6758</v>
      </c>
    </row>
    <row r="705">
      <c r="A705" t="s">
        <v>2534</v>
      </c>
      <c r="B705" t="s">
        <v>1190</v>
      </c>
      <c r="C705" t="s">
        <v>2199</v>
      </c>
      <c r="D705" t="s">
        <v>410</v>
      </c>
      <c r="E705" t="s">
        <v>6757</v>
      </c>
      <c r="G705" t="s">
        <v>6758</v>
      </c>
    </row>
    <row r="706">
      <c r="A706" t="s">
        <v>2537</v>
      </c>
      <c r="B706" t="s">
        <v>1201</v>
      </c>
      <c r="C706" t="s">
        <v>2287</v>
      </c>
      <c r="D706" t="s">
        <v>617</v>
      </c>
      <c r="E706" t="s">
        <v>6757</v>
      </c>
      <c r="G706" t="s">
        <v>6758</v>
      </c>
    </row>
    <row r="707">
      <c r="A707" t="s">
        <v>2537</v>
      </c>
      <c r="B707" t="s">
        <v>1201</v>
      </c>
      <c r="C707" t="s">
        <v>2290</v>
      </c>
      <c r="D707" t="s">
        <v>624</v>
      </c>
      <c r="E707" t="s">
        <v>6757</v>
      </c>
      <c r="G707" t="s">
        <v>6758</v>
      </c>
    </row>
    <row r="708">
      <c r="A708" t="s">
        <v>2537</v>
      </c>
      <c r="B708" t="s">
        <v>1201</v>
      </c>
      <c r="C708" t="s">
        <v>2281</v>
      </c>
      <c r="D708" t="s">
        <v>602</v>
      </c>
      <c r="E708" t="s">
        <v>6757</v>
      </c>
      <c r="G708" t="s">
        <v>6758</v>
      </c>
    </row>
    <row r="709">
      <c r="A709" t="s">
        <v>2537</v>
      </c>
      <c r="B709" t="s">
        <v>1201</v>
      </c>
      <c r="C709" t="s">
        <v>2284</v>
      </c>
      <c r="D709" t="s">
        <v>610</v>
      </c>
      <c r="E709" t="s">
        <v>6757</v>
      </c>
      <c r="G709" t="s">
        <v>6758</v>
      </c>
    </row>
    <row r="710">
      <c r="A710" t="s">
        <v>2537</v>
      </c>
      <c r="B710" t="s">
        <v>1201</v>
      </c>
      <c r="C710" t="s">
        <v>2199</v>
      </c>
      <c r="D710" t="s">
        <v>410</v>
      </c>
      <c r="E710" t="s">
        <v>6757</v>
      </c>
      <c r="G710" t="s">
        <v>6758</v>
      </c>
    </row>
    <row r="711">
      <c r="A711" t="s">
        <v>2541</v>
      </c>
      <c r="B711" t="s">
        <v>1209</v>
      </c>
      <c r="C711" t="s">
        <v>2287</v>
      </c>
      <c r="D711" t="s">
        <v>617</v>
      </c>
      <c r="E711" t="s">
        <v>6757</v>
      </c>
      <c r="G711" t="s">
        <v>6758</v>
      </c>
    </row>
    <row r="712">
      <c r="A712" t="s">
        <v>2541</v>
      </c>
      <c r="B712" t="s">
        <v>1209</v>
      </c>
      <c r="C712" t="s">
        <v>2290</v>
      </c>
      <c r="D712" t="s">
        <v>624</v>
      </c>
      <c r="E712" t="s">
        <v>6757</v>
      </c>
      <c r="G712" t="s">
        <v>6758</v>
      </c>
    </row>
    <row r="713">
      <c r="A713" t="s">
        <v>2541</v>
      </c>
      <c r="B713" t="s">
        <v>1209</v>
      </c>
      <c r="C713" t="s">
        <v>2281</v>
      </c>
      <c r="D713" t="s">
        <v>602</v>
      </c>
      <c r="E713" t="s">
        <v>6757</v>
      </c>
      <c r="G713" t="s">
        <v>6758</v>
      </c>
    </row>
    <row r="714">
      <c r="A714" t="s">
        <v>2541</v>
      </c>
      <c r="B714" t="s">
        <v>1209</v>
      </c>
      <c r="C714" t="s">
        <v>2284</v>
      </c>
      <c r="D714" t="s">
        <v>610</v>
      </c>
      <c r="E714" t="s">
        <v>6757</v>
      </c>
      <c r="G714" t="s">
        <v>6758</v>
      </c>
    </row>
    <row r="715">
      <c r="A715" t="s">
        <v>2541</v>
      </c>
      <c r="B715" t="s">
        <v>1209</v>
      </c>
      <c r="C715" t="s">
        <v>2199</v>
      </c>
      <c r="D715" t="s">
        <v>410</v>
      </c>
      <c r="E715" t="s">
        <v>6757</v>
      </c>
      <c r="G715" t="s">
        <v>6758</v>
      </c>
    </row>
    <row r="716">
      <c r="A716" t="s">
        <v>2544</v>
      </c>
      <c r="B716" t="s">
        <v>1215</v>
      </c>
      <c r="C716" t="s">
        <v>2287</v>
      </c>
      <c r="D716" t="s">
        <v>617</v>
      </c>
      <c r="E716" t="s">
        <v>6757</v>
      </c>
      <c r="G716" t="s">
        <v>6758</v>
      </c>
    </row>
    <row r="717">
      <c r="A717" t="s">
        <v>2544</v>
      </c>
      <c r="B717" t="s">
        <v>1215</v>
      </c>
      <c r="C717" t="s">
        <v>2290</v>
      </c>
      <c r="D717" t="s">
        <v>624</v>
      </c>
      <c r="E717" t="s">
        <v>6757</v>
      </c>
      <c r="G717" t="s">
        <v>6758</v>
      </c>
    </row>
    <row r="718">
      <c r="A718" t="s">
        <v>2544</v>
      </c>
      <c r="B718" t="s">
        <v>1215</v>
      </c>
      <c r="C718" t="s">
        <v>2281</v>
      </c>
      <c r="D718" t="s">
        <v>602</v>
      </c>
      <c r="E718" t="s">
        <v>6757</v>
      </c>
      <c r="G718" t="s">
        <v>6758</v>
      </c>
    </row>
    <row r="719">
      <c r="A719" t="s">
        <v>2544</v>
      </c>
      <c r="B719" t="s">
        <v>1215</v>
      </c>
      <c r="C719" t="s">
        <v>2284</v>
      </c>
      <c r="D719" t="s">
        <v>610</v>
      </c>
      <c r="E719" t="s">
        <v>6757</v>
      </c>
      <c r="G719" t="s">
        <v>6758</v>
      </c>
    </row>
    <row r="720">
      <c r="A720" t="s">
        <v>2544</v>
      </c>
      <c r="B720" t="s">
        <v>1215</v>
      </c>
      <c r="C720" t="s">
        <v>2199</v>
      </c>
      <c r="D720" t="s">
        <v>410</v>
      </c>
      <c r="E720" t="s">
        <v>6757</v>
      </c>
      <c r="G720" t="s">
        <v>6758</v>
      </c>
    </row>
    <row r="721">
      <c r="A721" t="s">
        <v>2547</v>
      </c>
      <c r="B721" t="s">
        <v>1223</v>
      </c>
      <c r="C721" t="s">
        <v>2287</v>
      </c>
      <c r="D721" t="s">
        <v>617</v>
      </c>
      <c r="E721" t="s">
        <v>6757</v>
      </c>
      <c r="G721" t="s">
        <v>6758</v>
      </c>
    </row>
    <row r="722">
      <c r="A722" t="s">
        <v>2547</v>
      </c>
      <c r="B722" t="s">
        <v>1223</v>
      </c>
      <c r="C722" t="s">
        <v>2290</v>
      </c>
      <c r="D722" t="s">
        <v>624</v>
      </c>
      <c r="E722" t="s">
        <v>6757</v>
      </c>
      <c r="G722" t="s">
        <v>6758</v>
      </c>
    </row>
    <row r="723">
      <c r="A723" t="s">
        <v>2547</v>
      </c>
      <c r="B723" t="s">
        <v>1223</v>
      </c>
      <c r="C723" t="s">
        <v>2281</v>
      </c>
      <c r="D723" t="s">
        <v>602</v>
      </c>
      <c r="E723" t="s">
        <v>6757</v>
      </c>
      <c r="G723" t="s">
        <v>6758</v>
      </c>
    </row>
    <row r="724">
      <c r="A724" t="s">
        <v>2547</v>
      </c>
      <c r="B724" t="s">
        <v>1223</v>
      </c>
      <c r="C724" t="s">
        <v>2284</v>
      </c>
      <c r="D724" t="s">
        <v>610</v>
      </c>
      <c r="E724" t="s">
        <v>6757</v>
      </c>
      <c r="G724" t="s">
        <v>6758</v>
      </c>
    </row>
    <row r="725">
      <c r="A725" t="s">
        <v>2547</v>
      </c>
      <c r="B725" t="s">
        <v>1223</v>
      </c>
      <c r="C725" t="s">
        <v>2199</v>
      </c>
      <c r="D725" t="s">
        <v>410</v>
      </c>
      <c r="E725" t="s">
        <v>6757</v>
      </c>
      <c r="G725" t="s">
        <v>6758</v>
      </c>
    </row>
    <row r="726">
      <c r="A726" t="s">
        <v>2550</v>
      </c>
      <c r="B726" t="s">
        <v>1229</v>
      </c>
      <c r="C726" t="s">
        <v>2287</v>
      </c>
      <c r="D726" t="s">
        <v>617</v>
      </c>
      <c r="E726" t="s">
        <v>6757</v>
      </c>
      <c r="G726" t="s">
        <v>6758</v>
      </c>
    </row>
    <row r="727">
      <c r="A727" t="s">
        <v>2550</v>
      </c>
      <c r="B727" t="s">
        <v>1229</v>
      </c>
      <c r="C727" t="s">
        <v>2290</v>
      </c>
      <c r="D727" t="s">
        <v>624</v>
      </c>
      <c r="E727" t="s">
        <v>6757</v>
      </c>
      <c r="G727" t="s">
        <v>6758</v>
      </c>
    </row>
    <row r="728">
      <c r="A728" t="s">
        <v>2550</v>
      </c>
      <c r="B728" t="s">
        <v>1229</v>
      </c>
      <c r="C728" t="s">
        <v>2281</v>
      </c>
      <c r="D728" t="s">
        <v>602</v>
      </c>
      <c r="E728" t="s">
        <v>6757</v>
      </c>
      <c r="G728" t="s">
        <v>6758</v>
      </c>
    </row>
    <row r="729">
      <c r="A729" t="s">
        <v>2550</v>
      </c>
      <c r="B729" t="s">
        <v>1229</v>
      </c>
      <c r="C729" t="s">
        <v>2284</v>
      </c>
      <c r="D729" t="s">
        <v>610</v>
      </c>
      <c r="E729" t="s">
        <v>6757</v>
      </c>
      <c r="G729" t="s">
        <v>6758</v>
      </c>
    </row>
    <row r="730">
      <c r="A730" t="s">
        <v>2550</v>
      </c>
      <c r="B730" t="s">
        <v>1229</v>
      </c>
      <c r="C730" t="s">
        <v>2199</v>
      </c>
      <c r="D730" t="s">
        <v>410</v>
      </c>
      <c r="E730" t="s">
        <v>6757</v>
      </c>
      <c r="G730" t="s">
        <v>6758</v>
      </c>
    </row>
    <row r="731">
      <c r="A731" t="s">
        <v>2553</v>
      </c>
      <c r="B731" t="s">
        <v>1235</v>
      </c>
      <c r="C731" t="s">
        <v>2287</v>
      </c>
      <c r="D731" t="s">
        <v>617</v>
      </c>
      <c r="E731" t="s">
        <v>6757</v>
      </c>
      <c r="G731" t="s">
        <v>6758</v>
      </c>
    </row>
    <row r="732">
      <c r="A732" t="s">
        <v>2553</v>
      </c>
      <c r="B732" t="s">
        <v>1235</v>
      </c>
      <c r="C732" t="s">
        <v>2290</v>
      </c>
      <c r="D732" t="s">
        <v>624</v>
      </c>
      <c r="E732" t="s">
        <v>6757</v>
      </c>
      <c r="G732" t="s">
        <v>6758</v>
      </c>
    </row>
    <row r="733">
      <c r="A733" t="s">
        <v>2553</v>
      </c>
      <c r="B733" t="s">
        <v>1235</v>
      </c>
      <c r="C733" t="s">
        <v>2281</v>
      </c>
      <c r="D733" t="s">
        <v>602</v>
      </c>
      <c r="E733" t="s">
        <v>6757</v>
      </c>
      <c r="G733" t="s">
        <v>6758</v>
      </c>
    </row>
    <row r="734">
      <c r="A734" t="s">
        <v>2553</v>
      </c>
      <c r="B734" t="s">
        <v>1235</v>
      </c>
      <c r="C734" t="s">
        <v>2284</v>
      </c>
      <c r="D734" t="s">
        <v>610</v>
      </c>
      <c r="E734" t="s">
        <v>6757</v>
      </c>
      <c r="G734" t="s">
        <v>6758</v>
      </c>
    </row>
    <row r="735">
      <c r="A735" t="s">
        <v>2553</v>
      </c>
      <c r="B735" t="s">
        <v>1235</v>
      </c>
      <c r="C735" t="s">
        <v>2199</v>
      </c>
      <c r="D735" t="s">
        <v>410</v>
      </c>
      <c r="E735" t="s">
        <v>6757</v>
      </c>
      <c r="G735" t="s">
        <v>6758</v>
      </c>
    </row>
    <row r="736">
      <c r="A736" t="s">
        <v>2555</v>
      </c>
      <c r="B736" t="s">
        <v>1242</v>
      </c>
      <c r="C736" t="s">
        <v>2287</v>
      </c>
      <c r="D736" t="s">
        <v>617</v>
      </c>
      <c r="E736" t="s">
        <v>6757</v>
      </c>
      <c r="G736" t="s">
        <v>6758</v>
      </c>
    </row>
    <row r="737">
      <c r="A737" t="s">
        <v>2555</v>
      </c>
      <c r="B737" t="s">
        <v>1242</v>
      </c>
      <c r="C737" t="s">
        <v>2290</v>
      </c>
      <c r="D737" t="s">
        <v>624</v>
      </c>
      <c r="E737" t="s">
        <v>6757</v>
      </c>
      <c r="G737" t="s">
        <v>6758</v>
      </c>
    </row>
    <row r="738">
      <c r="A738" t="s">
        <v>2555</v>
      </c>
      <c r="B738" t="s">
        <v>1242</v>
      </c>
      <c r="C738" t="s">
        <v>2281</v>
      </c>
      <c r="D738" t="s">
        <v>602</v>
      </c>
      <c r="E738" t="s">
        <v>6757</v>
      </c>
      <c r="G738" t="s">
        <v>6758</v>
      </c>
    </row>
    <row r="739">
      <c r="A739" t="s">
        <v>2555</v>
      </c>
      <c r="B739" t="s">
        <v>1242</v>
      </c>
      <c r="C739" t="s">
        <v>2284</v>
      </c>
      <c r="D739" t="s">
        <v>610</v>
      </c>
      <c r="E739" t="s">
        <v>6757</v>
      </c>
      <c r="G739" t="s">
        <v>6758</v>
      </c>
    </row>
    <row r="740">
      <c r="A740" t="s">
        <v>2555</v>
      </c>
      <c r="B740" t="s">
        <v>1242</v>
      </c>
      <c r="C740" t="s">
        <v>2199</v>
      </c>
      <c r="D740" t="s">
        <v>410</v>
      </c>
      <c r="E740" t="s">
        <v>6757</v>
      </c>
      <c r="G740" t="s">
        <v>6758</v>
      </c>
    </row>
    <row r="741">
      <c r="A741" t="s">
        <v>2558</v>
      </c>
      <c r="B741" t="s">
        <v>1250</v>
      </c>
      <c r="C741" t="s">
        <v>2287</v>
      </c>
      <c r="D741" t="s">
        <v>617</v>
      </c>
      <c r="E741" t="s">
        <v>6757</v>
      </c>
      <c r="G741" t="s">
        <v>6758</v>
      </c>
    </row>
    <row r="742">
      <c r="A742" t="s">
        <v>2558</v>
      </c>
      <c r="B742" t="s">
        <v>1250</v>
      </c>
      <c r="C742" t="s">
        <v>2290</v>
      </c>
      <c r="D742" t="s">
        <v>624</v>
      </c>
      <c r="E742" t="s">
        <v>6757</v>
      </c>
      <c r="G742" t="s">
        <v>6758</v>
      </c>
    </row>
    <row r="743">
      <c r="A743" t="s">
        <v>2558</v>
      </c>
      <c r="B743" t="s">
        <v>1250</v>
      </c>
      <c r="C743" t="s">
        <v>2281</v>
      </c>
      <c r="D743" t="s">
        <v>602</v>
      </c>
      <c r="E743" t="s">
        <v>6757</v>
      </c>
      <c r="G743" t="s">
        <v>6758</v>
      </c>
    </row>
    <row r="744">
      <c r="A744" t="s">
        <v>2558</v>
      </c>
      <c r="B744" t="s">
        <v>1250</v>
      </c>
      <c r="C744" t="s">
        <v>2284</v>
      </c>
      <c r="D744" t="s">
        <v>610</v>
      </c>
      <c r="E744" t="s">
        <v>6757</v>
      </c>
      <c r="G744" t="s">
        <v>6758</v>
      </c>
    </row>
    <row r="745">
      <c r="A745" t="s">
        <v>2558</v>
      </c>
      <c r="B745" t="s">
        <v>1250</v>
      </c>
      <c r="C745" t="s">
        <v>2199</v>
      </c>
      <c r="D745" t="s">
        <v>410</v>
      </c>
      <c r="E745" t="s">
        <v>6757</v>
      </c>
      <c r="G745" t="s">
        <v>6758</v>
      </c>
    </row>
    <row r="746">
      <c r="A746" t="s">
        <v>2561</v>
      </c>
      <c r="B746" t="s">
        <v>1257</v>
      </c>
      <c r="C746" t="s">
        <v>2287</v>
      </c>
      <c r="D746" t="s">
        <v>617</v>
      </c>
      <c r="E746" t="s">
        <v>6757</v>
      </c>
      <c r="G746" t="s">
        <v>6758</v>
      </c>
    </row>
    <row r="747">
      <c r="A747" t="s">
        <v>2561</v>
      </c>
      <c r="B747" t="s">
        <v>1257</v>
      </c>
      <c r="C747" t="s">
        <v>2290</v>
      </c>
      <c r="D747" t="s">
        <v>624</v>
      </c>
      <c r="E747" t="s">
        <v>6757</v>
      </c>
      <c r="G747" t="s">
        <v>6758</v>
      </c>
    </row>
    <row r="748">
      <c r="A748" t="s">
        <v>2561</v>
      </c>
      <c r="B748" t="s">
        <v>1257</v>
      </c>
      <c r="C748" t="s">
        <v>2281</v>
      </c>
      <c r="D748" t="s">
        <v>602</v>
      </c>
      <c r="E748" t="s">
        <v>6757</v>
      </c>
      <c r="G748" t="s">
        <v>6758</v>
      </c>
    </row>
    <row r="749">
      <c r="A749" t="s">
        <v>2561</v>
      </c>
      <c r="B749" t="s">
        <v>1257</v>
      </c>
      <c r="C749" t="s">
        <v>2284</v>
      </c>
      <c r="D749" t="s">
        <v>610</v>
      </c>
      <c r="E749" t="s">
        <v>6757</v>
      </c>
      <c r="G749" t="s">
        <v>6758</v>
      </c>
    </row>
    <row r="750">
      <c r="A750" t="s">
        <v>2561</v>
      </c>
      <c r="B750" t="s">
        <v>1257</v>
      </c>
      <c r="C750" t="s">
        <v>2199</v>
      </c>
      <c r="D750" t="s">
        <v>410</v>
      </c>
      <c r="E750" t="s">
        <v>6757</v>
      </c>
      <c r="G750" t="s">
        <v>6758</v>
      </c>
    </row>
    <row r="751">
      <c r="A751" t="s">
        <v>2564</v>
      </c>
      <c r="B751" t="s">
        <v>1263</v>
      </c>
      <c r="C751" t="s">
        <v>2287</v>
      </c>
      <c r="D751" t="s">
        <v>617</v>
      </c>
      <c r="E751" t="s">
        <v>6757</v>
      </c>
      <c r="G751" t="s">
        <v>6758</v>
      </c>
    </row>
    <row r="752">
      <c r="A752" t="s">
        <v>2564</v>
      </c>
      <c r="B752" t="s">
        <v>1263</v>
      </c>
      <c r="C752" t="s">
        <v>2290</v>
      </c>
      <c r="D752" t="s">
        <v>624</v>
      </c>
      <c r="E752" t="s">
        <v>6757</v>
      </c>
      <c r="G752" t="s">
        <v>6758</v>
      </c>
    </row>
    <row r="753">
      <c r="A753" t="s">
        <v>2564</v>
      </c>
      <c r="B753" t="s">
        <v>1263</v>
      </c>
      <c r="C753" t="s">
        <v>2281</v>
      </c>
      <c r="D753" t="s">
        <v>602</v>
      </c>
      <c r="E753" t="s">
        <v>6757</v>
      </c>
      <c r="G753" t="s">
        <v>6758</v>
      </c>
    </row>
    <row r="754">
      <c r="A754" t="s">
        <v>2564</v>
      </c>
      <c r="B754" t="s">
        <v>1263</v>
      </c>
      <c r="C754" t="s">
        <v>2284</v>
      </c>
      <c r="D754" t="s">
        <v>610</v>
      </c>
      <c r="E754" t="s">
        <v>6757</v>
      </c>
      <c r="G754" t="s">
        <v>6758</v>
      </c>
    </row>
    <row r="755">
      <c r="A755" t="s">
        <v>2564</v>
      </c>
      <c r="B755" t="s">
        <v>1263</v>
      </c>
      <c r="C755" t="s">
        <v>2199</v>
      </c>
      <c r="D755" t="s">
        <v>410</v>
      </c>
      <c r="E755" t="s">
        <v>6757</v>
      </c>
      <c r="G755" t="s">
        <v>6758</v>
      </c>
    </row>
    <row r="756">
      <c r="A756" t="s">
        <v>2567</v>
      </c>
      <c r="B756" t="s">
        <v>1271</v>
      </c>
      <c r="C756" t="s">
        <v>2287</v>
      </c>
      <c r="D756" t="s">
        <v>617</v>
      </c>
      <c r="E756" t="s">
        <v>6757</v>
      </c>
      <c r="G756" t="s">
        <v>6758</v>
      </c>
    </row>
    <row r="757">
      <c r="A757" t="s">
        <v>2567</v>
      </c>
      <c r="B757" t="s">
        <v>1271</v>
      </c>
      <c r="C757" t="s">
        <v>2290</v>
      </c>
      <c r="D757" t="s">
        <v>624</v>
      </c>
      <c r="E757" t="s">
        <v>6757</v>
      </c>
      <c r="G757" t="s">
        <v>6758</v>
      </c>
    </row>
    <row r="758">
      <c r="A758" t="s">
        <v>2567</v>
      </c>
      <c r="B758" t="s">
        <v>1271</v>
      </c>
      <c r="C758" t="s">
        <v>2281</v>
      </c>
      <c r="D758" t="s">
        <v>602</v>
      </c>
      <c r="E758" t="s">
        <v>6757</v>
      </c>
      <c r="G758" t="s">
        <v>6758</v>
      </c>
    </row>
    <row r="759">
      <c r="A759" t="s">
        <v>2567</v>
      </c>
      <c r="B759" t="s">
        <v>1271</v>
      </c>
      <c r="C759" t="s">
        <v>2284</v>
      </c>
      <c r="D759" t="s">
        <v>610</v>
      </c>
      <c r="E759" t="s">
        <v>6757</v>
      </c>
      <c r="G759" t="s">
        <v>6758</v>
      </c>
    </row>
    <row r="760">
      <c r="A760" t="s">
        <v>2567</v>
      </c>
      <c r="B760" t="s">
        <v>1271</v>
      </c>
      <c r="C760" t="s">
        <v>2199</v>
      </c>
      <c r="D760" t="s">
        <v>410</v>
      </c>
      <c r="E760" t="s">
        <v>6757</v>
      </c>
      <c r="G760" t="s">
        <v>6758</v>
      </c>
    </row>
    <row r="761">
      <c r="A761" t="s">
        <v>2570</v>
      </c>
      <c r="B761" t="s">
        <v>1279</v>
      </c>
      <c r="C761" t="s">
        <v>2287</v>
      </c>
      <c r="D761" t="s">
        <v>617</v>
      </c>
      <c r="E761" t="s">
        <v>6757</v>
      </c>
      <c r="G761" t="s">
        <v>6758</v>
      </c>
    </row>
    <row r="762">
      <c r="A762" t="s">
        <v>2570</v>
      </c>
      <c r="B762" t="s">
        <v>1279</v>
      </c>
      <c r="C762" t="s">
        <v>2290</v>
      </c>
      <c r="D762" t="s">
        <v>624</v>
      </c>
      <c r="E762" t="s">
        <v>6757</v>
      </c>
      <c r="G762" t="s">
        <v>6758</v>
      </c>
    </row>
    <row r="763">
      <c r="A763" t="s">
        <v>2570</v>
      </c>
      <c r="B763" t="s">
        <v>1279</v>
      </c>
      <c r="C763" t="s">
        <v>2281</v>
      </c>
      <c r="D763" t="s">
        <v>602</v>
      </c>
      <c r="E763" t="s">
        <v>6757</v>
      </c>
      <c r="G763" t="s">
        <v>6758</v>
      </c>
    </row>
    <row r="764">
      <c r="A764" t="s">
        <v>2570</v>
      </c>
      <c r="B764" t="s">
        <v>1279</v>
      </c>
      <c r="C764" t="s">
        <v>2284</v>
      </c>
      <c r="D764" t="s">
        <v>610</v>
      </c>
      <c r="E764" t="s">
        <v>6757</v>
      </c>
      <c r="G764" t="s">
        <v>6758</v>
      </c>
    </row>
    <row r="765">
      <c r="A765" t="s">
        <v>2570</v>
      </c>
      <c r="B765" t="s">
        <v>1279</v>
      </c>
      <c r="C765" t="s">
        <v>2199</v>
      </c>
      <c r="D765" t="s">
        <v>410</v>
      </c>
      <c r="E765" t="s">
        <v>6757</v>
      </c>
      <c r="G765" t="s">
        <v>6758</v>
      </c>
    </row>
    <row r="766">
      <c r="A766" t="s">
        <v>2573</v>
      </c>
      <c r="B766" t="s">
        <v>1287</v>
      </c>
      <c r="C766" t="s">
        <v>2287</v>
      </c>
      <c r="D766" t="s">
        <v>617</v>
      </c>
      <c r="E766" t="s">
        <v>6757</v>
      </c>
      <c r="G766" t="s">
        <v>6758</v>
      </c>
    </row>
    <row r="767">
      <c r="A767" t="s">
        <v>2573</v>
      </c>
      <c r="B767" t="s">
        <v>1287</v>
      </c>
      <c r="C767" t="s">
        <v>2290</v>
      </c>
      <c r="D767" t="s">
        <v>624</v>
      </c>
      <c r="E767" t="s">
        <v>6757</v>
      </c>
      <c r="G767" t="s">
        <v>6758</v>
      </c>
    </row>
    <row r="768">
      <c r="A768" t="s">
        <v>2573</v>
      </c>
      <c r="B768" t="s">
        <v>1287</v>
      </c>
      <c r="C768" t="s">
        <v>2281</v>
      </c>
      <c r="D768" t="s">
        <v>602</v>
      </c>
      <c r="E768" t="s">
        <v>6757</v>
      </c>
      <c r="G768" t="s">
        <v>6758</v>
      </c>
    </row>
    <row r="769">
      <c r="A769" t="s">
        <v>2573</v>
      </c>
      <c r="B769" t="s">
        <v>1287</v>
      </c>
      <c r="C769" t="s">
        <v>2284</v>
      </c>
      <c r="D769" t="s">
        <v>610</v>
      </c>
      <c r="E769" t="s">
        <v>6757</v>
      </c>
      <c r="G769" t="s">
        <v>6758</v>
      </c>
    </row>
    <row r="770">
      <c r="A770" t="s">
        <v>2573</v>
      </c>
      <c r="B770" t="s">
        <v>1287</v>
      </c>
      <c r="C770" t="s">
        <v>2199</v>
      </c>
      <c r="D770" t="s">
        <v>410</v>
      </c>
      <c r="E770" t="s">
        <v>6757</v>
      </c>
      <c r="G770" t="s">
        <v>6758</v>
      </c>
    </row>
    <row r="771">
      <c r="A771" t="s">
        <v>2576</v>
      </c>
      <c r="B771" t="s">
        <v>1294</v>
      </c>
      <c r="C771" t="s">
        <v>2287</v>
      </c>
      <c r="D771" t="s">
        <v>617</v>
      </c>
      <c r="E771" t="s">
        <v>6757</v>
      </c>
      <c r="G771" t="s">
        <v>6758</v>
      </c>
    </row>
    <row r="772">
      <c r="A772" t="s">
        <v>2576</v>
      </c>
      <c r="B772" t="s">
        <v>1294</v>
      </c>
      <c r="C772" t="s">
        <v>2290</v>
      </c>
      <c r="D772" t="s">
        <v>624</v>
      </c>
      <c r="E772" t="s">
        <v>6757</v>
      </c>
      <c r="G772" t="s">
        <v>6758</v>
      </c>
    </row>
    <row r="773">
      <c r="A773" t="s">
        <v>2576</v>
      </c>
      <c r="B773" t="s">
        <v>1294</v>
      </c>
      <c r="C773" t="s">
        <v>2281</v>
      </c>
      <c r="D773" t="s">
        <v>602</v>
      </c>
      <c r="E773" t="s">
        <v>6757</v>
      </c>
      <c r="G773" t="s">
        <v>6758</v>
      </c>
    </row>
    <row r="774">
      <c r="A774" t="s">
        <v>2576</v>
      </c>
      <c r="B774" t="s">
        <v>1294</v>
      </c>
      <c r="C774" t="s">
        <v>2284</v>
      </c>
      <c r="D774" t="s">
        <v>610</v>
      </c>
      <c r="E774" t="s">
        <v>6757</v>
      </c>
      <c r="G774" t="s">
        <v>6758</v>
      </c>
    </row>
    <row r="775">
      <c r="A775" t="s">
        <v>2576</v>
      </c>
      <c r="B775" t="s">
        <v>1294</v>
      </c>
      <c r="C775" t="s">
        <v>2199</v>
      </c>
      <c r="D775" t="s">
        <v>410</v>
      </c>
      <c r="E775" t="s">
        <v>6757</v>
      </c>
      <c r="G775" t="s">
        <v>6758</v>
      </c>
    </row>
    <row r="776">
      <c r="A776" t="s">
        <v>2579</v>
      </c>
      <c r="B776" t="s">
        <v>1302</v>
      </c>
      <c r="C776" t="s">
        <v>2287</v>
      </c>
      <c r="D776" t="s">
        <v>617</v>
      </c>
      <c r="E776" t="s">
        <v>6757</v>
      </c>
      <c r="G776" t="s">
        <v>6758</v>
      </c>
    </row>
    <row r="777">
      <c r="A777" t="s">
        <v>2579</v>
      </c>
      <c r="B777" t="s">
        <v>1302</v>
      </c>
      <c r="C777" t="s">
        <v>2290</v>
      </c>
      <c r="D777" t="s">
        <v>624</v>
      </c>
      <c r="E777" t="s">
        <v>6757</v>
      </c>
      <c r="G777" t="s">
        <v>6758</v>
      </c>
    </row>
    <row r="778">
      <c r="A778" t="s">
        <v>2579</v>
      </c>
      <c r="B778" t="s">
        <v>1302</v>
      </c>
      <c r="C778" t="s">
        <v>2281</v>
      </c>
      <c r="D778" t="s">
        <v>602</v>
      </c>
      <c r="E778" t="s">
        <v>6757</v>
      </c>
      <c r="G778" t="s">
        <v>6758</v>
      </c>
    </row>
    <row r="779">
      <c r="A779" t="s">
        <v>2579</v>
      </c>
      <c r="B779" t="s">
        <v>1302</v>
      </c>
      <c r="C779" t="s">
        <v>2284</v>
      </c>
      <c r="D779" t="s">
        <v>610</v>
      </c>
      <c r="E779" t="s">
        <v>6757</v>
      </c>
      <c r="G779" t="s">
        <v>6758</v>
      </c>
    </row>
    <row r="780">
      <c r="A780" t="s">
        <v>2579</v>
      </c>
      <c r="B780" t="s">
        <v>1302</v>
      </c>
      <c r="C780" t="s">
        <v>2199</v>
      </c>
      <c r="D780" t="s">
        <v>410</v>
      </c>
      <c r="E780" t="s">
        <v>6757</v>
      </c>
      <c r="G780" t="s">
        <v>6758</v>
      </c>
    </row>
    <row r="781">
      <c r="A781" t="s">
        <v>2582</v>
      </c>
      <c r="B781" t="s">
        <v>1312</v>
      </c>
      <c r="C781" t="s">
        <v>2287</v>
      </c>
      <c r="D781" t="s">
        <v>617</v>
      </c>
      <c r="E781" t="s">
        <v>6757</v>
      </c>
      <c r="G781" t="s">
        <v>6758</v>
      </c>
    </row>
    <row r="782">
      <c r="A782" t="s">
        <v>2582</v>
      </c>
      <c r="B782" t="s">
        <v>1312</v>
      </c>
      <c r="C782" t="s">
        <v>2290</v>
      </c>
      <c r="D782" t="s">
        <v>624</v>
      </c>
      <c r="E782" t="s">
        <v>6757</v>
      </c>
      <c r="G782" t="s">
        <v>6758</v>
      </c>
    </row>
    <row r="783">
      <c r="A783" t="s">
        <v>2582</v>
      </c>
      <c r="B783" t="s">
        <v>1312</v>
      </c>
      <c r="C783" t="s">
        <v>2281</v>
      </c>
      <c r="D783" t="s">
        <v>602</v>
      </c>
      <c r="E783" t="s">
        <v>6757</v>
      </c>
      <c r="G783" t="s">
        <v>6758</v>
      </c>
    </row>
    <row r="784">
      <c r="A784" t="s">
        <v>2582</v>
      </c>
      <c r="B784" t="s">
        <v>1312</v>
      </c>
      <c r="C784" t="s">
        <v>2284</v>
      </c>
      <c r="D784" t="s">
        <v>610</v>
      </c>
      <c r="E784" t="s">
        <v>6757</v>
      </c>
      <c r="G784" t="s">
        <v>6758</v>
      </c>
    </row>
    <row r="785">
      <c r="A785" t="s">
        <v>2582</v>
      </c>
      <c r="B785" t="s">
        <v>1312</v>
      </c>
      <c r="C785" t="s">
        <v>2199</v>
      </c>
      <c r="D785" t="s">
        <v>410</v>
      </c>
      <c r="E785" t="s">
        <v>6757</v>
      </c>
      <c r="G785" t="s">
        <v>6758</v>
      </c>
    </row>
    <row r="786">
      <c r="A786" t="s">
        <v>2585</v>
      </c>
      <c r="B786" t="s">
        <v>1320</v>
      </c>
      <c r="C786" t="s">
        <v>2287</v>
      </c>
      <c r="D786" t="s">
        <v>617</v>
      </c>
      <c r="E786" t="s">
        <v>6757</v>
      </c>
      <c r="G786" t="s">
        <v>6758</v>
      </c>
    </row>
    <row r="787">
      <c r="A787" t="s">
        <v>2585</v>
      </c>
      <c r="B787" t="s">
        <v>1320</v>
      </c>
      <c r="C787" t="s">
        <v>2290</v>
      </c>
      <c r="D787" t="s">
        <v>624</v>
      </c>
      <c r="E787" t="s">
        <v>6757</v>
      </c>
      <c r="G787" t="s">
        <v>6758</v>
      </c>
    </row>
    <row r="788">
      <c r="A788" t="s">
        <v>2585</v>
      </c>
      <c r="B788" t="s">
        <v>1320</v>
      </c>
      <c r="C788" t="s">
        <v>2281</v>
      </c>
      <c r="D788" t="s">
        <v>602</v>
      </c>
      <c r="E788" t="s">
        <v>6757</v>
      </c>
      <c r="G788" t="s">
        <v>6758</v>
      </c>
    </row>
    <row r="789">
      <c r="A789" t="s">
        <v>2585</v>
      </c>
      <c r="B789" t="s">
        <v>1320</v>
      </c>
      <c r="C789" t="s">
        <v>2284</v>
      </c>
      <c r="D789" t="s">
        <v>610</v>
      </c>
      <c r="E789" t="s">
        <v>6757</v>
      </c>
      <c r="G789" t="s">
        <v>6758</v>
      </c>
    </row>
    <row r="790">
      <c r="A790" t="s">
        <v>2585</v>
      </c>
      <c r="B790" t="s">
        <v>1320</v>
      </c>
      <c r="C790" t="s">
        <v>2199</v>
      </c>
      <c r="D790" t="s">
        <v>410</v>
      </c>
      <c r="E790" t="s">
        <v>6757</v>
      </c>
      <c r="G790" t="s">
        <v>6758</v>
      </c>
    </row>
    <row r="791">
      <c r="A791" t="s">
        <v>2588</v>
      </c>
      <c r="B791" t="s">
        <v>1328</v>
      </c>
      <c r="C791" t="s">
        <v>2287</v>
      </c>
      <c r="D791" t="s">
        <v>617</v>
      </c>
      <c r="E791" t="s">
        <v>6757</v>
      </c>
      <c r="G791" t="s">
        <v>6758</v>
      </c>
    </row>
    <row r="792">
      <c r="A792" t="s">
        <v>2588</v>
      </c>
      <c r="B792" t="s">
        <v>1328</v>
      </c>
      <c r="C792" t="s">
        <v>2290</v>
      </c>
      <c r="D792" t="s">
        <v>624</v>
      </c>
      <c r="E792" t="s">
        <v>6757</v>
      </c>
      <c r="G792" t="s">
        <v>6758</v>
      </c>
    </row>
    <row r="793">
      <c r="A793" t="s">
        <v>2588</v>
      </c>
      <c r="B793" t="s">
        <v>1328</v>
      </c>
      <c r="C793" t="s">
        <v>2281</v>
      </c>
      <c r="D793" t="s">
        <v>602</v>
      </c>
      <c r="E793" t="s">
        <v>6757</v>
      </c>
      <c r="G793" t="s">
        <v>6758</v>
      </c>
    </row>
    <row r="794">
      <c r="A794" t="s">
        <v>2588</v>
      </c>
      <c r="B794" t="s">
        <v>1328</v>
      </c>
      <c r="C794" t="s">
        <v>2284</v>
      </c>
      <c r="D794" t="s">
        <v>610</v>
      </c>
      <c r="E794" t="s">
        <v>6757</v>
      </c>
      <c r="G794" t="s">
        <v>6758</v>
      </c>
    </row>
    <row r="795">
      <c r="A795" t="s">
        <v>2588</v>
      </c>
      <c r="B795" t="s">
        <v>1328</v>
      </c>
      <c r="C795" t="s">
        <v>2199</v>
      </c>
      <c r="D795" t="s">
        <v>410</v>
      </c>
      <c r="E795" t="s">
        <v>6757</v>
      </c>
      <c r="G795" t="s">
        <v>6758</v>
      </c>
    </row>
    <row r="796">
      <c r="A796" t="s">
        <v>2590</v>
      </c>
      <c r="B796" t="s">
        <v>1334</v>
      </c>
      <c r="C796" t="s">
        <v>2287</v>
      </c>
      <c r="D796" t="s">
        <v>617</v>
      </c>
      <c r="E796" t="s">
        <v>6757</v>
      </c>
      <c r="G796" t="s">
        <v>6758</v>
      </c>
    </row>
    <row r="797">
      <c r="A797" t="s">
        <v>2590</v>
      </c>
      <c r="B797" t="s">
        <v>1334</v>
      </c>
      <c r="C797" t="s">
        <v>2290</v>
      </c>
      <c r="D797" t="s">
        <v>624</v>
      </c>
      <c r="E797" t="s">
        <v>6757</v>
      </c>
      <c r="G797" t="s">
        <v>6758</v>
      </c>
    </row>
    <row r="798">
      <c r="A798" t="s">
        <v>2590</v>
      </c>
      <c r="B798" t="s">
        <v>1334</v>
      </c>
      <c r="C798" t="s">
        <v>2281</v>
      </c>
      <c r="D798" t="s">
        <v>602</v>
      </c>
      <c r="E798" t="s">
        <v>6757</v>
      </c>
      <c r="G798" t="s">
        <v>6758</v>
      </c>
    </row>
    <row r="799">
      <c r="A799" t="s">
        <v>2590</v>
      </c>
      <c r="B799" t="s">
        <v>1334</v>
      </c>
      <c r="C799" t="s">
        <v>2284</v>
      </c>
      <c r="D799" t="s">
        <v>610</v>
      </c>
      <c r="E799" t="s">
        <v>6757</v>
      </c>
      <c r="G799" t="s">
        <v>6758</v>
      </c>
    </row>
    <row r="800">
      <c r="A800" t="s">
        <v>2590</v>
      </c>
      <c r="B800" t="s">
        <v>1334</v>
      </c>
      <c r="C800" t="s">
        <v>2199</v>
      </c>
      <c r="D800" t="s">
        <v>410</v>
      </c>
      <c r="E800" t="s">
        <v>6757</v>
      </c>
      <c r="G800" t="s">
        <v>6758</v>
      </c>
    </row>
    <row r="801">
      <c r="A801" t="s">
        <v>2593</v>
      </c>
      <c r="B801" t="s">
        <v>1344</v>
      </c>
      <c r="C801" t="s">
        <v>2287</v>
      </c>
      <c r="D801" t="s">
        <v>617</v>
      </c>
      <c r="E801" t="s">
        <v>6757</v>
      </c>
      <c r="G801" t="s">
        <v>6758</v>
      </c>
    </row>
    <row r="802">
      <c r="A802" t="s">
        <v>2593</v>
      </c>
      <c r="B802" t="s">
        <v>1344</v>
      </c>
      <c r="C802" t="s">
        <v>2290</v>
      </c>
      <c r="D802" t="s">
        <v>624</v>
      </c>
      <c r="E802" t="s">
        <v>6757</v>
      </c>
      <c r="G802" t="s">
        <v>6758</v>
      </c>
    </row>
    <row r="803">
      <c r="A803" t="s">
        <v>2593</v>
      </c>
      <c r="B803" t="s">
        <v>1344</v>
      </c>
      <c r="C803" t="s">
        <v>2281</v>
      </c>
      <c r="D803" t="s">
        <v>602</v>
      </c>
      <c r="E803" t="s">
        <v>6757</v>
      </c>
      <c r="G803" t="s">
        <v>6758</v>
      </c>
    </row>
    <row r="804">
      <c r="A804" t="s">
        <v>2593</v>
      </c>
      <c r="B804" t="s">
        <v>1344</v>
      </c>
      <c r="C804" t="s">
        <v>2284</v>
      </c>
      <c r="D804" t="s">
        <v>610</v>
      </c>
      <c r="E804" t="s">
        <v>6757</v>
      </c>
      <c r="G804" t="s">
        <v>6758</v>
      </c>
    </row>
    <row r="805">
      <c r="A805" t="s">
        <v>2593</v>
      </c>
      <c r="B805" t="s">
        <v>1344</v>
      </c>
      <c r="C805" t="s">
        <v>2199</v>
      </c>
      <c r="D805" t="s">
        <v>410</v>
      </c>
      <c r="E805" t="s">
        <v>6757</v>
      </c>
      <c r="G805" t="s">
        <v>6758</v>
      </c>
    </row>
    <row r="806">
      <c r="A806" t="s">
        <v>2596</v>
      </c>
      <c r="B806" t="s">
        <v>1352</v>
      </c>
      <c r="C806" t="s">
        <v>2287</v>
      </c>
      <c r="D806" t="s">
        <v>617</v>
      </c>
      <c r="E806" t="s">
        <v>6757</v>
      </c>
      <c r="G806" t="s">
        <v>6758</v>
      </c>
    </row>
    <row r="807">
      <c r="A807" t="s">
        <v>2596</v>
      </c>
      <c r="B807" t="s">
        <v>1352</v>
      </c>
      <c r="C807" t="s">
        <v>2290</v>
      </c>
      <c r="D807" t="s">
        <v>624</v>
      </c>
      <c r="E807" t="s">
        <v>6757</v>
      </c>
      <c r="G807" t="s">
        <v>6758</v>
      </c>
    </row>
    <row r="808">
      <c r="A808" t="s">
        <v>2596</v>
      </c>
      <c r="B808" t="s">
        <v>1352</v>
      </c>
      <c r="C808" t="s">
        <v>2281</v>
      </c>
      <c r="D808" t="s">
        <v>602</v>
      </c>
      <c r="E808" t="s">
        <v>6757</v>
      </c>
      <c r="G808" t="s">
        <v>6758</v>
      </c>
    </row>
    <row r="809">
      <c r="A809" t="s">
        <v>2596</v>
      </c>
      <c r="B809" t="s">
        <v>1352</v>
      </c>
      <c r="C809" t="s">
        <v>2284</v>
      </c>
      <c r="D809" t="s">
        <v>610</v>
      </c>
      <c r="E809" t="s">
        <v>6757</v>
      </c>
      <c r="G809" t="s">
        <v>6758</v>
      </c>
    </row>
    <row r="810">
      <c r="A810" t="s">
        <v>2596</v>
      </c>
      <c r="B810" t="s">
        <v>1352</v>
      </c>
      <c r="C810" t="s">
        <v>2199</v>
      </c>
      <c r="D810" t="s">
        <v>410</v>
      </c>
      <c r="E810" t="s">
        <v>6757</v>
      </c>
      <c r="G810" t="s">
        <v>6758</v>
      </c>
    </row>
    <row r="811">
      <c r="A811" t="s">
        <v>2599</v>
      </c>
      <c r="B811" t="s">
        <v>1359</v>
      </c>
      <c r="C811" t="s">
        <v>2287</v>
      </c>
      <c r="D811" t="s">
        <v>617</v>
      </c>
      <c r="E811" t="s">
        <v>6757</v>
      </c>
      <c r="G811" t="s">
        <v>6758</v>
      </c>
    </row>
    <row r="812">
      <c r="A812" t="s">
        <v>2599</v>
      </c>
      <c r="B812" t="s">
        <v>1359</v>
      </c>
      <c r="C812" t="s">
        <v>2290</v>
      </c>
      <c r="D812" t="s">
        <v>624</v>
      </c>
      <c r="E812" t="s">
        <v>6757</v>
      </c>
      <c r="G812" t="s">
        <v>6758</v>
      </c>
    </row>
    <row r="813">
      <c r="A813" t="s">
        <v>2599</v>
      </c>
      <c r="B813" t="s">
        <v>1359</v>
      </c>
      <c r="C813" t="s">
        <v>2281</v>
      </c>
      <c r="D813" t="s">
        <v>602</v>
      </c>
      <c r="E813" t="s">
        <v>6757</v>
      </c>
      <c r="G813" t="s">
        <v>6758</v>
      </c>
    </row>
    <row r="814">
      <c r="A814" t="s">
        <v>2599</v>
      </c>
      <c r="B814" t="s">
        <v>1359</v>
      </c>
      <c r="C814" t="s">
        <v>2284</v>
      </c>
      <c r="D814" t="s">
        <v>610</v>
      </c>
      <c r="E814" t="s">
        <v>6757</v>
      </c>
      <c r="G814" t="s">
        <v>6758</v>
      </c>
    </row>
    <row r="815">
      <c r="A815" t="s">
        <v>2599</v>
      </c>
      <c r="B815" t="s">
        <v>1359</v>
      </c>
      <c r="C815" t="s">
        <v>2199</v>
      </c>
      <c r="D815" t="s">
        <v>410</v>
      </c>
      <c r="E815" t="s">
        <v>6757</v>
      </c>
      <c r="G815" t="s">
        <v>6758</v>
      </c>
    </row>
    <row r="816">
      <c r="A816" t="s">
        <v>2602</v>
      </c>
      <c r="B816" t="s">
        <v>1366</v>
      </c>
      <c r="C816" t="s">
        <v>2287</v>
      </c>
      <c r="D816" t="s">
        <v>617</v>
      </c>
      <c r="E816" t="s">
        <v>6757</v>
      </c>
      <c r="G816" t="s">
        <v>6758</v>
      </c>
    </row>
    <row r="817">
      <c r="A817" t="s">
        <v>2602</v>
      </c>
      <c r="B817" t="s">
        <v>1366</v>
      </c>
      <c r="C817" t="s">
        <v>2290</v>
      </c>
      <c r="D817" t="s">
        <v>624</v>
      </c>
      <c r="E817" t="s">
        <v>6757</v>
      </c>
      <c r="G817" t="s">
        <v>6758</v>
      </c>
    </row>
    <row r="818">
      <c r="A818" t="s">
        <v>2602</v>
      </c>
      <c r="B818" t="s">
        <v>1366</v>
      </c>
      <c r="C818" t="s">
        <v>2281</v>
      </c>
      <c r="D818" t="s">
        <v>602</v>
      </c>
      <c r="E818" t="s">
        <v>6757</v>
      </c>
      <c r="G818" t="s">
        <v>6758</v>
      </c>
    </row>
    <row r="819">
      <c r="A819" t="s">
        <v>2602</v>
      </c>
      <c r="B819" t="s">
        <v>1366</v>
      </c>
      <c r="C819" t="s">
        <v>2284</v>
      </c>
      <c r="D819" t="s">
        <v>610</v>
      </c>
      <c r="E819" t="s">
        <v>6757</v>
      </c>
      <c r="G819" t="s">
        <v>6758</v>
      </c>
    </row>
    <row r="820">
      <c r="A820" t="s">
        <v>2602</v>
      </c>
      <c r="B820" t="s">
        <v>1366</v>
      </c>
      <c r="C820" t="s">
        <v>2199</v>
      </c>
      <c r="D820" t="s">
        <v>410</v>
      </c>
      <c r="E820" t="s">
        <v>6757</v>
      </c>
      <c r="G820" t="s">
        <v>6758</v>
      </c>
    </row>
    <row r="821">
      <c r="A821" t="s">
        <v>2605</v>
      </c>
      <c r="B821" t="s">
        <v>1372</v>
      </c>
      <c r="C821" t="s">
        <v>2287</v>
      </c>
      <c r="D821" t="s">
        <v>617</v>
      </c>
      <c r="E821" t="s">
        <v>6757</v>
      </c>
      <c r="G821" t="s">
        <v>6758</v>
      </c>
    </row>
    <row r="822">
      <c r="A822" t="s">
        <v>2605</v>
      </c>
      <c r="B822" t="s">
        <v>1372</v>
      </c>
      <c r="C822" t="s">
        <v>2290</v>
      </c>
      <c r="D822" t="s">
        <v>624</v>
      </c>
      <c r="E822" t="s">
        <v>6757</v>
      </c>
      <c r="G822" t="s">
        <v>6758</v>
      </c>
    </row>
    <row r="823">
      <c r="A823" t="s">
        <v>2605</v>
      </c>
      <c r="B823" t="s">
        <v>1372</v>
      </c>
      <c r="C823" t="s">
        <v>2281</v>
      </c>
      <c r="D823" t="s">
        <v>602</v>
      </c>
      <c r="E823" t="s">
        <v>6757</v>
      </c>
      <c r="G823" t="s">
        <v>6758</v>
      </c>
    </row>
    <row r="824">
      <c r="A824" t="s">
        <v>2605</v>
      </c>
      <c r="B824" t="s">
        <v>1372</v>
      </c>
      <c r="C824" t="s">
        <v>2284</v>
      </c>
      <c r="D824" t="s">
        <v>610</v>
      </c>
      <c r="E824" t="s">
        <v>6757</v>
      </c>
      <c r="G824" t="s">
        <v>6758</v>
      </c>
    </row>
    <row r="825">
      <c r="A825" t="s">
        <v>2605</v>
      </c>
      <c r="B825" t="s">
        <v>1372</v>
      </c>
      <c r="C825" t="s">
        <v>2199</v>
      </c>
      <c r="D825" t="s">
        <v>410</v>
      </c>
      <c r="E825" t="s">
        <v>6757</v>
      </c>
      <c r="G825" t="s">
        <v>6758</v>
      </c>
    </row>
    <row r="826">
      <c r="A826" t="s">
        <v>2608</v>
      </c>
      <c r="B826" t="s">
        <v>1383</v>
      </c>
      <c r="C826" t="s">
        <v>2287</v>
      </c>
      <c r="D826" t="s">
        <v>617</v>
      </c>
      <c r="E826" t="s">
        <v>6757</v>
      </c>
      <c r="G826" t="s">
        <v>6758</v>
      </c>
    </row>
    <row r="827">
      <c r="A827" t="s">
        <v>2608</v>
      </c>
      <c r="B827" t="s">
        <v>1383</v>
      </c>
      <c r="C827" t="s">
        <v>2290</v>
      </c>
      <c r="D827" t="s">
        <v>624</v>
      </c>
      <c r="E827" t="s">
        <v>6757</v>
      </c>
      <c r="G827" t="s">
        <v>6758</v>
      </c>
    </row>
    <row r="828">
      <c r="A828" t="s">
        <v>2608</v>
      </c>
      <c r="B828" t="s">
        <v>1383</v>
      </c>
      <c r="C828" t="s">
        <v>2281</v>
      </c>
      <c r="D828" t="s">
        <v>602</v>
      </c>
      <c r="E828" t="s">
        <v>6757</v>
      </c>
      <c r="G828" t="s">
        <v>6758</v>
      </c>
    </row>
    <row r="829">
      <c r="A829" t="s">
        <v>2608</v>
      </c>
      <c r="B829" t="s">
        <v>1383</v>
      </c>
      <c r="C829" t="s">
        <v>2284</v>
      </c>
      <c r="D829" t="s">
        <v>610</v>
      </c>
      <c r="E829" t="s">
        <v>6757</v>
      </c>
      <c r="G829" t="s">
        <v>6758</v>
      </c>
    </row>
    <row r="830">
      <c r="A830" t="s">
        <v>2608</v>
      </c>
      <c r="B830" t="s">
        <v>1383</v>
      </c>
      <c r="C830" t="s">
        <v>2199</v>
      </c>
      <c r="D830" t="s">
        <v>410</v>
      </c>
      <c r="E830" t="s">
        <v>6757</v>
      </c>
      <c r="G830" t="s">
        <v>6758</v>
      </c>
    </row>
    <row r="831">
      <c r="A831" t="s">
        <v>2611</v>
      </c>
      <c r="B831" t="s">
        <v>1390</v>
      </c>
      <c r="C831" t="s">
        <v>2287</v>
      </c>
      <c r="D831" t="s">
        <v>617</v>
      </c>
      <c r="E831" t="s">
        <v>6757</v>
      </c>
      <c r="G831" t="s">
        <v>6758</v>
      </c>
    </row>
    <row r="832">
      <c r="A832" t="s">
        <v>2611</v>
      </c>
      <c r="B832" t="s">
        <v>1390</v>
      </c>
      <c r="C832" t="s">
        <v>2290</v>
      </c>
      <c r="D832" t="s">
        <v>624</v>
      </c>
      <c r="E832" t="s">
        <v>6757</v>
      </c>
      <c r="G832" t="s">
        <v>6758</v>
      </c>
    </row>
    <row r="833">
      <c r="A833" t="s">
        <v>2611</v>
      </c>
      <c r="B833" t="s">
        <v>1390</v>
      </c>
      <c r="C833" t="s">
        <v>2281</v>
      </c>
      <c r="D833" t="s">
        <v>602</v>
      </c>
      <c r="E833" t="s">
        <v>6757</v>
      </c>
      <c r="G833" t="s">
        <v>6758</v>
      </c>
    </row>
    <row r="834">
      <c r="A834" t="s">
        <v>2611</v>
      </c>
      <c r="B834" t="s">
        <v>1390</v>
      </c>
      <c r="C834" t="s">
        <v>2284</v>
      </c>
      <c r="D834" t="s">
        <v>610</v>
      </c>
      <c r="E834" t="s">
        <v>6757</v>
      </c>
      <c r="G834" t="s">
        <v>6758</v>
      </c>
    </row>
    <row r="835">
      <c r="A835" t="s">
        <v>2611</v>
      </c>
      <c r="B835" t="s">
        <v>1390</v>
      </c>
      <c r="C835" t="s">
        <v>2199</v>
      </c>
      <c r="D835" t="s">
        <v>410</v>
      </c>
      <c r="E835" t="s">
        <v>6757</v>
      </c>
      <c r="G835" t="s">
        <v>6758</v>
      </c>
    </row>
    <row r="836">
      <c r="A836" t="s">
        <v>2614</v>
      </c>
      <c r="B836" t="s">
        <v>1396</v>
      </c>
      <c r="C836" t="s">
        <v>2287</v>
      </c>
      <c r="D836" t="s">
        <v>617</v>
      </c>
      <c r="E836" t="s">
        <v>6757</v>
      </c>
      <c r="G836" t="s">
        <v>6758</v>
      </c>
    </row>
    <row r="837">
      <c r="A837" t="s">
        <v>2614</v>
      </c>
      <c r="B837" t="s">
        <v>1396</v>
      </c>
      <c r="C837" t="s">
        <v>2290</v>
      </c>
      <c r="D837" t="s">
        <v>624</v>
      </c>
      <c r="E837" t="s">
        <v>6757</v>
      </c>
      <c r="G837" t="s">
        <v>6758</v>
      </c>
    </row>
    <row r="838">
      <c r="A838" t="s">
        <v>2614</v>
      </c>
      <c r="B838" t="s">
        <v>1396</v>
      </c>
      <c r="C838" t="s">
        <v>2281</v>
      </c>
      <c r="D838" t="s">
        <v>602</v>
      </c>
      <c r="E838" t="s">
        <v>6757</v>
      </c>
      <c r="G838" t="s">
        <v>6758</v>
      </c>
    </row>
    <row r="839">
      <c r="A839" t="s">
        <v>2614</v>
      </c>
      <c r="B839" t="s">
        <v>1396</v>
      </c>
      <c r="C839" t="s">
        <v>2284</v>
      </c>
      <c r="D839" t="s">
        <v>610</v>
      </c>
      <c r="E839" t="s">
        <v>6757</v>
      </c>
      <c r="G839" t="s">
        <v>6758</v>
      </c>
    </row>
    <row r="840">
      <c r="A840" t="s">
        <v>2614</v>
      </c>
      <c r="B840" t="s">
        <v>1396</v>
      </c>
      <c r="C840" t="s">
        <v>2199</v>
      </c>
      <c r="D840" t="s">
        <v>410</v>
      </c>
      <c r="E840" t="s">
        <v>6757</v>
      </c>
      <c r="G840" t="s">
        <v>6758</v>
      </c>
    </row>
    <row r="841">
      <c r="A841" t="s">
        <v>2617</v>
      </c>
      <c r="B841" t="s">
        <v>1402</v>
      </c>
      <c r="C841" t="s">
        <v>2287</v>
      </c>
      <c r="D841" t="s">
        <v>617</v>
      </c>
      <c r="E841" t="s">
        <v>6757</v>
      </c>
      <c r="G841" t="s">
        <v>6758</v>
      </c>
    </row>
    <row r="842">
      <c r="A842" t="s">
        <v>2617</v>
      </c>
      <c r="B842" t="s">
        <v>1402</v>
      </c>
      <c r="C842" t="s">
        <v>2290</v>
      </c>
      <c r="D842" t="s">
        <v>624</v>
      </c>
      <c r="E842" t="s">
        <v>6757</v>
      </c>
      <c r="G842" t="s">
        <v>6758</v>
      </c>
    </row>
    <row r="843">
      <c r="A843" t="s">
        <v>2617</v>
      </c>
      <c r="B843" t="s">
        <v>1402</v>
      </c>
      <c r="C843" t="s">
        <v>2281</v>
      </c>
      <c r="D843" t="s">
        <v>602</v>
      </c>
      <c r="E843" t="s">
        <v>6757</v>
      </c>
      <c r="G843" t="s">
        <v>6758</v>
      </c>
    </row>
    <row r="844">
      <c r="A844" t="s">
        <v>2617</v>
      </c>
      <c r="B844" t="s">
        <v>1402</v>
      </c>
      <c r="C844" t="s">
        <v>2284</v>
      </c>
      <c r="D844" t="s">
        <v>610</v>
      </c>
      <c r="E844" t="s">
        <v>6757</v>
      </c>
      <c r="G844" t="s">
        <v>6758</v>
      </c>
    </row>
    <row r="845">
      <c r="A845" t="s">
        <v>2617</v>
      </c>
      <c r="B845" t="s">
        <v>1402</v>
      </c>
      <c r="C845" t="s">
        <v>2199</v>
      </c>
      <c r="D845" t="s">
        <v>410</v>
      </c>
      <c r="E845" t="s">
        <v>6757</v>
      </c>
      <c r="G845" t="s">
        <v>6758</v>
      </c>
    </row>
    <row r="846">
      <c r="A846" t="s">
        <v>2620</v>
      </c>
      <c r="B846" t="s">
        <v>1410</v>
      </c>
      <c r="C846" t="s">
        <v>2287</v>
      </c>
      <c r="D846" t="s">
        <v>617</v>
      </c>
      <c r="E846" t="s">
        <v>6757</v>
      </c>
      <c r="G846" t="s">
        <v>6758</v>
      </c>
    </row>
    <row r="847">
      <c r="A847" t="s">
        <v>2620</v>
      </c>
      <c r="B847" t="s">
        <v>1410</v>
      </c>
      <c r="C847" t="s">
        <v>2290</v>
      </c>
      <c r="D847" t="s">
        <v>624</v>
      </c>
      <c r="E847" t="s">
        <v>6757</v>
      </c>
      <c r="G847" t="s">
        <v>6758</v>
      </c>
    </row>
    <row r="848">
      <c r="A848" t="s">
        <v>2620</v>
      </c>
      <c r="B848" t="s">
        <v>1410</v>
      </c>
      <c r="C848" t="s">
        <v>2281</v>
      </c>
      <c r="D848" t="s">
        <v>602</v>
      </c>
      <c r="E848" t="s">
        <v>6757</v>
      </c>
      <c r="G848" t="s">
        <v>6758</v>
      </c>
    </row>
    <row r="849">
      <c r="A849" t="s">
        <v>2620</v>
      </c>
      <c r="B849" t="s">
        <v>1410</v>
      </c>
      <c r="C849" t="s">
        <v>2284</v>
      </c>
      <c r="D849" t="s">
        <v>610</v>
      </c>
      <c r="E849" t="s">
        <v>6757</v>
      </c>
      <c r="G849" t="s">
        <v>6758</v>
      </c>
    </row>
    <row r="850">
      <c r="A850" t="s">
        <v>2620</v>
      </c>
      <c r="B850" t="s">
        <v>1410</v>
      </c>
      <c r="C850" t="s">
        <v>2199</v>
      </c>
      <c r="D850" t="s">
        <v>410</v>
      </c>
      <c r="E850" t="s">
        <v>6757</v>
      </c>
      <c r="G850" t="s">
        <v>6758</v>
      </c>
    </row>
    <row r="851">
      <c r="A851" t="s">
        <v>2623</v>
      </c>
      <c r="B851" t="s">
        <v>1420</v>
      </c>
      <c r="C851" t="s">
        <v>2287</v>
      </c>
      <c r="D851" t="s">
        <v>617</v>
      </c>
      <c r="E851" t="s">
        <v>6757</v>
      </c>
      <c r="G851" t="s">
        <v>6758</v>
      </c>
    </row>
    <row r="852">
      <c r="A852" t="s">
        <v>2623</v>
      </c>
      <c r="B852" t="s">
        <v>1420</v>
      </c>
      <c r="C852" t="s">
        <v>2290</v>
      </c>
      <c r="D852" t="s">
        <v>624</v>
      </c>
      <c r="E852" t="s">
        <v>6757</v>
      </c>
      <c r="G852" t="s">
        <v>6758</v>
      </c>
    </row>
    <row r="853">
      <c r="A853" t="s">
        <v>2623</v>
      </c>
      <c r="B853" t="s">
        <v>1420</v>
      </c>
      <c r="C853" t="s">
        <v>2281</v>
      </c>
      <c r="D853" t="s">
        <v>602</v>
      </c>
      <c r="E853" t="s">
        <v>6757</v>
      </c>
      <c r="G853" t="s">
        <v>6758</v>
      </c>
    </row>
    <row r="854">
      <c r="A854" t="s">
        <v>2623</v>
      </c>
      <c r="B854" t="s">
        <v>1420</v>
      </c>
      <c r="C854" t="s">
        <v>2284</v>
      </c>
      <c r="D854" t="s">
        <v>610</v>
      </c>
      <c r="E854" t="s">
        <v>6757</v>
      </c>
      <c r="G854" t="s">
        <v>6758</v>
      </c>
    </row>
    <row r="855">
      <c r="A855" t="s">
        <v>2623</v>
      </c>
      <c r="B855" t="s">
        <v>1420</v>
      </c>
      <c r="C855" t="s">
        <v>2199</v>
      </c>
      <c r="D855" t="s">
        <v>410</v>
      </c>
      <c r="E855" t="s">
        <v>6757</v>
      </c>
      <c r="G855" t="s">
        <v>6758</v>
      </c>
    </row>
    <row r="856">
      <c r="A856" t="s">
        <v>2626</v>
      </c>
      <c r="B856" t="s">
        <v>1428</v>
      </c>
      <c r="C856" t="s">
        <v>2287</v>
      </c>
      <c r="D856" t="s">
        <v>617</v>
      </c>
      <c r="E856" t="s">
        <v>6757</v>
      </c>
      <c r="G856" t="s">
        <v>6758</v>
      </c>
    </row>
    <row r="857">
      <c r="A857" t="s">
        <v>2626</v>
      </c>
      <c r="B857" t="s">
        <v>1428</v>
      </c>
      <c r="C857" t="s">
        <v>2290</v>
      </c>
      <c r="D857" t="s">
        <v>624</v>
      </c>
      <c r="E857" t="s">
        <v>6757</v>
      </c>
      <c r="G857" t="s">
        <v>6758</v>
      </c>
    </row>
    <row r="858">
      <c r="A858" t="s">
        <v>2626</v>
      </c>
      <c r="B858" t="s">
        <v>1428</v>
      </c>
      <c r="C858" t="s">
        <v>2281</v>
      </c>
      <c r="D858" t="s">
        <v>602</v>
      </c>
      <c r="E858" t="s">
        <v>6757</v>
      </c>
      <c r="G858" t="s">
        <v>6758</v>
      </c>
    </row>
    <row r="859">
      <c r="A859" t="s">
        <v>2626</v>
      </c>
      <c r="B859" t="s">
        <v>1428</v>
      </c>
      <c r="C859" t="s">
        <v>2284</v>
      </c>
      <c r="D859" t="s">
        <v>610</v>
      </c>
      <c r="E859" t="s">
        <v>6757</v>
      </c>
      <c r="G859" t="s">
        <v>6758</v>
      </c>
    </row>
    <row r="860">
      <c r="A860" t="s">
        <v>2626</v>
      </c>
      <c r="B860" t="s">
        <v>1428</v>
      </c>
      <c r="C860" t="s">
        <v>2199</v>
      </c>
      <c r="D860" t="s">
        <v>410</v>
      </c>
      <c r="E860" t="s">
        <v>6757</v>
      </c>
      <c r="G860" t="s">
        <v>6758</v>
      </c>
    </row>
    <row r="861">
      <c r="A861" t="s">
        <v>2628</v>
      </c>
      <c r="B861" t="s">
        <v>1435</v>
      </c>
      <c r="C861" t="s">
        <v>2287</v>
      </c>
      <c r="D861" t="s">
        <v>617</v>
      </c>
      <c r="E861" t="s">
        <v>6757</v>
      </c>
      <c r="G861" t="s">
        <v>6758</v>
      </c>
    </row>
    <row r="862">
      <c r="A862" t="s">
        <v>2628</v>
      </c>
      <c r="B862" t="s">
        <v>1435</v>
      </c>
      <c r="C862" t="s">
        <v>2290</v>
      </c>
      <c r="D862" t="s">
        <v>624</v>
      </c>
      <c r="E862" t="s">
        <v>6757</v>
      </c>
      <c r="G862" t="s">
        <v>6758</v>
      </c>
    </row>
    <row r="863">
      <c r="A863" t="s">
        <v>2628</v>
      </c>
      <c r="B863" t="s">
        <v>1435</v>
      </c>
      <c r="C863" t="s">
        <v>2281</v>
      </c>
      <c r="D863" t="s">
        <v>602</v>
      </c>
      <c r="E863" t="s">
        <v>6757</v>
      </c>
      <c r="G863" t="s">
        <v>6758</v>
      </c>
    </row>
    <row r="864">
      <c r="A864" t="s">
        <v>2628</v>
      </c>
      <c r="B864" t="s">
        <v>1435</v>
      </c>
      <c r="C864" t="s">
        <v>2284</v>
      </c>
      <c r="D864" t="s">
        <v>610</v>
      </c>
      <c r="E864" t="s">
        <v>6757</v>
      </c>
      <c r="G864" t="s">
        <v>6758</v>
      </c>
    </row>
    <row r="865">
      <c r="A865" t="s">
        <v>2628</v>
      </c>
      <c r="B865" t="s">
        <v>1435</v>
      </c>
      <c r="C865" t="s">
        <v>2199</v>
      </c>
      <c r="D865" t="s">
        <v>410</v>
      </c>
      <c r="E865" t="s">
        <v>6757</v>
      </c>
      <c r="G865" t="s">
        <v>6758</v>
      </c>
    </row>
    <row r="866">
      <c r="A866" t="s">
        <v>2631</v>
      </c>
      <c r="B866" t="s">
        <v>1440</v>
      </c>
      <c r="C866" t="s">
        <v>2287</v>
      </c>
      <c r="D866" t="s">
        <v>617</v>
      </c>
      <c r="E866" t="s">
        <v>6757</v>
      </c>
      <c r="G866" t="s">
        <v>6758</v>
      </c>
    </row>
    <row r="867">
      <c r="A867" t="s">
        <v>2631</v>
      </c>
      <c r="B867" t="s">
        <v>1440</v>
      </c>
      <c r="C867" t="s">
        <v>2290</v>
      </c>
      <c r="D867" t="s">
        <v>624</v>
      </c>
      <c r="E867" t="s">
        <v>6757</v>
      </c>
      <c r="G867" t="s">
        <v>6758</v>
      </c>
    </row>
    <row r="868">
      <c r="A868" t="s">
        <v>2631</v>
      </c>
      <c r="B868" t="s">
        <v>1440</v>
      </c>
      <c r="C868" t="s">
        <v>2281</v>
      </c>
      <c r="D868" t="s">
        <v>602</v>
      </c>
      <c r="E868" t="s">
        <v>6757</v>
      </c>
      <c r="G868" t="s">
        <v>6758</v>
      </c>
    </row>
    <row r="869">
      <c r="A869" t="s">
        <v>2631</v>
      </c>
      <c r="B869" t="s">
        <v>1440</v>
      </c>
      <c r="C869" t="s">
        <v>2284</v>
      </c>
      <c r="D869" t="s">
        <v>610</v>
      </c>
      <c r="E869" t="s">
        <v>6757</v>
      </c>
      <c r="G869" t="s">
        <v>6758</v>
      </c>
    </row>
    <row r="870">
      <c r="A870" t="s">
        <v>2631</v>
      </c>
      <c r="B870" t="s">
        <v>1440</v>
      </c>
      <c r="C870" t="s">
        <v>2199</v>
      </c>
      <c r="D870" t="s">
        <v>410</v>
      </c>
      <c r="E870" t="s">
        <v>6757</v>
      </c>
      <c r="G870" t="s">
        <v>6758</v>
      </c>
    </row>
    <row r="871">
      <c r="A871" t="s">
        <v>2634</v>
      </c>
      <c r="B871" t="s">
        <v>1445</v>
      </c>
      <c r="C871" t="s">
        <v>2287</v>
      </c>
      <c r="D871" t="s">
        <v>617</v>
      </c>
      <c r="E871" t="s">
        <v>6757</v>
      </c>
      <c r="G871" t="s">
        <v>6758</v>
      </c>
    </row>
    <row r="872">
      <c r="A872" t="s">
        <v>2634</v>
      </c>
      <c r="B872" t="s">
        <v>1445</v>
      </c>
      <c r="C872" t="s">
        <v>2290</v>
      </c>
      <c r="D872" t="s">
        <v>624</v>
      </c>
      <c r="E872" t="s">
        <v>6757</v>
      </c>
      <c r="G872" t="s">
        <v>6758</v>
      </c>
    </row>
    <row r="873">
      <c r="A873" t="s">
        <v>2634</v>
      </c>
      <c r="B873" t="s">
        <v>1445</v>
      </c>
      <c r="C873" t="s">
        <v>2281</v>
      </c>
      <c r="D873" t="s">
        <v>602</v>
      </c>
      <c r="E873" t="s">
        <v>6757</v>
      </c>
      <c r="G873" t="s">
        <v>6758</v>
      </c>
    </row>
    <row r="874">
      <c r="A874" t="s">
        <v>2634</v>
      </c>
      <c r="B874" t="s">
        <v>1445</v>
      </c>
      <c r="C874" t="s">
        <v>2284</v>
      </c>
      <c r="D874" t="s">
        <v>610</v>
      </c>
      <c r="E874" t="s">
        <v>6757</v>
      </c>
      <c r="G874" t="s">
        <v>6758</v>
      </c>
    </row>
    <row r="875">
      <c r="A875" t="s">
        <v>2634</v>
      </c>
      <c r="B875" t="s">
        <v>1445</v>
      </c>
      <c r="C875" t="s">
        <v>2199</v>
      </c>
      <c r="D875" t="s">
        <v>410</v>
      </c>
      <c r="E875" t="s">
        <v>6757</v>
      </c>
      <c r="G875" t="s">
        <v>6758</v>
      </c>
    </row>
    <row r="876">
      <c r="A876" t="s">
        <v>2637</v>
      </c>
      <c r="B876" t="s">
        <v>1455</v>
      </c>
      <c r="C876" t="s">
        <v>2287</v>
      </c>
      <c r="D876" t="s">
        <v>617</v>
      </c>
      <c r="E876" t="s">
        <v>6757</v>
      </c>
      <c r="G876" t="s">
        <v>6758</v>
      </c>
    </row>
    <row r="877">
      <c r="A877" t="s">
        <v>2637</v>
      </c>
      <c r="B877" t="s">
        <v>1455</v>
      </c>
      <c r="C877" t="s">
        <v>2290</v>
      </c>
      <c r="D877" t="s">
        <v>624</v>
      </c>
      <c r="E877" t="s">
        <v>6757</v>
      </c>
      <c r="G877" t="s">
        <v>6758</v>
      </c>
    </row>
    <row r="878">
      <c r="A878" t="s">
        <v>2637</v>
      </c>
      <c r="B878" t="s">
        <v>1455</v>
      </c>
      <c r="C878" t="s">
        <v>2281</v>
      </c>
      <c r="D878" t="s">
        <v>602</v>
      </c>
      <c r="E878" t="s">
        <v>6757</v>
      </c>
      <c r="G878" t="s">
        <v>6758</v>
      </c>
    </row>
    <row r="879">
      <c r="A879" t="s">
        <v>2637</v>
      </c>
      <c r="B879" t="s">
        <v>1455</v>
      </c>
      <c r="C879" t="s">
        <v>2284</v>
      </c>
      <c r="D879" t="s">
        <v>610</v>
      </c>
      <c r="E879" t="s">
        <v>6757</v>
      </c>
      <c r="G879" t="s">
        <v>6758</v>
      </c>
    </row>
    <row r="880">
      <c r="A880" t="s">
        <v>2637</v>
      </c>
      <c r="B880" t="s">
        <v>1455</v>
      </c>
      <c r="C880" t="s">
        <v>2199</v>
      </c>
      <c r="D880" t="s">
        <v>410</v>
      </c>
      <c r="E880" t="s">
        <v>6757</v>
      </c>
      <c r="G880" t="s">
        <v>6758</v>
      </c>
    </row>
    <row r="881">
      <c r="A881" t="s">
        <v>2640</v>
      </c>
      <c r="B881" t="s">
        <v>1463</v>
      </c>
      <c r="C881" t="s">
        <v>2287</v>
      </c>
      <c r="D881" t="s">
        <v>617</v>
      </c>
      <c r="E881" t="s">
        <v>6757</v>
      </c>
      <c r="G881" t="s">
        <v>6758</v>
      </c>
    </row>
    <row r="882">
      <c r="A882" t="s">
        <v>2640</v>
      </c>
      <c r="B882" t="s">
        <v>1463</v>
      </c>
      <c r="C882" t="s">
        <v>2290</v>
      </c>
      <c r="D882" t="s">
        <v>624</v>
      </c>
      <c r="E882" t="s">
        <v>6757</v>
      </c>
      <c r="G882" t="s">
        <v>6758</v>
      </c>
    </row>
    <row r="883">
      <c r="A883" t="s">
        <v>2640</v>
      </c>
      <c r="B883" t="s">
        <v>1463</v>
      </c>
      <c r="C883" t="s">
        <v>2281</v>
      </c>
      <c r="D883" t="s">
        <v>602</v>
      </c>
      <c r="E883" t="s">
        <v>6757</v>
      </c>
      <c r="G883" t="s">
        <v>6758</v>
      </c>
    </row>
    <row r="884">
      <c r="A884" t="s">
        <v>2640</v>
      </c>
      <c r="B884" t="s">
        <v>1463</v>
      </c>
      <c r="C884" t="s">
        <v>2284</v>
      </c>
      <c r="D884" t="s">
        <v>610</v>
      </c>
      <c r="E884" t="s">
        <v>6757</v>
      </c>
      <c r="G884" t="s">
        <v>6758</v>
      </c>
    </row>
    <row r="885">
      <c r="A885" t="s">
        <v>2640</v>
      </c>
      <c r="B885" t="s">
        <v>1463</v>
      </c>
      <c r="C885" t="s">
        <v>2199</v>
      </c>
      <c r="D885" t="s">
        <v>410</v>
      </c>
      <c r="E885" t="s">
        <v>6757</v>
      </c>
      <c r="G885" t="s">
        <v>6758</v>
      </c>
    </row>
    <row r="886">
      <c r="A886" t="s">
        <v>2643</v>
      </c>
      <c r="B886" t="s">
        <v>1468</v>
      </c>
      <c r="C886" t="s">
        <v>2287</v>
      </c>
      <c r="D886" t="s">
        <v>617</v>
      </c>
      <c r="E886" t="s">
        <v>6757</v>
      </c>
      <c r="G886" t="s">
        <v>6758</v>
      </c>
    </row>
    <row r="887">
      <c r="A887" t="s">
        <v>2643</v>
      </c>
      <c r="B887" t="s">
        <v>1468</v>
      </c>
      <c r="C887" t="s">
        <v>2290</v>
      </c>
      <c r="D887" t="s">
        <v>624</v>
      </c>
      <c r="E887" t="s">
        <v>6757</v>
      </c>
      <c r="G887" t="s">
        <v>6758</v>
      </c>
    </row>
    <row r="888">
      <c r="A888" t="s">
        <v>2643</v>
      </c>
      <c r="B888" t="s">
        <v>1468</v>
      </c>
      <c r="C888" t="s">
        <v>2281</v>
      </c>
      <c r="D888" t="s">
        <v>602</v>
      </c>
      <c r="E888" t="s">
        <v>6757</v>
      </c>
      <c r="G888" t="s">
        <v>6758</v>
      </c>
    </row>
    <row r="889">
      <c r="A889" t="s">
        <v>2643</v>
      </c>
      <c r="B889" t="s">
        <v>1468</v>
      </c>
      <c r="C889" t="s">
        <v>2284</v>
      </c>
      <c r="D889" t="s">
        <v>610</v>
      </c>
      <c r="E889" t="s">
        <v>6757</v>
      </c>
      <c r="G889" t="s">
        <v>6758</v>
      </c>
    </row>
    <row r="890">
      <c r="A890" t="s">
        <v>2643</v>
      </c>
      <c r="B890" t="s">
        <v>1468</v>
      </c>
      <c r="C890" t="s">
        <v>2199</v>
      </c>
      <c r="D890" t="s">
        <v>410</v>
      </c>
      <c r="E890" t="s">
        <v>6757</v>
      </c>
      <c r="G890" t="s">
        <v>6758</v>
      </c>
    </row>
    <row r="891">
      <c r="A891" t="s">
        <v>2646</v>
      </c>
      <c r="B891" t="s">
        <v>1473</v>
      </c>
      <c r="C891" t="s">
        <v>2287</v>
      </c>
      <c r="D891" t="s">
        <v>617</v>
      </c>
      <c r="E891" t="s">
        <v>6757</v>
      </c>
      <c r="G891" t="s">
        <v>6758</v>
      </c>
    </row>
    <row r="892">
      <c r="A892" t="s">
        <v>2646</v>
      </c>
      <c r="B892" t="s">
        <v>1473</v>
      </c>
      <c r="C892" t="s">
        <v>2290</v>
      </c>
      <c r="D892" t="s">
        <v>624</v>
      </c>
      <c r="E892" t="s">
        <v>6757</v>
      </c>
      <c r="G892" t="s">
        <v>6758</v>
      </c>
    </row>
    <row r="893">
      <c r="A893" t="s">
        <v>2646</v>
      </c>
      <c r="B893" t="s">
        <v>1473</v>
      </c>
      <c r="C893" t="s">
        <v>2281</v>
      </c>
      <c r="D893" t="s">
        <v>602</v>
      </c>
      <c r="E893" t="s">
        <v>6757</v>
      </c>
      <c r="G893" t="s">
        <v>6758</v>
      </c>
    </row>
    <row r="894">
      <c r="A894" t="s">
        <v>2646</v>
      </c>
      <c r="B894" t="s">
        <v>1473</v>
      </c>
      <c r="C894" t="s">
        <v>2284</v>
      </c>
      <c r="D894" t="s">
        <v>610</v>
      </c>
      <c r="E894" t="s">
        <v>6757</v>
      </c>
      <c r="G894" t="s">
        <v>6758</v>
      </c>
    </row>
    <row r="895">
      <c r="A895" t="s">
        <v>2646</v>
      </c>
      <c r="B895" t="s">
        <v>1473</v>
      </c>
      <c r="C895" t="s">
        <v>2199</v>
      </c>
      <c r="D895" t="s">
        <v>410</v>
      </c>
      <c r="E895" t="s">
        <v>6757</v>
      </c>
      <c r="G895" t="s">
        <v>6758</v>
      </c>
    </row>
    <row r="896">
      <c r="A896" t="s">
        <v>2649</v>
      </c>
      <c r="B896" t="s">
        <v>1481</v>
      </c>
      <c r="C896" t="s">
        <v>2287</v>
      </c>
      <c r="D896" t="s">
        <v>617</v>
      </c>
      <c r="E896" t="s">
        <v>6757</v>
      </c>
      <c r="G896" t="s">
        <v>6758</v>
      </c>
    </row>
    <row r="897">
      <c r="A897" t="s">
        <v>2649</v>
      </c>
      <c r="B897" t="s">
        <v>1481</v>
      </c>
      <c r="C897" t="s">
        <v>2290</v>
      </c>
      <c r="D897" t="s">
        <v>624</v>
      </c>
      <c r="E897" t="s">
        <v>6757</v>
      </c>
      <c r="G897" t="s">
        <v>6758</v>
      </c>
    </row>
    <row r="898">
      <c r="A898" t="s">
        <v>2649</v>
      </c>
      <c r="B898" t="s">
        <v>1481</v>
      </c>
      <c r="C898" t="s">
        <v>2281</v>
      </c>
      <c r="D898" t="s">
        <v>602</v>
      </c>
      <c r="E898" t="s">
        <v>6757</v>
      </c>
      <c r="G898" t="s">
        <v>6758</v>
      </c>
    </row>
    <row r="899">
      <c r="A899" t="s">
        <v>2649</v>
      </c>
      <c r="B899" t="s">
        <v>1481</v>
      </c>
      <c r="C899" t="s">
        <v>2284</v>
      </c>
      <c r="D899" t="s">
        <v>610</v>
      </c>
      <c r="E899" t="s">
        <v>6757</v>
      </c>
      <c r="G899" t="s">
        <v>6758</v>
      </c>
    </row>
    <row r="900">
      <c r="A900" t="s">
        <v>2649</v>
      </c>
      <c r="B900" t="s">
        <v>1481</v>
      </c>
      <c r="C900" t="s">
        <v>2199</v>
      </c>
      <c r="D900" t="s">
        <v>410</v>
      </c>
      <c r="E900" t="s">
        <v>6757</v>
      </c>
      <c r="G900" t="s">
        <v>6758</v>
      </c>
    </row>
    <row r="901">
      <c r="A901" t="s">
        <v>2652</v>
      </c>
      <c r="B901" t="s">
        <v>1489</v>
      </c>
      <c r="C901" t="s">
        <v>2287</v>
      </c>
      <c r="D901" t="s">
        <v>617</v>
      </c>
      <c r="E901" t="s">
        <v>6757</v>
      </c>
      <c r="G901" t="s">
        <v>6758</v>
      </c>
    </row>
    <row r="902">
      <c r="A902" t="s">
        <v>2652</v>
      </c>
      <c r="B902" t="s">
        <v>1489</v>
      </c>
      <c r="C902" t="s">
        <v>2290</v>
      </c>
      <c r="D902" t="s">
        <v>624</v>
      </c>
      <c r="E902" t="s">
        <v>6757</v>
      </c>
      <c r="G902" t="s">
        <v>6758</v>
      </c>
    </row>
    <row r="903">
      <c r="A903" t="s">
        <v>2652</v>
      </c>
      <c r="B903" t="s">
        <v>1489</v>
      </c>
      <c r="C903" t="s">
        <v>2281</v>
      </c>
      <c r="D903" t="s">
        <v>602</v>
      </c>
      <c r="E903" t="s">
        <v>6757</v>
      </c>
      <c r="G903" t="s">
        <v>6758</v>
      </c>
    </row>
    <row r="904">
      <c r="A904" t="s">
        <v>2652</v>
      </c>
      <c r="B904" t="s">
        <v>1489</v>
      </c>
      <c r="C904" t="s">
        <v>2284</v>
      </c>
      <c r="D904" t="s">
        <v>610</v>
      </c>
      <c r="E904" t="s">
        <v>6757</v>
      </c>
      <c r="G904" t="s">
        <v>6758</v>
      </c>
    </row>
    <row r="905">
      <c r="A905" t="s">
        <v>2652</v>
      </c>
      <c r="B905" t="s">
        <v>1489</v>
      </c>
      <c r="C905" t="s">
        <v>2199</v>
      </c>
      <c r="D905" t="s">
        <v>410</v>
      </c>
      <c r="E905" t="s">
        <v>6757</v>
      </c>
      <c r="G905" t="s">
        <v>6758</v>
      </c>
    </row>
    <row r="906">
      <c r="A906" t="s">
        <v>2655</v>
      </c>
      <c r="B906" t="s">
        <v>1497</v>
      </c>
      <c r="C906" t="s">
        <v>2287</v>
      </c>
      <c r="D906" t="s">
        <v>617</v>
      </c>
      <c r="E906" t="s">
        <v>6757</v>
      </c>
      <c r="G906" t="s">
        <v>6758</v>
      </c>
    </row>
    <row r="907">
      <c r="A907" t="s">
        <v>2655</v>
      </c>
      <c r="B907" t="s">
        <v>1497</v>
      </c>
      <c r="C907" t="s">
        <v>2290</v>
      </c>
      <c r="D907" t="s">
        <v>624</v>
      </c>
      <c r="E907" t="s">
        <v>6757</v>
      </c>
      <c r="G907" t="s">
        <v>6758</v>
      </c>
    </row>
    <row r="908">
      <c r="A908" t="s">
        <v>2655</v>
      </c>
      <c r="B908" t="s">
        <v>1497</v>
      </c>
      <c r="C908" t="s">
        <v>2281</v>
      </c>
      <c r="D908" t="s">
        <v>602</v>
      </c>
      <c r="E908" t="s">
        <v>6757</v>
      </c>
      <c r="G908" t="s">
        <v>6758</v>
      </c>
    </row>
    <row r="909">
      <c r="A909" t="s">
        <v>2655</v>
      </c>
      <c r="B909" t="s">
        <v>1497</v>
      </c>
      <c r="C909" t="s">
        <v>2284</v>
      </c>
      <c r="D909" t="s">
        <v>610</v>
      </c>
      <c r="E909" t="s">
        <v>6757</v>
      </c>
      <c r="G909" t="s">
        <v>6758</v>
      </c>
    </row>
    <row r="910">
      <c r="A910" t="s">
        <v>2655</v>
      </c>
      <c r="B910" t="s">
        <v>1497</v>
      </c>
      <c r="C910" t="s">
        <v>2199</v>
      </c>
      <c r="D910" t="s">
        <v>410</v>
      </c>
      <c r="E910" t="s">
        <v>6757</v>
      </c>
      <c r="G910" t="s">
        <v>6758</v>
      </c>
    </row>
    <row r="911">
      <c r="A911" t="s">
        <v>2658</v>
      </c>
      <c r="B911" t="s">
        <v>1502</v>
      </c>
      <c r="C911" t="s">
        <v>2287</v>
      </c>
      <c r="D911" t="s">
        <v>617</v>
      </c>
      <c r="E911" t="s">
        <v>6757</v>
      </c>
      <c r="G911" t="s">
        <v>6758</v>
      </c>
    </row>
    <row r="912">
      <c r="A912" t="s">
        <v>2658</v>
      </c>
      <c r="B912" t="s">
        <v>1502</v>
      </c>
      <c r="C912" t="s">
        <v>2290</v>
      </c>
      <c r="D912" t="s">
        <v>624</v>
      </c>
      <c r="E912" t="s">
        <v>6757</v>
      </c>
      <c r="G912" t="s">
        <v>6758</v>
      </c>
    </row>
    <row r="913">
      <c r="A913" t="s">
        <v>2658</v>
      </c>
      <c r="B913" t="s">
        <v>1502</v>
      </c>
      <c r="C913" t="s">
        <v>2281</v>
      </c>
      <c r="D913" t="s">
        <v>602</v>
      </c>
      <c r="E913" t="s">
        <v>6757</v>
      </c>
      <c r="G913" t="s">
        <v>6758</v>
      </c>
    </row>
    <row r="914">
      <c r="A914" t="s">
        <v>2658</v>
      </c>
      <c r="B914" t="s">
        <v>1502</v>
      </c>
      <c r="C914" t="s">
        <v>2284</v>
      </c>
      <c r="D914" t="s">
        <v>610</v>
      </c>
      <c r="E914" t="s">
        <v>6757</v>
      </c>
      <c r="G914" t="s">
        <v>6758</v>
      </c>
    </row>
    <row r="915">
      <c r="A915" t="s">
        <v>2658</v>
      </c>
      <c r="B915" t="s">
        <v>1502</v>
      </c>
      <c r="C915" t="s">
        <v>2199</v>
      </c>
      <c r="D915" t="s">
        <v>410</v>
      </c>
      <c r="E915" t="s">
        <v>6757</v>
      </c>
      <c r="G915" t="s">
        <v>6758</v>
      </c>
    </row>
    <row r="916">
      <c r="A916" t="s">
        <v>2661</v>
      </c>
      <c r="B916" t="s">
        <v>1509</v>
      </c>
      <c r="C916" t="s">
        <v>2287</v>
      </c>
      <c r="D916" t="s">
        <v>617</v>
      </c>
      <c r="E916" t="s">
        <v>6757</v>
      </c>
      <c r="G916" t="s">
        <v>6758</v>
      </c>
    </row>
    <row r="917">
      <c r="A917" t="s">
        <v>2661</v>
      </c>
      <c r="B917" t="s">
        <v>1509</v>
      </c>
      <c r="C917" t="s">
        <v>2290</v>
      </c>
      <c r="D917" t="s">
        <v>624</v>
      </c>
      <c r="E917" t="s">
        <v>6757</v>
      </c>
      <c r="G917" t="s">
        <v>6758</v>
      </c>
    </row>
    <row r="918">
      <c r="A918" t="s">
        <v>2661</v>
      </c>
      <c r="B918" t="s">
        <v>1509</v>
      </c>
      <c r="C918" t="s">
        <v>2281</v>
      </c>
      <c r="D918" t="s">
        <v>602</v>
      </c>
      <c r="E918" t="s">
        <v>6757</v>
      </c>
      <c r="G918" t="s">
        <v>6758</v>
      </c>
    </row>
    <row r="919">
      <c r="A919" t="s">
        <v>2661</v>
      </c>
      <c r="B919" t="s">
        <v>1509</v>
      </c>
      <c r="C919" t="s">
        <v>2284</v>
      </c>
      <c r="D919" t="s">
        <v>610</v>
      </c>
      <c r="E919" t="s">
        <v>6757</v>
      </c>
      <c r="G919" t="s">
        <v>6758</v>
      </c>
    </row>
    <row r="920">
      <c r="A920" t="s">
        <v>2661</v>
      </c>
      <c r="B920" t="s">
        <v>1509</v>
      </c>
      <c r="C920" t="s">
        <v>2199</v>
      </c>
      <c r="D920" t="s">
        <v>410</v>
      </c>
      <c r="E920" t="s">
        <v>6757</v>
      </c>
      <c r="G920" t="s">
        <v>6758</v>
      </c>
    </row>
    <row r="921">
      <c r="A921" t="s">
        <v>2664</v>
      </c>
      <c r="B921" t="s">
        <v>1515</v>
      </c>
      <c r="C921" t="s">
        <v>2287</v>
      </c>
      <c r="D921" t="s">
        <v>617</v>
      </c>
      <c r="E921" t="s">
        <v>6757</v>
      </c>
      <c r="G921" t="s">
        <v>6758</v>
      </c>
    </row>
    <row r="922">
      <c r="A922" t="s">
        <v>2664</v>
      </c>
      <c r="B922" t="s">
        <v>1515</v>
      </c>
      <c r="C922" t="s">
        <v>2290</v>
      </c>
      <c r="D922" t="s">
        <v>624</v>
      </c>
      <c r="E922" t="s">
        <v>6757</v>
      </c>
      <c r="G922" t="s">
        <v>6758</v>
      </c>
    </row>
    <row r="923">
      <c r="A923" t="s">
        <v>2664</v>
      </c>
      <c r="B923" t="s">
        <v>1515</v>
      </c>
      <c r="C923" t="s">
        <v>2281</v>
      </c>
      <c r="D923" t="s">
        <v>602</v>
      </c>
      <c r="E923" t="s">
        <v>6757</v>
      </c>
      <c r="G923" t="s">
        <v>6758</v>
      </c>
    </row>
    <row r="924">
      <c r="A924" t="s">
        <v>2664</v>
      </c>
      <c r="B924" t="s">
        <v>1515</v>
      </c>
      <c r="C924" t="s">
        <v>2284</v>
      </c>
      <c r="D924" t="s">
        <v>610</v>
      </c>
      <c r="E924" t="s">
        <v>6757</v>
      </c>
      <c r="G924" t="s">
        <v>6758</v>
      </c>
    </row>
    <row r="925">
      <c r="A925" t="s">
        <v>2664</v>
      </c>
      <c r="B925" t="s">
        <v>1515</v>
      </c>
      <c r="C925" t="s">
        <v>2199</v>
      </c>
      <c r="D925" t="s">
        <v>410</v>
      </c>
      <c r="E925" t="s">
        <v>6757</v>
      </c>
      <c r="G925" t="s">
        <v>6758</v>
      </c>
    </row>
    <row r="926">
      <c r="A926" t="s">
        <v>2667</v>
      </c>
      <c r="B926" t="s">
        <v>1524</v>
      </c>
      <c r="C926" t="s">
        <v>2287</v>
      </c>
      <c r="D926" t="s">
        <v>617</v>
      </c>
      <c r="E926" t="s">
        <v>6757</v>
      </c>
      <c r="G926" t="s">
        <v>6758</v>
      </c>
    </row>
    <row r="927">
      <c r="A927" t="s">
        <v>2667</v>
      </c>
      <c r="B927" t="s">
        <v>1524</v>
      </c>
      <c r="C927" t="s">
        <v>2290</v>
      </c>
      <c r="D927" t="s">
        <v>624</v>
      </c>
      <c r="E927" t="s">
        <v>6757</v>
      </c>
      <c r="G927" t="s">
        <v>6758</v>
      </c>
    </row>
    <row r="928">
      <c r="A928" t="s">
        <v>2667</v>
      </c>
      <c r="B928" t="s">
        <v>1524</v>
      </c>
      <c r="C928" t="s">
        <v>2281</v>
      </c>
      <c r="D928" t="s">
        <v>602</v>
      </c>
      <c r="E928" t="s">
        <v>6757</v>
      </c>
      <c r="G928" t="s">
        <v>6758</v>
      </c>
    </row>
    <row r="929">
      <c r="A929" t="s">
        <v>2667</v>
      </c>
      <c r="B929" t="s">
        <v>1524</v>
      </c>
      <c r="C929" t="s">
        <v>2284</v>
      </c>
      <c r="D929" t="s">
        <v>610</v>
      </c>
      <c r="E929" t="s">
        <v>6757</v>
      </c>
      <c r="G929" t="s">
        <v>6758</v>
      </c>
    </row>
    <row r="930">
      <c r="A930" t="s">
        <v>2667</v>
      </c>
      <c r="B930" t="s">
        <v>1524</v>
      </c>
      <c r="C930" t="s">
        <v>2199</v>
      </c>
      <c r="D930" t="s">
        <v>410</v>
      </c>
      <c r="E930" t="s">
        <v>6757</v>
      </c>
      <c r="G930" t="s">
        <v>6758</v>
      </c>
    </row>
    <row r="931">
      <c r="A931" t="s">
        <v>2671</v>
      </c>
      <c r="B931" t="s">
        <v>1532</v>
      </c>
      <c r="C931" t="s">
        <v>2287</v>
      </c>
      <c r="D931" t="s">
        <v>617</v>
      </c>
      <c r="E931" t="s">
        <v>6757</v>
      </c>
      <c r="G931" t="s">
        <v>6758</v>
      </c>
    </row>
    <row r="932">
      <c r="A932" t="s">
        <v>2671</v>
      </c>
      <c r="B932" t="s">
        <v>1532</v>
      </c>
      <c r="C932" t="s">
        <v>2290</v>
      </c>
      <c r="D932" t="s">
        <v>624</v>
      </c>
      <c r="E932" t="s">
        <v>6757</v>
      </c>
      <c r="G932" t="s">
        <v>6758</v>
      </c>
    </row>
    <row r="933">
      <c r="A933" t="s">
        <v>2671</v>
      </c>
      <c r="B933" t="s">
        <v>1532</v>
      </c>
      <c r="C933" t="s">
        <v>2281</v>
      </c>
      <c r="D933" t="s">
        <v>602</v>
      </c>
      <c r="E933" t="s">
        <v>6757</v>
      </c>
      <c r="G933" t="s">
        <v>6758</v>
      </c>
    </row>
    <row r="934">
      <c r="A934" t="s">
        <v>2671</v>
      </c>
      <c r="B934" t="s">
        <v>1532</v>
      </c>
      <c r="C934" t="s">
        <v>2284</v>
      </c>
      <c r="D934" t="s">
        <v>610</v>
      </c>
      <c r="E934" t="s">
        <v>6757</v>
      </c>
      <c r="G934" t="s">
        <v>6758</v>
      </c>
    </row>
    <row r="935">
      <c r="A935" t="s">
        <v>2671</v>
      </c>
      <c r="B935" t="s">
        <v>1532</v>
      </c>
      <c r="C935" t="s">
        <v>2199</v>
      </c>
      <c r="D935" t="s">
        <v>410</v>
      </c>
      <c r="E935" t="s">
        <v>6757</v>
      </c>
      <c r="G935" t="s">
        <v>6758</v>
      </c>
    </row>
    <row r="936">
      <c r="A936" t="s">
        <v>2674</v>
      </c>
      <c r="B936" t="s">
        <v>1539</v>
      </c>
      <c r="C936" t="s">
        <v>2287</v>
      </c>
      <c r="D936" t="s">
        <v>617</v>
      </c>
      <c r="E936" t="s">
        <v>6757</v>
      </c>
      <c r="G936" t="s">
        <v>6758</v>
      </c>
    </row>
    <row r="937">
      <c r="A937" t="s">
        <v>2674</v>
      </c>
      <c r="B937" t="s">
        <v>1539</v>
      </c>
      <c r="C937" t="s">
        <v>2290</v>
      </c>
      <c r="D937" t="s">
        <v>624</v>
      </c>
      <c r="E937" t="s">
        <v>6757</v>
      </c>
      <c r="G937" t="s">
        <v>6758</v>
      </c>
    </row>
    <row r="938">
      <c r="A938" t="s">
        <v>2674</v>
      </c>
      <c r="B938" t="s">
        <v>1539</v>
      </c>
      <c r="C938" t="s">
        <v>2281</v>
      </c>
      <c r="D938" t="s">
        <v>602</v>
      </c>
      <c r="E938" t="s">
        <v>6757</v>
      </c>
      <c r="G938" t="s">
        <v>6758</v>
      </c>
    </row>
    <row r="939">
      <c r="A939" t="s">
        <v>2674</v>
      </c>
      <c r="B939" t="s">
        <v>1539</v>
      </c>
      <c r="C939" t="s">
        <v>2284</v>
      </c>
      <c r="D939" t="s">
        <v>610</v>
      </c>
      <c r="E939" t="s">
        <v>6757</v>
      </c>
      <c r="G939" t="s">
        <v>6758</v>
      </c>
    </row>
    <row r="940">
      <c r="A940" t="s">
        <v>2674</v>
      </c>
      <c r="B940" t="s">
        <v>1539</v>
      </c>
      <c r="C940" t="s">
        <v>2199</v>
      </c>
      <c r="D940" t="s">
        <v>410</v>
      </c>
      <c r="E940" t="s">
        <v>6757</v>
      </c>
      <c r="G940" t="s">
        <v>6758</v>
      </c>
    </row>
    <row r="941">
      <c r="A941" t="s">
        <v>2677</v>
      </c>
      <c r="B941" t="s">
        <v>1547</v>
      </c>
      <c r="C941" t="s">
        <v>2287</v>
      </c>
      <c r="D941" t="s">
        <v>617</v>
      </c>
      <c r="E941" t="s">
        <v>6757</v>
      </c>
      <c r="G941" t="s">
        <v>6758</v>
      </c>
    </row>
    <row r="942">
      <c r="A942" t="s">
        <v>2677</v>
      </c>
      <c r="B942" t="s">
        <v>1547</v>
      </c>
      <c r="C942" t="s">
        <v>2290</v>
      </c>
      <c r="D942" t="s">
        <v>624</v>
      </c>
      <c r="E942" t="s">
        <v>6757</v>
      </c>
      <c r="G942" t="s">
        <v>6758</v>
      </c>
    </row>
    <row r="943">
      <c r="A943" t="s">
        <v>2677</v>
      </c>
      <c r="B943" t="s">
        <v>1547</v>
      </c>
      <c r="C943" t="s">
        <v>2281</v>
      </c>
      <c r="D943" t="s">
        <v>602</v>
      </c>
      <c r="E943" t="s">
        <v>6757</v>
      </c>
      <c r="G943" t="s">
        <v>6758</v>
      </c>
    </row>
    <row r="944">
      <c r="A944" t="s">
        <v>2677</v>
      </c>
      <c r="B944" t="s">
        <v>1547</v>
      </c>
      <c r="C944" t="s">
        <v>2284</v>
      </c>
      <c r="D944" t="s">
        <v>610</v>
      </c>
      <c r="E944" t="s">
        <v>6757</v>
      </c>
      <c r="G944" t="s">
        <v>6758</v>
      </c>
    </row>
    <row r="945">
      <c r="A945" t="s">
        <v>2680</v>
      </c>
      <c r="B945" t="s">
        <v>1555</v>
      </c>
      <c r="C945" t="s">
        <v>2287</v>
      </c>
      <c r="D945" t="s">
        <v>617</v>
      </c>
      <c r="E945" t="s">
        <v>6757</v>
      </c>
      <c r="G945" t="s">
        <v>6758</v>
      </c>
    </row>
    <row r="946">
      <c r="A946" t="s">
        <v>2680</v>
      </c>
      <c r="B946" t="s">
        <v>1555</v>
      </c>
      <c r="C946" t="s">
        <v>2290</v>
      </c>
      <c r="D946" t="s">
        <v>624</v>
      </c>
      <c r="E946" t="s">
        <v>6757</v>
      </c>
      <c r="G946" t="s">
        <v>6758</v>
      </c>
    </row>
    <row r="947">
      <c r="A947" t="s">
        <v>2680</v>
      </c>
      <c r="B947" t="s">
        <v>1555</v>
      </c>
      <c r="C947" t="s">
        <v>2281</v>
      </c>
      <c r="D947" t="s">
        <v>602</v>
      </c>
      <c r="E947" t="s">
        <v>6757</v>
      </c>
      <c r="G947" t="s">
        <v>6758</v>
      </c>
    </row>
    <row r="948">
      <c r="A948" t="s">
        <v>2680</v>
      </c>
      <c r="B948" t="s">
        <v>1555</v>
      </c>
      <c r="C948" t="s">
        <v>2284</v>
      </c>
      <c r="D948" t="s">
        <v>610</v>
      </c>
      <c r="E948" t="s">
        <v>6757</v>
      </c>
      <c r="G948" t="s">
        <v>6758</v>
      </c>
    </row>
    <row r="949">
      <c r="A949" t="s">
        <v>2680</v>
      </c>
      <c r="B949" t="s">
        <v>1555</v>
      </c>
      <c r="C949" t="s">
        <v>2199</v>
      </c>
      <c r="D949" t="s">
        <v>410</v>
      </c>
      <c r="E949" t="s">
        <v>6757</v>
      </c>
      <c r="G949" t="s">
        <v>6758</v>
      </c>
    </row>
    <row r="950">
      <c r="A950" t="s">
        <v>2683</v>
      </c>
      <c r="B950" t="s">
        <v>1566</v>
      </c>
      <c r="C950" t="s">
        <v>2287</v>
      </c>
      <c r="D950" t="s">
        <v>617</v>
      </c>
      <c r="E950" t="s">
        <v>6757</v>
      </c>
      <c r="G950" t="s">
        <v>6758</v>
      </c>
    </row>
    <row r="951">
      <c r="A951" t="s">
        <v>2683</v>
      </c>
      <c r="B951" t="s">
        <v>1566</v>
      </c>
      <c r="C951" t="s">
        <v>2290</v>
      </c>
      <c r="D951" t="s">
        <v>624</v>
      </c>
      <c r="E951" t="s">
        <v>6757</v>
      </c>
      <c r="G951" t="s">
        <v>6758</v>
      </c>
    </row>
    <row r="952">
      <c r="A952" t="s">
        <v>2683</v>
      </c>
      <c r="B952" t="s">
        <v>1566</v>
      </c>
      <c r="C952" t="s">
        <v>2281</v>
      </c>
      <c r="D952" t="s">
        <v>602</v>
      </c>
      <c r="E952" t="s">
        <v>6757</v>
      </c>
      <c r="G952" t="s">
        <v>6758</v>
      </c>
    </row>
    <row r="953">
      <c r="A953" t="s">
        <v>2683</v>
      </c>
      <c r="B953" t="s">
        <v>1566</v>
      </c>
      <c r="C953" t="s">
        <v>2284</v>
      </c>
      <c r="D953" t="s">
        <v>610</v>
      </c>
      <c r="E953" t="s">
        <v>6757</v>
      </c>
      <c r="G953" t="s">
        <v>6758</v>
      </c>
    </row>
    <row r="954">
      <c r="A954" t="s">
        <v>2683</v>
      </c>
      <c r="B954" t="s">
        <v>1566</v>
      </c>
      <c r="C954" t="s">
        <v>2199</v>
      </c>
      <c r="D954" t="s">
        <v>410</v>
      </c>
      <c r="E954" t="s">
        <v>6757</v>
      </c>
      <c r="G954" t="s">
        <v>6758</v>
      </c>
    </row>
    <row r="955">
      <c r="A955" t="s">
        <v>2686</v>
      </c>
      <c r="B955" t="s">
        <v>1532</v>
      </c>
      <c r="C955" t="s">
        <v>2287</v>
      </c>
      <c r="D955" t="s">
        <v>617</v>
      </c>
      <c r="E955" t="s">
        <v>6757</v>
      </c>
      <c r="G955" t="s">
        <v>6758</v>
      </c>
    </row>
    <row r="956">
      <c r="A956" t="s">
        <v>2686</v>
      </c>
      <c r="B956" t="s">
        <v>1532</v>
      </c>
      <c r="C956" t="s">
        <v>2290</v>
      </c>
      <c r="D956" t="s">
        <v>624</v>
      </c>
      <c r="E956" t="s">
        <v>6757</v>
      </c>
      <c r="G956" t="s">
        <v>6758</v>
      </c>
    </row>
    <row r="957">
      <c r="A957" t="s">
        <v>2686</v>
      </c>
      <c r="B957" t="s">
        <v>1532</v>
      </c>
      <c r="C957" t="s">
        <v>2281</v>
      </c>
      <c r="D957" t="s">
        <v>602</v>
      </c>
      <c r="E957" t="s">
        <v>6757</v>
      </c>
      <c r="G957" t="s">
        <v>6758</v>
      </c>
    </row>
    <row r="958">
      <c r="A958" t="s">
        <v>2686</v>
      </c>
      <c r="B958" t="s">
        <v>1532</v>
      </c>
      <c r="C958" t="s">
        <v>2284</v>
      </c>
      <c r="D958" t="s">
        <v>610</v>
      </c>
      <c r="E958" t="s">
        <v>6757</v>
      </c>
      <c r="G958" t="s">
        <v>6758</v>
      </c>
    </row>
    <row r="959">
      <c r="A959" t="s">
        <v>2686</v>
      </c>
      <c r="B959" t="s">
        <v>1532</v>
      </c>
      <c r="C959" t="s">
        <v>2199</v>
      </c>
      <c r="D959" t="s">
        <v>410</v>
      </c>
      <c r="E959" t="s">
        <v>6757</v>
      </c>
      <c r="G959" t="s">
        <v>6758</v>
      </c>
    </row>
    <row r="960">
      <c r="A960" t="s">
        <v>2689</v>
      </c>
      <c r="B960" t="s">
        <v>1578</v>
      </c>
      <c r="C960" t="s">
        <v>2287</v>
      </c>
      <c r="D960" t="s">
        <v>617</v>
      </c>
      <c r="E960" t="s">
        <v>6757</v>
      </c>
      <c r="G960" t="s">
        <v>6758</v>
      </c>
    </row>
    <row r="961">
      <c r="A961" t="s">
        <v>2689</v>
      </c>
      <c r="B961" t="s">
        <v>1578</v>
      </c>
      <c r="C961" t="s">
        <v>2290</v>
      </c>
      <c r="D961" t="s">
        <v>624</v>
      </c>
      <c r="E961" t="s">
        <v>6757</v>
      </c>
      <c r="G961" t="s">
        <v>6758</v>
      </c>
    </row>
    <row r="962">
      <c r="A962" t="s">
        <v>2689</v>
      </c>
      <c r="B962" t="s">
        <v>1578</v>
      </c>
      <c r="C962" t="s">
        <v>2281</v>
      </c>
      <c r="D962" t="s">
        <v>602</v>
      </c>
      <c r="E962" t="s">
        <v>6757</v>
      </c>
      <c r="G962" t="s">
        <v>6758</v>
      </c>
    </row>
    <row r="963">
      <c r="A963" t="s">
        <v>2689</v>
      </c>
      <c r="B963" t="s">
        <v>1578</v>
      </c>
      <c r="C963" t="s">
        <v>2284</v>
      </c>
      <c r="D963" t="s">
        <v>610</v>
      </c>
      <c r="E963" t="s">
        <v>6757</v>
      </c>
      <c r="G963" t="s">
        <v>6758</v>
      </c>
    </row>
    <row r="964">
      <c r="A964" t="s">
        <v>2689</v>
      </c>
      <c r="B964" t="s">
        <v>1578</v>
      </c>
      <c r="C964" t="s">
        <v>2199</v>
      </c>
      <c r="D964" t="s">
        <v>410</v>
      </c>
      <c r="E964" t="s">
        <v>6757</v>
      </c>
      <c r="G964" t="s">
        <v>6758</v>
      </c>
    </row>
    <row r="965">
      <c r="A965" t="s">
        <v>2692</v>
      </c>
      <c r="B965" t="s">
        <v>1586</v>
      </c>
      <c r="C965" t="s">
        <v>2287</v>
      </c>
      <c r="D965" t="s">
        <v>617</v>
      </c>
      <c r="E965" t="s">
        <v>6757</v>
      </c>
      <c r="G965" t="s">
        <v>6758</v>
      </c>
    </row>
    <row r="966">
      <c r="A966" t="s">
        <v>2692</v>
      </c>
      <c r="B966" t="s">
        <v>1586</v>
      </c>
      <c r="C966" t="s">
        <v>2290</v>
      </c>
      <c r="D966" t="s">
        <v>624</v>
      </c>
      <c r="E966" t="s">
        <v>6757</v>
      </c>
      <c r="G966" t="s">
        <v>6758</v>
      </c>
    </row>
    <row r="967">
      <c r="A967" t="s">
        <v>2692</v>
      </c>
      <c r="B967" t="s">
        <v>1586</v>
      </c>
      <c r="C967" t="s">
        <v>2281</v>
      </c>
      <c r="D967" t="s">
        <v>602</v>
      </c>
      <c r="E967" t="s">
        <v>6757</v>
      </c>
      <c r="G967" t="s">
        <v>6758</v>
      </c>
    </row>
    <row r="968">
      <c r="A968" t="s">
        <v>2692</v>
      </c>
      <c r="B968" t="s">
        <v>1586</v>
      </c>
      <c r="C968" t="s">
        <v>2284</v>
      </c>
      <c r="D968" t="s">
        <v>610</v>
      </c>
      <c r="E968" t="s">
        <v>6757</v>
      </c>
      <c r="G968" t="s">
        <v>6758</v>
      </c>
    </row>
    <row r="969">
      <c r="A969" t="s">
        <v>2692</v>
      </c>
      <c r="B969" t="s">
        <v>1586</v>
      </c>
      <c r="C969" t="s">
        <v>2199</v>
      </c>
      <c r="D969" t="s">
        <v>410</v>
      </c>
      <c r="E969" t="s">
        <v>6757</v>
      </c>
      <c r="G969" t="s">
        <v>6758</v>
      </c>
    </row>
    <row r="970">
      <c r="A970" t="s">
        <v>2695</v>
      </c>
      <c r="B970" t="s">
        <v>1596</v>
      </c>
      <c r="C970" t="s">
        <v>2287</v>
      </c>
      <c r="D970" t="s">
        <v>617</v>
      </c>
      <c r="E970" t="s">
        <v>6757</v>
      </c>
      <c r="G970" t="s">
        <v>6758</v>
      </c>
    </row>
    <row r="971">
      <c r="A971" t="s">
        <v>2695</v>
      </c>
      <c r="B971" t="s">
        <v>1596</v>
      </c>
      <c r="C971" t="s">
        <v>2290</v>
      </c>
      <c r="D971" t="s">
        <v>624</v>
      </c>
      <c r="E971" t="s">
        <v>6757</v>
      </c>
      <c r="G971" t="s">
        <v>6758</v>
      </c>
    </row>
    <row r="972">
      <c r="A972" t="s">
        <v>2695</v>
      </c>
      <c r="B972" t="s">
        <v>1596</v>
      </c>
      <c r="C972" t="s">
        <v>2281</v>
      </c>
      <c r="D972" t="s">
        <v>602</v>
      </c>
      <c r="E972" t="s">
        <v>6757</v>
      </c>
      <c r="G972" t="s">
        <v>6758</v>
      </c>
    </row>
    <row r="973">
      <c r="A973" t="s">
        <v>2695</v>
      </c>
      <c r="B973" t="s">
        <v>1596</v>
      </c>
      <c r="C973" t="s">
        <v>2284</v>
      </c>
      <c r="D973" t="s">
        <v>610</v>
      </c>
      <c r="E973" t="s">
        <v>6757</v>
      </c>
      <c r="G973" t="s">
        <v>6758</v>
      </c>
    </row>
    <row r="974">
      <c r="A974" t="s">
        <v>2695</v>
      </c>
      <c r="B974" t="s">
        <v>1596</v>
      </c>
      <c r="C974" t="s">
        <v>2199</v>
      </c>
      <c r="D974" t="s">
        <v>410</v>
      </c>
      <c r="E974" t="s">
        <v>6757</v>
      </c>
      <c r="G974" t="s">
        <v>6758</v>
      </c>
    </row>
    <row r="975">
      <c r="A975" t="s">
        <v>2698</v>
      </c>
      <c r="B975" t="s">
        <v>1604</v>
      </c>
      <c r="C975" t="s">
        <v>2287</v>
      </c>
      <c r="D975" t="s">
        <v>617</v>
      </c>
      <c r="E975" t="s">
        <v>6757</v>
      </c>
      <c r="G975" t="s">
        <v>6758</v>
      </c>
    </row>
    <row r="976">
      <c r="A976" t="s">
        <v>2698</v>
      </c>
      <c r="B976" t="s">
        <v>1604</v>
      </c>
      <c r="C976" t="s">
        <v>2290</v>
      </c>
      <c r="D976" t="s">
        <v>624</v>
      </c>
      <c r="E976" t="s">
        <v>6757</v>
      </c>
      <c r="G976" t="s">
        <v>6758</v>
      </c>
    </row>
    <row r="977">
      <c r="A977" t="s">
        <v>2698</v>
      </c>
      <c r="B977" t="s">
        <v>1604</v>
      </c>
      <c r="C977" t="s">
        <v>2281</v>
      </c>
      <c r="D977" t="s">
        <v>602</v>
      </c>
      <c r="E977" t="s">
        <v>6757</v>
      </c>
      <c r="G977" t="s">
        <v>6758</v>
      </c>
    </row>
    <row r="978">
      <c r="A978" t="s">
        <v>2698</v>
      </c>
      <c r="B978" t="s">
        <v>1604</v>
      </c>
      <c r="C978" t="s">
        <v>2284</v>
      </c>
      <c r="D978" t="s">
        <v>610</v>
      </c>
      <c r="E978" t="s">
        <v>6757</v>
      </c>
      <c r="G978" t="s">
        <v>6758</v>
      </c>
    </row>
    <row r="979">
      <c r="A979" t="s">
        <v>2698</v>
      </c>
      <c r="B979" t="s">
        <v>1604</v>
      </c>
      <c r="C979" t="s">
        <v>2199</v>
      </c>
      <c r="D979" t="s">
        <v>410</v>
      </c>
      <c r="E979" t="s">
        <v>6757</v>
      </c>
      <c r="G979" t="s">
        <v>6758</v>
      </c>
    </row>
    <row r="980">
      <c r="A980" t="s">
        <v>2701</v>
      </c>
      <c r="B980" t="s">
        <v>1612</v>
      </c>
      <c r="C980" t="s">
        <v>2287</v>
      </c>
      <c r="D980" t="s">
        <v>617</v>
      </c>
      <c r="E980" t="s">
        <v>6757</v>
      </c>
      <c r="G980" t="s">
        <v>6758</v>
      </c>
    </row>
    <row r="981">
      <c r="A981" t="s">
        <v>2701</v>
      </c>
      <c r="B981" t="s">
        <v>1612</v>
      </c>
      <c r="C981" t="s">
        <v>2290</v>
      </c>
      <c r="D981" t="s">
        <v>624</v>
      </c>
      <c r="E981" t="s">
        <v>6757</v>
      </c>
      <c r="G981" t="s">
        <v>6758</v>
      </c>
    </row>
    <row r="982">
      <c r="A982" t="s">
        <v>2701</v>
      </c>
      <c r="B982" t="s">
        <v>1612</v>
      </c>
      <c r="C982" t="s">
        <v>2281</v>
      </c>
      <c r="D982" t="s">
        <v>602</v>
      </c>
      <c r="E982" t="s">
        <v>6757</v>
      </c>
      <c r="G982" t="s">
        <v>6758</v>
      </c>
    </row>
    <row r="983">
      <c r="A983" t="s">
        <v>2701</v>
      </c>
      <c r="B983" t="s">
        <v>1612</v>
      </c>
      <c r="C983" t="s">
        <v>2284</v>
      </c>
      <c r="D983" t="s">
        <v>610</v>
      </c>
      <c r="E983" t="s">
        <v>6757</v>
      </c>
      <c r="G983" t="s">
        <v>6758</v>
      </c>
    </row>
    <row r="984">
      <c r="A984" t="s">
        <v>2701</v>
      </c>
      <c r="B984" t="s">
        <v>1612</v>
      </c>
      <c r="C984" t="s">
        <v>2199</v>
      </c>
      <c r="D984" t="s">
        <v>410</v>
      </c>
      <c r="E984" t="s">
        <v>6757</v>
      </c>
      <c r="G984" t="s">
        <v>6758</v>
      </c>
    </row>
    <row r="985">
      <c r="A985" t="s">
        <v>2704</v>
      </c>
      <c r="B985" t="s">
        <v>1620</v>
      </c>
      <c r="C985" t="s">
        <v>2287</v>
      </c>
      <c r="D985" t="s">
        <v>617</v>
      </c>
      <c r="E985" t="s">
        <v>6757</v>
      </c>
      <c r="G985" t="s">
        <v>6758</v>
      </c>
    </row>
    <row r="986">
      <c r="A986" t="s">
        <v>2704</v>
      </c>
      <c r="B986" t="s">
        <v>1620</v>
      </c>
      <c r="C986" t="s">
        <v>2290</v>
      </c>
      <c r="D986" t="s">
        <v>624</v>
      </c>
      <c r="E986" t="s">
        <v>6757</v>
      </c>
      <c r="G986" t="s">
        <v>6758</v>
      </c>
    </row>
    <row r="987">
      <c r="A987" t="s">
        <v>2704</v>
      </c>
      <c r="B987" t="s">
        <v>1620</v>
      </c>
      <c r="C987" t="s">
        <v>2281</v>
      </c>
      <c r="D987" t="s">
        <v>602</v>
      </c>
      <c r="E987" t="s">
        <v>6757</v>
      </c>
      <c r="G987" t="s">
        <v>6758</v>
      </c>
    </row>
    <row r="988">
      <c r="A988" t="s">
        <v>2704</v>
      </c>
      <c r="B988" t="s">
        <v>1620</v>
      </c>
      <c r="C988" t="s">
        <v>2284</v>
      </c>
      <c r="D988" t="s">
        <v>610</v>
      </c>
      <c r="E988" t="s">
        <v>6757</v>
      </c>
      <c r="G988" t="s">
        <v>6758</v>
      </c>
    </row>
    <row r="989">
      <c r="A989" t="s">
        <v>2704</v>
      </c>
      <c r="B989" t="s">
        <v>1620</v>
      </c>
      <c r="C989" t="s">
        <v>2199</v>
      </c>
      <c r="D989" t="s">
        <v>410</v>
      </c>
      <c r="E989" t="s">
        <v>6757</v>
      </c>
      <c r="G989" t="s">
        <v>6758</v>
      </c>
    </row>
    <row r="990">
      <c r="A990" t="s">
        <v>2707</v>
      </c>
      <c r="B990" t="s">
        <v>1632</v>
      </c>
      <c r="C990" t="s">
        <v>2287</v>
      </c>
      <c r="D990" t="s">
        <v>617</v>
      </c>
      <c r="E990" t="s">
        <v>6757</v>
      </c>
      <c r="G990" t="s">
        <v>6758</v>
      </c>
    </row>
    <row r="991">
      <c r="A991" t="s">
        <v>2707</v>
      </c>
      <c r="B991" t="s">
        <v>1632</v>
      </c>
      <c r="C991" t="s">
        <v>2290</v>
      </c>
      <c r="D991" t="s">
        <v>624</v>
      </c>
      <c r="E991" t="s">
        <v>6757</v>
      </c>
      <c r="G991" t="s">
        <v>6758</v>
      </c>
    </row>
    <row r="992">
      <c r="A992" t="s">
        <v>2707</v>
      </c>
      <c r="B992" t="s">
        <v>1632</v>
      </c>
      <c r="C992" t="s">
        <v>2281</v>
      </c>
      <c r="D992" t="s">
        <v>602</v>
      </c>
      <c r="E992" t="s">
        <v>6757</v>
      </c>
      <c r="G992" t="s">
        <v>6758</v>
      </c>
    </row>
    <row r="993">
      <c r="A993" t="s">
        <v>2707</v>
      </c>
      <c r="B993" t="s">
        <v>1632</v>
      </c>
      <c r="C993" t="s">
        <v>2284</v>
      </c>
      <c r="D993" t="s">
        <v>610</v>
      </c>
      <c r="E993" t="s">
        <v>6757</v>
      </c>
      <c r="G993" t="s">
        <v>6758</v>
      </c>
    </row>
    <row r="994">
      <c r="A994" t="s">
        <v>2707</v>
      </c>
      <c r="B994" t="s">
        <v>1632</v>
      </c>
      <c r="C994" t="s">
        <v>2199</v>
      </c>
      <c r="D994" t="s">
        <v>410</v>
      </c>
      <c r="E994" t="s">
        <v>6757</v>
      </c>
      <c r="G994" t="s">
        <v>6758</v>
      </c>
    </row>
    <row r="995">
      <c r="A995" t="s">
        <v>2712</v>
      </c>
      <c r="B995" t="s">
        <v>1640</v>
      </c>
      <c r="C995" t="s">
        <v>2287</v>
      </c>
      <c r="D995" t="s">
        <v>617</v>
      </c>
      <c r="E995" t="s">
        <v>6757</v>
      </c>
      <c r="G995" t="s">
        <v>6758</v>
      </c>
    </row>
    <row r="996">
      <c r="A996" t="s">
        <v>2712</v>
      </c>
      <c r="B996" t="s">
        <v>1640</v>
      </c>
      <c r="C996" t="s">
        <v>2290</v>
      </c>
      <c r="D996" t="s">
        <v>624</v>
      </c>
      <c r="E996" t="s">
        <v>6757</v>
      </c>
      <c r="G996" t="s">
        <v>6758</v>
      </c>
    </row>
    <row r="997">
      <c r="A997" t="s">
        <v>2712</v>
      </c>
      <c r="B997" t="s">
        <v>1640</v>
      </c>
      <c r="C997" t="s">
        <v>2281</v>
      </c>
      <c r="D997" t="s">
        <v>602</v>
      </c>
      <c r="E997" t="s">
        <v>6757</v>
      </c>
      <c r="G997" t="s">
        <v>6758</v>
      </c>
    </row>
    <row r="998">
      <c r="A998" t="s">
        <v>2712</v>
      </c>
      <c r="B998" t="s">
        <v>1640</v>
      </c>
      <c r="C998" t="s">
        <v>2284</v>
      </c>
      <c r="D998" t="s">
        <v>610</v>
      </c>
      <c r="E998" t="s">
        <v>6757</v>
      </c>
      <c r="G998" t="s">
        <v>6758</v>
      </c>
    </row>
    <row r="999">
      <c r="A999" t="s">
        <v>2712</v>
      </c>
      <c r="B999" t="s">
        <v>1640</v>
      </c>
      <c r="C999" t="s">
        <v>2199</v>
      </c>
      <c r="D999" t="s">
        <v>410</v>
      </c>
      <c r="E999" t="s">
        <v>6757</v>
      </c>
      <c r="G999" t="s">
        <v>6758</v>
      </c>
    </row>
    <row r="1000">
      <c r="A1000" t="s">
        <v>2715</v>
      </c>
      <c r="B1000" t="s">
        <v>1645</v>
      </c>
      <c r="C1000" t="s">
        <v>2287</v>
      </c>
      <c r="D1000" t="s">
        <v>617</v>
      </c>
      <c r="E1000" t="s">
        <v>6757</v>
      </c>
      <c r="G1000" t="s">
        <v>6758</v>
      </c>
    </row>
    <row r="1001">
      <c r="A1001" t="s">
        <v>2715</v>
      </c>
      <c r="B1001" t="s">
        <v>1645</v>
      </c>
      <c r="C1001" t="s">
        <v>2290</v>
      </c>
      <c r="D1001" t="s">
        <v>624</v>
      </c>
      <c r="E1001" t="s">
        <v>6757</v>
      </c>
      <c r="G1001" t="s">
        <v>6758</v>
      </c>
    </row>
    <row r="1002">
      <c r="A1002" t="s">
        <v>2715</v>
      </c>
      <c r="B1002" t="s">
        <v>1645</v>
      </c>
      <c r="C1002" t="s">
        <v>2281</v>
      </c>
      <c r="D1002" t="s">
        <v>602</v>
      </c>
      <c r="E1002" t="s">
        <v>6757</v>
      </c>
      <c r="G1002" t="s">
        <v>6758</v>
      </c>
    </row>
    <row r="1003">
      <c r="A1003" t="s">
        <v>2715</v>
      </c>
      <c r="B1003" t="s">
        <v>1645</v>
      </c>
      <c r="C1003" t="s">
        <v>2284</v>
      </c>
      <c r="D1003" t="s">
        <v>610</v>
      </c>
      <c r="E1003" t="s">
        <v>6757</v>
      </c>
      <c r="G1003" t="s">
        <v>6758</v>
      </c>
    </row>
    <row r="1004">
      <c r="A1004" t="s">
        <v>2715</v>
      </c>
      <c r="B1004" t="s">
        <v>1645</v>
      </c>
      <c r="C1004" t="s">
        <v>2199</v>
      </c>
      <c r="D1004" t="s">
        <v>410</v>
      </c>
      <c r="E1004" t="s">
        <v>6757</v>
      </c>
      <c r="G1004" t="s">
        <v>6758</v>
      </c>
    </row>
    <row r="1005">
      <c r="A1005" t="s">
        <v>2718</v>
      </c>
      <c r="B1005" t="s">
        <v>1651</v>
      </c>
      <c r="C1005" t="s">
        <v>2287</v>
      </c>
      <c r="D1005" t="s">
        <v>617</v>
      </c>
      <c r="E1005" t="s">
        <v>6757</v>
      </c>
      <c r="G1005" t="s">
        <v>6758</v>
      </c>
    </row>
    <row r="1006">
      <c r="A1006" t="s">
        <v>2718</v>
      </c>
      <c r="B1006" t="s">
        <v>1651</v>
      </c>
      <c r="C1006" t="s">
        <v>2290</v>
      </c>
      <c r="D1006" t="s">
        <v>624</v>
      </c>
      <c r="E1006" t="s">
        <v>6757</v>
      </c>
      <c r="G1006" t="s">
        <v>6758</v>
      </c>
    </row>
    <row r="1007">
      <c r="A1007" t="s">
        <v>2718</v>
      </c>
      <c r="B1007" t="s">
        <v>1651</v>
      </c>
      <c r="C1007" t="s">
        <v>2281</v>
      </c>
      <c r="D1007" t="s">
        <v>602</v>
      </c>
      <c r="E1007" t="s">
        <v>6757</v>
      </c>
      <c r="G1007" t="s">
        <v>6758</v>
      </c>
    </row>
    <row r="1008">
      <c r="A1008" t="s">
        <v>2718</v>
      </c>
      <c r="B1008" t="s">
        <v>1651</v>
      </c>
      <c r="C1008" t="s">
        <v>2284</v>
      </c>
      <c r="D1008" t="s">
        <v>610</v>
      </c>
      <c r="E1008" t="s">
        <v>6757</v>
      </c>
      <c r="G1008" t="s">
        <v>6758</v>
      </c>
    </row>
    <row r="1009">
      <c r="A1009" t="s">
        <v>2718</v>
      </c>
      <c r="B1009" t="s">
        <v>1651</v>
      </c>
      <c r="C1009" t="s">
        <v>2199</v>
      </c>
      <c r="D1009" t="s">
        <v>410</v>
      </c>
      <c r="E1009" t="s">
        <v>6757</v>
      </c>
      <c r="G1009" t="s">
        <v>6758</v>
      </c>
    </row>
    <row r="1010">
      <c r="A1010" t="s">
        <v>2721</v>
      </c>
      <c r="B1010" t="s">
        <v>1657</v>
      </c>
      <c r="C1010" t="s">
        <v>2287</v>
      </c>
      <c r="D1010" t="s">
        <v>617</v>
      </c>
      <c r="E1010" t="s">
        <v>6757</v>
      </c>
      <c r="G1010" t="s">
        <v>6758</v>
      </c>
    </row>
    <row r="1011">
      <c r="A1011" t="s">
        <v>2721</v>
      </c>
      <c r="B1011" t="s">
        <v>1657</v>
      </c>
      <c r="C1011" t="s">
        <v>2290</v>
      </c>
      <c r="D1011" t="s">
        <v>624</v>
      </c>
      <c r="E1011" t="s">
        <v>6757</v>
      </c>
      <c r="G1011" t="s">
        <v>6758</v>
      </c>
    </row>
    <row r="1012">
      <c r="A1012" t="s">
        <v>2721</v>
      </c>
      <c r="B1012" t="s">
        <v>1657</v>
      </c>
      <c r="C1012" t="s">
        <v>2281</v>
      </c>
      <c r="D1012" t="s">
        <v>602</v>
      </c>
      <c r="E1012" t="s">
        <v>6757</v>
      </c>
      <c r="G1012" t="s">
        <v>6758</v>
      </c>
    </row>
    <row r="1013">
      <c r="A1013" t="s">
        <v>2721</v>
      </c>
      <c r="B1013" t="s">
        <v>1657</v>
      </c>
      <c r="C1013" t="s">
        <v>2284</v>
      </c>
      <c r="D1013" t="s">
        <v>610</v>
      </c>
      <c r="E1013" t="s">
        <v>6757</v>
      </c>
      <c r="G1013" t="s">
        <v>6758</v>
      </c>
    </row>
    <row r="1014">
      <c r="A1014" t="s">
        <v>2721</v>
      </c>
      <c r="B1014" t="s">
        <v>1657</v>
      </c>
      <c r="C1014" t="s">
        <v>2199</v>
      </c>
      <c r="D1014" t="s">
        <v>410</v>
      </c>
      <c r="E1014" t="s">
        <v>6757</v>
      </c>
      <c r="G1014" t="s">
        <v>6758</v>
      </c>
    </row>
    <row r="1015">
      <c r="A1015" t="s">
        <v>2724</v>
      </c>
      <c r="B1015" t="s">
        <v>1663</v>
      </c>
      <c r="C1015" t="s">
        <v>2287</v>
      </c>
      <c r="D1015" t="s">
        <v>617</v>
      </c>
      <c r="E1015" t="s">
        <v>6757</v>
      </c>
      <c r="G1015" t="s">
        <v>6758</v>
      </c>
    </row>
    <row r="1016">
      <c r="A1016" t="s">
        <v>2724</v>
      </c>
      <c r="B1016" t="s">
        <v>1663</v>
      </c>
      <c r="C1016" t="s">
        <v>2290</v>
      </c>
      <c r="D1016" t="s">
        <v>624</v>
      </c>
      <c r="E1016" t="s">
        <v>6757</v>
      </c>
      <c r="G1016" t="s">
        <v>6758</v>
      </c>
    </row>
    <row r="1017">
      <c r="A1017" t="s">
        <v>2724</v>
      </c>
      <c r="B1017" t="s">
        <v>1663</v>
      </c>
      <c r="C1017" t="s">
        <v>2281</v>
      </c>
      <c r="D1017" t="s">
        <v>602</v>
      </c>
      <c r="E1017" t="s">
        <v>6757</v>
      </c>
      <c r="G1017" t="s">
        <v>6758</v>
      </c>
    </row>
    <row r="1018">
      <c r="A1018" t="s">
        <v>2724</v>
      </c>
      <c r="B1018" t="s">
        <v>1663</v>
      </c>
      <c r="C1018" t="s">
        <v>2284</v>
      </c>
      <c r="D1018" t="s">
        <v>610</v>
      </c>
      <c r="E1018" t="s">
        <v>6757</v>
      </c>
      <c r="G1018" t="s">
        <v>6758</v>
      </c>
    </row>
    <row r="1019">
      <c r="A1019" t="s">
        <v>2724</v>
      </c>
      <c r="B1019" t="s">
        <v>1663</v>
      </c>
      <c r="C1019" t="s">
        <v>2199</v>
      </c>
      <c r="D1019" t="s">
        <v>410</v>
      </c>
      <c r="E1019" t="s">
        <v>6757</v>
      </c>
      <c r="G1019" t="s">
        <v>6758</v>
      </c>
    </row>
    <row r="1020">
      <c r="A1020" t="s">
        <v>2727</v>
      </c>
      <c r="B1020" t="s">
        <v>1671</v>
      </c>
      <c r="C1020" t="s">
        <v>2287</v>
      </c>
      <c r="D1020" t="s">
        <v>617</v>
      </c>
      <c r="E1020" t="s">
        <v>6757</v>
      </c>
      <c r="G1020" t="s">
        <v>6758</v>
      </c>
    </row>
    <row r="1021">
      <c r="A1021" t="s">
        <v>2727</v>
      </c>
      <c r="B1021" t="s">
        <v>1671</v>
      </c>
      <c r="C1021" t="s">
        <v>2290</v>
      </c>
      <c r="D1021" t="s">
        <v>624</v>
      </c>
      <c r="E1021" t="s">
        <v>6757</v>
      </c>
      <c r="G1021" t="s">
        <v>6758</v>
      </c>
    </row>
    <row r="1022">
      <c r="A1022" t="s">
        <v>2727</v>
      </c>
      <c r="B1022" t="s">
        <v>1671</v>
      </c>
      <c r="C1022" t="s">
        <v>2281</v>
      </c>
      <c r="D1022" t="s">
        <v>602</v>
      </c>
      <c r="E1022" t="s">
        <v>6757</v>
      </c>
      <c r="G1022" t="s">
        <v>6758</v>
      </c>
    </row>
    <row r="1023">
      <c r="A1023" t="s">
        <v>2727</v>
      </c>
      <c r="B1023" t="s">
        <v>1671</v>
      </c>
      <c r="C1023" t="s">
        <v>2284</v>
      </c>
      <c r="D1023" t="s">
        <v>610</v>
      </c>
      <c r="E1023" t="s">
        <v>6757</v>
      </c>
      <c r="G1023" t="s">
        <v>6758</v>
      </c>
    </row>
    <row r="1024">
      <c r="A1024" t="s">
        <v>2727</v>
      </c>
      <c r="B1024" t="s">
        <v>1671</v>
      </c>
      <c r="C1024" t="s">
        <v>2199</v>
      </c>
      <c r="D1024" t="s">
        <v>410</v>
      </c>
      <c r="E1024" t="s">
        <v>6757</v>
      </c>
      <c r="G1024" t="s">
        <v>6758</v>
      </c>
    </row>
    <row r="1025">
      <c r="A1025" t="s">
        <v>2730</v>
      </c>
      <c r="B1025" t="s">
        <v>1678</v>
      </c>
      <c r="C1025" t="s">
        <v>2287</v>
      </c>
      <c r="D1025" t="s">
        <v>617</v>
      </c>
      <c r="E1025" t="s">
        <v>6757</v>
      </c>
      <c r="G1025" t="s">
        <v>6758</v>
      </c>
    </row>
    <row r="1026">
      <c r="A1026" t="s">
        <v>2730</v>
      </c>
      <c r="B1026" t="s">
        <v>1678</v>
      </c>
      <c r="C1026" t="s">
        <v>2290</v>
      </c>
      <c r="D1026" t="s">
        <v>624</v>
      </c>
      <c r="E1026" t="s">
        <v>6757</v>
      </c>
      <c r="G1026" t="s">
        <v>6758</v>
      </c>
    </row>
    <row r="1027">
      <c r="A1027" t="s">
        <v>2730</v>
      </c>
      <c r="B1027" t="s">
        <v>1678</v>
      </c>
      <c r="C1027" t="s">
        <v>2281</v>
      </c>
      <c r="D1027" t="s">
        <v>602</v>
      </c>
      <c r="E1027" t="s">
        <v>6757</v>
      </c>
      <c r="G1027" t="s">
        <v>6758</v>
      </c>
    </row>
    <row r="1028">
      <c r="A1028" t="s">
        <v>2730</v>
      </c>
      <c r="B1028" t="s">
        <v>1678</v>
      </c>
      <c r="C1028" t="s">
        <v>2284</v>
      </c>
      <c r="D1028" t="s">
        <v>610</v>
      </c>
      <c r="E1028" t="s">
        <v>6757</v>
      </c>
      <c r="G1028" t="s">
        <v>6758</v>
      </c>
    </row>
    <row r="1029">
      <c r="A1029" t="s">
        <v>2730</v>
      </c>
      <c r="B1029" t="s">
        <v>1678</v>
      </c>
      <c r="C1029" t="s">
        <v>2199</v>
      </c>
      <c r="D1029" t="s">
        <v>410</v>
      </c>
      <c r="E1029" t="s">
        <v>6757</v>
      </c>
      <c r="G1029" t="s">
        <v>6758</v>
      </c>
    </row>
    <row r="1030">
      <c r="A1030" t="s">
        <v>2733</v>
      </c>
      <c r="B1030" t="s">
        <v>1684</v>
      </c>
      <c r="C1030" t="s">
        <v>2287</v>
      </c>
      <c r="D1030" t="s">
        <v>617</v>
      </c>
      <c r="E1030" t="s">
        <v>6757</v>
      </c>
      <c r="G1030" t="s">
        <v>6758</v>
      </c>
    </row>
    <row r="1031">
      <c r="A1031" t="s">
        <v>2733</v>
      </c>
      <c r="B1031" t="s">
        <v>1684</v>
      </c>
      <c r="C1031" t="s">
        <v>2290</v>
      </c>
      <c r="D1031" t="s">
        <v>624</v>
      </c>
      <c r="E1031" t="s">
        <v>6757</v>
      </c>
      <c r="G1031" t="s">
        <v>6758</v>
      </c>
    </row>
    <row r="1032">
      <c r="A1032" t="s">
        <v>2733</v>
      </c>
      <c r="B1032" t="s">
        <v>1684</v>
      </c>
      <c r="C1032" t="s">
        <v>2281</v>
      </c>
      <c r="D1032" t="s">
        <v>602</v>
      </c>
      <c r="E1032" t="s">
        <v>6757</v>
      </c>
      <c r="G1032" t="s">
        <v>6758</v>
      </c>
    </row>
    <row r="1033">
      <c r="A1033" t="s">
        <v>2733</v>
      </c>
      <c r="B1033" t="s">
        <v>1684</v>
      </c>
      <c r="C1033" t="s">
        <v>2284</v>
      </c>
      <c r="D1033" t="s">
        <v>610</v>
      </c>
      <c r="E1033" t="s">
        <v>6757</v>
      </c>
      <c r="G1033" t="s">
        <v>6758</v>
      </c>
    </row>
    <row r="1034">
      <c r="A1034" t="s">
        <v>2733</v>
      </c>
      <c r="B1034" t="s">
        <v>1684</v>
      </c>
      <c r="C1034" t="s">
        <v>2199</v>
      </c>
      <c r="D1034" t="s">
        <v>410</v>
      </c>
      <c r="E1034" t="s">
        <v>6757</v>
      </c>
      <c r="G1034" t="s">
        <v>6758</v>
      </c>
    </row>
    <row r="1035">
      <c r="A1035" t="s">
        <v>2736</v>
      </c>
      <c r="B1035" t="s">
        <v>1690</v>
      </c>
      <c r="C1035" t="s">
        <v>2287</v>
      </c>
      <c r="D1035" t="s">
        <v>617</v>
      </c>
      <c r="E1035" t="s">
        <v>6757</v>
      </c>
      <c r="G1035" t="s">
        <v>6758</v>
      </c>
    </row>
    <row r="1036">
      <c r="A1036" t="s">
        <v>2736</v>
      </c>
      <c r="B1036" t="s">
        <v>1690</v>
      </c>
      <c r="C1036" t="s">
        <v>2290</v>
      </c>
      <c r="D1036" t="s">
        <v>624</v>
      </c>
      <c r="E1036" t="s">
        <v>6757</v>
      </c>
      <c r="G1036" t="s">
        <v>6758</v>
      </c>
    </row>
    <row r="1037">
      <c r="A1037" t="s">
        <v>2736</v>
      </c>
      <c r="B1037" t="s">
        <v>1690</v>
      </c>
      <c r="C1037" t="s">
        <v>2281</v>
      </c>
      <c r="D1037" t="s">
        <v>602</v>
      </c>
      <c r="E1037" t="s">
        <v>6757</v>
      </c>
      <c r="G1037" t="s">
        <v>6758</v>
      </c>
    </row>
    <row r="1038">
      <c r="A1038" t="s">
        <v>2736</v>
      </c>
      <c r="B1038" t="s">
        <v>1690</v>
      </c>
      <c r="C1038" t="s">
        <v>2284</v>
      </c>
      <c r="D1038" t="s">
        <v>610</v>
      </c>
      <c r="E1038" t="s">
        <v>6757</v>
      </c>
      <c r="G1038" t="s">
        <v>6758</v>
      </c>
    </row>
    <row r="1039">
      <c r="A1039" t="s">
        <v>2736</v>
      </c>
      <c r="B1039" t="s">
        <v>1690</v>
      </c>
      <c r="C1039" t="s">
        <v>2199</v>
      </c>
      <c r="D1039" t="s">
        <v>410</v>
      </c>
      <c r="E1039" t="s">
        <v>6757</v>
      </c>
      <c r="G1039" t="s">
        <v>6758</v>
      </c>
    </row>
    <row r="1040">
      <c r="A1040" t="s">
        <v>2739</v>
      </c>
      <c r="B1040" t="s">
        <v>1696</v>
      </c>
      <c r="C1040" t="s">
        <v>2287</v>
      </c>
      <c r="D1040" t="s">
        <v>617</v>
      </c>
      <c r="E1040" t="s">
        <v>6757</v>
      </c>
      <c r="G1040" t="s">
        <v>6758</v>
      </c>
    </row>
    <row r="1041">
      <c r="A1041" t="s">
        <v>2739</v>
      </c>
      <c r="B1041" t="s">
        <v>1696</v>
      </c>
      <c r="C1041" t="s">
        <v>2290</v>
      </c>
      <c r="D1041" t="s">
        <v>624</v>
      </c>
      <c r="E1041" t="s">
        <v>6757</v>
      </c>
      <c r="G1041" t="s">
        <v>6758</v>
      </c>
    </row>
    <row r="1042">
      <c r="A1042" t="s">
        <v>2739</v>
      </c>
      <c r="B1042" t="s">
        <v>1696</v>
      </c>
      <c r="C1042" t="s">
        <v>2281</v>
      </c>
      <c r="D1042" t="s">
        <v>602</v>
      </c>
      <c r="E1042" t="s">
        <v>6757</v>
      </c>
      <c r="G1042" t="s">
        <v>6758</v>
      </c>
    </row>
    <row r="1043">
      <c r="A1043" t="s">
        <v>2739</v>
      </c>
      <c r="B1043" t="s">
        <v>1696</v>
      </c>
      <c r="C1043" t="s">
        <v>2284</v>
      </c>
      <c r="D1043" t="s">
        <v>610</v>
      </c>
      <c r="E1043" t="s">
        <v>6757</v>
      </c>
      <c r="G1043" t="s">
        <v>6758</v>
      </c>
    </row>
    <row r="1044">
      <c r="A1044" t="s">
        <v>2739</v>
      </c>
      <c r="B1044" t="s">
        <v>1696</v>
      </c>
      <c r="C1044" t="s">
        <v>2199</v>
      </c>
      <c r="D1044" t="s">
        <v>410</v>
      </c>
      <c r="E1044" t="s">
        <v>6757</v>
      </c>
      <c r="G1044" t="s">
        <v>6758</v>
      </c>
    </row>
    <row r="1045">
      <c r="A1045" t="s">
        <v>2742</v>
      </c>
      <c r="B1045" t="s">
        <v>1706</v>
      </c>
      <c r="C1045" t="s">
        <v>2287</v>
      </c>
      <c r="D1045" t="s">
        <v>617</v>
      </c>
      <c r="E1045" t="s">
        <v>6757</v>
      </c>
      <c r="G1045" t="s">
        <v>6758</v>
      </c>
    </row>
    <row r="1046">
      <c r="A1046" t="s">
        <v>2742</v>
      </c>
      <c r="B1046" t="s">
        <v>1706</v>
      </c>
      <c r="C1046" t="s">
        <v>2290</v>
      </c>
      <c r="D1046" t="s">
        <v>624</v>
      </c>
      <c r="E1046" t="s">
        <v>6757</v>
      </c>
      <c r="G1046" t="s">
        <v>6758</v>
      </c>
    </row>
    <row r="1047">
      <c r="A1047" t="s">
        <v>2742</v>
      </c>
      <c r="B1047" t="s">
        <v>1706</v>
      </c>
      <c r="C1047" t="s">
        <v>2281</v>
      </c>
      <c r="D1047" t="s">
        <v>602</v>
      </c>
      <c r="E1047" t="s">
        <v>6757</v>
      </c>
      <c r="G1047" t="s">
        <v>6758</v>
      </c>
    </row>
    <row r="1048">
      <c r="A1048" t="s">
        <v>2742</v>
      </c>
      <c r="B1048" t="s">
        <v>1706</v>
      </c>
      <c r="C1048" t="s">
        <v>2284</v>
      </c>
      <c r="D1048" t="s">
        <v>610</v>
      </c>
      <c r="E1048" t="s">
        <v>6757</v>
      </c>
      <c r="G1048" t="s">
        <v>6758</v>
      </c>
    </row>
    <row r="1049">
      <c r="A1049" t="s">
        <v>2742</v>
      </c>
      <c r="B1049" t="s">
        <v>1706</v>
      </c>
      <c r="C1049" t="s">
        <v>2199</v>
      </c>
      <c r="D1049" t="s">
        <v>410</v>
      </c>
      <c r="E1049" t="s">
        <v>6757</v>
      </c>
      <c r="G1049" t="s">
        <v>6758</v>
      </c>
    </row>
    <row r="1050">
      <c r="A1050" t="s">
        <v>2745</v>
      </c>
      <c r="B1050" t="s">
        <v>1713</v>
      </c>
      <c r="C1050" t="s">
        <v>2287</v>
      </c>
      <c r="D1050" t="s">
        <v>617</v>
      </c>
      <c r="E1050" t="s">
        <v>6757</v>
      </c>
      <c r="G1050" t="s">
        <v>6758</v>
      </c>
    </row>
    <row r="1051">
      <c r="A1051" t="s">
        <v>2745</v>
      </c>
      <c r="B1051" t="s">
        <v>1713</v>
      </c>
      <c r="C1051" t="s">
        <v>2290</v>
      </c>
      <c r="D1051" t="s">
        <v>624</v>
      </c>
      <c r="E1051" t="s">
        <v>6757</v>
      </c>
      <c r="G1051" t="s">
        <v>6758</v>
      </c>
    </row>
    <row r="1052">
      <c r="A1052" t="s">
        <v>2745</v>
      </c>
      <c r="B1052" t="s">
        <v>1713</v>
      </c>
      <c r="C1052" t="s">
        <v>2281</v>
      </c>
      <c r="D1052" t="s">
        <v>602</v>
      </c>
      <c r="E1052" t="s">
        <v>6757</v>
      </c>
      <c r="G1052" t="s">
        <v>6758</v>
      </c>
    </row>
    <row r="1053">
      <c r="A1053" t="s">
        <v>2745</v>
      </c>
      <c r="B1053" t="s">
        <v>1713</v>
      </c>
      <c r="C1053" t="s">
        <v>2284</v>
      </c>
      <c r="D1053" t="s">
        <v>610</v>
      </c>
      <c r="E1053" t="s">
        <v>6757</v>
      </c>
      <c r="G1053" t="s">
        <v>6758</v>
      </c>
    </row>
    <row r="1054">
      <c r="A1054" t="s">
        <v>2745</v>
      </c>
      <c r="B1054" t="s">
        <v>1713</v>
      </c>
      <c r="C1054" t="s">
        <v>2199</v>
      </c>
      <c r="D1054" t="s">
        <v>410</v>
      </c>
      <c r="E1054" t="s">
        <v>6757</v>
      </c>
      <c r="G1054" t="s">
        <v>6758</v>
      </c>
    </row>
    <row r="1055">
      <c r="A1055" t="s">
        <v>2748</v>
      </c>
      <c r="B1055" t="s">
        <v>1720</v>
      </c>
      <c r="C1055" t="s">
        <v>2287</v>
      </c>
      <c r="D1055" t="s">
        <v>617</v>
      </c>
      <c r="E1055" t="s">
        <v>6757</v>
      </c>
      <c r="G1055" t="s">
        <v>6758</v>
      </c>
    </row>
    <row r="1056">
      <c r="A1056" t="s">
        <v>2748</v>
      </c>
      <c r="B1056" t="s">
        <v>1720</v>
      </c>
      <c r="C1056" t="s">
        <v>2290</v>
      </c>
      <c r="D1056" t="s">
        <v>624</v>
      </c>
      <c r="E1056" t="s">
        <v>6757</v>
      </c>
      <c r="G1056" t="s">
        <v>6758</v>
      </c>
    </row>
    <row r="1057">
      <c r="A1057" t="s">
        <v>2748</v>
      </c>
      <c r="B1057" t="s">
        <v>1720</v>
      </c>
      <c r="C1057" t="s">
        <v>2281</v>
      </c>
      <c r="D1057" t="s">
        <v>602</v>
      </c>
      <c r="E1057" t="s">
        <v>6757</v>
      </c>
      <c r="G1057" t="s">
        <v>6758</v>
      </c>
    </row>
    <row r="1058">
      <c r="A1058" t="s">
        <v>2748</v>
      </c>
      <c r="B1058" t="s">
        <v>1720</v>
      </c>
      <c r="C1058" t="s">
        <v>2284</v>
      </c>
      <c r="D1058" t="s">
        <v>610</v>
      </c>
      <c r="E1058" t="s">
        <v>6757</v>
      </c>
      <c r="G1058" t="s">
        <v>6758</v>
      </c>
    </row>
    <row r="1059">
      <c r="A1059" t="s">
        <v>2748</v>
      </c>
      <c r="B1059" t="s">
        <v>1720</v>
      </c>
      <c r="C1059" t="s">
        <v>2199</v>
      </c>
      <c r="D1059" t="s">
        <v>410</v>
      </c>
      <c r="E1059" t="s">
        <v>6757</v>
      </c>
      <c r="G1059" t="s">
        <v>6758</v>
      </c>
    </row>
    <row r="1060">
      <c r="A1060" t="s">
        <v>2751</v>
      </c>
      <c r="B1060" t="s">
        <v>1726</v>
      </c>
      <c r="C1060" t="s">
        <v>2287</v>
      </c>
      <c r="D1060" t="s">
        <v>617</v>
      </c>
      <c r="E1060" t="s">
        <v>6757</v>
      </c>
      <c r="G1060" t="s">
        <v>6758</v>
      </c>
    </row>
    <row r="1061">
      <c r="A1061" t="s">
        <v>2751</v>
      </c>
      <c r="B1061" t="s">
        <v>1726</v>
      </c>
      <c r="C1061" t="s">
        <v>2290</v>
      </c>
      <c r="D1061" t="s">
        <v>624</v>
      </c>
      <c r="E1061" t="s">
        <v>6757</v>
      </c>
      <c r="G1061" t="s">
        <v>6758</v>
      </c>
    </row>
    <row r="1062">
      <c r="A1062" t="s">
        <v>2751</v>
      </c>
      <c r="B1062" t="s">
        <v>1726</v>
      </c>
      <c r="C1062" t="s">
        <v>2281</v>
      </c>
      <c r="D1062" t="s">
        <v>602</v>
      </c>
      <c r="E1062" t="s">
        <v>6757</v>
      </c>
      <c r="G1062" t="s">
        <v>6758</v>
      </c>
    </row>
    <row r="1063">
      <c r="A1063" t="s">
        <v>2751</v>
      </c>
      <c r="B1063" t="s">
        <v>1726</v>
      </c>
      <c r="C1063" t="s">
        <v>2284</v>
      </c>
      <c r="D1063" t="s">
        <v>610</v>
      </c>
      <c r="E1063" t="s">
        <v>6757</v>
      </c>
      <c r="G1063" t="s">
        <v>6758</v>
      </c>
    </row>
    <row r="1064">
      <c r="A1064" t="s">
        <v>2751</v>
      </c>
      <c r="B1064" t="s">
        <v>1726</v>
      </c>
      <c r="C1064" t="s">
        <v>2199</v>
      </c>
      <c r="D1064" t="s">
        <v>410</v>
      </c>
      <c r="E1064" t="s">
        <v>6757</v>
      </c>
      <c r="G1064" t="s">
        <v>6758</v>
      </c>
    </row>
    <row r="1065">
      <c r="A1065" t="s">
        <v>2754</v>
      </c>
      <c r="B1065" t="s">
        <v>1735</v>
      </c>
      <c r="C1065" t="s">
        <v>2287</v>
      </c>
      <c r="D1065" t="s">
        <v>617</v>
      </c>
      <c r="E1065" t="s">
        <v>6757</v>
      </c>
      <c r="G1065" t="s">
        <v>6758</v>
      </c>
    </row>
    <row r="1066">
      <c r="A1066" t="s">
        <v>2754</v>
      </c>
      <c r="B1066" t="s">
        <v>1735</v>
      </c>
      <c r="C1066" t="s">
        <v>2290</v>
      </c>
      <c r="D1066" t="s">
        <v>624</v>
      </c>
      <c r="E1066" t="s">
        <v>6757</v>
      </c>
      <c r="G1066" t="s">
        <v>6758</v>
      </c>
    </row>
    <row r="1067">
      <c r="A1067" t="s">
        <v>2754</v>
      </c>
      <c r="B1067" t="s">
        <v>1735</v>
      </c>
      <c r="C1067" t="s">
        <v>2281</v>
      </c>
      <c r="D1067" t="s">
        <v>602</v>
      </c>
      <c r="E1067" t="s">
        <v>6757</v>
      </c>
      <c r="G1067" t="s">
        <v>6758</v>
      </c>
    </row>
    <row r="1068">
      <c r="A1068" t="s">
        <v>2754</v>
      </c>
      <c r="B1068" t="s">
        <v>1735</v>
      </c>
      <c r="C1068" t="s">
        <v>2284</v>
      </c>
      <c r="D1068" t="s">
        <v>610</v>
      </c>
      <c r="E1068" t="s">
        <v>6757</v>
      </c>
      <c r="G1068" t="s">
        <v>6758</v>
      </c>
    </row>
    <row r="1069">
      <c r="A1069" t="s">
        <v>2757</v>
      </c>
      <c r="B1069" t="s">
        <v>1743</v>
      </c>
      <c r="C1069" t="s">
        <v>2287</v>
      </c>
      <c r="D1069" t="s">
        <v>617</v>
      </c>
      <c r="E1069" t="s">
        <v>6757</v>
      </c>
      <c r="G1069" t="s">
        <v>6758</v>
      </c>
    </row>
    <row r="1070">
      <c r="A1070" t="s">
        <v>2757</v>
      </c>
      <c r="B1070" t="s">
        <v>1743</v>
      </c>
      <c r="C1070" t="s">
        <v>2290</v>
      </c>
      <c r="D1070" t="s">
        <v>624</v>
      </c>
      <c r="E1070" t="s">
        <v>6757</v>
      </c>
      <c r="G1070" t="s">
        <v>6758</v>
      </c>
    </row>
    <row r="1071">
      <c r="A1071" t="s">
        <v>2757</v>
      </c>
      <c r="B1071" t="s">
        <v>1743</v>
      </c>
      <c r="C1071" t="s">
        <v>2281</v>
      </c>
      <c r="D1071" t="s">
        <v>602</v>
      </c>
      <c r="E1071" t="s">
        <v>6757</v>
      </c>
      <c r="G1071" t="s">
        <v>6758</v>
      </c>
    </row>
    <row r="1072">
      <c r="A1072" t="s">
        <v>2757</v>
      </c>
      <c r="B1072" t="s">
        <v>1743</v>
      </c>
      <c r="C1072" t="s">
        <v>2284</v>
      </c>
      <c r="D1072" t="s">
        <v>610</v>
      </c>
      <c r="E1072" t="s">
        <v>6757</v>
      </c>
      <c r="G1072" t="s">
        <v>6758</v>
      </c>
    </row>
    <row r="1073">
      <c r="A1073" t="s">
        <v>2757</v>
      </c>
      <c r="B1073" t="s">
        <v>1743</v>
      </c>
      <c r="C1073" t="s">
        <v>2199</v>
      </c>
      <c r="D1073" t="s">
        <v>410</v>
      </c>
      <c r="E1073" t="s">
        <v>6757</v>
      </c>
      <c r="G1073" t="s">
        <v>6758</v>
      </c>
    </row>
    <row r="1074">
      <c r="A1074" t="s">
        <v>2760</v>
      </c>
      <c r="B1074" t="s">
        <v>1750</v>
      </c>
      <c r="C1074" t="s">
        <v>2287</v>
      </c>
      <c r="D1074" t="s">
        <v>617</v>
      </c>
      <c r="E1074" t="s">
        <v>6757</v>
      </c>
      <c r="G1074" t="s">
        <v>6758</v>
      </c>
    </row>
    <row r="1075">
      <c r="A1075" t="s">
        <v>2760</v>
      </c>
      <c r="B1075" t="s">
        <v>1750</v>
      </c>
      <c r="C1075" t="s">
        <v>2290</v>
      </c>
      <c r="D1075" t="s">
        <v>624</v>
      </c>
      <c r="E1075" t="s">
        <v>6757</v>
      </c>
      <c r="G1075" t="s">
        <v>6758</v>
      </c>
    </row>
    <row r="1076">
      <c r="A1076" t="s">
        <v>2760</v>
      </c>
      <c r="B1076" t="s">
        <v>1750</v>
      </c>
      <c r="C1076" t="s">
        <v>2281</v>
      </c>
      <c r="D1076" t="s">
        <v>602</v>
      </c>
      <c r="E1076" t="s">
        <v>6757</v>
      </c>
      <c r="G1076" t="s">
        <v>6758</v>
      </c>
    </row>
    <row r="1077">
      <c r="A1077" t="s">
        <v>2760</v>
      </c>
      <c r="B1077" t="s">
        <v>1750</v>
      </c>
      <c r="C1077" t="s">
        <v>2284</v>
      </c>
      <c r="D1077" t="s">
        <v>610</v>
      </c>
      <c r="E1077" t="s">
        <v>6757</v>
      </c>
      <c r="G1077" t="s">
        <v>6758</v>
      </c>
    </row>
    <row r="1078">
      <c r="A1078" t="s">
        <v>2760</v>
      </c>
      <c r="B1078" t="s">
        <v>1750</v>
      </c>
      <c r="C1078" t="s">
        <v>2199</v>
      </c>
      <c r="D1078" t="s">
        <v>410</v>
      </c>
      <c r="E1078" t="s">
        <v>6757</v>
      </c>
      <c r="G1078" t="s">
        <v>6758</v>
      </c>
    </row>
    <row r="1079">
      <c r="A1079" t="s">
        <v>2763</v>
      </c>
      <c r="B1079" t="s">
        <v>1756</v>
      </c>
      <c r="C1079" t="s">
        <v>2287</v>
      </c>
      <c r="D1079" t="s">
        <v>617</v>
      </c>
      <c r="E1079" t="s">
        <v>6757</v>
      </c>
      <c r="G1079" t="s">
        <v>6758</v>
      </c>
    </row>
    <row r="1080">
      <c r="A1080" t="s">
        <v>2763</v>
      </c>
      <c r="B1080" t="s">
        <v>1756</v>
      </c>
      <c r="C1080" t="s">
        <v>2290</v>
      </c>
      <c r="D1080" t="s">
        <v>624</v>
      </c>
      <c r="E1080" t="s">
        <v>6757</v>
      </c>
      <c r="G1080" t="s">
        <v>6758</v>
      </c>
    </row>
    <row r="1081">
      <c r="A1081" t="s">
        <v>2763</v>
      </c>
      <c r="B1081" t="s">
        <v>1756</v>
      </c>
      <c r="C1081" t="s">
        <v>2281</v>
      </c>
      <c r="D1081" t="s">
        <v>602</v>
      </c>
      <c r="E1081" t="s">
        <v>6757</v>
      </c>
      <c r="G1081" t="s">
        <v>6758</v>
      </c>
    </row>
    <row r="1082">
      <c r="A1082" t="s">
        <v>2763</v>
      </c>
      <c r="B1082" t="s">
        <v>1756</v>
      </c>
      <c r="C1082" t="s">
        <v>2284</v>
      </c>
      <c r="D1082" t="s">
        <v>610</v>
      </c>
      <c r="E1082" t="s">
        <v>6757</v>
      </c>
      <c r="G1082" t="s">
        <v>6758</v>
      </c>
    </row>
    <row r="1083">
      <c r="A1083" t="s">
        <v>2763</v>
      </c>
      <c r="B1083" t="s">
        <v>1756</v>
      </c>
      <c r="C1083" t="s">
        <v>2199</v>
      </c>
      <c r="D1083" t="s">
        <v>410</v>
      </c>
      <c r="E1083" t="s">
        <v>6757</v>
      </c>
      <c r="G1083" t="s">
        <v>6758</v>
      </c>
    </row>
    <row r="1084">
      <c r="A1084" t="s">
        <v>2766</v>
      </c>
      <c r="B1084" t="s">
        <v>1762</v>
      </c>
      <c r="C1084" t="s">
        <v>2287</v>
      </c>
      <c r="D1084" t="s">
        <v>617</v>
      </c>
      <c r="E1084" t="s">
        <v>6757</v>
      </c>
      <c r="G1084" t="s">
        <v>6758</v>
      </c>
    </row>
    <row r="1085">
      <c r="A1085" t="s">
        <v>2766</v>
      </c>
      <c r="B1085" t="s">
        <v>1762</v>
      </c>
      <c r="C1085" t="s">
        <v>2290</v>
      </c>
      <c r="D1085" t="s">
        <v>624</v>
      </c>
      <c r="E1085" t="s">
        <v>6757</v>
      </c>
      <c r="G1085" t="s">
        <v>6758</v>
      </c>
    </row>
    <row r="1086">
      <c r="A1086" t="s">
        <v>2766</v>
      </c>
      <c r="B1086" t="s">
        <v>1762</v>
      </c>
      <c r="C1086" t="s">
        <v>2281</v>
      </c>
      <c r="D1086" t="s">
        <v>602</v>
      </c>
      <c r="E1086" t="s">
        <v>6757</v>
      </c>
      <c r="G1086" t="s">
        <v>6758</v>
      </c>
    </row>
    <row r="1087">
      <c r="A1087" t="s">
        <v>2766</v>
      </c>
      <c r="B1087" t="s">
        <v>1762</v>
      </c>
      <c r="C1087" t="s">
        <v>2284</v>
      </c>
      <c r="D1087" t="s">
        <v>610</v>
      </c>
      <c r="E1087" t="s">
        <v>6757</v>
      </c>
      <c r="G1087" t="s">
        <v>6758</v>
      </c>
    </row>
    <row r="1088">
      <c r="A1088" t="s">
        <v>2766</v>
      </c>
      <c r="B1088" t="s">
        <v>1762</v>
      </c>
      <c r="C1088" t="s">
        <v>2199</v>
      </c>
      <c r="D1088" t="s">
        <v>410</v>
      </c>
      <c r="E1088" t="s">
        <v>6757</v>
      </c>
      <c r="G1088" t="s">
        <v>6758</v>
      </c>
    </row>
    <row r="1089">
      <c r="A1089" t="s">
        <v>2769</v>
      </c>
      <c r="B1089" t="s">
        <v>1768</v>
      </c>
      <c r="C1089" t="s">
        <v>2287</v>
      </c>
      <c r="D1089" t="s">
        <v>617</v>
      </c>
      <c r="E1089" t="s">
        <v>6757</v>
      </c>
      <c r="G1089" t="s">
        <v>6758</v>
      </c>
    </row>
    <row r="1090">
      <c r="A1090" t="s">
        <v>2769</v>
      </c>
      <c r="B1090" t="s">
        <v>1768</v>
      </c>
      <c r="C1090" t="s">
        <v>2290</v>
      </c>
      <c r="D1090" t="s">
        <v>624</v>
      </c>
      <c r="E1090" t="s">
        <v>6757</v>
      </c>
      <c r="G1090" t="s">
        <v>6758</v>
      </c>
    </row>
    <row r="1091">
      <c r="A1091" t="s">
        <v>2769</v>
      </c>
      <c r="B1091" t="s">
        <v>1768</v>
      </c>
      <c r="C1091" t="s">
        <v>2281</v>
      </c>
      <c r="D1091" t="s">
        <v>602</v>
      </c>
      <c r="E1091" t="s">
        <v>6757</v>
      </c>
      <c r="G1091" t="s">
        <v>6758</v>
      </c>
    </row>
    <row r="1092">
      <c r="A1092" t="s">
        <v>2769</v>
      </c>
      <c r="B1092" t="s">
        <v>1768</v>
      </c>
      <c r="C1092" t="s">
        <v>2284</v>
      </c>
      <c r="D1092" t="s">
        <v>610</v>
      </c>
      <c r="E1092" t="s">
        <v>6757</v>
      </c>
      <c r="G1092" t="s">
        <v>6758</v>
      </c>
    </row>
    <row r="1093">
      <c r="A1093" t="s">
        <v>2769</v>
      </c>
      <c r="B1093" t="s">
        <v>1768</v>
      </c>
      <c r="C1093" t="s">
        <v>2199</v>
      </c>
      <c r="D1093" t="s">
        <v>410</v>
      </c>
      <c r="E1093" t="s">
        <v>6757</v>
      </c>
      <c r="G1093" t="s">
        <v>6758</v>
      </c>
    </row>
    <row r="1094">
      <c r="A1094" t="s">
        <v>2772</v>
      </c>
      <c r="B1094" t="s">
        <v>1777</v>
      </c>
      <c r="C1094" t="s">
        <v>2287</v>
      </c>
      <c r="D1094" t="s">
        <v>617</v>
      </c>
      <c r="E1094" t="s">
        <v>6757</v>
      </c>
      <c r="G1094" t="s">
        <v>6758</v>
      </c>
    </row>
    <row r="1095">
      <c r="A1095" t="s">
        <v>2772</v>
      </c>
      <c r="B1095" t="s">
        <v>1777</v>
      </c>
      <c r="C1095" t="s">
        <v>2290</v>
      </c>
      <c r="D1095" t="s">
        <v>624</v>
      </c>
      <c r="E1095" t="s">
        <v>6757</v>
      </c>
      <c r="G1095" t="s">
        <v>6758</v>
      </c>
    </row>
    <row r="1096">
      <c r="A1096" t="s">
        <v>2772</v>
      </c>
      <c r="B1096" t="s">
        <v>1777</v>
      </c>
      <c r="C1096" t="s">
        <v>2281</v>
      </c>
      <c r="D1096" t="s">
        <v>602</v>
      </c>
      <c r="E1096" t="s">
        <v>6757</v>
      </c>
      <c r="G1096" t="s">
        <v>6758</v>
      </c>
    </row>
    <row r="1097">
      <c r="A1097" t="s">
        <v>2772</v>
      </c>
      <c r="B1097" t="s">
        <v>1777</v>
      </c>
      <c r="C1097" t="s">
        <v>2284</v>
      </c>
      <c r="D1097" t="s">
        <v>610</v>
      </c>
      <c r="E1097" t="s">
        <v>6757</v>
      </c>
      <c r="G1097" t="s">
        <v>6758</v>
      </c>
    </row>
    <row r="1098">
      <c r="A1098" t="s">
        <v>2772</v>
      </c>
      <c r="B1098" t="s">
        <v>1777</v>
      </c>
      <c r="C1098" t="s">
        <v>2199</v>
      </c>
      <c r="D1098" t="s">
        <v>410</v>
      </c>
      <c r="E1098" t="s">
        <v>6757</v>
      </c>
      <c r="G1098" t="s">
        <v>6758</v>
      </c>
    </row>
    <row r="1099">
      <c r="A1099" t="s">
        <v>2776</v>
      </c>
      <c r="B1099" t="s">
        <v>1785</v>
      </c>
      <c r="C1099" t="s">
        <v>2287</v>
      </c>
      <c r="D1099" t="s">
        <v>617</v>
      </c>
      <c r="E1099" t="s">
        <v>6757</v>
      </c>
      <c r="G1099" t="s">
        <v>6758</v>
      </c>
    </row>
    <row r="1100">
      <c r="A1100" t="s">
        <v>2776</v>
      </c>
      <c r="B1100" t="s">
        <v>1785</v>
      </c>
      <c r="C1100" t="s">
        <v>2290</v>
      </c>
      <c r="D1100" t="s">
        <v>624</v>
      </c>
      <c r="E1100" t="s">
        <v>6757</v>
      </c>
      <c r="G1100" t="s">
        <v>6758</v>
      </c>
    </row>
    <row r="1101">
      <c r="A1101" t="s">
        <v>2776</v>
      </c>
      <c r="B1101" t="s">
        <v>1785</v>
      </c>
      <c r="C1101" t="s">
        <v>2281</v>
      </c>
      <c r="D1101" t="s">
        <v>602</v>
      </c>
      <c r="E1101" t="s">
        <v>6757</v>
      </c>
      <c r="G1101" t="s">
        <v>6758</v>
      </c>
    </row>
    <row r="1102">
      <c r="A1102" t="s">
        <v>2776</v>
      </c>
      <c r="B1102" t="s">
        <v>1785</v>
      </c>
      <c r="C1102" t="s">
        <v>2284</v>
      </c>
      <c r="D1102" t="s">
        <v>610</v>
      </c>
      <c r="E1102" t="s">
        <v>6757</v>
      </c>
      <c r="G1102" t="s">
        <v>6758</v>
      </c>
    </row>
    <row r="1103">
      <c r="A1103" t="s">
        <v>2776</v>
      </c>
      <c r="B1103" t="s">
        <v>1785</v>
      </c>
      <c r="C1103" t="s">
        <v>2199</v>
      </c>
      <c r="D1103" t="s">
        <v>410</v>
      </c>
      <c r="E1103" t="s">
        <v>6757</v>
      </c>
      <c r="G1103" t="s">
        <v>6758</v>
      </c>
    </row>
    <row r="1104">
      <c r="A1104" t="s">
        <v>2779</v>
      </c>
      <c r="B1104" t="s">
        <v>1792</v>
      </c>
      <c r="C1104" t="s">
        <v>2287</v>
      </c>
      <c r="D1104" t="s">
        <v>617</v>
      </c>
      <c r="E1104" t="s">
        <v>6757</v>
      </c>
      <c r="G1104" t="s">
        <v>6758</v>
      </c>
    </row>
    <row r="1105">
      <c r="A1105" t="s">
        <v>2779</v>
      </c>
      <c r="B1105" t="s">
        <v>1792</v>
      </c>
      <c r="C1105" t="s">
        <v>2290</v>
      </c>
      <c r="D1105" t="s">
        <v>624</v>
      </c>
      <c r="E1105" t="s">
        <v>6757</v>
      </c>
      <c r="G1105" t="s">
        <v>6758</v>
      </c>
    </row>
    <row r="1106">
      <c r="A1106" t="s">
        <v>2779</v>
      </c>
      <c r="B1106" t="s">
        <v>1792</v>
      </c>
      <c r="C1106" t="s">
        <v>2281</v>
      </c>
      <c r="D1106" t="s">
        <v>602</v>
      </c>
      <c r="E1106" t="s">
        <v>6757</v>
      </c>
      <c r="G1106" t="s">
        <v>6758</v>
      </c>
    </row>
    <row r="1107">
      <c r="A1107" t="s">
        <v>2779</v>
      </c>
      <c r="B1107" t="s">
        <v>1792</v>
      </c>
      <c r="C1107" t="s">
        <v>2284</v>
      </c>
      <c r="D1107" t="s">
        <v>610</v>
      </c>
      <c r="E1107" t="s">
        <v>6757</v>
      </c>
      <c r="G1107" t="s">
        <v>6758</v>
      </c>
    </row>
    <row r="1108">
      <c r="A1108" t="s">
        <v>2779</v>
      </c>
      <c r="B1108" t="s">
        <v>1792</v>
      </c>
      <c r="C1108" t="s">
        <v>2199</v>
      </c>
      <c r="D1108" t="s">
        <v>410</v>
      </c>
      <c r="E1108" t="s">
        <v>6757</v>
      </c>
      <c r="G1108" t="s">
        <v>6758</v>
      </c>
    </row>
    <row r="1109">
      <c r="A1109" t="s">
        <v>2782</v>
      </c>
      <c r="B1109" t="s">
        <v>1802</v>
      </c>
      <c r="C1109" t="s">
        <v>2287</v>
      </c>
      <c r="D1109" t="s">
        <v>617</v>
      </c>
      <c r="E1109" t="s">
        <v>6757</v>
      </c>
      <c r="G1109" t="s">
        <v>6758</v>
      </c>
    </row>
    <row r="1110">
      <c r="A1110" t="s">
        <v>2782</v>
      </c>
      <c r="B1110" t="s">
        <v>1802</v>
      </c>
      <c r="C1110" t="s">
        <v>2290</v>
      </c>
      <c r="D1110" t="s">
        <v>624</v>
      </c>
      <c r="E1110" t="s">
        <v>6757</v>
      </c>
      <c r="G1110" t="s">
        <v>6758</v>
      </c>
    </row>
    <row r="1111">
      <c r="A1111" t="s">
        <v>2782</v>
      </c>
      <c r="B1111" t="s">
        <v>1802</v>
      </c>
      <c r="C1111" t="s">
        <v>2281</v>
      </c>
      <c r="D1111" t="s">
        <v>602</v>
      </c>
      <c r="E1111" t="s">
        <v>6757</v>
      </c>
      <c r="G1111" t="s">
        <v>6758</v>
      </c>
    </row>
    <row r="1112">
      <c r="A1112" t="s">
        <v>2782</v>
      </c>
      <c r="B1112" t="s">
        <v>1802</v>
      </c>
      <c r="C1112" t="s">
        <v>2284</v>
      </c>
      <c r="D1112" t="s">
        <v>610</v>
      </c>
      <c r="E1112" t="s">
        <v>6757</v>
      </c>
      <c r="G1112" t="s">
        <v>6758</v>
      </c>
    </row>
    <row r="1113">
      <c r="A1113" t="s">
        <v>2782</v>
      </c>
      <c r="B1113" t="s">
        <v>1802</v>
      </c>
      <c r="C1113" t="s">
        <v>2199</v>
      </c>
      <c r="D1113" t="s">
        <v>410</v>
      </c>
      <c r="E1113" t="s">
        <v>6757</v>
      </c>
      <c r="G1113" t="s">
        <v>6758</v>
      </c>
    </row>
    <row r="1114">
      <c r="A1114" t="s">
        <v>2785</v>
      </c>
      <c r="B1114" t="s">
        <v>1810</v>
      </c>
      <c r="C1114" t="s">
        <v>2287</v>
      </c>
      <c r="D1114" t="s">
        <v>617</v>
      </c>
      <c r="E1114" t="s">
        <v>6757</v>
      </c>
      <c r="G1114" t="s">
        <v>6758</v>
      </c>
    </row>
    <row r="1115">
      <c r="A1115" t="s">
        <v>2785</v>
      </c>
      <c r="B1115" t="s">
        <v>1810</v>
      </c>
      <c r="C1115" t="s">
        <v>2290</v>
      </c>
      <c r="D1115" t="s">
        <v>624</v>
      </c>
      <c r="E1115" t="s">
        <v>6757</v>
      </c>
      <c r="G1115" t="s">
        <v>6758</v>
      </c>
    </row>
    <row r="1116">
      <c r="A1116" t="s">
        <v>2785</v>
      </c>
      <c r="B1116" t="s">
        <v>1810</v>
      </c>
      <c r="C1116" t="s">
        <v>2281</v>
      </c>
      <c r="D1116" t="s">
        <v>602</v>
      </c>
      <c r="E1116" t="s">
        <v>6757</v>
      </c>
      <c r="G1116" t="s">
        <v>6758</v>
      </c>
    </row>
    <row r="1117">
      <c r="A1117" t="s">
        <v>2785</v>
      </c>
      <c r="B1117" t="s">
        <v>1810</v>
      </c>
      <c r="C1117" t="s">
        <v>2284</v>
      </c>
      <c r="D1117" t="s">
        <v>610</v>
      </c>
      <c r="E1117" t="s">
        <v>6757</v>
      </c>
      <c r="G1117" t="s">
        <v>6758</v>
      </c>
    </row>
    <row r="1118">
      <c r="A1118" t="s">
        <v>2785</v>
      </c>
      <c r="B1118" t="s">
        <v>1810</v>
      </c>
      <c r="C1118" t="s">
        <v>2199</v>
      </c>
      <c r="D1118" t="s">
        <v>410</v>
      </c>
      <c r="E1118" t="s">
        <v>6757</v>
      </c>
      <c r="G1118" t="s">
        <v>6758</v>
      </c>
    </row>
    <row r="1119">
      <c r="A1119" t="s">
        <v>2788</v>
      </c>
      <c r="B1119" t="s">
        <v>1816</v>
      </c>
      <c r="C1119" t="s">
        <v>2287</v>
      </c>
      <c r="D1119" t="s">
        <v>617</v>
      </c>
      <c r="E1119" t="s">
        <v>6757</v>
      </c>
      <c r="G1119" t="s">
        <v>6758</v>
      </c>
    </row>
    <row r="1120">
      <c r="A1120" t="s">
        <v>2788</v>
      </c>
      <c r="B1120" t="s">
        <v>1816</v>
      </c>
      <c r="C1120" t="s">
        <v>2290</v>
      </c>
      <c r="D1120" t="s">
        <v>624</v>
      </c>
      <c r="E1120" t="s">
        <v>6757</v>
      </c>
      <c r="G1120" t="s">
        <v>6758</v>
      </c>
    </row>
    <row r="1121">
      <c r="A1121" t="s">
        <v>2788</v>
      </c>
      <c r="B1121" t="s">
        <v>1816</v>
      </c>
      <c r="C1121" t="s">
        <v>2281</v>
      </c>
      <c r="D1121" t="s">
        <v>602</v>
      </c>
      <c r="E1121" t="s">
        <v>6757</v>
      </c>
      <c r="G1121" t="s">
        <v>6758</v>
      </c>
    </row>
    <row r="1122">
      <c r="A1122" t="s">
        <v>2788</v>
      </c>
      <c r="B1122" t="s">
        <v>1816</v>
      </c>
      <c r="C1122" t="s">
        <v>2284</v>
      </c>
      <c r="D1122" t="s">
        <v>610</v>
      </c>
      <c r="E1122" t="s">
        <v>6757</v>
      </c>
      <c r="G1122" t="s">
        <v>6758</v>
      </c>
    </row>
    <row r="1123">
      <c r="A1123" t="s">
        <v>2788</v>
      </c>
      <c r="B1123" t="s">
        <v>1816</v>
      </c>
      <c r="C1123" t="s">
        <v>2199</v>
      </c>
      <c r="D1123" t="s">
        <v>410</v>
      </c>
      <c r="E1123" t="s">
        <v>6757</v>
      </c>
      <c r="G1123" t="s">
        <v>6758</v>
      </c>
    </row>
    <row r="1124">
      <c r="A1124" t="s">
        <v>2790</v>
      </c>
      <c r="B1124" t="s">
        <v>1822</v>
      </c>
      <c r="C1124" t="s">
        <v>2287</v>
      </c>
      <c r="D1124" t="s">
        <v>617</v>
      </c>
      <c r="E1124" t="s">
        <v>6757</v>
      </c>
      <c r="G1124" t="s">
        <v>6758</v>
      </c>
    </row>
    <row r="1125">
      <c r="A1125" t="s">
        <v>2790</v>
      </c>
      <c r="B1125" t="s">
        <v>1822</v>
      </c>
      <c r="C1125" t="s">
        <v>2290</v>
      </c>
      <c r="D1125" t="s">
        <v>624</v>
      </c>
      <c r="E1125" t="s">
        <v>6757</v>
      </c>
      <c r="G1125" t="s">
        <v>6758</v>
      </c>
    </row>
    <row r="1126">
      <c r="A1126" t="s">
        <v>2790</v>
      </c>
      <c r="B1126" t="s">
        <v>1822</v>
      </c>
      <c r="C1126" t="s">
        <v>2281</v>
      </c>
      <c r="D1126" t="s">
        <v>602</v>
      </c>
      <c r="E1126" t="s">
        <v>6757</v>
      </c>
      <c r="G1126" t="s">
        <v>6758</v>
      </c>
    </row>
    <row r="1127">
      <c r="A1127" t="s">
        <v>2790</v>
      </c>
      <c r="B1127" t="s">
        <v>1822</v>
      </c>
      <c r="C1127" t="s">
        <v>2284</v>
      </c>
      <c r="D1127" t="s">
        <v>610</v>
      </c>
      <c r="E1127" t="s">
        <v>6757</v>
      </c>
      <c r="G1127" t="s">
        <v>6758</v>
      </c>
    </row>
    <row r="1128">
      <c r="A1128" t="s">
        <v>2790</v>
      </c>
      <c r="B1128" t="s">
        <v>1822</v>
      </c>
      <c r="C1128" t="s">
        <v>2199</v>
      </c>
      <c r="D1128" t="s">
        <v>410</v>
      </c>
      <c r="E1128" t="s">
        <v>6757</v>
      </c>
      <c r="G1128" t="s">
        <v>6758</v>
      </c>
    </row>
    <row r="1129">
      <c r="A1129" t="s">
        <v>2793</v>
      </c>
      <c r="B1129" t="s">
        <v>1829</v>
      </c>
      <c r="C1129" t="s">
        <v>2287</v>
      </c>
      <c r="D1129" t="s">
        <v>617</v>
      </c>
      <c r="E1129" t="s">
        <v>6757</v>
      </c>
      <c r="G1129" t="s">
        <v>6758</v>
      </c>
    </row>
    <row r="1130">
      <c r="A1130" t="s">
        <v>2793</v>
      </c>
      <c r="B1130" t="s">
        <v>1829</v>
      </c>
      <c r="C1130" t="s">
        <v>2290</v>
      </c>
      <c r="D1130" t="s">
        <v>624</v>
      </c>
      <c r="E1130" t="s">
        <v>6757</v>
      </c>
      <c r="G1130" t="s">
        <v>6758</v>
      </c>
    </row>
    <row r="1131">
      <c r="A1131" t="s">
        <v>2793</v>
      </c>
      <c r="B1131" t="s">
        <v>1829</v>
      </c>
      <c r="C1131" t="s">
        <v>2281</v>
      </c>
      <c r="D1131" t="s">
        <v>602</v>
      </c>
      <c r="E1131" t="s">
        <v>6757</v>
      </c>
      <c r="G1131" t="s">
        <v>6758</v>
      </c>
    </row>
    <row r="1132">
      <c r="A1132" t="s">
        <v>2793</v>
      </c>
      <c r="B1132" t="s">
        <v>1829</v>
      </c>
      <c r="C1132" t="s">
        <v>2284</v>
      </c>
      <c r="D1132" t="s">
        <v>610</v>
      </c>
      <c r="E1132" t="s">
        <v>6757</v>
      </c>
      <c r="G1132" t="s">
        <v>6758</v>
      </c>
    </row>
    <row r="1133">
      <c r="A1133" t="s">
        <v>2793</v>
      </c>
      <c r="B1133" t="s">
        <v>1829</v>
      </c>
      <c r="C1133" t="s">
        <v>2199</v>
      </c>
      <c r="D1133" t="s">
        <v>410</v>
      </c>
      <c r="E1133" t="s">
        <v>6757</v>
      </c>
      <c r="G1133" t="s">
        <v>6758</v>
      </c>
    </row>
    <row r="1134">
      <c r="A1134" t="s">
        <v>2796</v>
      </c>
      <c r="B1134" t="s">
        <v>1836</v>
      </c>
      <c r="C1134" t="s">
        <v>2287</v>
      </c>
      <c r="D1134" t="s">
        <v>617</v>
      </c>
      <c r="E1134" t="s">
        <v>6757</v>
      </c>
      <c r="G1134" t="s">
        <v>6758</v>
      </c>
    </row>
    <row r="1135">
      <c r="A1135" t="s">
        <v>2796</v>
      </c>
      <c r="B1135" t="s">
        <v>1836</v>
      </c>
      <c r="C1135" t="s">
        <v>2290</v>
      </c>
      <c r="D1135" t="s">
        <v>624</v>
      </c>
      <c r="E1135" t="s">
        <v>6757</v>
      </c>
      <c r="G1135" t="s">
        <v>6758</v>
      </c>
    </row>
    <row r="1136">
      <c r="A1136" t="s">
        <v>2796</v>
      </c>
      <c r="B1136" t="s">
        <v>1836</v>
      </c>
      <c r="C1136" t="s">
        <v>2281</v>
      </c>
      <c r="D1136" t="s">
        <v>602</v>
      </c>
      <c r="E1136" t="s">
        <v>6757</v>
      </c>
      <c r="G1136" t="s">
        <v>6758</v>
      </c>
    </row>
    <row r="1137">
      <c r="A1137" t="s">
        <v>2796</v>
      </c>
      <c r="B1137" t="s">
        <v>1836</v>
      </c>
      <c r="C1137" t="s">
        <v>2284</v>
      </c>
      <c r="D1137" t="s">
        <v>610</v>
      </c>
      <c r="E1137" t="s">
        <v>6757</v>
      </c>
      <c r="G1137" t="s">
        <v>6758</v>
      </c>
    </row>
    <row r="1138">
      <c r="A1138" t="s">
        <v>2796</v>
      </c>
      <c r="B1138" t="s">
        <v>1836</v>
      </c>
      <c r="C1138" t="s">
        <v>2199</v>
      </c>
      <c r="D1138" t="s">
        <v>410</v>
      </c>
      <c r="E1138" t="s">
        <v>6757</v>
      </c>
      <c r="G1138" t="s">
        <v>6758</v>
      </c>
    </row>
    <row r="1139">
      <c r="A1139" t="s">
        <v>2799</v>
      </c>
      <c r="B1139" t="s">
        <v>1847</v>
      </c>
      <c r="C1139" t="s">
        <v>2287</v>
      </c>
      <c r="D1139" t="s">
        <v>617</v>
      </c>
      <c r="E1139" t="s">
        <v>6757</v>
      </c>
      <c r="G1139" t="s">
        <v>6758</v>
      </c>
    </row>
    <row r="1140">
      <c r="A1140" t="s">
        <v>2799</v>
      </c>
      <c r="B1140" t="s">
        <v>1847</v>
      </c>
      <c r="C1140" t="s">
        <v>2290</v>
      </c>
      <c r="D1140" t="s">
        <v>624</v>
      </c>
      <c r="E1140" t="s">
        <v>6757</v>
      </c>
      <c r="G1140" t="s">
        <v>6758</v>
      </c>
    </row>
    <row r="1141">
      <c r="A1141" t="s">
        <v>2799</v>
      </c>
      <c r="B1141" t="s">
        <v>1847</v>
      </c>
      <c r="C1141" t="s">
        <v>2281</v>
      </c>
      <c r="D1141" t="s">
        <v>602</v>
      </c>
      <c r="E1141" t="s">
        <v>6757</v>
      </c>
      <c r="G1141" t="s">
        <v>6758</v>
      </c>
    </row>
    <row r="1142">
      <c r="A1142" t="s">
        <v>2799</v>
      </c>
      <c r="B1142" t="s">
        <v>1847</v>
      </c>
      <c r="C1142" t="s">
        <v>2284</v>
      </c>
      <c r="D1142" t="s">
        <v>610</v>
      </c>
      <c r="E1142" t="s">
        <v>6757</v>
      </c>
      <c r="G1142" t="s">
        <v>6758</v>
      </c>
    </row>
    <row r="1143">
      <c r="A1143" t="s">
        <v>2799</v>
      </c>
      <c r="B1143" t="s">
        <v>1847</v>
      </c>
      <c r="C1143" t="s">
        <v>2199</v>
      </c>
      <c r="D1143" t="s">
        <v>410</v>
      </c>
      <c r="E1143" t="s">
        <v>6757</v>
      </c>
      <c r="G1143" t="s">
        <v>6758</v>
      </c>
    </row>
    <row r="1144">
      <c r="A1144" t="s">
        <v>2802</v>
      </c>
      <c r="B1144" t="s">
        <v>1855</v>
      </c>
      <c r="C1144" t="s">
        <v>2287</v>
      </c>
      <c r="D1144" t="s">
        <v>617</v>
      </c>
      <c r="E1144" t="s">
        <v>6757</v>
      </c>
      <c r="G1144" t="s">
        <v>6758</v>
      </c>
    </row>
    <row r="1145">
      <c r="A1145" t="s">
        <v>2802</v>
      </c>
      <c r="B1145" t="s">
        <v>1855</v>
      </c>
      <c r="C1145" t="s">
        <v>2290</v>
      </c>
      <c r="D1145" t="s">
        <v>624</v>
      </c>
      <c r="E1145" t="s">
        <v>6757</v>
      </c>
      <c r="G1145" t="s">
        <v>6758</v>
      </c>
    </row>
    <row r="1146">
      <c r="A1146" t="s">
        <v>2802</v>
      </c>
      <c r="B1146" t="s">
        <v>1855</v>
      </c>
      <c r="C1146" t="s">
        <v>2281</v>
      </c>
      <c r="D1146" t="s">
        <v>602</v>
      </c>
      <c r="E1146" t="s">
        <v>6757</v>
      </c>
      <c r="G1146" t="s">
        <v>6758</v>
      </c>
    </row>
    <row r="1147">
      <c r="A1147" t="s">
        <v>2802</v>
      </c>
      <c r="B1147" t="s">
        <v>1855</v>
      </c>
      <c r="C1147" t="s">
        <v>2284</v>
      </c>
      <c r="D1147" t="s">
        <v>610</v>
      </c>
      <c r="E1147" t="s">
        <v>6757</v>
      </c>
      <c r="G1147" t="s">
        <v>6758</v>
      </c>
    </row>
    <row r="1148">
      <c r="A1148" t="s">
        <v>2802</v>
      </c>
      <c r="B1148" t="s">
        <v>1855</v>
      </c>
      <c r="C1148" t="s">
        <v>2199</v>
      </c>
      <c r="D1148" t="s">
        <v>410</v>
      </c>
      <c r="E1148" t="s">
        <v>6757</v>
      </c>
      <c r="G1148" t="s">
        <v>6758</v>
      </c>
    </row>
    <row r="1149">
      <c r="A1149" t="s">
        <v>2804</v>
      </c>
      <c r="B1149" t="s">
        <v>1861</v>
      </c>
      <c r="C1149" t="s">
        <v>2287</v>
      </c>
      <c r="D1149" t="s">
        <v>617</v>
      </c>
      <c r="E1149" t="s">
        <v>6757</v>
      </c>
      <c r="G1149" t="s">
        <v>6758</v>
      </c>
    </row>
    <row r="1150">
      <c r="A1150" t="s">
        <v>2804</v>
      </c>
      <c r="B1150" t="s">
        <v>1861</v>
      </c>
      <c r="C1150" t="s">
        <v>2290</v>
      </c>
      <c r="D1150" t="s">
        <v>624</v>
      </c>
      <c r="E1150" t="s">
        <v>6757</v>
      </c>
      <c r="G1150" t="s">
        <v>6758</v>
      </c>
    </row>
    <row r="1151">
      <c r="A1151" t="s">
        <v>2804</v>
      </c>
      <c r="B1151" t="s">
        <v>1861</v>
      </c>
      <c r="C1151" t="s">
        <v>2281</v>
      </c>
      <c r="D1151" t="s">
        <v>602</v>
      </c>
      <c r="E1151" t="s">
        <v>6757</v>
      </c>
      <c r="G1151" t="s">
        <v>6758</v>
      </c>
    </row>
    <row r="1152">
      <c r="A1152" t="s">
        <v>2804</v>
      </c>
      <c r="B1152" t="s">
        <v>1861</v>
      </c>
      <c r="C1152" t="s">
        <v>2284</v>
      </c>
      <c r="D1152" t="s">
        <v>610</v>
      </c>
      <c r="E1152" t="s">
        <v>6757</v>
      </c>
      <c r="G1152" t="s">
        <v>6758</v>
      </c>
    </row>
    <row r="1153">
      <c r="A1153" t="s">
        <v>2804</v>
      </c>
      <c r="B1153" t="s">
        <v>1861</v>
      </c>
      <c r="C1153" t="s">
        <v>2199</v>
      </c>
      <c r="D1153" t="s">
        <v>410</v>
      </c>
      <c r="E1153" t="s">
        <v>6757</v>
      </c>
      <c r="G1153" t="s">
        <v>6758</v>
      </c>
    </row>
    <row r="1154">
      <c r="A1154" t="s">
        <v>2806</v>
      </c>
      <c r="B1154" t="s">
        <v>1868</v>
      </c>
      <c r="C1154" t="s">
        <v>2287</v>
      </c>
      <c r="D1154" t="s">
        <v>617</v>
      </c>
      <c r="E1154" t="s">
        <v>6757</v>
      </c>
      <c r="G1154" t="s">
        <v>6758</v>
      </c>
    </row>
    <row r="1155">
      <c r="A1155" t="s">
        <v>2806</v>
      </c>
      <c r="B1155" t="s">
        <v>1868</v>
      </c>
      <c r="C1155" t="s">
        <v>2290</v>
      </c>
      <c r="D1155" t="s">
        <v>624</v>
      </c>
      <c r="E1155" t="s">
        <v>6757</v>
      </c>
      <c r="G1155" t="s">
        <v>6758</v>
      </c>
    </row>
    <row r="1156">
      <c r="A1156" t="s">
        <v>2806</v>
      </c>
      <c r="B1156" t="s">
        <v>1868</v>
      </c>
      <c r="C1156" t="s">
        <v>2281</v>
      </c>
      <c r="D1156" t="s">
        <v>602</v>
      </c>
      <c r="E1156" t="s">
        <v>6757</v>
      </c>
      <c r="G1156" t="s">
        <v>6758</v>
      </c>
    </row>
    <row r="1157">
      <c r="A1157" t="s">
        <v>2806</v>
      </c>
      <c r="B1157" t="s">
        <v>1868</v>
      </c>
      <c r="C1157" t="s">
        <v>2284</v>
      </c>
      <c r="D1157" t="s">
        <v>610</v>
      </c>
      <c r="E1157" t="s">
        <v>6757</v>
      </c>
      <c r="G1157" t="s">
        <v>6758</v>
      </c>
    </row>
    <row r="1158">
      <c r="A1158" t="s">
        <v>2806</v>
      </c>
      <c r="B1158" t="s">
        <v>1868</v>
      </c>
      <c r="C1158" t="s">
        <v>2199</v>
      </c>
      <c r="D1158" t="s">
        <v>410</v>
      </c>
      <c r="E1158" t="s">
        <v>6757</v>
      </c>
      <c r="G1158" t="s">
        <v>6758</v>
      </c>
    </row>
    <row r="1159">
      <c r="A1159" t="s">
        <v>2809</v>
      </c>
      <c r="B1159" t="s">
        <v>1877</v>
      </c>
      <c r="C1159" t="s">
        <v>2287</v>
      </c>
      <c r="D1159" t="s">
        <v>617</v>
      </c>
      <c r="E1159" t="s">
        <v>6757</v>
      </c>
      <c r="G1159" t="s">
        <v>6758</v>
      </c>
    </row>
    <row r="1160">
      <c r="A1160" t="s">
        <v>2809</v>
      </c>
      <c r="B1160" t="s">
        <v>1877</v>
      </c>
      <c r="C1160" t="s">
        <v>2290</v>
      </c>
      <c r="D1160" t="s">
        <v>624</v>
      </c>
      <c r="E1160" t="s">
        <v>6757</v>
      </c>
      <c r="G1160" t="s">
        <v>6758</v>
      </c>
    </row>
    <row r="1161">
      <c r="A1161" t="s">
        <v>2809</v>
      </c>
      <c r="B1161" t="s">
        <v>1877</v>
      </c>
      <c r="C1161" t="s">
        <v>2281</v>
      </c>
      <c r="D1161" t="s">
        <v>602</v>
      </c>
      <c r="E1161" t="s">
        <v>6757</v>
      </c>
      <c r="G1161" t="s">
        <v>6758</v>
      </c>
    </row>
    <row r="1162">
      <c r="A1162" t="s">
        <v>2809</v>
      </c>
      <c r="B1162" t="s">
        <v>1877</v>
      </c>
      <c r="C1162" t="s">
        <v>2284</v>
      </c>
      <c r="D1162" t="s">
        <v>610</v>
      </c>
      <c r="E1162" t="s">
        <v>6757</v>
      </c>
      <c r="G1162" t="s">
        <v>6758</v>
      </c>
    </row>
    <row r="1163">
      <c r="A1163" t="s">
        <v>2809</v>
      </c>
      <c r="B1163" t="s">
        <v>1877</v>
      </c>
      <c r="C1163" t="s">
        <v>2199</v>
      </c>
      <c r="D1163" t="s">
        <v>410</v>
      </c>
      <c r="E1163" t="s">
        <v>6757</v>
      </c>
      <c r="G1163" t="s">
        <v>6758</v>
      </c>
    </row>
    <row r="1164">
      <c r="A1164" t="s">
        <v>2812</v>
      </c>
      <c r="B1164" t="s">
        <v>1885</v>
      </c>
      <c r="C1164" t="s">
        <v>2287</v>
      </c>
      <c r="D1164" t="s">
        <v>617</v>
      </c>
      <c r="E1164" t="s">
        <v>6757</v>
      </c>
      <c r="G1164" t="s">
        <v>6758</v>
      </c>
    </row>
    <row r="1165">
      <c r="A1165" t="s">
        <v>2812</v>
      </c>
      <c r="B1165" t="s">
        <v>1885</v>
      </c>
      <c r="C1165" t="s">
        <v>2290</v>
      </c>
      <c r="D1165" t="s">
        <v>624</v>
      </c>
      <c r="E1165" t="s">
        <v>6757</v>
      </c>
      <c r="G1165" t="s">
        <v>6758</v>
      </c>
    </row>
    <row r="1166">
      <c r="A1166" t="s">
        <v>2812</v>
      </c>
      <c r="B1166" t="s">
        <v>1885</v>
      </c>
      <c r="C1166" t="s">
        <v>2281</v>
      </c>
      <c r="D1166" t="s">
        <v>602</v>
      </c>
      <c r="E1166" t="s">
        <v>6757</v>
      </c>
      <c r="G1166" t="s">
        <v>6758</v>
      </c>
    </row>
    <row r="1167">
      <c r="A1167" t="s">
        <v>2812</v>
      </c>
      <c r="B1167" t="s">
        <v>1885</v>
      </c>
      <c r="C1167" t="s">
        <v>2284</v>
      </c>
      <c r="D1167" t="s">
        <v>610</v>
      </c>
      <c r="E1167" t="s">
        <v>6757</v>
      </c>
      <c r="G1167" t="s">
        <v>6758</v>
      </c>
    </row>
    <row r="1168">
      <c r="A1168" t="s">
        <v>2812</v>
      </c>
      <c r="B1168" t="s">
        <v>1885</v>
      </c>
      <c r="C1168" t="s">
        <v>2199</v>
      </c>
      <c r="D1168" t="s">
        <v>410</v>
      </c>
      <c r="E1168" t="s">
        <v>6757</v>
      </c>
      <c r="G1168" t="s">
        <v>6758</v>
      </c>
    </row>
    <row r="1169">
      <c r="A1169" t="s">
        <v>2814</v>
      </c>
      <c r="B1169" t="s">
        <v>1890</v>
      </c>
      <c r="C1169" t="s">
        <v>2287</v>
      </c>
      <c r="D1169" t="s">
        <v>617</v>
      </c>
      <c r="E1169" t="s">
        <v>6757</v>
      </c>
      <c r="G1169" t="s">
        <v>6758</v>
      </c>
    </row>
    <row r="1170">
      <c r="A1170" t="s">
        <v>2814</v>
      </c>
      <c r="B1170" t="s">
        <v>1890</v>
      </c>
      <c r="C1170" t="s">
        <v>2290</v>
      </c>
      <c r="D1170" t="s">
        <v>624</v>
      </c>
      <c r="E1170" t="s">
        <v>6757</v>
      </c>
      <c r="G1170" t="s">
        <v>6758</v>
      </c>
    </row>
    <row r="1171">
      <c r="A1171" t="s">
        <v>2814</v>
      </c>
      <c r="B1171" t="s">
        <v>1890</v>
      </c>
      <c r="C1171" t="s">
        <v>2281</v>
      </c>
      <c r="D1171" t="s">
        <v>602</v>
      </c>
      <c r="E1171" t="s">
        <v>6757</v>
      </c>
      <c r="G1171" t="s">
        <v>6758</v>
      </c>
    </row>
    <row r="1172">
      <c r="A1172" t="s">
        <v>2814</v>
      </c>
      <c r="B1172" t="s">
        <v>1890</v>
      </c>
      <c r="C1172" t="s">
        <v>2284</v>
      </c>
      <c r="D1172" t="s">
        <v>610</v>
      </c>
      <c r="E1172" t="s">
        <v>6757</v>
      </c>
      <c r="G1172" t="s">
        <v>6758</v>
      </c>
    </row>
    <row r="1173">
      <c r="A1173" t="s">
        <v>2814</v>
      </c>
      <c r="B1173" t="s">
        <v>1890</v>
      </c>
      <c r="C1173" t="s">
        <v>2199</v>
      </c>
      <c r="D1173" t="s">
        <v>410</v>
      </c>
      <c r="E1173" t="s">
        <v>6757</v>
      </c>
      <c r="G1173" t="s">
        <v>6758</v>
      </c>
    </row>
    <row r="1174">
      <c r="A1174" t="s">
        <v>2816</v>
      </c>
      <c r="B1174" t="s">
        <v>1897</v>
      </c>
      <c r="C1174" t="s">
        <v>2287</v>
      </c>
      <c r="D1174" t="s">
        <v>617</v>
      </c>
      <c r="E1174" t="s">
        <v>6757</v>
      </c>
      <c r="G1174" t="s">
        <v>6758</v>
      </c>
    </row>
    <row r="1175">
      <c r="A1175" t="s">
        <v>2816</v>
      </c>
      <c r="B1175" t="s">
        <v>1897</v>
      </c>
      <c r="C1175" t="s">
        <v>2290</v>
      </c>
      <c r="D1175" t="s">
        <v>624</v>
      </c>
      <c r="E1175" t="s">
        <v>6757</v>
      </c>
      <c r="G1175" t="s">
        <v>6758</v>
      </c>
    </row>
    <row r="1176">
      <c r="A1176" t="s">
        <v>2816</v>
      </c>
      <c r="B1176" t="s">
        <v>1897</v>
      </c>
      <c r="C1176" t="s">
        <v>2281</v>
      </c>
      <c r="D1176" t="s">
        <v>602</v>
      </c>
      <c r="E1176" t="s">
        <v>6757</v>
      </c>
      <c r="G1176" t="s">
        <v>6758</v>
      </c>
    </row>
    <row r="1177">
      <c r="A1177" t="s">
        <v>2816</v>
      </c>
      <c r="B1177" t="s">
        <v>1897</v>
      </c>
      <c r="C1177" t="s">
        <v>2284</v>
      </c>
      <c r="D1177" t="s">
        <v>610</v>
      </c>
      <c r="E1177" t="s">
        <v>6757</v>
      </c>
      <c r="G1177" t="s">
        <v>6758</v>
      </c>
    </row>
    <row r="1178">
      <c r="A1178" t="s">
        <v>2816</v>
      </c>
      <c r="B1178" t="s">
        <v>1897</v>
      </c>
      <c r="C1178" t="s">
        <v>2199</v>
      </c>
      <c r="D1178" t="s">
        <v>410</v>
      </c>
      <c r="E1178" t="s">
        <v>6757</v>
      </c>
      <c r="G1178" t="s">
        <v>6758</v>
      </c>
    </row>
    <row r="1179">
      <c r="A1179" t="s">
        <v>2819</v>
      </c>
      <c r="B1179" t="s">
        <v>1905</v>
      </c>
      <c r="C1179" t="s">
        <v>2287</v>
      </c>
      <c r="D1179" t="s">
        <v>617</v>
      </c>
      <c r="E1179" t="s">
        <v>6757</v>
      </c>
      <c r="G1179" t="s">
        <v>6758</v>
      </c>
    </row>
    <row r="1180">
      <c r="A1180" t="s">
        <v>2819</v>
      </c>
      <c r="B1180" t="s">
        <v>1905</v>
      </c>
      <c r="C1180" t="s">
        <v>2290</v>
      </c>
      <c r="D1180" t="s">
        <v>624</v>
      </c>
      <c r="E1180" t="s">
        <v>6757</v>
      </c>
      <c r="G1180" t="s">
        <v>6758</v>
      </c>
    </row>
    <row r="1181">
      <c r="A1181" t="s">
        <v>2819</v>
      </c>
      <c r="B1181" t="s">
        <v>1905</v>
      </c>
      <c r="C1181" t="s">
        <v>2281</v>
      </c>
      <c r="D1181" t="s">
        <v>602</v>
      </c>
      <c r="E1181" t="s">
        <v>6757</v>
      </c>
      <c r="G1181" t="s">
        <v>6758</v>
      </c>
    </row>
    <row r="1182">
      <c r="A1182" t="s">
        <v>2819</v>
      </c>
      <c r="B1182" t="s">
        <v>1905</v>
      </c>
      <c r="C1182" t="s">
        <v>2284</v>
      </c>
      <c r="D1182" t="s">
        <v>610</v>
      </c>
      <c r="E1182" t="s">
        <v>6757</v>
      </c>
      <c r="G1182" t="s">
        <v>6758</v>
      </c>
    </row>
    <row r="1183">
      <c r="A1183" t="s">
        <v>2819</v>
      </c>
      <c r="B1183" t="s">
        <v>1905</v>
      </c>
      <c r="C1183" t="s">
        <v>2199</v>
      </c>
      <c r="D1183" t="s">
        <v>410</v>
      </c>
      <c r="E1183" t="s">
        <v>6757</v>
      </c>
      <c r="G1183" t="s">
        <v>6758</v>
      </c>
    </row>
    <row r="1184">
      <c r="A1184" t="s">
        <v>2821</v>
      </c>
      <c r="B1184" t="s">
        <v>1916</v>
      </c>
      <c r="C1184" t="s">
        <v>2287</v>
      </c>
      <c r="D1184" t="s">
        <v>617</v>
      </c>
      <c r="E1184" t="s">
        <v>6757</v>
      </c>
      <c r="G1184" t="s">
        <v>6758</v>
      </c>
    </row>
    <row r="1185">
      <c r="A1185" t="s">
        <v>2821</v>
      </c>
      <c r="B1185" t="s">
        <v>1916</v>
      </c>
      <c r="C1185" t="s">
        <v>2290</v>
      </c>
      <c r="D1185" t="s">
        <v>624</v>
      </c>
      <c r="E1185" t="s">
        <v>6757</v>
      </c>
      <c r="G1185" t="s">
        <v>6758</v>
      </c>
    </row>
    <row r="1186">
      <c r="A1186" t="s">
        <v>2821</v>
      </c>
      <c r="B1186" t="s">
        <v>1916</v>
      </c>
      <c r="C1186" t="s">
        <v>2281</v>
      </c>
      <c r="D1186" t="s">
        <v>602</v>
      </c>
      <c r="E1186" t="s">
        <v>6757</v>
      </c>
      <c r="G1186" t="s">
        <v>6758</v>
      </c>
    </row>
    <row r="1187">
      <c r="A1187" t="s">
        <v>2821</v>
      </c>
      <c r="B1187" t="s">
        <v>1916</v>
      </c>
      <c r="C1187" t="s">
        <v>2284</v>
      </c>
      <c r="D1187" t="s">
        <v>610</v>
      </c>
      <c r="E1187" t="s">
        <v>6757</v>
      </c>
      <c r="G1187" t="s">
        <v>6758</v>
      </c>
    </row>
    <row r="1188">
      <c r="A1188" t="s">
        <v>2821</v>
      </c>
      <c r="B1188" t="s">
        <v>1916</v>
      </c>
      <c r="C1188" t="s">
        <v>2199</v>
      </c>
      <c r="D1188" t="s">
        <v>410</v>
      </c>
      <c r="E1188" t="s">
        <v>6757</v>
      </c>
      <c r="G1188" t="s">
        <v>6758</v>
      </c>
    </row>
    <row r="1189">
      <c r="A1189" t="s">
        <v>2823</v>
      </c>
      <c r="B1189" t="s">
        <v>1924</v>
      </c>
      <c r="C1189" t="s">
        <v>2287</v>
      </c>
      <c r="D1189" t="s">
        <v>617</v>
      </c>
      <c r="E1189" t="s">
        <v>6757</v>
      </c>
      <c r="G1189" t="s">
        <v>6758</v>
      </c>
    </row>
    <row r="1190">
      <c r="A1190" t="s">
        <v>2823</v>
      </c>
      <c r="B1190" t="s">
        <v>1924</v>
      </c>
      <c r="C1190" t="s">
        <v>2290</v>
      </c>
      <c r="D1190" t="s">
        <v>624</v>
      </c>
      <c r="E1190" t="s">
        <v>6757</v>
      </c>
      <c r="G1190" t="s">
        <v>6758</v>
      </c>
    </row>
    <row r="1191">
      <c r="A1191" t="s">
        <v>2823</v>
      </c>
      <c r="B1191" t="s">
        <v>1924</v>
      </c>
      <c r="C1191" t="s">
        <v>2281</v>
      </c>
      <c r="D1191" t="s">
        <v>602</v>
      </c>
      <c r="E1191" t="s">
        <v>6757</v>
      </c>
      <c r="G1191" t="s">
        <v>6758</v>
      </c>
    </row>
    <row r="1192">
      <c r="A1192" t="s">
        <v>2823</v>
      </c>
      <c r="B1192" t="s">
        <v>1924</v>
      </c>
      <c r="C1192" t="s">
        <v>2284</v>
      </c>
      <c r="D1192" t="s">
        <v>610</v>
      </c>
      <c r="E1192" t="s">
        <v>6757</v>
      </c>
      <c r="G1192" t="s">
        <v>6758</v>
      </c>
    </row>
    <row r="1193">
      <c r="A1193" t="s">
        <v>2823</v>
      </c>
      <c r="B1193" t="s">
        <v>1924</v>
      </c>
      <c r="C1193" t="s">
        <v>2199</v>
      </c>
      <c r="D1193" t="s">
        <v>410</v>
      </c>
      <c r="E1193" t="s">
        <v>6757</v>
      </c>
      <c r="G1193" t="s">
        <v>6758</v>
      </c>
    </row>
    <row r="1194">
      <c r="A1194" t="s">
        <v>2826</v>
      </c>
      <c r="B1194" t="s">
        <v>1932</v>
      </c>
      <c r="C1194" t="s">
        <v>2287</v>
      </c>
      <c r="D1194" t="s">
        <v>617</v>
      </c>
      <c r="E1194" t="s">
        <v>6757</v>
      </c>
      <c r="G1194" t="s">
        <v>6758</v>
      </c>
    </row>
    <row r="1195">
      <c r="A1195" t="s">
        <v>2826</v>
      </c>
      <c r="B1195" t="s">
        <v>1932</v>
      </c>
      <c r="C1195" t="s">
        <v>2290</v>
      </c>
      <c r="D1195" t="s">
        <v>624</v>
      </c>
      <c r="E1195" t="s">
        <v>6757</v>
      </c>
      <c r="G1195" t="s">
        <v>6758</v>
      </c>
    </row>
    <row r="1196">
      <c r="A1196" t="s">
        <v>2826</v>
      </c>
      <c r="B1196" t="s">
        <v>1932</v>
      </c>
      <c r="C1196" t="s">
        <v>2281</v>
      </c>
      <c r="D1196" t="s">
        <v>602</v>
      </c>
      <c r="E1196" t="s">
        <v>6757</v>
      </c>
      <c r="G1196" t="s">
        <v>6758</v>
      </c>
    </row>
    <row r="1197">
      <c r="A1197" t="s">
        <v>2826</v>
      </c>
      <c r="B1197" t="s">
        <v>1932</v>
      </c>
      <c r="C1197" t="s">
        <v>2284</v>
      </c>
      <c r="D1197" t="s">
        <v>610</v>
      </c>
      <c r="E1197" t="s">
        <v>6757</v>
      </c>
      <c r="G1197" t="s">
        <v>6758</v>
      </c>
    </row>
    <row r="1198">
      <c r="A1198" t="s">
        <v>2826</v>
      </c>
      <c r="B1198" t="s">
        <v>1932</v>
      </c>
      <c r="C1198" t="s">
        <v>2199</v>
      </c>
      <c r="D1198" t="s">
        <v>410</v>
      </c>
      <c r="E1198" t="s">
        <v>6757</v>
      </c>
      <c r="G1198" t="s">
        <v>6758</v>
      </c>
    </row>
    <row r="1199">
      <c r="A1199" t="s">
        <v>2830</v>
      </c>
      <c r="B1199" t="s">
        <v>1942</v>
      </c>
      <c r="C1199" t="s">
        <v>2287</v>
      </c>
      <c r="D1199" t="s">
        <v>617</v>
      </c>
      <c r="E1199" t="s">
        <v>6757</v>
      </c>
      <c r="G1199" t="s">
        <v>6758</v>
      </c>
    </row>
    <row r="1200">
      <c r="A1200" t="s">
        <v>2830</v>
      </c>
      <c r="B1200" t="s">
        <v>1942</v>
      </c>
      <c r="C1200" t="s">
        <v>2290</v>
      </c>
      <c r="D1200" t="s">
        <v>624</v>
      </c>
      <c r="E1200" t="s">
        <v>6757</v>
      </c>
      <c r="G1200" t="s">
        <v>6758</v>
      </c>
    </row>
    <row r="1201">
      <c r="A1201" t="s">
        <v>2830</v>
      </c>
      <c r="B1201" t="s">
        <v>1942</v>
      </c>
      <c r="C1201" t="s">
        <v>2281</v>
      </c>
      <c r="D1201" t="s">
        <v>602</v>
      </c>
      <c r="E1201" t="s">
        <v>6757</v>
      </c>
      <c r="G1201" t="s">
        <v>6758</v>
      </c>
    </row>
    <row r="1202">
      <c r="A1202" t="s">
        <v>2830</v>
      </c>
      <c r="B1202" t="s">
        <v>1942</v>
      </c>
      <c r="C1202" t="s">
        <v>2284</v>
      </c>
      <c r="D1202" t="s">
        <v>610</v>
      </c>
      <c r="E1202" t="s">
        <v>6757</v>
      </c>
      <c r="G1202" t="s">
        <v>6758</v>
      </c>
    </row>
    <row r="1203">
      <c r="A1203" t="s">
        <v>2830</v>
      </c>
      <c r="B1203" t="s">
        <v>1942</v>
      </c>
      <c r="C1203" t="s">
        <v>2199</v>
      </c>
      <c r="D1203" t="s">
        <v>410</v>
      </c>
      <c r="E1203" t="s">
        <v>6757</v>
      </c>
      <c r="G1203" t="s">
        <v>6758</v>
      </c>
    </row>
    <row r="1204">
      <c r="A1204" t="s">
        <v>2835</v>
      </c>
      <c r="B1204" t="s">
        <v>1949</v>
      </c>
      <c r="C1204" t="s">
        <v>2287</v>
      </c>
      <c r="D1204" t="s">
        <v>617</v>
      </c>
      <c r="E1204" t="s">
        <v>6757</v>
      </c>
      <c r="G1204" t="s">
        <v>6758</v>
      </c>
    </row>
    <row r="1205">
      <c r="A1205" t="s">
        <v>2835</v>
      </c>
      <c r="B1205" t="s">
        <v>1949</v>
      </c>
      <c r="C1205" t="s">
        <v>2290</v>
      </c>
      <c r="D1205" t="s">
        <v>624</v>
      </c>
      <c r="E1205" t="s">
        <v>6757</v>
      </c>
      <c r="G1205" t="s">
        <v>6758</v>
      </c>
    </row>
    <row r="1206">
      <c r="A1206" t="s">
        <v>2835</v>
      </c>
      <c r="B1206" t="s">
        <v>1949</v>
      </c>
      <c r="C1206" t="s">
        <v>2281</v>
      </c>
      <c r="D1206" t="s">
        <v>602</v>
      </c>
      <c r="E1206" t="s">
        <v>6757</v>
      </c>
      <c r="G1206" t="s">
        <v>6758</v>
      </c>
    </row>
    <row r="1207">
      <c r="A1207" t="s">
        <v>2835</v>
      </c>
      <c r="B1207" t="s">
        <v>1949</v>
      </c>
      <c r="C1207" t="s">
        <v>2284</v>
      </c>
      <c r="D1207" t="s">
        <v>610</v>
      </c>
      <c r="E1207" t="s">
        <v>6757</v>
      </c>
      <c r="G1207" t="s">
        <v>6758</v>
      </c>
    </row>
    <row r="1208">
      <c r="A1208" t="s">
        <v>2835</v>
      </c>
      <c r="B1208" t="s">
        <v>1949</v>
      </c>
      <c r="C1208" t="s">
        <v>2199</v>
      </c>
      <c r="D1208" t="s">
        <v>410</v>
      </c>
      <c r="E1208" t="s">
        <v>6757</v>
      </c>
      <c r="G1208" t="s">
        <v>6758</v>
      </c>
    </row>
    <row r="1209">
      <c r="A1209" t="s">
        <v>2837</v>
      </c>
      <c r="B1209" t="s">
        <v>1955</v>
      </c>
      <c r="C1209" t="s">
        <v>2287</v>
      </c>
      <c r="D1209" t="s">
        <v>617</v>
      </c>
      <c r="E1209" t="s">
        <v>6757</v>
      </c>
      <c r="G1209" t="s">
        <v>6758</v>
      </c>
    </row>
    <row r="1210">
      <c r="A1210" t="s">
        <v>2837</v>
      </c>
      <c r="B1210" t="s">
        <v>1955</v>
      </c>
      <c r="C1210" t="s">
        <v>2290</v>
      </c>
      <c r="D1210" t="s">
        <v>624</v>
      </c>
      <c r="E1210" t="s">
        <v>6757</v>
      </c>
      <c r="G1210" t="s">
        <v>6758</v>
      </c>
    </row>
    <row r="1211">
      <c r="A1211" t="s">
        <v>2837</v>
      </c>
      <c r="B1211" t="s">
        <v>1955</v>
      </c>
      <c r="C1211" t="s">
        <v>2281</v>
      </c>
      <c r="D1211" t="s">
        <v>602</v>
      </c>
      <c r="E1211" t="s">
        <v>6757</v>
      </c>
      <c r="G1211" t="s">
        <v>6758</v>
      </c>
    </row>
    <row r="1212">
      <c r="A1212" t="s">
        <v>2837</v>
      </c>
      <c r="B1212" t="s">
        <v>1955</v>
      </c>
      <c r="C1212" t="s">
        <v>2284</v>
      </c>
      <c r="D1212" t="s">
        <v>610</v>
      </c>
      <c r="E1212" t="s">
        <v>6757</v>
      </c>
      <c r="G1212" t="s">
        <v>6758</v>
      </c>
    </row>
    <row r="1213">
      <c r="A1213" t="s">
        <v>2837</v>
      </c>
      <c r="B1213" t="s">
        <v>1955</v>
      </c>
      <c r="C1213" t="s">
        <v>2199</v>
      </c>
      <c r="D1213" t="s">
        <v>410</v>
      </c>
      <c r="E1213" t="s">
        <v>6757</v>
      </c>
      <c r="G1213" t="s">
        <v>6758</v>
      </c>
    </row>
    <row r="1214">
      <c r="A1214" t="s">
        <v>3069</v>
      </c>
      <c r="B1214" t="s">
        <v>3072</v>
      </c>
      <c r="C1214" t="s">
        <v>2287</v>
      </c>
      <c r="D1214" t="s">
        <v>617</v>
      </c>
      <c r="E1214" t="s">
        <v>6757</v>
      </c>
      <c r="G1214" t="s">
        <v>6758</v>
      </c>
    </row>
    <row r="1215">
      <c r="A1215" t="s">
        <v>3069</v>
      </c>
      <c r="B1215" t="s">
        <v>3072</v>
      </c>
      <c r="C1215" t="s">
        <v>2290</v>
      </c>
      <c r="D1215" t="s">
        <v>624</v>
      </c>
      <c r="E1215" t="s">
        <v>6757</v>
      </c>
      <c r="G1215" t="s">
        <v>6758</v>
      </c>
    </row>
    <row r="1216">
      <c r="A1216" t="s">
        <v>3069</v>
      </c>
      <c r="B1216" t="s">
        <v>3072</v>
      </c>
      <c r="C1216" t="s">
        <v>2281</v>
      </c>
      <c r="D1216" t="s">
        <v>602</v>
      </c>
      <c r="E1216" t="s">
        <v>6757</v>
      </c>
      <c r="G1216" t="s">
        <v>6758</v>
      </c>
    </row>
    <row r="1217">
      <c r="A1217" t="s">
        <v>3069</v>
      </c>
      <c r="B1217" t="s">
        <v>3072</v>
      </c>
      <c r="C1217" t="s">
        <v>2284</v>
      </c>
      <c r="D1217" t="s">
        <v>610</v>
      </c>
      <c r="E1217" t="s">
        <v>6757</v>
      </c>
      <c r="G1217" t="s">
        <v>6758</v>
      </c>
    </row>
    <row r="1218">
      <c r="A1218" t="s">
        <v>3069</v>
      </c>
      <c r="B1218" t="s">
        <v>3072</v>
      </c>
      <c r="C1218" t="s">
        <v>2199</v>
      </c>
      <c r="D1218" t="s">
        <v>410</v>
      </c>
      <c r="E1218" t="s">
        <v>6757</v>
      </c>
      <c r="G1218" t="s">
        <v>6758</v>
      </c>
    </row>
    <row r="1219">
      <c r="A1219" t="s">
        <v>3086</v>
      </c>
      <c r="B1219" t="s">
        <v>3088</v>
      </c>
      <c r="C1219" t="s">
        <v>2287</v>
      </c>
      <c r="D1219" t="s">
        <v>617</v>
      </c>
      <c r="E1219" t="s">
        <v>6757</v>
      </c>
      <c r="G1219" t="s">
        <v>6758</v>
      </c>
    </row>
    <row r="1220">
      <c r="A1220" t="s">
        <v>3086</v>
      </c>
      <c r="B1220" t="s">
        <v>3088</v>
      </c>
      <c r="C1220" t="s">
        <v>2290</v>
      </c>
      <c r="D1220" t="s">
        <v>624</v>
      </c>
      <c r="E1220" t="s">
        <v>6757</v>
      </c>
      <c r="G1220" t="s">
        <v>6758</v>
      </c>
    </row>
    <row r="1221">
      <c r="A1221" t="s">
        <v>3086</v>
      </c>
      <c r="B1221" t="s">
        <v>3088</v>
      </c>
      <c r="C1221" t="s">
        <v>2281</v>
      </c>
      <c r="D1221" t="s">
        <v>602</v>
      </c>
      <c r="E1221" t="s">
        <v>6757</v>
      </c>
      <c r="G1221" t="s">
        <v>6758</v>
      </c>
    </row>
    <row r="1222">
      <c r="A1222" t="s">
        <v>3086</v>
      </c>
      <c r="B1222" t="s">
        <v>3088</v>
      </c>
      <c r="C1222" t="s">
        <v>2284</v>
      </c>
      <c r="D1222" t="s">
        <v>610</v>
      </c>
      <c r="E1222" t="s">
        <v>6757</v>
      </c>
      <c r="G1222" t="s">
        <v>6758</v>
      </c>
    </row>
    <row r="1223">
      <c r="A1223" t="s">
        <v>3086</v>
      </c>
      <c r="B1223" t="s">
        <v>3088</v>
      </c>
      <c r="C1223" t="s">
        <v>2199</v>
      </c>
      <c r="D1223" t="s">
        <v>410</v>
      </c>
      <c r="E1223" t="s">
        <v>6757</v>
      </c>
      <c r="G1223" t="s">
        <v>6758</v>
      </c>
    </row>
    <row r="1224">
      <c r="A1224" t="s">
        <v>3099</v>
      </c>
      <c r="B1224" t="s">
        <v>3101</v>
      </c>
      <c r="C1224" t="s">
        <v>2287</v>
      </c>
      <c r="D1224" t="s">
        <v>617</v>
      </c>
      <c r="E1224" t="s">
        <v>6757</v>
      </c>
      <c r="G1224" t="s">
        <v>6758</v>
      </c>
    </row>
    <row r="1225">
      <c r="A1225" t="s">
        <v>3099</v>
      </c>
      <c r="B1225" t="s">
        <v>3101</v>
      </c>
      <c r="C1225" t="s">
        <v>2290</v>
      </c>
      <c r="D1225" t="s">
        <v>624</v>
      </c>
      <c r="E1225" t="s">
        <v>6757</v>
      </c>
      <c r="G1225" t="s">
        <v>6758</v>
      </c>
    </row>
    <row r="1226">
      <c r="A1226" t="s">
        <v>3099</v>
      </c>
      <c r="B1226" t="s">
        <v>3101</v>
      </c>
      <c r="C1226" t="s">
        <v>2281</v>
      </c>
      <c r="D1226" t="s">
        <v>602</v>
      </c>
      <c r="E1226" t="s">
        <v>6757</v>
      </c>
      <c r="G1226" t="s">
        <v>6758</v>
      </c>
    </row>
    <row r="1227">
      <c r="A1227" t="s">
        <v>3099</v>
      </c>
      <c r="B1227" t="s">
        <v>3101</v>
      </c>
      <c r="C1227" t="s">
        <v>2284</v>
      </c>
      <c r="D1227" t="s">
        <v>610</v>
      </c>
      <c r="E1227" t="s">
        <v>6757</v>
      </c>
      <c r="G1227" t="s">
        <v>6758</v>
      </c>
    </row>
    <row r="1228">
      <c r="A1228" t="s">
        <v>3099</v>
      </c>
      <c r="B1228" t="s">
        <v>3101</v>
      </c>
      <c r="C1228" t="s">
        <v>2199</v>
      </c>
      <c r="D1228" t="s">
        <v>410</v>
      </c>
      <c r="E1228" t="s">
        <v>6757</v>
      </c>
      <c r="G1228" t="s">
        <v>6758</v>
      </c>
    </row>
    <row r="1250" ht="112">
      <c r="A1250" s="10" t="s">
        <v>3112</v>
      </c>
      <c r="B1250" s="10" t="s">
        <v>3115</v>
      </c>
      <c r="C1250" s="10" t="s">
        <v>2110</v>
      </c>
      <c r="D1250" s="10" t="s">
        <v>192</v>
      </c>
      <c r="E1250" s="10" t="s">
        <v>6757</v>
      </c>
      <c r="F1250" s="10" t="s">
        <v>6760</v>
      </c>
      <c r="G1250" s="10" t="s">
        <v>6758</v>
      </c>
    </row>
    <row r="1251" ht="112">
      <c r="A1251" s="10" t="s">
        <v>3112</v>
      </c>
      <c r="B1251" s="10" t="s">
        <v>3115</v>
      </c>
      <c r="C1251" s="10" t="s">
        <v>2112</v>
      </c>
      <c r="D1251" s="10" t="s">
        <v>198</v>
      </c>
      <c r="E1251" s="10" t="s">
        <v>6757</v>
      </c>
      <c r="F1251" s="10" t="s">
        <v>6760</v>
      </c>
      <c r="G1251" s="10" t="s">
        <v>6758</v>
      </c>
    </row>
    <row r="1252" ht="112">
      <c r="A1252" s="10" t="s">
        <v>3112</v>
      </c>
      <c r="B1252" s="10" t="s">
        <v>3115</v>
      </c>
      <c r="C1252" s="10" t="s">
        <v>2120</v>
      </c>
      <c r="D1252" s="10" t="s">
        <v>219</v>
      </c>
      <c r="E1252" s="10" t="s">
        <v>6757</v>
      </c>
      <c r="F1252" s="10" t="s">
        <v>6760</v>
      </c>
      <c r="G1252" s="10" t="s">
        <v>6758</v>
      </c>
    </row>
    <row r="1253" ht="112">
      <c r="A1253" s="10" t="s">
        <v>3112</v>
      </c>
      <c r="B1253" s="10" t="s">
        <v>3115</v>
      </c>
      <c r="C1253" s="10" t="s">
        <v>2124</v>
      </c>
      <c r="D1253" s="10" t="s">
        <v>226</v>
      </c>
      <c r="E1253" s="10" t="s">
        <v>6757</v>
      </c>
      <c r="F1253" s="10" t="s">
        <v>6760</v>
      </c>
      <c r="G1253" s="10" t="s">
        <v>6758</v>
      </c>
    </row>
    <row r="1254" ht="112">
      <c r="A1254" s="10" t="s">
        <v>3112</v>
      </c>
      <c r="B1254" s="10" t="s">
        <v>3115</v>
      </c>
      <c r="C1254" s="10" t="s">
        <v>2133</v>
      </c>
      <c r="D1254" s="10" t="s">
        <v>248</v>
      </c>
      <c r="E1254" s="10" t="s">
        <v>6757</v>
      </c>
      <c r="F1254" s="10" t="s">
        <v>6760</v>
      </c>
      <c r="G1254" s="10" t="s">
        <v>6758</v>
      </c>
    </row>
    <row r="1255" ht="84">
      <c r="A1255" s="10" t="s">
        <v>3112</v>
      </c>
      <c r="B1255" s="10" t="s">
        <v>3115</v>
      </c>
      <c r="C1255" s="10" t="s">
        <v>2104</v>
      </c>
      <c r="D1255" s="10" t="s">
        <v>177</v>
      </c>
      <c r="E1255" s="10" t="s">
        <v>6761</v>
      </c>
      <c r="F1255" s="10" t="s">
        <v>6762</v>
      </c>
      <c r="G1255" s="10" t="s">
        <v>6758</v>
      </c>
    </row>
    <row r="1256">
      <c r="A1256" t="s">
        <v>3124</v>
      </c>
      <c r="B1256" t="s">
        <v>3125</v>
      </c>
      <c r="C1256" t="s">
        <v>2110</v>
      </c>
      <c r="D1256" t="s">
        <v>192</v>
      </c>
      <c r="E1256" t="s">
        <v>6757</v>
      </c>
      <c r="F1256" t="s">
        <v>6763</v>
      </c>
      <c r="G1256" t="s">
        <v>6758</v>
      </c>
    </row>
    <row r="1257">
      <c r="A1257" t="s">
        <v>3124</v>
      </c>
      <c r="B1257" t="s">
        <v>3125</v>
      </c>
      <c r="C1257" t="s">
        <v>2112</v>
      </c>
      <c r="D1257" t="s">
        <v>198</v>
      </c>
      <c r="E1257" t="s">
        <v>6757</v>
      </c>
      <c r="F1257" t="s">
        <v>6763</v>
      </c>
      <c r="G1257" t="s">
        <v>6758</v>
      </c>
    </row>
    <row r="1258">
      <c r="A1258" t="s">
        <v>3124</v>
      </c>
      <c r="B1258" t="s">
        <v>3125</v>
      </c>
      <c r="C1258" t="s">
        <v>2124</v>
      </c>
      <c r="D1258" t="s">
        <v>226</v>
      </c>
      <c r="E1258" t="s">
        <v>6757</v>
      </c>
      <c r="F1258" t="s">
        <v>6763</v>
      </c>
      <c r="G1258" t="s">
        <v>6758</v>
      </c>
    </row>
    <row r="1259">
      <c r="A1259" t="s">
        <v>3124</v>
      </c>
      <c r="B1259" t="s">
        <v>3125</v>
      </c>
      <c r="C1259" t="s">
        <v>2133</v>
      </c>
      <c r="D1259" t="s">
        <v>248</v>
      </c>
      <c r="E1259" t="s">
        <v>6757</v>
      </c>
      <c r="F1259" t="s">
        <v>6763</v>
      </c>
      <c r="G1259" t="s">
        <v>6758</v>
      </c>
    </row>
    <row r="1260">
      <c r="A1260" t="s">
        <v>3124</v>
      </c>
      <c r="B1260" t="s">
        <v>3125</v>
      </c>
      <c r="C1260" t="s">
        <v>2156</v>
      </c>
      <c r="D1260" t="s">
        <v>306</v>
      </c>
      <c r="E1260" t="s">
        <v>6757</v>
      </c>
      <c r="F1260" t="s">
        <v>6763</v>
      </c>
      <c r="G1260" t="s">
        <v>6758</v>
      </c>
    </row>
    <row r="1261">
      <c r="A1261" t="s">
        <v>3135</v>
      </c>
      <c r="B1261" t="s">
        <v>3138</v>
      </c>
      <c r="C1261" t="s">
        <v>2120</v>
      </c>
      <c r="D1261" t="s">
        <v>219</v>
      </c>
      <c r="E1261" t="s">
        <v>6757</v>
      </c>
      <c r="F1261" t="s">
        <v>6763</v>
      </c>
      <c r="G1261" t="s">
        <v>6758</v>
      </c>
    </row>
    <row r="1262">
      <c r="A1262" t="s">
        <v>3135</v>
      </c>
      <c r="B1262" t="s">
        <v>3138</v>
      </c>
      <c r="C1262" t="s">
        <v>2124</v>
      </c>
      <c r="D1262" t="s">
        <v>226</v>
      </c>
      <c r="E1262" t="s">
        <v>6757</v>
      </c>
      <c r="F1262" t="s">
        <v>6763</v>
      </c>
      <c r="G1262" t="s">
        <v>6758</v>
      </c>
    </row>
    <row r="1263">
      <c r="A1263" t="s">
        <v>3135</v>
      </c>
      <c r="B1263" t="s">
        <v>3138</v>
      </c>
      <c r="C1263" t="s">
        <v>2104</v>
      </c>
      <c r="D1263" t="s">
        <v>177</v>
      </c>
      <c r="E1263" t="s">
        <v>6757</v>
      </c>
      <c r="F1263" t="s">
        <v>6763</v>
      </c>
      <c r="G1263" t="s">
        <v>6758</v>
      </c>
    </row>
    <row r="1264">
      <c r="A1264" t="s">
        <v>3135</v>
      </c>
      <c r="B1264" t="s">
        <v>3138</v>
      </c>
      <c r="C1264" t="s">
        <v>2133</v>
      </c>
      <c r="D1264" t="s">
        <v>248</v>
      </c>
      <c r="E1264" t="s">
        <v>6757</v>
      </c>
      <c r="F1264" t="s">
        <v>6763</v>
      </c>
      <c r="G1264" t="s">
        <v>6758</v>
      </c>
    </row>
    <row r="1265">
      <c r="A1265" t="s">
        <v>3135</v>
      </c>
      <c r="B1265" t="s">
        <v>3138</v>
      </c>
      <c r="C1265" t="s">
        <v>3112</v>
      </c>
      <c r="D1265" t="s">
        <v>3115</v>
      </c>
      <c r="E1265" t="s">
        <v>6757</v>
      </c>
      <c r="F1265" t="s">
        <v>6763</v>
      </c>
      <c r="G1265" t="s">
        <v>6758</v>
      </c>
    </row>
    <row r="1266">
      <c r="A1266" t="s">
        <v>3147</v>
      </c>
      <c r="B1266" t="s">
        <v>3148</v>
      </c>
      <c r="C1266" t="s">
        <v>2120</v>
      </c>
      <c r="D1266" t="s">
        <v>219</v>
      </c>
      <c r="E1266" t="s">
        <v>6757</v>
      </c>
      <c r="F1266" t="s">
        <v>6763</v>
      </c>
      <c r="G1266" t="s">
        <v>6758</v>
      </c>
    </row>
    <row r="1267">
      <c r="A1267" t="s">
        <v>3147</v>
      </c>
      <c r="B1267" t="s">
        <v>3148</v>
      </c>
      <c r="C1267" t="s">
        <v>2124</v>
      </c>
      <c r="D1267" t="s">
        <v>226</v>
      </c>
      <c r="E1267" t="s">
        <v>6757</v>
      </c>
      <c r="F1267" t="s">
        <v>6763</v>
      </c>
      <c r="G1267" t="s">
        <v>6758</v>
      </c>
    </row>
    <row r="1268">
      <c r="A1268" t="s">
        <v>3147</v>
      </c>
      <c r="B1268" t="s">
        <v>3148</v>
      </c>
      <c r="C1268" t="s">
        <v>2081</v>
      </c>
      <c r="D1268" t="s">
        <v>113</v>
      </c>
      <c r="E1268" t="s">
        <v>6757</v>
      </c>
      <c r="F1268" t="s">
        <v>6763</v>
      </c>
      <c r="G1268" t="s">
        <v>6758</v>
      </c>
    </row>
    <row r="1269">
      <c r="A1269" t="s">
        <v>3147</v>
      </c>
      <c r="B1269" t="s">
        <v>3148</v>
      </c>
      <c r="C1269" t="s">
        <v>2170</v>
      </c>
      <c r="D1269" t="s">
        <v>343</v>
      </c>
      <c r="E1269" t="s">
        <v>6757</v>
      </c>
      <c r="F1269" t="s">
        <v>6763</v>
      </c>
      <c r="G1269" t="s">
        <v>6758</v>
      </c>
    </row>
    <row r="1270">
      <c r="A1270" t="s">
        <v>3147</v>
      </c>
      <c r="B1270" t="s">
        <v>3148</v>
      </c>
      <c r="C1270" t="s">
        <v>2188</v>
      </c>
      <c r="D1270" t="s">
        <v>378</v>
      </c>
      <c r="E1270" t="s">
        <v>6757</v>
      </c>
      <c r="F1270" t="s">
        <v>6763</v>
      </c>
      <c r="G1270" t="s">
        <v>6758</v>
      </c>
    </row>
    <row r="1271">
      <c r="A1271" t="s">
        <v>3147</v>
      </c>
      <c r="B1271" t="s">
        <v>3148</v>
      </c>
      <c r="C1271" t="s">
        <v>2133</v>
      </c>
      <c r="D1271" t="s">
        <v>248</v>
      </c>
      <c r="E1271" t="s">
        <v>6757</v>
      </c>
      <c r="F1271" t="s">
        <v>6763</v>
      </c>
      <c r="G1271" t="s">
        <v>6758</v>
      </c>
    </row>
    <row r="1272">
      <c r="A1272" t="s">
        <v>3147</v>
      </c>
      <c r="B1272" t="s">
        <v>3148</v>
      </c>
      <c r="C1272" t="s">
        <v>2839</v>
      </c>
      <c r="D1272" t="s">
        <v>2843</v>
      </c>
      <c r="E1272" t="s">
        <v>6757</v>
      </c>
      <c r="F1272" t="s">
        <v>6763</v>
      </c>
      <c r="G1272" t="s">
        <v>6758</v>
      </c>
    </row>
    <row r="1273">
      <c r="A1273" t="s">
        <v>3162</v>
      </c>
      <c r="B1273" t="s">
        <v>3164</v>
      </c>
      <c r="C1273" t="s">
        <v>2081</v>
      </c>
      <c r="D1273" t="s">
        <v>113</v>
      </c>
      <c r="E1273" t="s">
        <v>6757</v>
      </c>
      <c r="F1273" t="s">
        <v>6763</v>
      </c>
      <c r="G1273" t="s">
        <v>6758</v>
      </c>
    </row>
    <row r="1274">
      <c r="A1274" t="s">
        <v>3162</v>
      </c>
      <c r="B1274" t="s">
        <v>3164</v>
      </c>
      <c r="C1274" t="s">
        <v>2124</v>
      </c>
      <c r="D1274" t="s">
        <v>226</v>
      </c>
      <c r="E1274" t="s">
        <v>6757</v>
      </c>
      <c r="F1274" t="s">
        <v>6763</v>
      </c>
      <c r="G1274" t="s">
        <v>6758</v>
      </c>
    </row>
    <row r="1275">
      <c r="A1275" t="s">
        <v>3162</v>
      </c>
      <c r="B1275" t="s">
        <v>3164</v>
      </c>
      <c r="C1275" t="s">
        <v>2133</v>
      </c>
      <c r="D1275" t="s">
        <v>248</v>
      </c>
      <c r="E1275" t="s">
        <v>6757</v>
      </c>
      <c r="F1275" t="s">
        <v>6763</v>
      </c>
      <c r="G1275" t="s">
        <v>6758</v>
      </c>
    </row>
    <row r="1276">
      <c r="A1276" t="s">
        <v>3162</v>
      </c>
      <c r="B1276" t="s">
        <v>3164</v>
      </c>
      <c r="C1276" t="s">
        <v>2140</v>
      </c>
      <c r="D1276" t="s">
        <v>263</v>
      </c>
      <c r="E1276" t="s">
        <v>6757</v>
      </c>
      <c r="F1276" t="s">
        <v>6763</v>
      </c>
      <c r="G1276" t="s">
        <v>6758</v>
      </c>
    </row>
    <row r="1277">
      <c r="A1277" t="s">
        <v>3162</v>
      </c>
      <c r="B1277" t="s">
        <v>3164</v>
      </c>
      <c r="C1277" t="s">
        <v>2467</v>
      </c>
      <c r="D1277" t="s">
        <v>1029</v>
      </c>
      <c r="E1277" t="s">
        <v>6757</v>
      </c>
      <c r="F1277" t="s">
        <v>6763</v>
      </c>
      <c r="G1277" t="s">
        <v>6758</v>
      </c>
    </row>
    <row r="1278">
      <c r="A1278" t="s">
        <v>3162</v>
      </c>
      <c r="B1278" t="s">
        <v>3164</v>
      </c>
      <c r="C1278" t="s">
        <v>2751</v>
      </c>
      <c r="D1278" t="s">
        <v>1726</v>
      </c>
      <c r="E1278" t="s">
        <v>6757</v>
      </c>
      <c r="F1278" t="s">
        <v>6763</v>
      </c>
      <c r="G1278" t="s">
        <v>6758</v>
      </c>
    </row>
    <row r="1279">
      <c r="A1279" t="s">
        <v>3162</v>
      </c>
      <c r="B1279" t="s">
        <v>3164</v>
      </c>
      <c r="C1279" t="s">
        <v>2508</v>
      </c>
      <c r="D1279" t="s">
        <v>1131</v>
      </c>
      <c r="E1279" t="s">
        <v>6757</v>
      </c>
      <c r="F1279" t="s">
        <v>6763</v>
      </c>
      <c r="G1279" t="s">
        <v>6758</v>
      </c>
    </row>
    <row r="1280">
      <c r="A1280" t="s">
        <v>3162</v>
      </c>
      <c r="B1280" t="s">
        <v>3164</v>
      </c>
      <c r="C1280" t="s">
        <v>2970</v>
      </c>
      <c r="D1280" t="s">
        <v>2971</v>
      </c>
      <c r="E1280" t="s">
        <v>6757</v>
      </c>
      <c r="F1280" t="s">
        <v>6763</v>
      </c>
      <c r="G1280" t="s">
        <v>6758</v>
      </c>
    </row>
    <row r="1281">
      <c r="A1281" t="s">
        <v>3179</v>
      </c>
      <c r="B1281" t="s">
        <v>3183</v>
      </c>
      <c r="C1281" t="s">
        <v>2081</v>
      </c>
      <c r="D1281" t="s">
        <v>113</v>
      </c>
      <c r="E1281" t="s">
        <v>6757</v>
      </c>
      <c r="F1281" t="s">
        <v>6763</v>
      </c>
      <c r="G1281" t="s">
        <v>6758</v>
      </c>
    </row>
    <row r="1282">
      <c r="A1282" t="s">
        <v>3179</v>
      </c>
      <c r="B1282" t="s">
        <v>3183</v>
      </c>
      <c r="C1282" t="s">
        <v>2196</v>
      </c>
      <c r="D1282" t="s">
        <v>400</v>
      </c>
      <c r="E1282" t="s">
        <v>6757</v>
      </c>
      <c r="F1282" t="s">
        <v>6763</v>
      </c>
      <c r="G1282" t="s">
        <v>6758</v>
      </c>
    </row>
    <row r="1283">
      <c r="A1283" t="s">
        <v>3179</v>
      </c>
      <c r="B1283" t="s">
        <v>3183</v>
      </c>
      <c r="C1283" t="s">
        <v>2133</v>
      </c>
      <c r="D1283" t="s">
        <v>248</v>
      </c>
      <c r="E1283" t="s">
        <v>6757</v>
      </c>
      <c r="F1283" t="s">
        <v>6763</v>
      </c>
      <c r="G1283" t="s">
        <v>6758</v>
      </c>
    </row>
    <row r="1284">
      <c r="A1284" t="s">
        <v>3179</v>
      </c>
      <c r="B1284" t="s">
        <v>3183</v>
      </c>
      <c r="C1284" t="s">
        <v>2857</v>
      </c>
      <c r="D1284" t="s">
        <v>2861</v>
      </c>
      <c r="E1284" t="s">
        <v>6757</v>
      </c>
      <c r="F1284" t="s">
        <v>6763</v>
      </c>
      <c r="G1284" t="s">
        <v>6758</v>
      </c>
    </row>
    <row r="1285">
      <c r="A1285" t="s">
        <v>3179</v>
      </c>
      <c r="B1285" t="s">
        <v>3183</v>
      </c>
      <c r="C1285" t="s">
        <v>2871</v>
      </c>
      <c r="D1285" t="s">
        <v>2872</v>
      </c>
      <c r="E1285" t="s">
        <v>6757</v>
      </c>
      <c r="F1285" t="s">
        <v>6763</v>
      </c>
      <c r="G1285" t="s">
        <v>6758</v>
      </c>
    </row>
    <row r="1286">
      <c r="A1286" t="s">
        <v>3200</v>
      </c>
      <c r="B1286" t="s">
        <v>3202</v>
      </c>
      <c r="C1286" t="s">
        <v>2081</v>
      </c>
      <c r="D1286" t="s">
        <v>113</v>
      </c>
      <c r="E1286" t="s">
        <v>6757</v>
      </c>
      <c r="F1286" t="s">
        <v>6763</v>
      </c>
      <c r="G1286" t="s">
        <v>6758</v>
      </c>
    </row>
    <row r="1287">
      <c r="A1287" t="s">
        <v>3200</v>
      </c>
      <c r="B1287" t="s">
        <v>3202</v>
      </c>
      <c r="C1287" t="s">
        <v>2224</v>
      </c>
      <c r="D1287" t="s">
        <v>467</v>
      </c>
      <c r="E1287" t="s">
        <v>6757</v>
      </c>
      <c r="F1287" t="s">
        <v>6763</v>
      </c>
      <c r="G1287" t="s">
        <v>6758</v>
      </c>
    </row>
    <row r="1288">
      <c r="A1288" t="s">
        <v>3200</v>
      </c>
      <c r="B1288" t="s">
        <v>3202</v>
      </c>
      <c r="C1288" t="s">
        <v>2124</v>
      </c>
      <c r="D1288" t="s">
        <v>226</v>
      </c>
      <c r="E1288" t="s">
        <v>6757</v>
      </c>
      <c r="F1288" t="s">
        <v>6763</v>
      </c>
      <c r="G1288" t="s">
        <v>6758</v>
      </c>
    </row>
    <row r="1289">
      <c r="A1289" t="s">
        <v>3200</v>
      </c>
      <c r="B1289" t="s">
        <v>3202</v>
      </c>
      <c r="C1289" t="s">
        <v>2133</v>
      </c>
      <c r="D1289" t="s">
        <v>248</v>
      </c>
      <c r="E1289" t="s">
        <v>6757</v>
      </c>
      <c r="F1289" t="s">
        <v>6763</v>
      </c>
      <c r="G1289" t="s">
        <v>6758</v>
      </c>
    </row>
    <row r="1290">
      <c r="A1290" t="s">
        <v>3200</v>
      </c>
      <c r="B1290" t="s">
        <v>3202</v>
      </c>
      <c r="C1290" t="s">
        <v>2140</v>
      </c>
      <c r="D1290" t="s">
        <v>263</v>
      </c>
      <c r="E1290" t="s">
        <v>6757</v>
      </c>
      <c r="F1290" t="s">
        <v>6763</v>
      </c>
      <c r="G1290" t="s">
        <v>6758</v>
      </c>
    </row>
    <row r="1291">
      <c r="A1291" t="s">
        <v>3200</v>
      </c>
      <c r="B1291" t="s">
        <v>3202</v>
      </c>
      <c r="C1291" t="s">
        <v>2439</v>
      </c>
      <c r="D1291" t="s">
        <v>973</v>
      </c>
      <c r="E1291" t="s">
        <v>6757</v>
      </c>
      <c r="F1291" t="s">
        <v>6763</v>
      </c>
      <c r="G1291" t="s">
        <v>6758</v>
      </c>
    </row>
    <row r="1292">
      <c r="A1292" t="s">
        <v>3200</v>
      </c>
      <c r="B1292" t="s">
        <v>3202</v>
      </c>
      <c r="C1292" t="s">
        <v>2751</v>
      </c>
      <c r="D1292" t="s">
        <v>1726</v>
      </c>
      <c r="E1292" t="s">
        <v>6757</v>
      </c>
      <c r="F1292" t="s">
        <v>6763</v>
      </c>
      <c r="G1292" t="s">
        <v>6758</v>
      </c>
    </row>
    <row r="1293">
      <c r="A1293" t="s">
        <v>3216</v>
      </c>
      <c r="B1293" t="s">
        <v>3219</v>
      </c>
      <c r="C1293" t="s">
        <v>2110</v>
      </c>
      <c r="D1293" t="s">
        <v>192</v>
      </c>
      <c r="E1293" t="s">
        <v>6757</v>
      </c>
      <c r="F1293" t="s">
        <v>6764</v>
      </c>
      <c r="G1293" t="s">
        <v>6758</v>
      </c>
    </row>
    <row r="1294">
      <c r="A1294" t="s">
        <v>3216</v>
      </c>
      <c r="B1294" t="s">
        <v>3219</v>
      </c>
      <c r="C1294" t="s">
        <v>2112</v>
      </c>
      <c r="D1294" t="s">
        <v>198</v>
      </c>
      <c r="E1294" t="s">
        <v>6757</v>
      </c>
      <c r="F1294" t="s">
        <v>6764</v>
      </c>
      <c r="G1294" t="s">
        <v>6758</v>
      </c>
    </row>
    <row r="1295">
      <c r="A1295" t="s">
        <v>3216</v>
      </c>
      <c r="B1295" t="s">
        <v>3219</v>
      </c>
      <c r="C1295" t="s">
        <v>2124</v>
      </c>
      <c r="D1295" t="s">
        <v>226</v>
      </c>
      <c r="E1295" t="s">
        <v>6757</v>
      </c>
      <c r="F1295" t="s">
        <v>6764</v>
      </c>
      <c r="G1295" t="s">
        <v>6758</v>
      </c>
    </row>
    <row r="1296">
      <c r="A1296" t="s">
        <v>3216</v>
      </c>
      <c r="B1296" t="s">
        <v>3219</v>
      </c>
      <c r="C1296" t="s">
        <v>2133</v>
      </c>
      <c r="D1296" t="s">
        <v>248</v>
      </c>
      <c r="E1296" t="s">
        <v>6757</v>
      </c>
      <c r="F1296" t="s">
        <v>6764</v>
      </c>
      <c r="G1296" t="s">
        <v>6758</v>
      </c>
    </row>
    <row r="1297">
      <c r="A1297" t="s">
        <v>3216</v>
      </c>
      <c r="B1297" t="s">
        <v>3219</v>
      </c>
      <c r="C1297" t="s">
        <v>2281</v>
      </c>
      <c r="D1297" t="s">
        <v>602</v>
      </c>
      <c r="E1297" t="s">
        <v>6757</v>
      </c>
      <c r="F1297" t="s">
        <v>6764</v>
      </c>
      <c r="G1297" t="s">
        <v>6758</v>
      </c>
    </row>
    <row r="1298">
      <c r="A1298" t="s">
        <v>3216</v>
      </c>
      <c r="B1298" t="s">
        <v>3219</v>
      </c>
      <c r="C1298" t="s">
        <v>2287</v>
      </c>
      <c r="D1298" t="s">
        <v>617</v>
      </c>
      <c r="E1298" t="s">
        <v>6757</v>
      </c>
      <c r="F1298" t="s">
        <v>6764</v>
      </c>
      <c r="G1298" t="s">
        <v>6758</v>
      </c>
    </row>
    <row r="1299">
      <c r="A1299" t="s">
        <v>3234</v>
      </c>
      <c r="B1299" t="s">
        <v>3236</v>
      </c>
      <c r="C1299" t="s">
        <v>3216</v>
      </c>
      <c r="D1299" t="s">
        <v>3219</v>
      </c>
      <c r="E1299" t="s">
        <v>6757</v>
      </c>
      <c r="F1299" t="s">
        <v>6764</v>
      </c>
      <c r="G1299" t="s">
        <v>6758</v>
      </c>
    </row>
    <row r="1300">
      <c r="A1300" t="s">
        <v>3234</v>
      </c>
      <c r="B1300" t="s">
        <v>3236</v>
      </c>
      <c r="C1300" t="s">
        <v>3280</v>
      </c>
      <c r="D1300" t="s">
        <v>3282</v>
      </c>
      <c r="E1300" t="s">
        <v>6757</v>
      </c>
      <c r="F1300" t="s">
        <v>6764</v>
      </c>
      <c r="G1300" t="s">
        <v>6758</v>
      </c>
    </row>
    <row r="1301">
      <c r="A1301" t="s">
        <v>3234</v>
      </c>
      <c r="B1301" t="s">
        <v>3236</v>
      </c>
      <c r="C1301" t="s">
        <v>2133</v>
      </c>
      <c r="D1301" t="s">
        <v>248</v>
      </c>
      <c r="E1301" t="s">
        <v>6757</v>
      </c>
      <c r="F1301" t="s">
        <v>6764</v>
      </c>
      <c r="G1301" t="s">
        <v>6758</v>
      </c>
    </row>
    <row r="1302">
      <c r="A1302" t="s">
        <v>3234</v>
      </c>
      <c r="B1302" t="s">
        <v>3236</v>
      </c>
      <c r="C1302" t="s">
        <v>2140</v>
      </c>
      <c r="D1302" t="s">
        <v>263</v>
      </c>
      <c r="E1302" t="s">
        <v>6757</v>
      </c>
      <c r="F1302" t="s">
        <v>6764</v>
      </c>
      <c r="G1302" t="s">
        <v>6758</v>
      </c>
    </row>
    <row r="1303">
      <c r="A1303" t="s">
        <v>3234</v>
      </c>
      <c r="B1303" t="s">
        <v>3236</v>
      </c>
      <c r="C1303" t="s">
        <v>2284</v>
      </c>
      <c r="D1303" t="s">
        <v>610</v>
      </c>
      <c r="E1303" t="s">
        <v>6757</v>
      </c>
      <c r="F1303" t="s">
        <v>6764</v>
      </c>
      <c r="G1303" t="s">
        <v>6758</v>
      </c>
    </row>
    <row r="1304">
      <c r="A1304" t="s">
        <v>3234</v>
      </c>
      <c r="B1304" t="s">
        <v>3236</v>
      </c>
      <c r="C1304" t="s">
        <v>2290</v>
      </c>
      <c r="D1304" t="s">
        <v>624</v>
      </c>
      <c r="E1304" t="s">
        <v>6757</v>
      </c>
      <c r="F1304" t="s">
        <v>6764</v>
      </c>
      <c r="G1304" t="s">
        <v>6758</v>
      </c>
    </row>
    <row r="1305">
      <c r="A1305" t="s">
        <v>3234</v>
      </c>
      <c r="B1305" t="s">
        <v>3236</v>
      </c>
      <c r="C1305" t="s">
        <v>2196</v>
      </c>
      <c r="D1305" t="s">
        <v>400</v>
      </c>
      <c r="E1305" t="s">
        <v>6757</v>
      </c>
      <c r="F1305" t="s">
        <v>6764</v>
      </c>
      <c r="G1305" t="s">
        <v>6758</v>
      </c>
    </row>
    <row r="1306">
      <c r="A1306" t="s">
        <v>3234</v>
      </c>
      <c r="B1306" t="s">
        <v>3236</v>
      </c>
      <c r="C1306" t="s">
        <v>2203</v>
      </c>
      <c r="D1306" t="s">
        <v>417</v>
      </c>
      <c r="E1306" t="s">
        <v>6757</v>
      </c>
      <c r="F1306" t="s">
        <v>6764</v>
      </c>
      <c r="G1306" t="s">
        <v>6758</v>
      </c>
    </row>
    <row r="1307">
      <c r="A1307" t="s">
        <v>3248</v>
      </c>
      <c r="B1307" t="s">
        <v>3250</v>
      </c>
      <c r="C1307" t="s">
        <v>3216</v>
      </c>
      <c r="D1307" t="s">
        <v>3219</v>
      </c>
      <c r="E1307" t="s">
        <v>6757</v>
      </c>
      <c r="F1307" t="s">
        <v>6764</v>
      </c>
      <c r="G1307" t="s">
        <v>6758</v>
      </c>
    </row>
    <row r="1308">
      <c r="A1308" t="s">
        <v>3248</v>
      </c>
      <c r="B1308" t="s">
        <v>3250</v>
      </c>
      <c r="C1308" t="s">
        <v>3280</v>
      </c>
      <c r="D1308" t="s">
        <v>3282</v>
      </c>
      <c r="E1308" t="s">
        <v>6757</v>
      </c>
      <c r="F1308" t="s">
        <v>6764</v>
      </c>
      <c r="G1308" t="s">
        <v>6758</v>
      </c>
    </row>
    <row r="1309">
      <c r="A1309" t="s">
        <v>3248</v>
      </c>
      <c r="B1309" t="s">
        <v>3250</v>
      </c>
      <c r="C1309" t="s">
        <v>2170</v>
      </c>
      <c r="D1309" t="s">
        <v>343</v>
      </c>
      <c r="E1309" t="s">
        <v>6757</v>
      </c>
      <c r="F1309" t="s">
        <v>6764</v>
      </c>
      <c r="G1309" t="s">
        <v>6758</v>
      </c>
    </row>
    <row r="1310">
      <c r="A1310" t="s">
        <v>3248</v>
      </c>
      <c r="B1310" t="s">
        <v>3250</v>
      </c>
      <c r="C1310" t="s">
        <v>2174</v>
      </c>
      <c r="D1310" t="s">
        <v>351</v>
      </c>
      <c r="E1310" t="s">
        <v>6757</v>
      </c>
      <c r="F1310" t="s">
        <v>6764</v>
      </c>
      <c r="G1310" t="s">
        <v>6758</v>
      </c>
    </row>
    <row r="1311">
      <c r="A1311" t="s">
        <v>3248</v>
      </c>
      <c r="B1311" t="s">
        <v>3250</v>
      </c>
      <c r="C1311" t="s">
        <v>2107</v>
      </c>
      <c r="D1311" t="s">
        <v>184</v>
      </c>
      <c r="E1311" t="s">
        <v>6757</v>
      </c>
      <c r="F1311" t="s">
        <v>6764</v>
      </c>
      <c r="G1311" t="s">
        <v>6758</v>
      </c>
    </row>
    <row r="1312">
      <c r="A1312" t="s">
        <v>3248</v>
      </c>
      <c r="B1312" t="s">
        <v>3250</v>
      </c>
      <c r="C1312" t="s">
        <v>2133</v>
      </c>
      <c r="D1312" t="s">
        <v>248</v>
      </c>
      <c r="E1312" t="s">
        <v>6757</v>
      </c>
      <c r="F1312" t="s">
        <v>6764</v>
      </c>
      <c r="G1312" t="s">
        <v>6758</v>
      </c>
    </row>
    <row r="1313">
      <c r="A1313" t="s">
        <v>3248</v>
      </c>
      <c r="B1313" t="s">
        <v>3250</v>
      </c>
      <c r="C1313" t="s">
        <v>2196</v>
      </c>
      <c r="D1313" t="s">
        <v>400</v>
      </c>
      <c r="E1313" t="s">
        <v>6757</v>
      </c>
      <c r="F1313" t="s">
        <v>6764</v>
      </c>
      <c r="G1313" t="s">
        <v>6758</v>
      </c>
    </row>
    <row r="1314">
      <c r="A1314" t="s">
        <v>3264</v>
      </c>
      <c r="B1314" t="s">
        <v>3266</v>
      </c>
      <c r="C1314" t="s">
        <v>3216</v>
      </c>
      <c r="D1314" t="s">
        <v>3219</v>
      </c>
      <c r="E1314" t="s">
        <v>6757</v>
      </c>
      <c r="F1314" t="s">
        <v>6764</v>
      </c>
      <c r="G1314" t="s">
        <v>6758</v>
      </c>
    </row>
    <row r="1315">
      <c r="A1315" t="s">
        <v>3264</v>
      </c>
      <c r="B1315" t="s">
        <v>3266</v>
      </c>
      <c r="C1315" t="s">
        <v>3234</v>
      </c>
      <c r="D1315" t="s">
        <v>3236</v>
      </c>
      <c r="E1315" t="s">
        <v>6757</v>
      </c>
      <c r="F1315" t="s">
        <v>6764</v>
      </c>
      <c r="G1315" t="s">
        <v>6758</v>
      </c>
    </row>
    <row r="1316">
      <c r="A1316" t="s">
        <v>3264</v>
      </c>
      <c r="B1316" t="s">
        <v>3266</v>
      </c>
      <c r="C1316" t="s">
        <v>3280</v>
      </c>
      <c r="D1316" t="s">
        <v>3282</v>
      </c>
      <c r="E1316" t="s">
        <v>6757</v>
      </c>
      <c r="F1316" t="s">
        <v>6764</v>
      </c>
      <c r="G1316" t="s">
        <v>6758</v>
      </c>
    </row>
    <row r="1317">
      <c r="A1317" t="s">
        <v>3264</v>
      </c>
      <c r="B1317" t="s">
        <v>3266</v>
      </c>
      <c r="C1317" t="s">
        <v>3112</v>
      </c>
      <c r="D1317" t="s">
        <v>3115</v>
      </c>
      <c r="E1317" t="s">
        <v>6757</v>
      </c>
      <c r="F1317" t="s">
        <v>6764</v>
      </c>
      <c r="G1317" t="s">
        <v>6758</v>
      </c>
    </row>
    <row r="1318">
      <c r="A1318" t="s">
        <v>3264</v>
      </c>
      <c r="B1318" t="s">
        <v>3266</v>
      </c>
      <c r="C1318" t="s">
        <v>3124</v>
      </c>
      <c r="D1318" t="s">
        <v>3125</v>
      </c>
      <c r="E1318" t="s">
        <v>6757</v>
      </c>
      <c r="F1318" t="s">
        <v>6764</v>
      </c>
      <c r="G1318" t="s">
        <v>6758</v>
      </c>
    </row>
    <row r="1319">
      <c r="A1319" t="s">
        <v>3264</v>
      </c>
      <c r="B1319" t="s">
        <v>3266</v>
      </c>
      <c r="C1319" t="s">
        <v>3135</v>
      </c>
      <c r="D1319" t="s">
        <v>3138</v>
      </c>
      <c r="E1319" t="s">
        <v>6757</v>
      </c>
      <c r="F1319" t="s">
        <v>6764</v>
      </c>
      <c r="G1319" t="s">
        <v>6758</v>
      </c>
    </row>
    <row r="1320">
      <c r="A1320" t="s">
        <v>3264</v>
      </c>
      <c r="B1320" t="s">
        <v>3266</v>
      </c>
      <c r="C1320" t="s">
        <v>2124</v>
      </c>
      <c r="D1320" t="s">
        <v>226</v>
      </c>
      <c r="E1320" t="s">
        <v>6757</v>
      </c>
      <c r="F1320" t="s">
        <v>6764</v>
      </c>
      <c r="G1320" t="s">
        <v>6758</v>
      </c>
    </row>
    <row r="1321">
      <c r="A1321" t="s">
        <v>3264</v>
      </c>
      <c r="B1321" t="s">
        <v>3266</v>
      </c>
      <c r="C1321" t="s">
        <v>2133</v>
      </c>
      <c r="D1321" t="s">
        <v>248</v>
      </c>
      <c r="E1321" t="s">
        <v>6757</v>
      </c>
      <c r="F1321" t="s">
        <v>6764</v>
      </c>
      <c r="G1321" t="s">
        <v>6758</v>
      </c>
    </row>
    <row r="1322">
      <c r="A1322" t="s">
        <v>3280</v>
      </c>
      <c r="B1322" t="s">
        <v>3282</v>
      </c>
      <c r="C1322" t="s">
        <v>3216</v>
      </c>
      <c r="D1322" t="s">
        <v>3219</v>
      </c>
      <c r="E1322" t="s">
        <v>6757</v>
      </c>
      <c r="F1322" t="s">
        <v>6764</v>
      </c>
      <c r="G1322" t="s">
        <v>6758</v>
      </c>
    </row>
    <row r="1323">
      <c r="A1323" t="s">
        <v>3280</v>
      </c>
      <c r="B1323" t="s">
        <v>3282</v>
      </c>
      <c r="C1323" t="s">
        <v>2124</v>
      </c>
      <c r="D1323" t="s">
        <v>226</v>
      </c>
      <c r="E1323" t="s">
        <v>6757</v>
      </c>
      <c r="F1323" t="s">
        <v>6764</v>
      </c>
      <c r="G1323" t="s">
        <v>6758</v>
      </c>
    </row>
    <row r="1324">
      <c r="A1324" t="s">
        <v>3280</v>
      </c>
      <c r="B1324" t="s">
        <v>3282</v>
      </c>
      <c r="C1324" t="s">
        <v>2133</v>
      </c>
      <c r="D1324" t="s">
        <v>248</v>
      </c>
      <c r="E1324" t="s">
        <v>6757</v>
      </c>
      <c r="F1324" t="s">
        <v>6764</v>
      </c>
      <c r="G1324" t="s">
        <v>6758</v>
      </c>
    </row>
    <row r="1325">
      <c r="A1325" t="s">
        <v>3280</v>
      </c>
      <c r="B1325" t="s">
        <v>3282</v>
      </c>
      <c r="C1325" t="s">
        <v>2140</v>
      </c>
      <c r="D1325" t="s">
        <v>263</v>
      </c>
      <c r="E1325" t="s">
        <v>6757</v>
      </c>
      <c r="F1325" t="s">
        <v>6764</v>
      </c>
      <c r="G1325" t="s">
        <v>6758</v>
      </c>
    </row>
    <row r="1326">
      <c r="A1326" t="s">
        <v>3280</v>
      </c>
      <c r="B1326" t="s">
        <v>3282</v>
      </c>
      <c r="C1326" t="s">
        <v>2146</v>
      </c>
      <c r="D1326" t="s">
        <v>279</v>
      </c>
      <c r="E1326" t="s">
        <v>6757</v>
      </c>
      <c r="F1326" t="s">
        <v>6764</v>
      </c>
      <c r="G1326" t="s">
        <v>6758</v>
      </c>
    </row>
    <row r="1327">
      <c r="A1327" t="s">
        <v>3280</v>
      </c>
      <c r="B1327" t="s">
        <v>3282</v>
      </c>
      <c r="C1327" t="s">
        <v>2287</v>
      </c>
      <c r="D1327" t="s">
        <v>617</v>
      </c>
      <c r="E1327" t="s">
        <v>6757</v>
      </c>
      <c r="F1327" t="s">
        <v>6764</v>
      </c>
      <c r="G1327" t="s">
        <v>6758</v>
      </c>
    </row>
    <row r="1328">
      <c r="A1328" t="s">
        <v>3280</v>
      </c>
      <c r="B1328" t="s">
        <v>3282</v>
      </c>
      <c r="C1328" t="s">
        <v>2290</v>
      </c>
      <c r="D1328" t="s">
        <v>624</v>
      </c>
      <c r="E1328" t="s">
        <v>6757</v>
      </c>
      <c r="F1328" t="s">
        <v>6764</v>
      </c>
      <c r="G1328" t="s">
        <v>6758</v>
      </c>
    </row>
    <row r="1329">
      <c r="A1329" t="s">
        <v>3295</v>
      </c>
      <c r="B1329" t="s">
        <v>3298</v>
      </c>
      <c r="C1329" t="s">
        <v>3112</v>
      </c>
      <c r="D1329" t="s">
        <v>3115</v>
      </c>
      <c r="E1329" t="s">
        <v>6757</v>
      </c>
      <c r="F1329" t="s">
        <v>6765</v>
      </c>
      <c r="G1329" t="s">
        <v>6758</v>
      </c>
    </row>
    <row r="1330">
      <c r="A1330" t="s">
        <v>3295</v>
      </c>
      <c r="B1330" t="s">
        <v>3298</v>
      </c>
      <c r="C1330" t="s">
        <v>3124</v>
      </c>
      <c r="D1330" t="s">
        <v>3125</v>
      </c>
      <c r="E1330" t="s">
        <v>6757</v>
      </c>
      <c r="F1330" t="s">
        <v>6765</v>
      </c>
      <c r="G1330" t="s">
        <v>6758</v>
      </c>
    </row>
    <row r="1331">
      <c r="A1331" t="s">
        <v>3295</v>
      </c>
      <c r="B1331" t="s">
        <v>3298</v>
      </c>
      <c r="C1331" t="s">
        <v>2124</v>
      </c>
      <c r="D1331" t="s">
        <v>226</v>
      </c>
      <c r="E1331" t="s">
        <v>6757</v>
      </c>
      <c r="F1331" t="s">
        <v>6765</v>
      </c>
      <c r="G1331" t="s">
        <v>6758</v>
      </c>
    </row>
    <row r="1332">
      <c r="A1332" t="s">
        <v>3308</v>
      </c>
      <c r="B1332" t="s">
        <v>3310</v>
      </c>
      <c r="C1332" t="s">
        <v>2839</v>
      </c>
      <c r="D1332" t="s">
        <v>2843</v>
      </c>
      <c r="E1332" t="s">
        <v>6757</v>
      </c>
      <c r="F1332" t="s">
        <v>6765</v>
      </c>
      <c r="G1332" t="s">
        <v>6758</v>
      </c>
    </row>
    <row r="1333">
      <c r="A1333" t="s">
        <v>3308</v>
      </c>
      <c r="B1333" t="s">
        <v>3310</v>
      </c>
      <c r="C1333" t="s">
        <v>3147</v>
      </c>
      <c r="D1333" t="s">
        <v>3148</v>
      </c>
      <c r="E1333" t="s">
        <v>6757</v>
      </c>
      <c r="F1333" t="s">
        <v>6765</v>
      </c>
      <c r="G1333" t="s">
        <v>6758</v>
      </c>
    </row>
    <row r="1334">
      <c r="A1334" t="s">
        <v>3308</v>
      </c>
      <c r="B1334" t="s">
        <v>3310</v>
      </c>
      <c r="C1334" t="s">
        <v>2124</v>
      </c>
      <c r="D1334" t="s">
        <v>226</v>
      </c>
      <c r="E1334" t="s">
        <v>6757</v>
      </c>
      <c r="F1334" t="s">
        <v>6765</v>
      </c>
      <c r="G1334" t="s">
        <v>6758</v>
      </c>
    </row>
    <row r="1335">
      <c r="A1335" t="s">
        <v>3308</v>
      </c>
      <c r="B1335" t="s">
        <v>3310</v>
      </c>
      <c r="C1335" t="s">
        <v>2133</v>
      </c>
      <c r="D1335" t="s">
        <v>248</v>
      </c>
      <c r="E1335" t="s">
        <v>6757</v>
      </c>
      <c r="F1335" t="s">
        <v>6765</v>
      </c>
      <c r="G1335" t="s">
        <v>6758</v>
      </c>
    </row>
    <row r="1336">
      <c r="A1336" t="s">
        <v>3319</v>
      </c>
      <c r="B1336" t="s">
        <v>3320</v>
      </c>
      <c r="C1336" t="s">
        <v>3147</v>
      </c>
      <c r="D1336" t="s">
        <v>3148</v>
      </c>
      <c r="E1336" t="s">
        <v>6757</v>
      </c>
      <c r="F1336" t="s">
        <v>6765</v>
      </c>
      <c r="G1336" t="s">
        <v>6758</v>
      </c>
    </row>
    <row r="1337">
      <c r="A1337" t="s">
        <v>3319</v>
      </c>
      <c r="B1337" t="s">
        <v>3320</v>
      </c>
      <c r="C1337" t="s">
        <v>2839</v>
      </c>
      <c r="D1337" t="s">
        <v>2843</v>
      </c>
      <c r="E1337" t="s">
        <v>6757</v>
      </c>
      <c r="F1337" t="s">
        <v>6765</v>
      </c>
      <c r="G1337" t="s">
        <v>6758</v>
      </c>
    </row>
    <row r="1338">
      <c r="A1338" t="s">
        <v>3319</v>
      </c>
      <c r="B1338" t="s">
        <v>3320</v>
      </c>
      <c r="C1338" t="s">
        <v>2133</v>
      </c>
      <c r="D1338" t="s">
        <v>248</v>
      </c>
      <c r="E1338" t="s">
        <v>6757</v>
      </c>
      <c r="F1338" t="s">
        <v>6765</v>
      </c>
      <c r="G1338" t="s">
        <v>6758</v>
      </c>
    </row>
    <row r="1339">
      <c r="A1339" t="s">
        <v>3329</v>
      </c>
      <c r="B1339" t="s">
        <v>3332</v>
      </c>
      <c r="C1339" t="s">
        <v>3308</v>
      </c>
      <c r="D1339" t="s">
        <v>3310</v>
      </c>
      <c r="E1339" t="s">
        <v>6757</v>
      </c>
      <c r="F1339" t="s">
        <v>6765</v>
      </c>
      <c r="G1339" t="s">
        <v>6758</v>
      </c>
    </row>
    <row r="1340">
      <c r="A1340" t="s">
        <v>3329</v>
      </c>
      <c r="B1340" t="s">
        <v>3332</v>
      </c>
      <c r="C1340" t="s">
        <v>2140</v>
      </c>
      <c r="D1340" t="s">
        <v>263</v>
      </c>
      <c r="E1340" t="s">
        <v>6757</v>
      </c>
      <c r="F1340" t="s">
        <v>6765</v>
      </c>
      <c r="G1340" t="s">
        <v>6758</v>
      </c>
    </row>
    <row r="1341">
      <c r="A1341" t="s">
        <v>3329</v>
      </c>
      <c r="B1341" t="s">
        <v>3332</v>
      </c>
      <c r="C1341" t="s">
        <v>2156</v>
      </c>
      <c r="D1341" t="s">
        <v>2157</v>
      </c>
      <c r="E1341" t="s">
        <v>6757</v>
      </c>
      <c r="F1341" t="s">
        <v>6765</v>
      </c>
      <c r="G1341" t="s">
        <v>6758</v>
      </c>
    </row>
    <row r="1342">
      <c r="A1342" t="s">
        <v>3344</v>
      </c>
      <c r="B1342" t="s">
        <v>3345</v>
      </c>
      <c r="C1342" t="s">
        <v>3329</v>
      </c>
      <c r="D1342" t="s">
        <v>3332</v>
      </c>
      <c r="E1342" t="s">
        <v>6757</v>
      </c>
      <c r="F1342" t="s">
        <v>6765</v>
      </c>
      <c r="G1342" t="s">
        <v>6758</v>
      </c>
    </row>
    <row r="1343">
      <c r="A1343" t="s">
        <v>3344</v>
      </c>
      <c r="B1343" t="s">
        <v>3345</v>
      </c>
      <c r="C1343" t="s">
        <v>2140</v>
      </c>
      <c r="D1343" t="s">
        <v>263</v>
      </c>
      <c r="E1343" t="s">
        <v>6757</v>
      </c>
      <c r="F1343" t="s">
        <v>6765</v>
      </c>
      <c r="G1343" t="s">
        <v>6758</v>
      </c>
    </row>
    <row r="1344">
      <c r="A1344" t="s">
        <v>3344</v>
      </c>
      <c r="B1344" t="s">
        <v>3345</v>
      </c>
      <c r="C1344" t="s">
        <v>2133</v>
      </c>
      <c r="D1344" t="s">
        <v>248</v>
      </c>
      <c r="E1344" t="s">
        <v>6757</v>
      </c>
      <c r="F1344" t="s">
        <v>6765</v>
      </c>
      <c r="G1344" t="s">
        <v>6758</v>
      </c>
    </row>
    <row r="1345">
      <c r="A1345" t="s">
        <v>3356</v>
      </c>
      <c r="B1345" t="s">
        <v>3357</v>
      </c>
      <c r="C1345" t="s">
        <v>3344</v>
      </c>
      <c r="D1345" t="s">
        <v>3345</v>
      </c>
      <c r="E1345" t="s">
        <v>6757</v>
      </c>
      <c r="F1345" t="s">
        <v>6765</v>
      </c>
      <c r="G1345" t="s">
        <v>6758</v>
      </c>
    </row>
    <row r="1346">
      <c r="A1346" t="s">
        <v>3356</v>
      </c>
      <c r="B1346" t="s">
        <v>3357</v>
      </c>
      <c r="C1346" t="s">
        <v>2156</v>
      </c>
      <c r="D1346" t="s">
        <v>2157</v>
      </c>
      <c r="E1346" t="s">
        <v>6757</v>
      </c>
      <c r="F1346" t="s">
        <v>6765</v>
      </c>
      <c r="G1346" t="s">
        <v>6758</v>
      </c>
    </row>
    <row r="1347">
      <c r="A1347" t="s">
        <v>3356</v>
      </c>
      <c r="B1347" t="s">
        <v>3357</v>
      </c>
      <c r="C1347" t="s">
        <v>2140</v>
      </c>
      <c r="D1347" t="s">
        <v>263</v>
      </c>
      <c r="E1347" t="s">
        <v>6757</v>
      </c>
      <c r="F1347" t="s">
        <v>6765</v>
      </c>
      <c r="G1347" t="s">
        <v>6758</v>
      </c>
    </row>
    <row r="1348">
      <c r="A1348" t="s">
        <v>3366</v>
      </c>
      <c r="B1348" t="s">
        <v>3367</v>
      </c>
      <c r="C1348" t="s">
        <v>3308</v>
      </c>
      <c r="D1348" t="s">
        <v>3310</v>
      </c>
      <c r="E1348" t="s">
        <v>6757</v>
      </c>
      <c r="F1348" t="s">
        <v>6765</v>
      </c>
      <c r="G1348" t="s">
        <v>6758</v>
      </c>
    </row>
    <row r="1349">
      <c r="A1349" t="s">
        <v>3366</v>
      </c>
      <c r="B1349" t="s">
        <v>3367</v>
      </c>
      <c r="C1349" t="s">
        <v>3319</v>
      </c>
      <c r="D1349" t="s">
        <v>3320</v>
      </c>
      <c r="E1349" t="s">
        <v>6757</v>
      </c>
      <c r="F1349" t="s">
        <v>6765</v>
      </c>
      <c r="G1349" t="s">
        <v>6758</v>
      </c>
    </row>
    <row r="1350">
      <c r="A1350" t="s">
        <v>3366</v>
      </c>
      <c r="B1350" t="s">
        <v>3367</v>
      </c>
      <c r="C1350" t="s">
        <v>2140</v>
      </c>
      <c r="D1350" t="s">
        <v>263</v>
      </c>
      <c r="E1350" t="s">
        <v>6757</v>
      </c>
      <c r="F1350" t="s">
        <v>6765</v>
      </c>
      <c r="G1350" t="s">
        <v>6758</v>
      </c>
    </row>
    <row r="1351">
      <c r="A1351" t="s">
        <v>3366</v>
      </c>
      <c r="B1351" t="s">
        <v>3367</v>
      </c>
      <c r="C1351" t="s">
        <v>2156</v>
      </c>
      <c r="D1351" t="s">
        <v>2157</v>
      </c>
      <c r="E1351" t="s">
        <v>6757</v>
      </c>
      <c r="F1351" t="s">
        <v>6765</v>
      </c>
      <c r="G1351" t="s">
        <v>6758</v>
      </c>
    </row>
    <row r="1352">
      <c r="A1352" t="s">
        <v>3379</v>
      </c>
      <c r="B1352" t="s">
        <v>3382</v>
      </c>
      <c r="C1352" t="s">
        <v>3308</v>
      </c>
      <c r="D1352" t="s">
        <v>3310</v>
      </c>
      <c r="E1352" t="s">
        <v>6757</v>
      </c>
      <c r="F1352" t="s">
        <v>6765</v>
      </c>
      <c r="G1352" t="s">
        <v>6758</v>
      </c>
    </row>
    <row r="1353">
      <c r="A1353" t="s">
        <v>3379</v>
      </c>
      <c r="B1353" t="s">
        <v>3382</v>
      </c>
      <c r="C1353" t="s">
        <v>3319</v>
      </c>
      <c r="D1353" t="s">
        <v>3320</v>
      </c>
      <c r="E1353" t="s">
        <v>6757</v>
      </c>
      <c r="F1353" t="s">
        <v>6765</v>
      </c>
      <c r="G1353" t="s">
        <v>6758</v>
      </c>
    </row>
    <row r="1354">
      <c r="A1354" t="s">
        <v>3379</v>
      </c>
      <c r="B1354" t="s">
        <v>3382</v>
      </c>
      <c r="C1354" t="s">
        <v>2140</v>
      </c>
      <c r="D1354" t="s">
        <v>263</v>
      </c>
      <c r="E1354" t="s">
        <v>6757</v>
      </c>
      <c r="F1354" t="s">
        <v>6765</v>
      </c>
      <c r="G1354" t="s">
        <v>6758</v>
      </c>
    </row>
    <row r="1355">
      <c r="A1355" t="s">
        <v>3391</v>
      </c>
      <c r="B1355" t="s">
        <v>3392</v>
      </c>
      <c r="C1355" t="s">
        <v>3308</v>
      </c>
      <c r="D1355" t="s">
        <v>3310</v>
      </c>
      <c r="E1355" t="s">
        <v>6757</v>
      </c>
      <c r="F1355" t="s">
        <v>6765</v>
      </c>
      <c r="G1355" t="s">
        <v>6758</v>
      </c>
    </row>
    <row r="1356">
      <c r="A1356" t="s">
        <v>3391</v>
      </c>
      <c r="B1356" t="s">
        <v>3392</v>
      </c>
      <c r="C1356" t="s">
        <v>3319</v>
      </c>
      <c r="D1356" t="s">
        <v>3320</v>
      </c>
      <c r="E1356" t="s">
        <v>6757</v>
      </c>
      <c r="F1356" t="s">
        <v>6765</v>
      </c>
      <c r="G1356" t="s">
        <v>6758</v>
      </c>
    </row>
    <row r="1357">
      <c r="A1357" t="s">
        <v>3391</v>
      </c>
      <c r="B1357" t="s">
        <v>3392</v>
      </c>
      <c r="C1357" t="s">
        <v>2140</v>
      </c>
      <c r="D1357" t="s">
        <v>263</v>
      </c>
      <c r="E1357" t="s">
        <v>6757</v>
      </c>
      <c r="F1357" t="s">
        <v>6765</v>
      </c>
      <c r="G1357" t="s">
        <v>6758</v>
      </c>
    </row>
    <row r="1358">
      <c r="A1358" t="s">
        <v>3391</v>
      </c>
      <c r="B1358" t="s">
        <v>3392</v>
      </c>
      <c r="C1358" t="s">
        <v>2167</v>
      </c>
      <c r="D1358" t="s">
        <v>332</v>
      </c>
      <c r="E1358" t="s">
        <v>6757</v>
      </c>
      <c r="F1358" t="s">
        <v>6765</v>
      </c>
      <c r="G1358" t="s">
        <v>6758</v>
      </c>
    </row>
    <row r="1359">
      <c r="A1359" t="s">
        <v>3403</v>
      </c>
      <c r="B1359" t="s">
        <v>3406</v>
      </c>
      <c r="C1359" t="s">
        <v>3308</v>
      </c>
      <c r="D1359" t="s">
        <v>3310</v>
      </c>
      <c r="E1359" t="s">
        <v>6757</v>
      </c>
      <c r="F1359" t="s">
        <v>6765</v>
      </c>
      <c r="G1359" t="s">
        <v>6758</v>
      </c>
    </row>
    <row r="1360">
      <c r="A1360" t="s">
        <v>3403</v>
      </c>
      <c r="B1360" t="s">
        <v>3406</v>
      </c>
      <c r="C1360" t="s">
        <v>3319</v>
      </c>
      <c r="D1360" t="s">
        <v>3320</v>
      </c>
      <c r="E1360" t="s">
        <v>6757</v>
      </c>
      <c r="F1360" t="s">
        <v>6765</v>
      </c>
      <c r="G1360" t="s">
        <v>6758</v>
      </c>
    </row>
    <row r="1361">
      <c r="A1361" t="s">
        <v>3403</v>
      </c>
      <c r="B1361" t="s">
        <v>3406</v>
      </c>
      <c r="C1361" t="s">
        <v>2140</v>
      </c>
      <c r="D1361" t="s">
        <v>263</v>
      </c>
      <c r="E1361" t="s">
        <v>6757</v>
      </c>
      <c r="F1361" t="s">
        <v>6765</v>
      </c>
      <c r="G1361" t="s">
        <v>6758</v>
      </c>
    </row>
    <row r="1362">
      <c r="A1362" t="s">
        <v>3403</v>
      </c>
      <c r="B1362" t="s">
        <v>3406</v>
      </c>
      <c r="C1362" t="s">
        <v>2260</v>
      </c>
      <c r="D1362" t="s">
        <v>548</v>
      </c>
      <c r="E1362" t="s">
        <v>6757</v>
      </c>
      <c r="F1362" t="s">
        <v>6765</v>
      </c>
      <c r="G1362" t="s">
        <v>6758</v>
      </c>
    </row>
    <row r="1363">
      <c r="A1363" t="s">
        <v>3417</v>
      </c>
      <c r="B1363" t="s">
        <v>3418</v>
      </c>
      <c r="C1363" t="s">
        <v>3308</v>
      </c>
      <c r="D1363" t="s">
        <v>3310</v>
      </c>
      <c r="E1363" t="s">
        <v>6757</v>
      </c>
      <c r="F1363" t="s">
        <v>6765</v>
      </c>
      <c r="G1363" t="s">
        <v>6758</v>
      </c>
    </row>
    <row r="1364">
      <c r="A1364" t="s">
        <v>3417</v>
      </c>
      <c r="B1364" t="s">
        <v>3418</v>
      </c>
      <c r="C1364" t="s">
        <v>3319</v>
      </c>
      <c r="D1364" t="s">
        <v>3320</v>
      </c>
      <c r="E1364" t="s">
        <v>6757</v>
      </c>
      <c r="F1364" t="s">
        <v>6765</v>
      </c>
      <c r="G1364" t="s">
        <v>6758</v>
      </c>
    </row>
    <row r="1365">
      <c r="A1365" t="s">
        <v>3417</v>
      </c>
      <c r="B1365" t="s">
        <v>3418</v>
      </c>
      <c r="C1365" t="s">
        <v>2254</v>
      </c>
      <c r="D1365" t="s">
        <v>532</v>
      </c>
      <c r="E1365" t="s">
        <v>6757</v>
      </c>
      <c r="F1365" t="s">
        <v>6765</v>
      </c>
      <c r="G1365" t="s">
        <v>6758</v>
      </c>
    </row>
    <row r="1366">
      <c r="A1366" t="s">
        <v>3417</v>
      </c>
      <c r="B1366" t="s">
        <v>3418</v>
      </c>
      <c r="C1366" t="s">
        <v>2224</v>
      </c>
      <c r="D1366" t="s">
        <v>467</v>
      </c>
      <c r="E1366" t="s">
        <v>6757</v>
      </c>
      <c r="F1366" t="s">
        <v>6765</v>
      </c>
      <c r="G1366" t="s">
        <v>6758</v>
      </c>
    </row>
    <row r="1367">
      <c r="A1367" t="s">
        <v>3429</v>
      </c>
      <c r="B1367" t="s">
        <v>3430</v>
      </c>
      <c r="C1367" t="s">
        <v>3403</v>
      </c>
      <c r="D1367" t="s">
        <v>3406</v>
      </c>
      <c r="E1367" t="s">
        <v>6757</v>
      </c>
      <c r="F1367" t="s">
        <v>6765</v>
      </c>
      <c r="G1367" t="s">
        <v>6758</v>
      </c>
    </row>
    <row r="1368">
      <c r="A1368" t="s">
        <v>3429</v>
      </c>
      <c r="B1368" t="s">
        <v>3430</v>
      </c>
      <c r="C1368" t="s">
        <v>3417</v>
      </c>
      <c r="D1368" t="s">
        <v>3418</v>
      </c>
      <c r="E1368" t="s">
        <v>6757</v>
      </c>
      <c r="F1368" t="s">
        <v>6765</v>
      </c>
      <c r="G1368" t="s">
        <v>6758</v>
      </c>
    </row>
    <row r="1369">
      <c r="A1369" t="s">
        <v>3429</v>
      </c>
      <c r="B1369" t="s">
        <v>3430</v>
      </c>
      <c r="C1369" t="s">
        <v>2140</v>
      </c>
      <c r="D1369" t="s">
        <v>263</v>
      </c>
      <c r="E1369" t="s">
        <v>6757</v>
      </c>
      <c r="F1369" t="s">
        <v>6765</v>
      </c>
      <c r="G1369" t="s">
        <v>6758</v>
      </c>
    </row>
    <row r="1370">
      <c r="A1370" t="s">
        <v>3440</v>
      </c>
      <c r="B1370" t="s">
        <v>3441</v>
      </c>
      <c r="C1370" t="s">
        <v>3429</v>
      </c>
      <c r="D1370" t="s">
        <v>3430</v>
      </c>
      <c r="E1370" t="s">
        <v>6757</v>
      </c>
      <c r="F1370" t="s">
        <v>6765</v>
      </c>
      <c r="G1370" t="s">
        <v>6758</v>
      </c>
    </row>
    <row r="1371">
      <c r="A1371" t="s">
        <v>3440</v>
      </c>
      <c r="B1371" t="s">
        <v>3441</v>
      </c>
      <c r="C1371" t="s">
        <v>2156</v>
      </c>
      <c r="D1371" t="s">
        <v>2157</v>
      </c>
      <c r="E1371" t="s">
        <v>6757</v>
      </c>
      <c r="F1371" t="s">
        <v>6765</v>
      </c>
      <c r="G1371" t="s">
        <v>6758</v>
      </c>
    </row>
    <row r="1372">
      <c r="A1372" t="s">
        <v>3440</v>
      </c>
      <c r="B1372" t="s">
        <v>3441</v>
      </c>
      <c r="C1372" t="s">
        <v>2164</v>
      </c>
      <c r="D1372" t="s">
        <v>322</v>
      </c>
      <c r="E1372" t="s">
        <v>6757</v>
      </c>
      <c r="F1372" t="s">
        <v>6765</v>
      </c>
      <c r="G1372" t="s">
        <v>6758</v>
      </c>
    </row>
    <row r="1373">
      <c r="A1373" t="s">
        <v>3451</v>
      </c>
      <c r="B1373" t="s">
        <v>3452</v>
      </c>
      <c r="C1373" t="s">
        <v>3308</v>
      </c>
      <c r="D1373" t="s">
        <v>3310</v>
      </c>
      <c r="E1373" t="s">
        <v>6757</v>
      </c>
      <c r="F1373" t="s">
        <v>6765</v>
      </c>
      <c r="G1373" t="s">
        <v>6758</v>
      </c>
    </row>
    <row r="1374">
      <c r="A1374" t="s">
        <v>3451</v>
      </c>
      <c r="B1374" t="s">
        <v>3452</v>
      </c>
      <c r="C1374" t="s">
        <v>3319</v>
      </c>
      <c r="D1374" t="s">
        <v>3320</v>
      </c>
      <c r="E1374" t="s">
        <v>6757</v>
      </c>
      <c r="F1374" t="s">
        <v>6765</v>
      </c>
      <c r="G1374" t="s">
        <v>6758</v>
      </c>
    </row>
    <row r="1375">
      <c r="A1375" t="s">
        <v>3451</v>
      </c>
      <c r="B1375" t="s">
        <v>3452</v>
      </c>
      <c r="C1375" t="s">
        <v>2260</v>
      </c>
      <c r="D1375" t="s">
        <v>548</v>
      </c>
      <c r="E1375" t="s">
        <v>6757</v>
      </c>
      <c r="F1375" t="s">
        <v>6765</v>
      </c>
      <c r="G1375" t="s">
        <v>6758</v>
      </c>
    </row>
    <row r="1376">
      <c r="A1376" t="s">
        <v>3451</v>
      </c>
      <c r="B1376" t="s">
        <v>3452</v>
      </c>
      <c r="C1376" t="s">
        <v>2266</v>
      </c>
      <c r="D1376" t="s">
        <v>561</v>
      </c>
      <c r="E1376" t="s">
        <v>6757</v>
      </c>
      <c r="F1376" t="s">
        <v>6765</v>
      </c>
      <c r="G1376" t="s">
        <v>6758</v>
      </c>
    </row>
    <row r="1377">
      <c r="A1377" t="s">
        <v>3465</v>
      </c>
      <c r="B1377" t="s">
        <v>3466</v>
      </c>
      <c r="C1377" t="s">
        <v>3319</v>
      </c>
      <c r="D1377" t="s">
        <v>3320</v>
      </c>
      <c r="E1377" t="s">
        <v>6757</v>
      </c>
      <c r="F1377" t="s">
        <v>6765</v>
      </c>
      <c r="G1377" t="s">
        <v>6758</v>
      </c>
    </row>
    <row r="1378">
      <c r="A1378" t="s">
        <v>3465</v>
      </c>
      <c r="B1378" t="s">
        <v>3466</v>
      </c>
      <c r="C1378" t="s">
        <v>3451</v>
      </c>
      <c r="D1378" t="s">
        <v>3452</v>
      </c>
      <c r="E1378" t="s">
        <v>6757</v>
      </c>
      <c r="F1378" t="s">
        <v>6765</v>
      </c>
      <c r="G1378" t="s">
        <v>6758</v>
      </c>
    </row>
    <row r="1379">
      <c r="A1379" t="s">
        <v>3477</v>
      </c>
      <c r="B1379" t="s">
        <v>3480</v>
      </c>
      <c r="C1379" t="s">
        <v>2084</v>
      </c>
      <c r="D1379" t="s">
        <v>119</v>
      </c>
      <c r="E1379" t="s">
        <v>6757</v>
      </c>
      <c r="F1379" t="s">
        <v>6765</v>
      </c>
      <c r="G1379" t="s">
        <v>6758</v>
      </c>
    </row>
    <row r="1380">
      <c r="A1380" t="s">
        <v>3477</v>
      </c>
      <c r="B1380" t="s">
        <v>3480</v>
      </c>
      <c r="C1380" t="s">
        <v>2260</v>
      </c>
      <c r="D1380" t="s">
        <v>548</v>
      </c>
      <c r="E1380" t="s">
        <v>6757</v>
      </c>
      <c r="F1380" t="s">
        <v>6765</v>
      </c>
      <c r="G1380" t="s">
        <v>6758</v>
      </c>
    </row>
    <row r="1381">
      <c r="A1381" t="s">
        <v>3477</v>
      </c>
      <c r="B1381" t="s">
        <v>3480</v>
      </c>
      <c r="C1381" t="s">
        <v>2263</v>
      </c>
      <c r="D1381" t="s">
        <v>556</v>
      </c>
      <c r="E1381" t="s">
        <v>6757</v>
      </c>
      <c r="F1381" t="s">
        <v>6765</v>
      </c>
      <c r="G1381" t="s">
        <v>6758</v>
      </c>
    </row>
    <row r="1382">
      <c r="A1382" t="s">
        <v>3477</v>
      </c>
      <c r="B1382" t="s">
        <v>3480</v>
      </c>
      <c r="C1382" t="s">
        <v>2266</v>
      </c>
      <c r="D1382" t="s">
        <v>561</v>
      </c>
      <c r="E1382" t="s">
        <v>6757</v>
      </c>
      <c r="F1382" t="s">
        <v>6765</v>
      </c>
      <c r="G1382" t="s">
        <v>6758</v>
      </c>
    </row>
    <row r="1383">
      <c r="A1383" t="s">
        <v>3477</v>
      </c>
      <c r="B1383" t="s">
        <v>3480</v>
      </c>
      <c r="C1383" t="s">
        <v>2272</v>
      </c>
      <c r="D1383" t="s">
        <v>580</v>
      </c>
      <c r="E1383" t="s">
        <v>6757</v>
      </c>
      <c r="F1383" t="s">
        <v>6765</v>
      </c>
      <c r="G1383" t="s">
        <v>6758</v>
      </c>
    </row>
    <row r="1384">
      <c r="A1384" t="s">
        <v>3477</v>
      </c>
      <c r="B1384" t="s">
        <v>3480</v>
      </c>
      <c r="C1384" t="s">
        <v>2275</v>
      </c>
      <c r="D1384" t="s">
        <v>587</v>
      </c>
      <c r="E1384" t="s">
        <v>6757</v>
      </c>
      <c r="F1384" t="s">
        <v>6765</v>
      </c>
      <c r="G1384" t="s">
        <v>6758</v>
      </c>
    </row>
    <row r="1385">
      <c r="A1385" t="s">
        <v>3492</v>
      </c>
      <c r="B1385" t="s">
        <v>3493</v>
      </c>
      <c r="C1385" t="s">
        <v>2156</v>
      </c>
      <c r="D1385" t="s">
        <v>2157</v>
      </c>
      <c r="E1385" t="s">
        <v>6757</v>
      </c>
      <c r="F1385" t="s">
        <v>6765</v>
      </c>
      <c r="G1385" t="s">
        <v>6758</v>
      </c>
    </row>
    <row r="1386">
      <c r="A1386" t="s">
        <v>3492</v>
      </c>
      <c r="B1386" t="s">
        <v>3493</v>
      </c>
      <c r="C1386" t="s">
        <v>2161</v>
      </c>
      <c r="D1386" t="s">
        <v>3896</v>
      </c>
      <c r="E1386" t="s">
        <v>6757</v>
      </c>
      <c r="F1386" t="s">
        <v>6765</v>
      </c>
      <c r="G1386" t="s">
        <v>6758</v>
      </c>
    </row>
    <row r="1387">
      <c r="A1387" t="s">
        <v>3492</v>
      </c>
      <c r="B1387" t="s">
        <v>3493</v>
      </c>
      <c r="C1387" t="s">
        <v>2164</v>
      </c>
      <c r="D1387" t="s">
        <v>322</v>
      </c>
      <c r="E1387" t="s">
        <v>6757</v>
      </c>
      <c r="F1387" t="s">
        <v>6765</v>
      </c>
      <c r="G1387" t="s">
        <v>6758</v>
      </c>
    </row>
    <row r="1388">
      <c r="A1388" t="s">
        <v>3492</v>
      </c>
      <c r="B1388" t="s">
        <v>3493</v>
      </c>
      <c r="C1388" t="s">
        <v>2167</v>
      </c>
      <c r="D1388" t="s">
        <v>332</v>
      </c>
      <c r="E1388" t="s">
        <v>6757</v>
      </c>
      <c r="F1388" t="s">
        <v>6765</v>
      </c>
      <c r="G1388" t="s">
        <v>6758</v>
      </c>
    </row>
    <row r="1389">
      <c r="A1389" t="s">
        <v>3492</v>
      </c>
      <c r="B1389" t="s">
        <v>3493</v>
      </c>
      <c r="C1389" t="s">
        <v>2925</v>
      </c>
      <c r="D1389" t="s">
        <v>2929</v>
      </c>
      <c r="E1389" t="s">
        <v>6757</v>
      </c>
      <c r="F1389" t="s">
        <v>6765</v>
      </c>
      <c r="G1389" t="s">
        <v>6758</v>
      </c>
    </row>
    <row r="1390">
      <c r="A1390" t="s">
        <v>3505</v>
      </c>
      <c r="B1390" t="s">
        <v>3506</v>
      </c>
      <c r="C1390" t="s">
        <v>2124</v>
      </c>
      <c r="D1390" t="s">
        <v>226</v>
      </c>
      <c r="E1390" t="s">
        <v>6757</v>
      </c>
      <c r="F1390" t="s">
        <v>6765</v>
      </c>
      <c r="G1390" t="s">
        <v>6758</v>
      </c>
    </row>
    <row r="1391">
      <c r="A1391" t="s">
        <v>3505</v>
      </c>
      <c r="B1391" t="s">
        <v>3506</v>
      </c>
      <c r="C1391" t="s">
        <v>2127</v>
      </c>
      <c r="D1391" t="s">
        <v>231</v>
      </c>
      <c r="E1391" t="s">
        <v>6757</v>
      </c>
      <c r="F1391" t="s">
        <v>6765</v>
      </c>
      <c r="G1391" t="s">
        <v>6758</v>
      </c>
    </row>
    <row r="1392">
      <c r="A1392" t="s">
        <v>3505</v>
      </c>
      <c r="B1392" t="s">
        <v>3506</v>
      </c>
      <c r="C1392" t="s">
        <v>2133</v>
      </c>
      <c r="D1392" t="s">
        <v>248</v>
      </c>
      <c r="E1392" t="s">
        <v>6757</v>
      </c>
      <c r="F1392" t="s">
        <v>6765</v>
      </c>
      <c r="G1392" t="s">
        <v>6758</v>
      </c>
    </row>
    <row r="1393">
      <c r="A1393" t="s">
        <v>3505</v>
      </c>
      <c r="B1393" t="s">
        <v>3506</v>
      </c>
      <c r="C1393" t="s">
        <v>2140</v>
      </c>
      <c r="D1393" t="s">
        <v>263</v>
      </c>
      <c r="E1393" t="s">
        <v>6757</v>
      </c>
      <c r="F1393" t="s">
        <v>6765</v>
      </c>
      <c r="G1393" t="s">
        <v>6758</v>
      </c>
    </row>
    <row r="1394">
      <c r="A1394" t="s">
        <v>3505</v>
      </c>
      <c r="B1394" t="s">
        <v>3506</v>
      </c>
      <c r="C1394" t="s">
        <v>2164</v>
      </c>
      <c r="D1394" t="s">
        <v>322</v>
      </c>
      <c r="E1394" t="s">
        <v>6757</v>
      </c>
      <c r="F1394" t="s">
        <v>6765</v>
      </c>
      <c r="G1394" t="s">
        <v>6758</v>
      </c>
    </row>
    <row r="1395">
      <c r="A1395" t="s">
        <v>3516</v>
      </c>
      <c r="B1395" t="s">
        <v>3518</v>
      </c>
      <c r="C1395" t="s">
        <v>3042</v>
      </c>
      <c r="D1395" t="s">
        <v>3044</v>
      </c>
      <c r="E1395" t="s">
        <v>6757</v>
      </c>
      <c r="F1395" t="s">
        <v>6765</v>
      </c>
      <c r="G1395" t="s">
        <v>6758</v>
      </c>
    </row>
    <row r="1396">
      <c r="A1396" t="s">
        <v>3516</v>
      </c>
      <c r="B1396" t="s">
        <v>3518</v>
      </c>
      <c r="C1396" t="s">
        <v>3308</v>
      </c>
      <c r="D1396" t="s">
        <v>3310</v>
      </c>
      <c r="E1396" t="s">
        <v>6757</v>
      </c>
      <c r="F1396" t="s">
        <v>6765</v>
      </c>
      <c r="G1396" t="s">
        <v>6758</v>
      </c>
    </row>
    <row r="1397">
      <c r="A1397" t="s">
        <v>3516</v>
      </c>
      <c r="B1397" t="s">
        <v>3518</v>
      </c>
      <c r="C1397" t="s">
        <v>3505</v>
      </c>
      <c r="D1397" t="s">
        <v>3506</v>
      </c>
      <c r="E1397" t="s">
        <v>6757</v>
      </c>
      <c r="F1397" t="s">
        <v>6765</v>
      </c>
      <c r="G1397" t="s">
        <v>6758</v>
      </c>
    </row>
    <row r="1398">
      <c r="A1398" t="s">
        <v>3530</v>
      </c>
      <c r="B1398" t="s">
        <v>3532</v>
      </c>
      <c r="C1398" t="s">
        <v>3025</v>
      </c>
      <c r="D1398" t="s">
        <v>3028</v>
      </c>
      <c r="E1398" t="s">
        <v>6757</v>
      </c>
      <c r="F1398" t="s">
        <v>6765</v>
      </c>
      <c r="G1398" t="s">
        <v>6758</v>
      </c>
    </row>
    <row r="1399">
      <c r="A1399" t="s">
        <v>3530</v>
      </c>
      <c r="B1399" t="s">
        <v>3532</v>
      </c>
      <c r="C1399" t="s">
        <v>3055</v>
      </c>
      <c r="D1399" t="s">
        <v>3057</v>
      </c>
      <c r="E1399" t="s">
        <v>6757</v>
      </c>
      <c r="F1399" t="s">
        <v>6765</v>
      </c>
      <c r="G1399" t="s">
        <v>6758</v>
      </c>
    </row>
    <row r="1400">
      <c r="A1400" t="s">
        <v>3530</v>
      </c>
      <c r="B1400" t="s">
        <v>3532</v>
      </c>
      <c r="C1400" t="s">
        <v>2839</v>
      </c>
      <c r="D1400" t="s">
        <v>2843</v>
      </c>
      <c r="E1400" t="s">
        <v>6757</v>
      </c>
      <c r="F1400" t="s">
        <v>6765</v>
      </c>
      <c r="G1400" t="s">
        <v>6758</v>
      </c>
    </row>
    <row r="1401">
      <c r="A1401" t="s">
        <v>3530</v>
      </c>
      <c r="B1401" t="s">
        <v>3532</v>
      </c>
      <c r="C1401" t="s">
        <v>3505</v>
      </c>
      <c r="D1401" t="s">
        <v>3506</v>
      </c>
      <c r="E1401" t="s">
        <v>6757</v>
      </c>
      <c r="F1401" t="s">
        <v>6765</v>
      </c>
      <c r="G1401" t="s">
        <v>6758</v>
      </c>
    </row>
    <row r="1402">
      <c r="A1402" t="s">
        <v>3544</v>
      </c>
      <c r="B1402" t="s">
        <v>3547</v>
      </c>
      <c r="C1402" t="s">
        <v>3505</v>
      </c>
      <c r="D1402" t="s">
        <v>3506</v>
      </c>
      <c r="E1402" t="s">
        <v>6757</v>
      </c>
      <c r="F1402" t="s">
        <v>6765</v>
      </c>
      <c r="G1402" t="s">
        <v>6758</v>
      </c>
    </row>
    <row r="1403">
      <c r="A1403" t="s">
        <v>3544</v>
      </c>
      <c r="B1403" t="s">
        <v>3547</v>
      </c>
      <c r="C1403" t="s">
        <v>2156</v>
      </c>
      <c r="D1403" t="s">
        <v>2157</v>
      </c>
      <c r="E1403" t="s">
        <v>6757</v>
      </c>
      <c r="F1403" t="s">
        <v>6765</v>
      </c>
      <c r="G1403" t="s">
        <v>6758</v>
      </c>
    </row>
    <row r="1404">
      <c r="A1404" t="s">
        <v>3544</v>
      </c>
      <c r="B1404" t="s">
        <v>3547</v>
      </c>
      <c r="C1404" t="s">
        <v>2167</v>
      </c>
      <c r="D1404" t="s">
        <v>332</v>
      </c>
      <c r="E1404" t="s">
        <v>6757</v>
      </c>
      <c r="F1404" t="s">
        <v>6765</v>
      </c>
      <c r="G1404" t="s">
        <v>6758</v>
      </c>
    </row>
    <row r="1405">
      <c r="A1405" t="s">
        <v>3544</v>
      </c>
      <c r="B1405" t="s">
        <v>3547</v>
      </c>
      <c r="C1405" t="s">
        <v>2140</v>
      </c>
      <c r="D1405" t="s">
        <v>263</v>
      </c>
      <c r="E1405" t="s">
        <v>6757</v>
      </c>
      <c r="F1405" t="s">
        <v>6765</v>
      </c>
      <c r="G1405" t="s">
        <v>6758</v>
      </c>
    </row>
    <row r="1406">
      <c r="A1406" t="s">
        <v>3560</v>
      </c>
      <c r="B1406" t="s">
        <v>3561</v>
      </c>
      <c r="C1406" t="s">
        <v>3477</v>
      </c>
      <c r="D1406" t="s">
        <v>3480</v>
      </c>
      <c r="E1406" t="s">
        <v>6757</v>
      </c>
      <c r="F1406" t="s">
        <v>6765</v>
      </c>
      <c r="G1406" t="s">
        <v>6758</v>
      </c>
    </row>
    <row r="1407">
      <c r="A1407" t="s">
        <v>3560</v>
      </c>
      <c r="B1407" t="s">
        <v>3561</v>
      </c>
      <c r="C1407" t="s">
        <v>3492</v>
      </c>
      <c r="D1407" t="s">
        <v>3493</v>
      </c>
      <c r="E1407" t="s">
        <v>6757</v>
      </c>
      <c r="F1407" t="s">
        <v>6765</v>
      </c>
      <c r="G1407" t="s">
        <v>6758</v>
      </c>
    </row>
    <row r="1408">
      <c r="A1408" t="s">
        <v>3560</v>
      </c>
      <c r="B1408" t="s">
        <v>3561</v>
      </c>
      <c r="C1408" t="s">
        <v>3505</v>
      </c>
      <c r="D1408" t="s">
        <v>3506</v>
      </c>
      <c r="E1408" t="s">
        <v>6757</v>
      </c>
      <c r="F1408" t="s">
        <v>6765</v>
      </c>
      <c r="G1408" t="s">
        <v>6758</v>
      </c>
    </row>
    <row r="1409">
      <c r="A1409" t="s">
        <v>3573</v>
      </c>
      <c r="B1409" t="s">
        <v>3576</v>
      </c>
      <c r="C1409" t="s">
        <v>3295</v>
      </c>
      <c r="D1409" t="s">
        <v>3298</v>
      </c>
      <c r="E1409" t="s">
        <v>6757</v>
      </c>
      <c r="F1409" t="s">
        <v>6765</v>
      </c>
      <c r="G1409" t="s">
        <v>6758</v>
      </c>
    </row>
    <row r="1410">
      <c r="A1410" t="s">
        <v>3573</v>
      </c>
      <c r="B1410" t="s">
        <v>3576</v>
      </c>
      <c r="C1410" t="s">
        <v>3308</v>
      </c>
      <c r="D1410" t="s">
        <v>3310</v>
      </c>
      <c r="E1410" t="s">
        <v>6757</v>
      </c>
      <c r="F1410" t="s">
        <v>6765</v>
      </c>
      <c r="G1410" t="s">
        <v>6758</v>
      </c>
    </row>
    <row r="1411">
      <c r="A1411" t="s">
        <v>3573</v>
      </c>
      <c r="B1411" t="s">
        <v>3576</v>
      </c>
      <c r="C1411" t="s">
        <v>2140</v>
      </c>
      <c r="D1411" t="s">
        <v>263</v>
      </c>
      <c r="E1411" t="s">
        <v>6757</v>
      </c>
      <c r="F1411" t="s">
        <v>6765</v>
      </c>
      <c r="G1411" t="s">
        <v>6758</v>
      </c>
    </row>
    <row r="1412">
      <c r="A1412" t="s">
        <v>3573</v>
      </c>
      <c r="B1412" t="s">
        <v>3576</v>
      </c>
      <c r="C1412" t="s">
        <v>2124</v>
      </c>
      <c r="D1412" t="s">
        <v>226</v>
      </c>
      <c r="E1412" t="s">
        <v>6757</v>
      </c>
      <c r="F1412" t="s">
        <v>6765</v>
      </c>
      <c r="G1412" t="s">
        <v>6758</v>
      </c>
    </row>
    <row r="1413">
      <c r="A1413" t="s">
        <v>3587</v>
      </c>
      <c r="B1413" t="s">
        <v>3588</v>
      </c>
      <c r="C1413" t="s">
        <v>3403</v>
      </c>
      <c r="D1413" t="s">
        <v>3406</v>
      </c>
      <c r="E1413" t="s">
        <v>6757</v>
      </c>
      <c r="F1413" t="s">
        <v>6765</v>
      </c>
      <c r="G1413" t="s">
        <v>6758</v>
      </c>
    </row>
    <row r="1414">
      <c r="A1414" t="s">
        <v>3587</v>
      </c>
      <c r="B1414" t="s">
        <v>3588</v>
      </c>
      <c r="C1414" t="s">
        <v>3417</v>
      </c>
      <c r="D1414" t="s">
        <v>3418</v>
      </c>
      <c r="E1414" t="s">
        <v>6757</v>
      </c>
      <c r="F1414" t="s">
        <v>6765</v>
      </c>
      <c r="G1414" t="s">
        <v>6758</v>
      </c>
    </row>
    <row r="1415">
      <c r="A1415" t="s">
        <v>3587</v>
      </c>
      <c r="B1415" t="s">
        <v>3588</v>
      </c>
      <c r="C1415" t="s">
        <v>3451</v>
      </c>
      <c r="D1415" t="s">
        <v>3452</v>
      </c>
      <c r="E1415" t="s">
        <v>6757</v>
      </c>
      <c r="F1415" t="s">
        <v>6765</v>
      </c>
      <c r="G1415" t="s">
        <v>6758</v>
      </c>
    </row>
    <row r="1416">
      <c r="A1416" t="s">
        <v>3587</v>
      </c>
      <c r="B1416" t="s">
        <v>3588</v>
      </c>
      <c r="C1416" t="s">
        <v>3505</v>
      </c>
      <c r="D1416" t="s">
        <v>3506</v>
      </c>
      <c r="E1416" t="s">
        <v>6757</v>
      </c>
      <c r="F1416" t="s">
        <v>6765</v>
      </c>
      <c r="G1416" t="s">
        <v>6758</v>
      </c>
    </row>
    <row r="1417">
      <c r="A1417" t="s">
        <v>3598</v>
      </c>
      <c r="B1417" t="s">
        <v>3602</v>
      </c>
      <c r="C1417" t="s">
        <v>3897</v>
      </c>
      <c r="D1417" t="s">
        <v>3897</v>
      </c>
      <c r="E1417" t="s">
        <v>6757</v>
      </c>
      <c r="F1417" t="s">
        <v>6766</v>
      </c>
      <c r="G1417" t="s">
        <v>6758</v>
      </c>
    </row>
    <row r="1418">
      <c r="A1418" t="s">
        <v>3598</v>
      </c>
      <c r="B1418" t="s">
        <v>3602</v>
      </c>
      <c r="C1418" t="s">
        <v>3898</v>
      </c>
      <c r="D1418" t="s">
        <v>3898</v>
      </c>
      <c r="E1418" t="s">
        <v>6757</v>
      </c>
      <c r="F1418" t="s">
        <v>6766</v>
      </c>
      <c r="G1418" t="s">
        <v>6758</v>
      </c>
    </row>
    <row r="1419">
      <c r="A1419" t="s">
        <v>3598</v>
      </c>
      <c r="B1419" t="s">
        <v>3602</v>
      </c>
      <c r="C1419" t="s">
        <v>3899</v>
      </c>
      <c r="D1419" t="s">
        <v>3899</v>
      </c>
      <c r="E1419" t="s">
        <v>6757</v>
      </c>
      <c r="F1419" t="s">
        <v>6766</v>
      </c>
      <c r="G1419" t="s">
        <v>6758</v>
      </c>
    </row>
    <row r="1420">
      <c r="A1420" t="s">
        <v>3619</v>
      </c>
      <c r="B1420" t="s">
        <v>3620</v>
      </c>
      <c r="C1420" t="s">
        <v>3308</v>
      </c>
      <c r="D1420" t="s">
        <v>3308</v>
      </c>
      <c r="E1420" t="s">
        <v>6757</v>
      </c>
      <c r="F1420" t="s">
        <v>6766</v>
      </c>
      <c r="G1420" t="s">
        <v>6758</v>
      </c>
    </row>
    <row r="1421">
      <c r="A1421" t="s">
        <v>3619</v>
      </c>
      <c r="B1421" t="s">
        <v>3620</v>
      </c>
      <c r="C1421" t="s">
        <v>3147</v>
      </c>
      <c r="D1421" t="s">
        <v>3147</v>
      </c>
      <c r="E1421" t="s">
        <v>6757</v>
      </c>
      <c r="F1421" t="s">
        <v>6766</v>
      </c>
      <c r="G1421" t="s">
        <v>6758</v>
      </c>
    </row>
    <row r="1422">
      <c r="A1422" t="s">
        <v>3619</v>
      </c>
      <c r="B1422" t="s">
        <v>3620</v>
      </c>
      <c r="C1422" t="s">
        <v>3900</v>
      </c>
      <c r="D1422" t="s">
        <v>3900</v>
      </c>
      <c r="E1422" t="s">
        <v>6757</v>
      </c>
      <c r="F1422" t="s">
        <v>6766</v>
      </c>
      <c r="G1422" t="s">
        <v>6758</v>
      </c>
    </row>
    <row r="1423">
      <c r="A1423" t="s">
        <v>3626</v>
      </c>
      <c r="B1423" t="s">
        <v>3627</v>
      </c>
      <c r="C1423" t="s">
        <v>3633</v>
      </c>
      <c r="D1423" t="s">
        <v>3633</v>
      </c>
      <c r="E1423" t="s">
        <v>6757</v>
      </c>
      <c r="F1423" t="s">
        <v>6766</v>
      </c>
      <c r="G1423" t="s">
        <v>6758</v>
      </c>
    </row>
    <row r="1424">
      <c r="A1424" t="s">
        <v>3626</v>
      </c>
      <c r="B1424" t="s">
        <v>3627</v>
      </c>
      <c r="C1424" t="s">
        <v>3898</v>
      </c>
      <c r="D1424" t="s">
        <v>3898</v>
      </c>
      <c r="E1424" t="s">
        <v>6757</v>
      </c>
      <c r="F1424" t="s">
        <v>6766</v>
      </c>
      <c r="G1424" t="s">
        <v>6758</v>
      </c>
    </row>
    <row r="1425">
      <c r="A1425" t="s">
        <v>3633</v>
      </c>
      <c r="B1425" t="s">
        <v>3634</v>
      </c>
      <c r="C1425" t="s">
        <v>2124</v>
      </c>
      <c r="D1425" t="s">
        <v>2124</v>
      </c>
      <c r="E1425" t="s">
        <v>6757</v>
      </c>
      <c r="F1425" t="s">
        <v>6766</v>
      </c>
      <c r="G1425" t="s">
        <v>6758</v>
      </c>
    </row>
    <row r="1426">
      <c r="A1426" t="s">
        <v>3633</v>
      </c>
      <c r="B1426" t="s">
        <v>3634</v>
      </c>
      <c r="C1426" t="s">
        <v>2133</v>
      </c>
      <c r="D1426" t="s">
        <v>2133</v>
      </c>
      <c r="E1426" t="s">
        <v>6757</v>
      </c>
      <c r="F1426" t="s">
        <v>6766</v>
      </c>
      <c r="G1426" t="s">
        <v>6758</v>
      </c>
    </row>
    <row r="1427">
      <c r="A1427" t="s">
        <v>3633</v>
      </c>
      <c r="B1427" t="s">
        <v>3634</v>
      </c>
      <c r="C1427" t="s">
        <v>3147</v>
      </c>
      <c r="D1427" t="s">
        <v>3147</v>
      </c>
      <c r="E1427" t="s">
        <v>6757</v>
      </c>
      <c r="F1427" t="s">
        <v>6766</v>
      </c>
      <c r="G1427" t="s">
        <v>6758</v>
      </c>
    </row>
    <row r="1428">
      <c r="A1428" t="s">
        <v>3640</v>
      </c>
      <c r="B1428" t="s">
        <v>3641</v>
      </c>
      <c r="C1428" t="s">
        <v>3898</v>
      </c>
      <c r="D1428" t="s">
        <v>3898</v>
      </c>
      <c r="E1428" t="s">
        <v>6757</v>
      </c>
      <c r="F1428" t="s">
        <v>6766</v>
      </c>
      <c r="G1428" t="s">
        <v>6758</v>
      </c>
    </row>
    <row r="1429">
      <c r="A1429" t="s">
        <v>3640</v>
      </c>
      <c r="B1429" t="s">
        <v>3641</v>
      </c>
      <c r="C1429" t="s">
        <v>3901</v>
      </c>
      <c r="D1429" t="s">
        <v>3901</v>
      </c>
      <c r="E1429" t="s">
        <v>6757</v>
      </c>
      <c r="F1429" t="s">
        <v>6766</v>
      </c>
      <c r="G1429" t="s">
        <v>6758</v>
      </c>
    </row>
    <row r="1430">
      <c r="A1430" t="s">
        <v>3640</v>
      </c>
      <c r="B1430" t="s">
        <v>3641</v>
      </c>
      <c r="C1430" t="s">
        <v>3902</v>
      </c>
      <c r="D1430" t="s">
        <v>3902</v>
      </c>
      <c r="E1430" t="s">
        <v>6757</v>
      </c>
      <c r="F1430" t="s">
        <v>6766</v>
      </c>
      <c r="G1430" t="s">
        <v>6758</v>
      </c>
    </row>
    <row r="1431">
      <c r="A1431" t="s">
        <v>3647</v>
      </c>
      <c r="B1431" t="s">
        <v>3648</v>
      </c>
      <c r="C1431" t="s">
        <v>3903</v>
      </c>
      <c r="D1431" t="s">
        <v>3903</v>
      </c>
      <c r="E1431" t="s">
        <v>6757</v>
      </c>
      <c r="F1431" t="s">
        <v>6766</v>
      </c>
      <c r="G1431" t="s">
        <v>6758</v>
      </c>
    </row>
    <row r="1432">
      <c r="A1432" t="s">
        <v>3647</v>
      </c>
      <c r="B1432" t="s">
        <v>3648</v>
      </c>
      <c r="C1432" t="s">
        <v>3901</v>
      </c>
      <c r="D1432" t="s">
        <v>3901</v>
      </c>
      <c r="E1432" t="s">
        <v>6757</v>
      </c>
      <c r="F1432" t="s">
        <v>6766</v>
      </c>
      <c r="G1432" t="s">
        <v>6758</v>
      </c>
    </row>
    <row r="1433">
      <c r="A1433" t="s">
        <v>3647</v>
      </c>
      <c r="B1433" t="s">
        <v>3648</v>
      </c>
      <c r="C1433" t="s">
        <v>3904</v>
      </c>
      <c r="D1433" t="s">
        <v>3904</v>
      </c>
      <c r="E1433" t="s">
        <v>6757</v>
      </c>
      <c r="F1433" t="s">
        <v>6766</v>
      </c>
      <c r="G1433" t="s">
        <v>6758</v>
      </c>
    </row>
    <row r="1434">
      <c r="A1434" t="s">
        <v>3654</v>
      </c>
      <c r="B1434" t="s">
        <v>3657</v>
      </c>
      <c r="C1434" t="s">
        <v>3391</v>
      </c>
      <c r="D1434" t="s">
        <v>3391</v>
      </c>
      <c r="E1434" t="s">
        <v>6757</v>
      </c>
      <c r="F1434" t="s">
        <v>6766</v>
      </c>
      <c r="G1434" t="s">
        <v>6758</v>
      </c>
    </row>
    <row r="1435">
      <c r="A1435" t="s">
        <v>3654</v>
      </c>
      <c r="B1435" t="s">
        <v>3657</v>
      </c>
      <c r="C1435" t="s">
        <v>3492</v>
      </c>
      <c r="D1435" t="s">
        <v>3492</v>
      </c>
      <c r="E1435" t="s">
        <v>6757</v>
      </c>
      <c r="F1435" t="s">
        <v>6766</v>
      </c>
      <c r="G1435" t="s">
        <v>6758</v>
      </c>
    </row>
    <row r="1436">
      <c r="A1436" t="s">
        <v>3654</v>
      </c>
      <c r="B1436" t="s">
        <v>3657</v>
      </c>
      <c r="C1436" t="s">
        <v>3505</v>
      </c>
      <c r="D1436" t="s">
        <v>3505</v>
      </c>
      <c r="E1436" t="s">
        <v>6757</v>
      </c>
      <c r="F1436" t="s">
        <v>6766</v>
      </c>
      <c r="G1436" t="s">
        <v>6758</v>
      </c>
    </row>
    <row r="1437">
      <c r="A1437" t="s">
        <v>3664</v>
      </c>
      <c r="B1437" t="s">
        <v>3665</v>
      </c>
      <c r="C1437" t="s">
        <v>3654</v>
      </c>
      <c r="D1437" t="s">
        <v>3654</v>
      </c>
      <c r="E1437" t="s">
        <v>6757</v>
      </c>
      <c r="F1437" t="s">
        <v>6766</v>
      </c>
      <c r="G1437" t="s">
        <v>6758</v>
      </c>
    </row>
    <row r="1438">
      <c r="A1438" t="s">
        <v>3664</v>
      </c>
      <c r="B1438" t="s">
        <v>3665</v>
      </c>
      <c r="C1438" t="s">
        <v>3903</v>
      </c>
      <c r="D1438" t="s">
        <v>3903</v>
      </c>
      <c r="E1438" t="s">
        <v>6757</v>
      </c>
      <c r="F1438" t="s">
        <v>6766</v>
      </c>
      <c r="G1438" t="s">
        <v>6758</v>
      </c>
    </row>
    <row r="1439">
      <c r="A1439" t="s">
        <v>3664</v>
      </c>
      <c r="B1439" t="s">
        <v>3665</v>
      </c>
      <c r="C1439" t="s">
        <v>3902</v>
      </c>
      <c r="D1439" t="s">
        <v>3902</v>
      </c>
      <c r="E1439" t="s">
        <v>6757</v>
      </c>
      <c r="F1439" t="s">
        <v>6766</v>
      </c>
      <c r="G1439" t="s">
        <v>6758</v>
      </c>
    </row>
    <row r="1440">
      <c r="A1440" t="s">
        <v>3671</v>
      </c>
      <c r="B1440" t="s">
        <v>3672</v>
      </c>
      <c r="C1440" t="s">
        <v>3654</v>
      </c>
      <c r="D1440" t="s">
        <v>3654</v>
      </c>
      <c r="E1440" t="s">
        <v>6757</v>
      </c>
      <c r="F1440" t="s">
        <v>6766</v>
      </c>
      <c r="G1440" t="s">
        <v>6758</v>
      </c>
    </row>
    <row r="1441">
      <c r="A1441" t="s">
        <v>3671</v>
      </c>
      <c r="B1441" t="s">
        <v>3672</v>
      </c>
      <c r="C1441" t="s">
        <v>3678</v>
      </c>
      <c r="D1441" t="s">
        <v>3678</v>
      </c>
      <c r="E1441" t="s">
        <v>6757</v>
      </c>
      <c r="F1441" t="s">
        <v>6766</v>
      </c>
      <c r="G1441" t="s">
        <v>6758</v>
      </c>
    </row>
    <row r="1442">
      <c r="A1442" t="s">
        <v>3678</v>
      </c>
      <c r="B1442" t="s">
        <v>3679</v>
      </c>
      <c r="C1442" t="s">
        <v>3904</v>
      </c>
      <c r="D1442" t="s">
        <v>3904</v>
      </c>
      <c r="E1442" t="s">
        <v>6757</v>
      </c>
      <c r="F1442" t="s">
        <v>6766</v>
      </c>
      <c r="G1442" t="s">
        <v>6758</v>
      </c>
    </row>
    <row r="1443">
      <c r="A1443" t="s">
        <v>3678</v>
      </c>
      <c r="B1443" t="s">
        <v>3679</v>
      </c>
      <c r="C1443" t="s">
        <v>3903</v>
      </c>
      <c r="D1443" t="s">
        <v>3903</v>
      </c>
      <c r="E1443" t="s">
        <v>6757</v>
      </c>
      <c r="F1443" t="s">
        <v>6766</v>
      </c>
      <c r="G1443" t="s">
        <v>6758</v>
      </c>
    </row>
    <row r="1444">
      <c r="A1444" t="s">
        <v>3678</v>
      </c>
      <c r="B1444" t="s">
        <v>3679</v>
      </c>
      <c r="C1444" t="s">
        <v>3901</v>
      </c>
      <c r="D1444" t="s">
        <v>3901</v>
      </c>
      <c r="E1444" t="s">
        <v>6757</v>
      </c>
      <c r="F1444" t="s">
        <v>6766</v>
      </c>
      <c r="G1444" t="s">
        <v>6758</v>
      </c>
    </row>
    <row r="1445">
      <c r="A1445" t="s">
        <v>3685</v>
      </c>
      <c r="B1445" t="s">
        <v>3686</v>
      </c>
      <c r="C1445" t="s">
        <v>3619</v>
      </c>
      <c r="D1445" t="s">
        <v>3619</v>
      </c>
      <c r="E1445" t="s">
        <v>6757</v>
      </c>
      <c r="F1445" t="s">
        <v>6766</v>
      </c>
      <c r="G1445" t="s">
        <v>6758</v>
      </c>
    </row>
    <row r="1446">
      <c r="A1446" t="s">
        <v>3685</v>
      </c>
      <c r="B1446" t="s">
        <v>3686</v>
      </c>
      <c r="C1446" t="s">
        <v>3654</v>
      </c>
      <c r="D1446" t="s">
        <v>3654</v>
      </c>
      <c r="E1446" t="s">
        <v>6757</v>
      </c>
      <c r="F1446" t="s">
        <v>6766</v>
      </c>
      <c r="G1446" t="s">
        <v>6758</v>
      </c>
    </row>
    <row r="1447">
      <c r="A1447" t="s">
        <v>3685</v>
      </c>
      <c r="B1447" t="s">
        <v>3686</v>
      </c>
      <c r="C1447" t="s">
        <v>3647</v>
      </c>
      <c r="D1447" t="s">
        <v>3647</v>
      </c>
      <c r="E1447" t="s">
        <v>6757</v>
      </c>
      <c r="F1447" t="s">
        <v>6766</v>
      </c>
      <c r="G1447" t="s">
        <v>6758</v>
      </c>
    </row>
    <row r="1448">
      <c r="A1448" t="s">
        <v>3692</v>
      </c>
      <c r="B1448" t="s">
        <v>3693</v>
      </c>
      <c r="C1448" t="s">
        <v>3654</v>
      </c>
      <c r="D1448" t="s">
        <v>3654</v>
      </c>
      <c r="E1448" t="s">
        <v>6757</v>
      </c>
      <c r="F1448" t="s">
        <v>6766</v>
      </c>
      <c r="G1448" t="s">
        <v>6758</v>
      </c>
    </row>
    <row r="1449">
      <c r="A1449" t="s">
        <v>3692</v>
      </c>
      <c r="B1449" t="s">
        <v>3693</v>
      </c>
      <c r="C1449" t="s">
        <v>3685</v>
      </c>
      <c r="D1449" t="s">
        <v>3685</v>
      </c>
      <c r="E1449" t="s">
        <v>6757</v>
      </c>
      <c r="F1449" t="s">
        <v>6766</v>
      </c>
      <c r="G1449" t="s">
        <v>6758</v>
      </c>
    </row>
    <row r="1450">
      <c r="A1450" t="s">
        <v>3692</v>
      </c>
      <c r="B1450" t="s">
        <v>3693</v>
      </c>
      <c r="C1450" t="s">
        <v>3706</v>
      </c>
      <c r="D1450" t="s">
        <v>3706</v>
      </c>
      <c r="E1450" t="s">
        <v>6757</v>
      </c>
      <c r="F1450" t="s">
        <v>6766</v>
      </c>
      <c r="G1450" t="s">
        <v>6758</v>
      </c>
    </row>
    <row r="1451">
      <c r="A1451" t="s">
        <v>3699</v>
      </c>
      <c r="B1451" t="s">
        <v>3700</v>
      </c>
      <c r="C1451" t="s">
        <v>3692</v>
      </c>
      <c r="D1451" t="s">
        <v>3692</v>
      </c>
      <c r="E1451" t="s">
        <v>6757</v>
      </c>
      <c r="F1451" t="s">
        <v>6766</v>
      </c>
      <c r="G1451" t="s">
        <v>6758</v>
      </c>
    </row>
    <row r="1452">
      <c r="A1452" t="s">
        <v>3699</v>
      </c>
      <c r="B1452" t="s">
        <v>3700</v>
      </c>
      <c r="C1452" t="s">
        <v>3905</v>
      </c>
      <c r="D1452" t="s">
        <v>3905</v>
      </c>
      <c r="E1452" t="s">
        <v>6757</v>
      </c>
      <c r="F1452" t="s">
        <v>6766</v>
      </c>
      <c r="G1452" t="s">
        <v>6758</v>
      </c>
    </row>
    <row r="1453">
      <c r="A1453" t="s">
        <v>3706</v>
      </c>
      <c r="B1453" t="s">
        <v>3707</v>
      </c>
      <c r="C1453" t="s">
        <v>3647</v>
      </c>
      <c r="D1453" t="s">
        <v>3647</v>
      </c>
      <c r="E1453" t="s">
        <v>6757</v>
      </c>
      <c r="F1453" t="s">
        <v>6766</v>
      </c>
      <c r="G1453" t="s">
        <v>6758</v>
      </c>
    </row>
    <row r="1454">
      <c r="A1454" t="s">
        <v>3706</v>
      </c>
      <c r="B1454" t="s">
        <v>3707</v>
      </c>
      <c r="C1454" t="s">
        <v>3904</v>
      </c>
      <c r="D1454" t="s">
        <v>3904</v>
      </c>
      <c r="E1454" t="s">
        <v>6757</v>
      </c>
      <c r="F1454" t="s">
        <v>6766</v>
      </c>
      <c r="G1454" t="s">
        <v>6758</v>
      </c>
    </row>
    <row r="1455">
      <c r="A1455" t="s">
        <v>3706</v>
      </c>
      <c r="B1455" t="s">
        <v>3707</v>
      </c>
      <c r="C1455" t="s">
        <v>3901</v>
      </c>
      <c r="D1455" t="s">
        <v>3901</v>
      </c>
      <c r="E1455" t="s">
        <v>6757</v>
      </c>
      <c r="F1455" t="s">
        <v>6766</v>
      </c>
      <c r="G1455" t="s">
        <v>6758</v>
      </c>
    </row>
    <row r="1456">
      <c r="A1456" t="s">
        <v>3713</v>
      </c>
      <c r="B1456" t="s">
        <v>3714</v>
      </c>
      <c r="C1456" t="s">
        <v>3403</v>
      </c>
      <c r="D1456" t="s">
        <v>3403</v>
      </c>
      <c r="E1456" t="s">
        <v>6757</v>
      </c>
      <c r="F1456" t="s">
        <v>6766</v>
      </c>
      <c r="G1456" t="s">
        <v>6758</v>
      </c>
    </row>
    <row r="1457">
      <c r="A1457" t="s">
        <v>3713</v>
      </c>
      <c r="B1457" t="s">
        <v>3714</v>
      </c>
      <c r="C1457" t="s">
        <v>3417</v>
      </c>
      <c r="D1457" t="s">
        <v>3417</v>
      </c>
      <c r="E1457" t="s">
        <v>6757</v>
      </c>
      <c r="F1457" t="s">
        <v>6766</v>
      </c>
      <c r="G1457" t="s">
        <v>6758</v>
      </c>
    </row>
    <row r="1458">
      <c r="A1458" t="s">
        <v>3713</v>
      </c>
      <c r="B1458" t="s">
        <v>3714</v>
      </c>
      <c r="C1458" t="s">
        <v>3654</v>
      </c>
      <c r="D1458" t="s">
        <v>3654</v>
      </c>
      <c r="E1458" t="s">
        <v>6757</v>
      </c>
      <c r="F1458" t="s">
        <v>6766</v>
      </c>
      <c r="G1458" t="s">
        <v>6758</v>
      </c>
    </row>
    <row r="1459">
      <c r="A1459" t="s">
        <v>3720</v>
      </c>
      <c r="B1459" t="s">
        <v>3721</v>
      </c>
      <c r="C1459" t="s">
        <v>3403</v>
      </c>
      <c r="D1459" t="s">
        <v>3403</v>
      </c>
      <c r="E1459" t="s">
        <v>6757</v>
      </c>
      <c r="F1459" t="s">
        <v>6766</v>
      </c>
      <c r="G1459" t="s">
        <v>6758</v>
      </c>
    </row>
    <row r="1460">
      <c r="A1460" t="s">
        <v>3720</v>
      </c>
      <c r="B1460" t="s">
        <v>3721</v>
      </c>
      <c r="C1460" t="s">
        <v>3417</v>
      </c>
      <c r="D1460" t="s">
        <v>3417</v>
      </c>
      <c r="E1460" t="s">
        <v>6757</v>
      </c>
      <c r="F1460" t="s">
        <v>6766</v>
      </c>
      <c r="G1460" t="s">
        <v>6758</v>
      </c>
    </row>
    <row r="1461">
      <c r="A1461" t="s">
        <v>3720</v>
      </c>
      <c r="B1461" t="s">
        <v>3721</v>
      </c>
      <c r="C1461" t="s">
        <v>3619</v>
      </c>
      <c r="D1461" t="s">
        <v>3619</v>
      </c>
      <c r="E1461" t="s">
        <v>6757</v>
      </c>
      <c r="F1461" t="s">
        <v>6766</v>
      </c>
      <c r="G1461" t="s">
        <v>6758</v>
      </c>
    </row>
    <row r="1462">
      <c r="A1462" t="s">
        <v>3727</v>
      </c>
      <c r="B1462" t="s">
        <v>3730</v>
      </c>
      <c r="C1462" t="s">
        <v>3619</v>
      </c>
      <c r="D1462" t="s">
        <v>3619</v>
      </c>
      <c r="E1462" t="s">
        <v>6757</v>
      </c>
      <c r="F1462" t="s">
        <v>6766</v>
      </c>
      <c r="G1462" t="s">
        <v>6758</v>
      </c>
    </row>
    <row r="1463">
      <c r="A1463" t="s">
        <v>3727</v>
      </c>
      <c r="B1463" t="s">
        <v>3730</v>
      </c>
      <c r="C1463" t="s">
        <v>3713</v>
      </c>
      <c r="D1463" t="s">
        <v>3713</v>
      </c>
      <c r="E1463" t="s">
        <v>6757</v>
      </c>
      <c r="F1463" t="s">
        <v>6766</v>
      </c>
      <c r="G1463" t="s">
        <v>6758</v>
      </c>
    </row>
    <row r="1464">
      <c r="A1464" t="s">
        <v>3727</v>
      </c>
      <c r="B1464" t="s">
        <v>3730</v>
      </c>
      <c r="C1464" t="s">
        <v>3720</v>
      </c>
      <c r="D1464" t="s">
        <v>3720</v>
      </c>
      <c r="E1464" t="s">
        <v>6757</v>
      </c>
      <c r="F1464" t="s">
        <v>6766</v>
      </c>
      <c r="G1464" t="s">
        <v>6758</v>
      </c>
    </row>
    <row r="1465">
      <c r="A1465" t="s">
        <v>3737</v>
      </c>
      <c r="B1465" t="s">
        <v>3738</v>
      </c>
      <c r="C1465" t="s">
        <v>3417</v>
      </c>
      <c r="D1465" t="s">
        <v>3417</v>
      </c>
      <c r="E1465" t="s">
        <v>6757</v>
      </c>
      <c r="F1465" t="s">
        <v>6766</v>
      </c>
      <c r="G1465" t="s">
        <v>6758</v>
      </c>
    </row>
    <row r="1466">
      <c r="A1466" t="s">
        <v>3737</v>
      </c>
      <c r="B1466" t="s">
        <v>3738</v>
      </c>
      <c r="C1466" t="s">
        <v>3720</v>
      </c>
      <c r="D1466" t="s">
        <v>3720</v>
      </c>
      <c r="E1466" t="s">
        <v>6757</v>
      </c>
      <c r="F1466" t="s">
        <v>6766</v>
      </c>
      <c r="G1466" t="s">
        <v>6758</v>
      </c>
    </row>
    <row r="1467">
      <c r="A1467" t="s">
        <v>3744</v>
      </c>
      <c r="B1467" t="s">
        <v>3745</v>
      </c>
      <c r="C1467" t="s">
        <v>3619</v>
      </c>
      <c r="D1467" t="s">
        <v>3619</v>
      </c>
      <c r="E1467" t="s">
        <v>6757</v>
      </c>
      <c r="F1467" t="s">
        <v>6766</v>
      </c>
      <c r="G1467" t="s">
        <v>6758</v>
      </c>
    </row>
    <row r="1468">
      <c r="A1468" t="s">
        <v>3744</v>
      </c>
      <c r="B1468" t="s">
        <v>3745</v>
      </c>
      <c r="C1468" t="s">
        <v>3737</v>
      </c>
      <c r="D1468" t="s">
        <v>3737</v>
      </c>
      <c r="E1468" t="s">
        <v>6757</v>
      </c>
      <c r="F1468" t="s">
        <v>6766</v>
      </c>
      <c r="G1468" t="s">
        <v>6758</v>
      </c>
    </row>
    <row r="1469">
      <c r="A1469" t="s">
        <v>3744</v>
      </c>
      <c r="B1469" t="s">
        <v>3745</v>
      </c>
      <c r="C1469" t="s">
        <v>3765</v>
      </c>
      <c r="D1469" t="s">
        <v>3765</v>
      </c>
      <c r="E1469" t="s">
        <v>6757</v>
      </c>
      <c r="F1469" t="s">
        <v>6766</v>
      </c>
      <c r="G1469" t="s">
        <v>6758</v>
      </c>
    </row>
    <row r="1470">
      <c r="A1470" t="s">
        <v>3751</v>
      </c>
      <c r="B1470" t="s">
        <v>3752</v>
      </c>
      <c r="C1470" t="s">
        <v>3429</v>
      </c>
      <c r="D1470" t="s">
        <v>3429</v>
      </c>
      <c r="E1470" t="s">
        <v>6757</v>
      </c>
      <c r="F1470" t="s">
        <v>6766</v>
      </c>
      <c r="G1470" t="s">
        <v>6758</v>
      </c>
    </row>
    <row r="1471">
      <c r="A1471" t="s">
        <v>3751</v>
      </c>
      <c r="B1471" t="s">
        <v>3752</v>
      </c>
      <c r="C1471" t="s">
        <v>3440</v>
      </c>
      <c r="D1471" t="s">
        <v>3440</v>
      </c>
      <c r="E1471" t="s">
        <v>6757</v>
      </c>
      <c r="F1471" t="s">
        <v>6766</v>
      </c>
      <c r="G1471" t="s">
        <v>6758</v>
      </c>
    </row>
    <row r="1472">
      <c r="A1472" t="s">
        <v>3751</v>
      </c>
      <c r="B1472" t="s">
        <v>3752</v>
      </c>
      <c r="C1472" t="s">
        <v>3737</v>
      </c>
      <c r="D1472" t="s">
        <v>3737</v>
      </c>
      <c r="E1472" t="s">
        <v>6757</v>
      </c>
      <c r="F1472" t="s">
        <v>6766</v>
      </c>
      <c r="G1472" t="s">
        <v>6758</v>
      </c>
    </row>
    <row r="1473">
      <c r="A1473" t="s">
        <v>3758</v>
      </c>
      <c r="B1473" t="s">
        <v>3759</v>
      </c>
      <c r="C1473" t="s">
        <v>3587</v>
      </c>
      <c r="D1473" t="s">
        <v>3587</v>
      </c>
      <c r="E1473" t="s">
        <v>6757</v>
      </c>
      <c r="F1473" t="s">
        <v>6766</v>
      </c>
      <c r="G1473" t="s">
        <v>6758</v>
      </c>
    </row>
    <row r="1474">
      <c r="A1474" t="s">
        <v>3758</v>
      </c>
      <c r="B1474" t="s">
        <v>3759</v>
      </c>
      <c r="C1474" t="s">
        <v>3727</v>
      </c>
      <c r="D1474" t="s">
        <v>3727</v>
      </c>
      <c r="E1474" t="s">
        <v>6757</v>
      </c>
      <c r="F1474" t="s">
        <v>6766</v>
      </c>
      <c r="G1474" t="s">
        <v>6758</v>
      </c>
    </row>
    <row r="1475">
      <c r="A1475" t="s">
        <v>3765</v>
      </c>
      <c r="B1475" t="s">
        <v>3766</v>
      </c>
      <c r="C1475" t="s">
        <v>3906</v>
      </c>
      <c r="D1475" t="s">
        <v>3906</v>
      </c>
      <c r="E1475" t="s">
        <v>6757</v>
      </c>
      <c r="F1475" t="s">
        <v>6766</v>
      </c>
      <c r="G1475" t="s">
        <v>6758</v>
      </c>
    </row>
    <row r="1476">
      <c r="A1476" t="s">
        <v>3765</v>
      </c>
      <c r="B1476" t="s">
        <v>3766</v>
      </c>
      <c r="C1476" t="s">
        <v>3907</v>
      </c>
      <c r="D1476" t="s">
        <v>3907</v>
      </c>
      <c r="E1476" t="s">
        <v>6757</v>
      </c>
      <c r="F1476" t="s">
        <v>6766</v>
      </c>
      <c r="G1476" t="s">
        <v>6758</v>
      </c>
    </row>
    <row r="1477">
      <c r="A1477" t="s">
        <v>3772</v>
      </c>
      <c r="B1477" t="s">
        <v>3773</v>
      </c>
      <c r="C1477" t="s">
        <v>3713</v>
      </c>
      <c r="D1477" t="s">
        <v>3713</v>
      </c>
      <c r="E1477" t="s">
        <v>6757</v>
      </c>
      <c r="F1477" t="s">
        <v>6766</v>
      </c>
      <c r="G1477" t="s">
        <v>6758</v>
      </c>
    </row>
    <row r="1478">
      <c r="A1478" t="s">
        <v>3772</v>
      </c>
      <c r="B1478" t="s">
        <v>3773</v>
      </c>
      <c r="C1478" t="s">
        <v>3751</v>
      </c>
      <c r="D1478" t="s">
        <v>3751</v>
      </c>
      <c r="E1478" t="s">
        <v>6757</v>
      </c>
      <c r="F1478" t="s">
        <v>6766</v>
      </c>
      <c r="G1478" t="s">
        <v>6758</v>
      </c>
    </row>
    <row r="1479">
      <c r="A1479" t="s">
        <v>3779</v>
      </c>
      <c r="B1479" t="s">
        <v>3782</v>
      </c>
      <c r="C1479" t="s">
        <v>3530</v>
      </c>
      <c r="D1479" t="s">
        <v>3530</v>
      </c>
      <c r="E1479" t="s">
        <v>6757</v>
      </c>
      <c r="F1479" t="s">
        <v>6766</v>
      </c>
      <c r="G1479" t="s">
        <v>6758</v>
      </c>
    </row>
    <row r="1480">
      <c r="A1480" t="s">
        <v>3779</v>
      </c>
      <c r="B1480" t="s">
        <v>3782</v>
      </c>
      <c r="C1480" t="s">
        <v>3905</v>
      </c>
      <c r="D1480" t="s">
        <v>3905</v>
      </c>
      <c r="E1480" t="s">
        <v>6757</v>
      </c>
      <c r="F1480" t="s">
        <v>6766</v>
      </c>
      <c r="G1480" t="s">
        <v>6758</v>
      </c>
    </row>
    <row r="1481">
      <c r="A1481" t="s">
        <v>3779</v>
      </c>
      <c r="B1481" t="s">
        <v>3782</v>
      </c>
      <c r="C1481" t="s">
        <v>3908</v>
      </c>
      <c r="D1481" t="s">
        <v>3908</v>
      </c>
      <c r="E1481" t="s">
        <v>6757</v>
      </c>
      <c r="F1481" t="s">
        <v>6766</v>
      </c>
      <c r="G1481" t="s">
        <v>6758</v>
      </c>
    </row>
    <row r="1482">
      <c r="A1482" t="s">
        <v>3792</v>
      </c>
      <c r="B1482" t="s">
        <v>3793</v>
      </c>
      <c r="C1482" t="s">
        <v>3477</v>
      </c>
      <c r="D1482" t="s">
        <v>3477</v>
      </c>
      <c r="E1482" t="s">
        <v>6757</v>
      </c>
      <c r="F1482" t="s">
        <v>6766</v>
      </c>
      <c r="G1482" t="s">
        <v>6758</v>
      </c>
    </row>
    <row r="1483">
      <c r="A1483" t="s">
        <v>3792</v>
      </c>
      <c r="B1483" t="s">
        <v>3793</v>
      </c>
      <c r="C1483" t="s">
        <v>3909</v>
      </c>
      <c r="D1483" t="s">
        <v>3909</v>
      </c>
      <c r="E1483" t="s">
        <v>6757</v>
      </c>
      <c r="F1483" t="s">
        <v>6766</v>
      </c>
      <c r="G1483" t="s">
        <v>6758</v>
      </c>
    </row>
    <row r="1484">
      <c r="A1484" t="s">
        <v>3799</v>
      </c>
      <c r="B1484" t="s">
        <v>3800</v>
      </c>
      <c r="C1484" t="s">
        <v>3905</v>
      </c>
      <c r="D1484" t="s">
        <v>3905</v>
      </c>
      <c r="E1484" t="s">
        <v>6757</v>
      </c>
      <c r="F1484" t="s">
        <v>6766</v>
      </c>
      <c r="G1484" t="s">
        <v>6758</v>
      </c>
    </row>
    <row r="1485">
      <c r="A1485" t="s">
        <v>3799</v>
      </c>
      <c r="B1485" t="s">
        <v>3800</v>
      </c>
      <c r="C1485" t="s">
        <v>3910</v>
      </c>
      <c r="D1485" t="s">
        <v>3910</v>
      </c>
      <c r="E1485" t="s">
        <v>6757</v>
      </c>
      <c r="F1485" t="s">
        <v>6766</v>
      </c>
      <c r="G1485" t="s">
        <v>6758</v>
      </c>
    </row>
    <row r="1486">
      <c r="A1486" t="s">
        <v>3806</v>
      </c>
      <c r="B1486" t="s">
        <v>3807</v>
      </c>
      <c r="C1486" t="s">
        <v>3451</v>
      </c>
      <c r="D1486" t="s">
        <v>3451</v>
      </c>
      <c r="E1486" t="s">
        <v>6757</v>
      </c>
      <c r="F1486" t="s">
        <v>6766</v>
      </c>
      <c r="G1486" t="s">
        <v>6758</v>
      </c>
    </row>
    <row r="1487">
      <c r="A1487" t="s">
        <v>3806</v>
      </c>
      <c r="B1487" t="s">
        <v>3807</v>
      </c>
      <c r="C1487" t="s">
        <v>3792</v>
      </c>
      <c r="D1487" t="s">
        <v>3792</v>
      </c>
      <c r="E1487" t="s">
        <v>6757</v>
      </c>
      <c r="F1487" t="s">
        <v>6766</v>
      </c>
      <c r="G1487" t="s">
        <v>6758</v>
      </c>
    </row>
    <row r="1488">
      <c r="A1488" t="s">
        <v>3813</v>
      </c>
      <c r="B1488" t="s">
        <v>3814</v>
      </c>
      <c r="C1488" t="s">
        <v>3737</v>
      </c>
      <c r="D1488" t="s">
        <v>3737</v>
      </c>
      <c r="E1488" t="s">
        <v>6757</v>
      </c>
      <c r="F1488" t="s">
        <v>6766</v>
      </c>
      <c r="G1488" t="s">
        <v>6758</v>
      </c>
    </row>
    <row r="1489">
      <c r="A1489" t="s">
        <v>3813</v>
      </c>
      <c r="B1489" t="s">
        <v>3814</v>
      </c>
      <c r="C1489" t="s">
        <v>3792</v>
      </c>
      <c r="D1489" t="s">
        <v>3792</v>
      </c>
      <c r="E1489" t="s">
        <v>6757</v>
      </c>
      <c r="F1489" t="s">
        <v>6766</v>
      </c>
      <c r="G1489" t="s">
        <v>6758</v>
      </c>
    </row>
    <row r="1490">
      <c r="A1490" t="s">
        <v>3820</v>
      </c>
      <c r="B1490" t="s">
        <v>3821</v>
      </c>
      <c r="C1490" t="s">
        <v>3619</v>
      </c>
      <c r="D1490" t="s">
        <v>3619</v>
      </c>
      <c r="E1490" t="s">
        <v>6757</v>
      </c>
      <c r="F1490" t="s">
        <v>6766</v>
      </c>
      <c r="G1490" t="s">
        <v>6758</v>
      </c>
    </row>
    <row r="1491">
      <c r="A1491" t="s">
        <v>3820</v>
      </c>
      <c r="B1491" t="s">
        <v>3821</v>
      </c>
      <c r="C1491" t="s">
        <v>3727</v>
      </c>
      <c r="D1491" t="s">
        <v>3727</v>
      </c>
      <c r="E1491" t="s">
        <v>6757</v>
      </c>
      <c r="F1491" t="s">
        <v>6766</v>
      </c>
      <c r="G1491" t="s">
        <v>6758</v>
      </c>
    </row>
    <row r="1492">
      <c r="A1492" t="s">
        <v>3820</v>
      </c>
      <c r="B1492" t="s">
        <v>3821</v>
      </c>
      <c r="C1492" t="s">
        <v>3905</v>
      </c>
      <c r="D1492" t="s">
        <v>3905</v>
      </c>
      <c r="E1492" t="s">
        <v>6757</v>
      </c>
      <c r="F1492" t="s">
        <v>6766</v>
      </c>
      <c r="G1492" t="s">
        <v>6758</v>
      </c>
    </row>
    <row r="1493">
      <c r="A1493" t="s">
        <v>3827</v>
      </c>
      <c r="B1493" t="s">
        <v>3830</v>
      </c>
      <c r="C1493" t="s">
        <v>3626</v>
      </c>
      <c r="D1493" t="s">
        <v>3626</v>
      </c>
      <c r="E1493" t="s">
        <v>6757</v>
      </c>
      <c r="F1493" t="s">
        <v>6766</v>
      </c>
      <c r="G1493" t="s">
        <v>6758</v>
      </c>
    </row>
    <row r="1494">
      <c r="A1494" t="s">
        <v>3827</v>
      </c>
      <c r="B1494" t="s">
        <v>3830</v>
      </c>
      <c r="C1494" t="s">
        <v>3647</v>
      </c>
      <c r="D1494" t="s">
        <v>3647</v>
      </c>
      <c r="E1494" t="s">
        <v>6757</v>
      </c>
      <c r="F1494" t="s">
        <v>6766</v>
      </c>
      <c r="G1494" t="s">
        <v>6758</v>
      </c>
    </row>
    <row r="1495">
      <c r="A1495" t="s">
        <v>3837</v>
      </c>
      <c r="B1495" t="s">
        <v>3838</v>
      </c>
      <c r="C1495" t="s">
        <v>3911</v>
      </c>
      <c r="D1495" t="s">
        <v>3911</v>
      </c>
      <c r="E1495" t="s">
        <v>6757</v>
      </c>
      <c r="F1495" t="s">
        <v>6766</v>
      </c>
      <c r="G1495" t="s">
        <v>6758</v>
      </c>
    </row>
    <row r="1496">
      <c r="A1496" t="s">
        <v>3837</v>
      </c>
      <c r="B1496" t="s">
        <v>3838</v>
      </c>
      <c r="C1496" t="s">
        <v>3912</v>
      </c>
      <c r="D1496" t="s">
        <v>3912</v>
      </c>
      <c r="E1496" t="s">
        <v>6757</v>
      </c>
      <c r="F1496" t="s">
        <v>6766</v>
      </c>
      <c r="G1496" t="s">
        <v>6758</v>
      </c>
    </row>
    <row r="1497">
      <c r="A1497" t="s">
        <v>3837</v>
      </c>
      <c r="B1497" t="s">
        <v>3838</v>
      </c>
      <c r="C1497" t="s">
        <v>3913</v>
      </c>
      <c r="D1497" t="s">
        <v>3913</v>
      </c>
      <c r="E1497" t="s">
        <v>6757</v>
      </c>
      <c r="F1497" t="s">
        <v>6766</v>
      </c>
      <c r="G1497" t="s">
        <v>6758</v>
      </c>
    </row>
    <row r="1498">
      <c r="A1498" s="74" t="s">
        <v>7286</v>
      </c>
      <c r="B1498" s="74" t="s">
        <v>7291</v>
      </c>
      <c r="C1498" s="74" t="s">
        <v>2071</v>
      </c>
      <c r="D1498" s="74" t="s">
        <v>96</v>
      </c>
      <c r="E1498" s="74" t="s">
        <v>6757</v>
      </c>
      <c r="F1498" s="74" t="s">
        <v>7371</v>
      </c>
      <c r="G1498" s="74" t="s">
        <v>6758</v>
      </c>
    </row>
    <row r="1499">
      <c r="A1499" s="74" t="s">
        <v>7286</v>
      </c>
      <c r="B1499" s="74" t="s">
        <v>7291</v>
      </c>
      <c r="C1499" s="74" t="s">
        <v>2079</v>
      </c>
      <c r="D1499" s="74" t="s">
        <v>106</v>
      </c>
      <c r="E1499" s="74" t="s">
        <v>6757</v>
      </c>
      <c r="F1499" s="74" t="s">
        <v>7371</v>
      </c>
      <c r="G1499" s="74" t="s">
        <v>6758</v>
      </c>
    </row>
    <row r="1500">
      <c r="A1500" s="74" t="s">
        <v>7286</v>
      </c>
      <c r="B1500" s="74" t="s">
        <v>7291</v>
      </c>
      <c r="C1500" s="74" t="s">
        <v>2081</v>
      </c>
      <c r="D1500" s="74" t="s">
        <v>113</v>
      </c>
      <c r="E1500" s="74" t="s">
        <v>6757</v>
      </c>
      <c r="F1500" s="74" t="s">
        <v>7371</v>
      </c>
      <c r="G1500" s="74" t="s">
        <v>6758</v>
      </c>
    </row>
    <row r="1501">
      <c r="A1501" s="74" t="s">
        <v>7286</v>
      </c>
      <c r="B1501" s="74" t="s">
        <v>7291</v>
      </c>
      <c r="C1501" s="74" t="s">
        <v>2084</v>
      </c>
      <c r="D1501" s="74" t="s">
        <v>119</v>
      </c>
      <c r="E1501" s="74" t="s">
        <v>6757</v>
      </c>
      <c r="F1501" s="74" t="s">
        <v>7371</v>
      </c>
      <c r="G1501" s="74" t="s">
        <v>6758</v>
      </c>
    </row>
    <row r="1502">
      <c r="A1502" s="74" t="s">
        <v>7286</v>
      </c>
      <c r="B1502" s="74" t="s">
        <v>7291</v>
      </c>
      <c r="C1502" s="74" t="s">
        <v>2124</v>
      </c>
      <c r="D1502" s="74" t="s">
        <v>226</v>
      </c>
      <c r="E1502" s="74" t="s">
        <v>6757</v>
      </c>
      <c r="F1502" s="74" t="s">
        <v>7371</v>
      </c>
      <c r="G1502" s="74" t="s">
        <v>6758</v>
      </c>
    </row>
    <row r="1503">
      <c r="A1503" s="74" t="s">
        <v>7286</v>
      </c>
      <c r="B1503" s="74" t="s">
        <v>7291</v>
      </c>
      <c r="C1503" s="74" t="s">
        <v>2133</v>
      </c>
      <c r="D1503" s="74" t="s">
        <v>248</v>
      </c>
      <c r="E1503" s="74" t="s">
        <v>6757</v>
      </c>
      <c r="F1503" s="74" t="s">
        <v>7371</v>
      </c>
      <c r="G1503" s="74" t="s">
        <v>6758</v>
      </c>
    </row>
    <row r="1504">
      <c r="A1504" s="74" t="s">
        <v>7286</v>
      </c>
      <c r="B1504" s="74" t="s">
        <v>7291</v>
      </c>
      <c r="C1504" s="74" t="s">
        <v>2140</v>
      </c>
      <c r="D1504" s="74" t="s">
        <v>263</v>
      </c>
      <c r="E1504" s="74" t="s">
        <v>6757</v>
      </c>
      <c r="F1504" s="74" t="s">
        <v>7371</v>
      </c>
      <c r="G1504" s="74" t="s">
        <v>6758</v>
      </c>
    </row>
    <row r="1505">
      <c r="A1505" s="74" t="s">
        <v>7286</v>
      </c>
      <c r="B1505" s="74" t="s">
        <v>7291</v>
      </c>
      <c r="C1505" s="74" t="s">
        <v>2156</v>
      </c>
      <c r="D1505" s="74" t="s">
        <v>2157</v>
      </c>
      <c r="E1505" s="74" t="s">
        <v>6757</v>
      </c>
      <c r="F1505" s="74" t="s">
        <v>7371</v>
      </c>
      <c r="G1505" s="74" t="s">
        <v>6758</v>
      </c>
    </row>
    <row r="1506">
      <c r="A1506" s="74" t="s">
        <v>7286</v>
      </c>
      <c r="B1506" s="74" t="s">
        <v>7291</v>
      </c>
      <c r="C1506" s="74" t="s">
        <v>2167</v>
      </c>
      <c r="D1506" s="74" t="s">
        <v>332</v>
      </c>
      <c r="E1506" s="74" t="s">
        <v>6757</v>
      </c>
      <c r="F1506" s="74" t="s">
        <v>7371</v>
      </c>
      <c r="G1506" s="74" t="s">
        <v>6758</v>
      </c>
    </row>
    <row r="1507">
      <c r="A1507" s="74" t="s">
        <v>7286</v>
      </c>
      <c r="B1507" s="74" t="s">
        <v>7291</v>
      </c>
      <c r="C1507" s="74" t="s">
        <v>2196</v>
      </c>
      <c r="D1507" s="74" t="s">
        <v>400</v>
      </c>
      <c r="E1507" s="74" t="s">
        <v>6757</v>
      </c>
      <c r="F1507" s="74" t="s">
        <v>7371</v>
      </c>
      <c r="G1507" s="74" t="s">
        <v>6758</v>
      </c>
    </row>
    <row r="1508">
      <c r="A1508" s="74" t="s">
        <v>7286</v>
      </c>
      <c r="B1508" s="74" t="s">
        <v>7291</v>
      </c>
      <c r="C1508" s="74" t="s">
        <v>2224</v>
      </c>
      <c r="D1508" s="74" t="s">
        <v>467</v>
      </c>
      <c r="E1508" s="74" t="s">
        <v>6757</v>
      </c>
      <c r="F1508" s="74" t="s">
        <v>7371</v>
      </c>
      <c r="G1508" s="74" t="s">
        <v>6758</v>
      </c>
    </row>
    <row r="1509">
      <c r="A1509" s="74" t="s">
        <v>7286</v>
      </c>
      <c r="B1509" s="74" t="s">
        <v>7291</v>
      </c>
      <c r="C1509" s="74" t="s">
        <v>2260</v>
      </c>
      <c r="D1509" s="74" t="s">
        <v>548</v>
      </c>
      <c r="E1509" s="74" t="s">
        <v>6757</v>
      </c>
      <c r="F1509" s="74" t="s">
        <v>7371</v>
      </c>
      <c r="G1509" s="74" t="s">
        <v>6758</v>
      </c>
    </row>
    <row r="1510">
      <c r="A1510" s="74" t="s">
        <v>7286</v>
      </c>
      <c r="B1510" s="74" t="s">
        <v>7291</v>
      </c>
      <c r="C1510" s="74" t="s">
        <v>2263</v>
      </c>
      <c r="D1510" s="74" t="s">
        <v>556</v>
      </c>
      <c r="E1510" s="74" t="s">
        <v>6757</v>
      </c>
      <c r="F1510" s="74" t="s">
        <v>7371</v>
      </c>
      <c r="G1510" s="74" t="s">
        <v>6758</v>
      </c>
    </row>
    <row r="1511">
      <c r="A1511" s="74" t="s">
        <v>7286</v>
      </c>
      <c r="B1511" s="74" t="s">
        <v>7291</v>
      </c>
      <c r="C1511" s="74" t="s">
        <v>2266</v>
      </c>
      <c r="D1511" s="74" t="s">
        <v>561</v>
      </c>
      <c r="E1511" s="74" t="s">
        <v>6757</v>
      </c>
      <c r="F1511" s="74" t="s">
        <v>7371</v>
      </c>
      <c r="G1511" s="74" t="s">
        <v>6758</v>
      </c>
    </row>
    <row r="1512">
      <c r="A1512" s="74" t="s">
        <v>7286</v>
      </c>
      <c r="B1512" s="74" t="s">
        <v>7291</v>
      </c>
      <c r="C1512" s="74" t="s">
        <v>2431</v>
      </c>
      <c r="D1512" s="74" t="s">
        <v>962</v>
      </c>
      <c r="E1512" s="74" t="s">
        <v>6757</v>
      </c>
      <c r="F1512" s="74" t="s">
        <v>7371</v>
      </c>
      <c r="G1512" s="74" t="s">
        <v>6758</v>
      </c>
    </row>
    <row r="1513">
      <c r="A1513" s="74" t="s">
        <v>7286</v>
      </c>
      <c r="B1513" s="74" t="s">
        <v>7291</v>
      </c>
      <c r="C1513" s="74" t="s">
        <v>2505</v>
      </c>
      <c r="D1513" s="74" t="s">
        <v>1121</v>
      </c>
      <c r="E1513" s="74" t="s">
        <v>6757</v>
      </c>
      <c r="F1513" s="74" t="s">
        <v>7371</v>
      </c>
      <c r="G1513" s="74" t="s">
        <v>6758</v>
      </c>
    </row>
    <row r="1514">
      <c r="A1514" s="74" t="s">
        <v>7286</v>
      </c>
      <c r="B1514" s="74" t="s">
        <v>7291</v>
      </c>
      <c r="C1514" s="74" t="s">
        <v>3147</v>
      </c>
      <c r="D1514" s="74" t="s">
        <v>3148</v>
      </c>
      <c r="E1514" s="74" t="s">
        <v>6757</v>
      </c>
      <c r="F1514" s="74" t="s">
        <v>7371</v>
      </c>
      <c r="G1514" s="74" t="s">
        <v>6758</v>
      </c>
    </row>
    <row r="1515">
      <c r="A1515" s="74" t="s">
        <v>7308</v>
      </c>
      <c r="B1515" s="74" t="s">
        <v>7311</v>
      </c>
      <c r="C1515" s="74" t="s">
        <v>2071</v>
      </c>
      <c r="D1515" s="74" t="s">
        <v>96</v>
      </c>
      <c r="E1515" s="74" t="s">
        <v>6757</v>
      </c>
      <c r="F1515" s="74" t="s">
        <v>7371</v>
      </c>
      <c r="G1515" s="74" t="s">
        <v>6758</v>
      </c>
    </row>
    <row r="1516">
      <c r="A1516" s="74" t="s">
        <v>7308</v>
      </c>
      <c r="B1516" s="74" t="s">
        <v>7311</v>
      </c>
      <c r="C1516" s="74" t="s">
        <v>2079</v>
      </c>
      <c r="D1516" s="74" t="s">
        <v>106</v>
      </c>
      <c r="E1516" s="74" t="s">
        <v>6757</v>
      </c>
      <c r="F1516" s="74" t="s">
        <v>7371</v>
      </c>
      <c r="G1516" s="74" t="s">
        <v>6758</v>
      </c>
    </row>
    <row r="1517">
      <c r="A1517" s="74" t="s">
        <v>7308</v>
      </c>
      <c r="B1517" s="74" t="s">
        <v>7311</v>
      </c>
      <c r="C1517" s="74" t="s">
        <v>2081</v>
      </c>
      <c r="D1517" s="74" t="s">
        <v>113</v>
      </c>
      <c r="E1517" s="74" t="s">
        <v>6757</v>
      </c>
      <c r="F1517" s="74" t="s">
        <v>7371</v>
      </c>
      <c r="G1517" s="74" t="s">
        <v>6758</v>
      </c>
    </row>
    <row r="1518">
      <c r="A1518" s="74" t="s">
        <v>7308</v>
      </c>
      <c r="B1518" s="74" t="s">
        <v>7311</v>
      </c>
      <c r="C1518" s="74" t="s">
        <v>2124</v>
      </c>
      <c r="D1518" s="74" t="s">
        <v>226</v>
      </c>
      <c r="E1518" s="74" t="s">
        <v>6757</v>
      </c>
      <c r="F1518" s="74" t="s">
        <v>7371</v>
      </c>
      <c r="G1518" s="74" t="s">
        <v>6758</v>
      </c>
    </row>
    <row r="1519">
      <c r="A1519" s="74" t="s">
        <v>7308</v>
      </c>
      <c r="B1519" s="74" t="s">
        <v>7311</v>
      </c>
      <c r="C1519" s="74" t="s">
        <v>2133</v>
      </c>
      <c r="D1519" s="74" t="s">
        <v>248</v>
      </c>
      <c r="E1519" s="74" t="s">
        <v>6757</v>
      </c>
      <c r="F1519" s="74" t="s">
        <v>7371</v>
      </c>
      <c r="G1519" s="74" t="s">
        <v>6758</v>
      </c>
    </row>
    <row r="1520">
      <c r="A1520" s="74" t="s">
        <v>7308</v>
      </c>
      <c r="B1520" s="74" t="s">
        <v>7311</v>
      </c>
      <c r="C1520" s="74" t="s">
        <v>2140</v>
      </c>
      <c r="D1520" s="74" t="s">
        <v>263</v>
      </c>
      <c r="E1520" s="74" t="s">
        <v>6757</v>
      </c>
      <c r="F1520" s="74" t="s">
        <v>7371</v>
      </c>
      <c r="G1520" s="74" t="s">
        <v>6758</v>
      </c>
    </row>
    <row r="1521">
      <c r="A1521" s="74" t="s">
        <v>7308</v>
      </c>
      <c r="B1521" s="74" t="s">
        <v>7311</v>
      </c>
      <c r="C1521" s="74" t="s">
        <v>2143</v>
      </c>
      <c r="D1521" s="74" t="s">
        <v>271</v>
      </c>
      <c r="E1521" s="74" t="s">
        <v>6757</v>
      </c>
      <c r="F1521" s="74" t="s">
        <v>7371</v>
      </c>
      <c r="G1521" s="74" t="s">
        <v>6758</v>
      </c>
    </row>
    <row r="1522">
      <c r="A1522" s="74" t="s">
        <v>7308</v>
      </c>
      <c r="B1522" s="74" t="s">
        <v>7311</v>
      </c>
      <c r="C1522" s="74" t="s">
        <v>2196</v>
      </c>
      <c r="D1522" s="74" t="s">
        <v>400</v>
      </c>
      <c r="E1522" s="74" t="s">
        <v>6757</v>
      </c>
      <c r="F1522" s="74" t="s">
        <v>7371</v>
      </c>
      <c r="G1522" s="74" t="s">
        <v>6758</v>
      </c>
    </row>
    <row r="1523">
      <c r="A1523" s="74" t="s">
        <v>7308</v>
      </c>
      <c r="B1523" s="74" t="s">
        <v>7311</v>
      </c>
      <c r="C1523" s="74" t="s">
        <v>2224</v>
      </c>
      <c r="D1523" s="74" t="s">
        <v>467</v>
      </c>
      <c r="E1523" s="74" t="s">
        <v>6757</v>
      </c>
      <c r="F1523" s="74" t="s">
        <v>7371</v>
      </c>
      <c r="G1523" s="74" t="s">
        <v>6758</v>
      </c>
    </row>
    <row r="1524">
      <c r="A1524" s="74" t="s">
        <v>7308</v>
      </c>
      <c r="B1524" s="74" t="s">
        <v>7311</v>
      </c>
      <c r="C1524" s="74" t="s">
        <v>3147</v>
      </c>
      <c r="D1524" s="74" t="s">
        <v>3148</v>
      </c>
      <c r="E1524" s="74" t="s">
        <v>6757</v>
      </c>
      <c r="F1524" s="74" t="s">
        <v>7371</v>
      </c>
      <c r="G1524" s="74" t="s">
        <v>6758</v>
      </c>
    </row>
    <row r="1525">
      <c r="A1525" s="74" t="s">
        <v>7321</v>
      </c>
      <c r="B1525" s="74" t="s">
        <v>7324</v>
      </c>
      <c r="C1525" s="74" t="s">
        <v>2071</v>
      </c>
      <c r="D1525" s="74" t="s">
        <v>96</v>
      </c>
      <c r="E1525" s="74" t="s">
        <v>6757</v>
      </c>
      <c r="F1525" s="74" t="s">
        <v>7371</v>
      </c>
      <c r="G1525" s="74" t="s">
        <v>6758</v>
      </c>
    </row>
    <row r="1526">
      <c r="A1526" s="74" t="s">
        <v>7321</v>
      </c>
      <c r="B1526" s="74" t="s">
        <v>7324</v>
      </c>
      <c r="C1526" s="74" t="s">
        <v>2079</v>
      </c>
      <c r="D1526" s="74" t="s">
        <v>106</v>
      </c>
      <c r="E1526" s="74" t="s">
        <v>6757</v>
      </c>
      <c r="F1526" s="74" t="s">
        <v>7371</v>
      </c>
      <c r="G1526" s="74" t="s">
        <v>6758</v>
      </c>
    </row>
    <row r="1527">
      <c r="A1527" s="74" t="s">
        <v>7321</v>
      </c>
      <c r="B1527" s="74" t="s">
        <v>7324</v>
      </c>
      <c r="C1527" s="74" t="s">
        <v>2081</v>
      </c>
      <c r="D1527" s="74" t="s">
        <v>113</v>
      </c>
      <c r="E1527" s="74" t="s">
        <v>6757</v>
      </c>
      <c r="F1527" s="74" t="s">
        <v>7371</v>
      </c>
      <c r="G1527" s="74" t="s">
        <v>6758</v>
      </c>
    </row>
    <row r="1528">
      <c r="A1528" s="74" t="s">
        <v>7321</v>
      </c>
      <c r="B1528" s="74" t="s">
        <v>7324</v>
      </c>
      <c r="C1528" s="74" t="s">
        <v>2084</v>
      </c>
      <c r="D1528" s="74" t="s">
        <v>119</v>
      </c>
      <c r="E1528" s="74" t="s">
        <v>6757</v>
      </c>
      <c r="F1528" s="74" t="s">
        <v>7371</v>
      </c>
      <c r="G1528" s="74" t="s">
        <v>6758</v>
      </c>
    </row>
    <row r="1529">
      <c r="A1529" s="74" t="s">
        <v>7321</v>
      </c>
      <c r="B1529" s="74" t="s">
        <v>7324</v>
      </c>
      <c r="C1529" s="74" t="s">
        <v>2092</v>
      </c>
      <c r="D1529" s="74" t="s">
        <v>145</v>
      </c>
      <c r="E1529" s="74" t="s">
        <v>6757</v>
      </c>
      <c r="F1529" s="74" t="s">
        <v>7371</v>
      </c>
      <c r="G1529" s="74" t="s">
        <v>6758</v>
      </c>
    </row>
    <row r="1530">
      <c r="A1530" s="74" t="s">
        <v>7321</v>
      </c>
      <c r="B1530" s="74" t="s">
        <v>7324</v>
      </c>
      <c r="C1530" s="74" t="s">
        <v>2124</v>
      </c>
      <c r="D1530" s="74" t="s">
        <v>226</v>
      </c>
      <c r="E1530" s="74" t="s">
        <v>6757</v>
      </c>
      <c r="F1530" s="74" t="s">
        <v>7371</v>
      </c>
      <c r="G1530" s="74" t="s">
        <v>6758</v>
      </c>
    </row>
    <row r="1531">
      <c r="A1531" s="74" t="s">
        <v>7321</v>
      </c>
      <c r="B1531" s="74" t="s">
        <v>7324</v>
      </c>
      <c r="C1531" s="74" t="s">
        <v>2133</v>
      </c>
      <c r="D1531" s="74" t="s">
        <v>248</v>
      </c>
      <c r="E1531" s="74" t="s">
        <v>6757</v>
      </c>
      <c r="F1531" s="74" t="s">
        <v>7371</v>
      </c>
      <c r="G1531" s="74" t="s">
        <v>6758</v>
      </c>
    </row>
    <row r="1532">
      <c r="A1532" s="74" t="s">
        <v>7321</v>
      </c>
      <c r="B1532" s="74" t="s">
        <v>7324</v>
      </c>
      <c r="C1532" s="74" t="s">
        <v>2140</v>
      </c>
      <c r="D1532" s="74" t="s">
        <v>263</v>
      </c>
      <c r="E1532" s="74" t="s">
        <v>6757</v>
      </c>
      <c r="F1532" s="74" t="s">
        <v>7371</v>
      </c>
      <c r="G1532" s="74" t="s">
        <v>6758</v>
      </c>
    </row>
    <row r="1533">
      <c r="A1533" s="74" t="s">
        <v>7321</v>
      </c>
      <c r="B1533" s="74" t="s">
        <v>7324</v>
      </c>
      <c r="C1533" s="74" t="s">
        <v>2143</v>
      </c>
      <c r="D1533" s="74" t="s">
        <v>271</v>
      </c>
      <c r="E1533" s="74" t="s">
        <v>6757</v>
      </c>
      <c r="F1533" s="74" t="s">
        <v>7371</v>
      </c>
      <c r="G1533" s="74" t="s">
        <v>6758</v>
      </c>
    </row>
    <row r="1534">
      <c r="A1534" s="74" t="s">
        <v>7321</v>
      </c>
      <c r="B1534" s="74" t="s">
        <v>7324</v>
      </c>
      <c r="C1534" s="74" t="s">
        <v>2146</v>
      </c>
      <c r="D1534" s="74" t="s">
        <v>279</v>
      </c>
      <c r="E1534" s="74" t="s">
        <v>6757</v>
      </c>
      <c r="F1534" s="74" t="s">
        <v>7371</v>
      </c>
      <c r="G1534" s="74" t="s">
        <v>6758</v>
      </c>
    </row>
    <row r="1535">
      <c r="A1535" s="74" t="s">
        <v>7321</v>
      </c>
      <c r="B1535" s="74" t="s">
        <v>7324</v>
      </c>
      <c r="C1535" s="74" t="s">
        <v>2161</v>
      </c>
      <c r="D1535" s="74" t="s">
        <v>313</v>
      </c>
      <c r="E1535" s="74" t="s">
        <v>6757</v>
      </c>
      <c r="F1535" s="74" t="s">
        <v>7371</v>
      </c>
      <c r="G1535" s="74" t="s">
        <v>6758</v>
      </c>
    </row>
    <row r="1536">
      <c r="A1536" s="74" t="s">
        <v>7321</v>
      </c>
      <c r="B1536" s="74" t="s">
        <v>7324</v>
      </c>
      <c r="C1536" s="74" t="s">
        <v>2167</v>
      </c>
      <c r="D1536" s="74" t="s">
        <v>332</v>
      </c>
      <c r="E1536" s="74" t="s">
        <v>6757</v>
      </c>
      <c r="F1536" s="74" t="s">
        <v>7371</v>
      </c>
      <c r="G1536" s="74" t="s">
        <v>6758</v>
      </c>
    </row>
    <row r="1537">
      <c r="A1537" s="74" t="s">
        <v>7321</v>
      </c>
      <c r="B1537" s="74" t="s">
        <v>7324</v>
      </c>
      <c r="C1537" s="74" t="s">
        <v>2196</v>
      </c>
      <c r="D1537" s="74" t="s">
        <v>400</v>
      </c>
      <c r="E1537" s="74" t="s">
        <v>6757</v>
      </c>
      <c r="F1537" s="74" t="s">
        <v>7371</v>
      </c>
      <c r="G1537" s="74" t="s">
        <v>6758</v>
      </c>
    </row>
    <row r="1538">
      <c r="A1538" s="74" t="s">
        <v>7321</v>
      </c>
      <c r="B1538" s="74" t="s">
        <v>7324</v>
      </c>
      <c r="C1538" s="74" t="s">
        <v>2224</v>
      </c>
      <c r="D1538" s="74" t="s">
        <v>467</v>
      </c>
      <c r="E1538" s="74" t="s">
        <v>6757</v>
      </c>
      <c r="F1538" s="74" t="s">
        <v>7371</v>
      </c>
      <c r="G1538" s="74" t="s">
        <v>6758</v>
      </c>
    </row>
    <row r="1539">
      <c r="A1539" s="74" t="s">
        <v>7321</v>
      </c>
      <c r="B1539" s="74" t="s">
        <v>7324</v>
      </c>
      <c r="C1539" s="74" t="s">
        <v>2260</v>
      </c>
      <c r="D1539" s="74" t="s">
        <v>548</v>
      </c>
      <c r="E1539" s="74" t="s">
        <v>6757</v>
      </c>
      <c r="F1539" s="74" t="s">
        <v>7371</v>
      </c>
      <c r="G1539" s="74" t="s">
        <v>6758</v>
      </c>
    </row>
    <row r="1540">
      <c r="A1540" s="74" t="s">
        <v>7321</v>
      </c>
      <c r="B1540" s="74" t="s">
        <v>7324</v>
      </c>
      <c r="C1540" s="74" t="s">
        <v>2263</v>
      </c>
      <c r="D1540" s="74" t="s">
        <v>556</v>
      </c>
      <c r="E1540" s="74" t="s">
        <v>6757</v>
      </c>
      <c r="F1540" s="74" t="s">
        <v>7371</v>
      </c>
      <c r="G1540" s="74" t="s">
        <v>6758</v>
      </c>
    </row>
    <row r="1541">
      <c r="A1541" s="74" t="s">
        <v>7321</v>
      </c>
      <c r="B1541" s="74" t="s">
        <v>7324</v>
      </c>
      <c r="C1541" s="74" t="s">
        <v>2266</v>
      </c>
      <c r="D1541" s="74" t="s">
        <v>561</v>
      </c>
      <c r="E1541" s="74" t="s">
        <v>6757</v>
      </c>
      <c r="F1541" s="74" t="s">
        <v>7371</v>
      </c>
      <c r="G1541" s="74" t="s">
        <v>6758</v>
      </c>
    </row>
    <row r="1542">
      <c r="A1542" s="74" t="s">
        <v>7321</v>
      </c>
      <c r="B1542" s="74" t="s">
        <v>7324</v>
      </c>
      <c r="C1542" s="74" t="s">
        <v>2299</v>
      </c>
      <c r="D1542" s="74" t="s">
        <v>647</v>
      </c>
      <c r="E1542" s="74" t="s">
        <v>6757</v>
      </c>
      <c r="F1542" s="74" t="s">
        <v>7371</v>
      </c>
      <c r="G1542" s="74" t="s">
        <v>6758</v>
      </c>
    </row>
    <row r="1543">
      <c r="A1543" s="74" t="s">
        <v>7321</v>
      </c>
      <c r="B1543" s="74" t="s">
        <v>7324</v>
      </c>
      <c r="C1543" s="74" t="s">
        <v>2431</v>
      </c>
      <c r="D1543" s="74" t="s">
        <v>962</v>
      </c>
      <c r="E1543" s="74" t="s">
        <v>6757</v>
      </c>
      <c r="F1543" s="74" t="s">
        <v>7371</v>
      </c>
      <c r="G1543" s="74" t="s">
        <v>6758</v>
      </c>
    </row>
    <row r="1544">
      <c r="A1544" s="74" t="s">
        <v>7321</v>
      </c>
      <c r="B1544" s="74" t="s">
        <v>7324</v>
      </c>
      <c r="C1544" s="74" t="s">
        <v>3147</v>
      </c>
      <c r="D1544" s="74" t="s">
        <v>3148</v>
      </c>
      <c r="E1544" s="74" t="s">
        <v>6757</v>
      </c>
      <c r="F1544" s="74" t="s">
        <v>7371</v>
      </c>
      <c r="G1544" s="74" t="s">
        <v>6758</v>
      </c>
    </row>
    <row r="1545">
      <c r="A1545" s="74" t="s">
        <v>7321</v>
      </c>
      <c r="B1545" s="74" t="s">
        <v>7324</v>
      </c>
      <c r="C1545" s="74" t="s">
        <v>7308</v>
      </c>
      <c r="D1545" s="74" t="s">
        <v>7311</v>
      </c>
      <c r="E1545" s="74" t="s">
        <v>6757</v>
      </c>
      <c r="F1545" s="74" t="s">
        <v>7371</v>
      </c>
      <c r="G1545" s="74" t="s">
        <v>6758</v>
      </c>
    </row>
    <row r="1546">
      <c r="A1546" s="74" t="s">
        <v>7334</v>
      </c>
      <c r="B1546" s="74" t="s">
        <v>7337</v>
      </c>
      <c r="C1546" s="74" t="s">
        <v>2092</v>
      </c>
      <c r="D1546" s="74" t="s">
        <v>145</v>
      </c>
      <c r="E1546" s="74" t="s">
        <v>6757</v>
      </c>
      <c r="F1546" s="74" t="s">
        <v>7371</v>
      </c>
      <c r="G1546" s="74" t="s">
        <v>6758</v>
      </c>
    </row>
    <row r="1547">
      <c r="A1547" s="74" t="s">
        <v>7334</v>
      </c>
      <c r="B1547" s="74" t="s">
        <v>7337</v>
      </c>
      <c r="C1547" s="74" t="s">
        <v>2124</v>
      </c>
      <c r="D1547" s="74" t="s">
        <v>226</v>
      </c>
      <c r="E1547" s="74" t="s">
        <v>6757</v>
      </c>
      <c r="F1547" s="74" t="s">
        <v>7371</v>
      </c>
      <c r="G1547" s="74" t="s">
        <v>6758</v>
      </c>
    </row>
    <row r="1548">
      <c r="A1548" s="74" t="s">
        <v>7334</v>
      </c>
      <c r="B1548" s="74" t="s">
        <v>7337</v>
      </c>
      <c r="C1548" s="74" t="s">
        <v>2133</v>
      </c>
      <c r="D1548" s="74" t="s">
        <v>248</v>
      </c>
      <c r="E1548" s="74" t="s">
        <v>6757</v>
      </c>
      <c r="F1548" s="74" t="s">
        <v>7371</v>
      </c>
      <c r="G1548" s="74" t="s">
        <v>6758</v>
      </c>
    </row>
    <row r="1549">
      <c r="A1549" s="74" t="s">
        <v>7334</v>
      </c>
      <c r="B1549" s="74" t="s">
        <v>7337</v>
      </c>
      <c r="C1549" s="74" t="s">
        <v>2140</v>
      </c>
      <c r="D1549" s="74" t="s">
        <v>263</v>
      </c>
      <c r="E1549" s="74" t="s">
        <v>6757</v>
      </c>
      <c r="F1549" s="74" t="s">
        <v>7371</v>
      </c>
      <c r="G1549" s="74" t="s">
        <v>6758</v>
      </c>
    </row>
    <row r="1550">
      <c r="A1550" s="74" t="s">
        <v>7334</v>
      </c>
      <c r="B1550" s="74" t="s">
        <v>7337</v>
      </c>
      <c r="C1550" s="74" t="s">
        <v>2143</v>
      </c>
      <c r="D1550" s="74" t="s">
        <v>271</v>
      </c>
      <c r="E1550" s="74" t="s">
        <v>6757</v>
      </c>
      <c r="F1550" s="74" t="s">
        <v>7371</v>
      </c>
      <c r="G1550" s="74" t="s">
        <v>6758</v>
      </c>
    </row>
    <row r="1551">
      <c r="A1551" s="74" t="s">
        <v>7334</v>
      </c>
      <c r="B1551" s="74" t="s">
        <v>7337</v>
      </c>
      <c r="C1551" s="74" t="s">
        <v>2149</v>
      </c>
      <c r="D1551" s="74" t="s">
        <v>287</v>
      </c>
      <c r="E1551" s="74" t="s">
        <v>6757</v>
      </c>
      <c r="F1551" s="74" t="s">
        <v>7371</v>
      </c>
      <c r="G1551" s="74" t="s">
        <v>6758</v>
      </c>
    </row>
    <row r="1552">
      <c r="A1552" s="74" t="s">
        <v>7334</v>
      </c>
      <c r="B1552" s="74" t="s">
        <v>7337</v>
      </c>
      <c r="C1552" s="74" t="s">
        <v>2156</v>
      </c>
      <c r="D1552" s="74" t="s">
        <v>2157</v>
      </c>
      <c r="E1552" s="74" t="s">
        <v>6757</v>
      </c>
      <c r="F1552" s="74" t="s">
        <v>7371</v>
      </c>
      <c r="G1552" s="74" t="s">
        <v>6758</v>
      </c>
    </row>
    <row r="1553">
      <c r="A1553" s="74" t="s">
        <v>7334</v>
      </c>
      <c r="B1553" s="74" t="s">
        <v>7337</v>
      </c>
      <c r="C1553" s="74" t="s">
        <v>2167</v>
      </c>
      <c r="D1553" s="74" t="s">
        <v>332</v>
      </c>
      <c r="E1553" s="74" t="s">
        <v>6757</v>
      </c>
      <c r="F1553" s="74" t="s">
        <v>7371</v>
      </c>
      <c r="G1553" s="74" t="s">
        <v>6758</v>
      </c>
    </row>
    <row r="1554">
      <c r="A1554" s="74" t="s">
        <v>7334</v>
      </c>
      <c r="B1554" s="74" t="s">
        <v>7337</v>
      </c>
      <c r="C1554" s="74" t="s">
        <v>2505</v>
      </c>
      <c r="D1554" s="74" t="s">
        <v>1121</v>
      </c>
      <c r="E1554" s="74" t="s">
        <v>6757</v>
      </c>
      <c r="F1554" s="74" t="s">
        <v>7371</v>
      </c>
      <c r="G1554" s="74" t="s">
        <v>6758</v>
      </c>
    </row>
    <row r="1555">
      <c r="A1555" s="74" t="s">
        <v>7334</v>
      </c>
      <c r="B1555" s="74" t="s">
        <v>7337</v>
      </c>
      <c r="C1555" s="74" t="s">
        <v>3147</v>
      </c>
      <c r="D1555" s="74" t="s">
        <v>3148</v>
      </c>
      <c r="E1555" s="74" t="s">
        <v>6757</v>
      </c>
      <c r="F1555" s="74" t="s">
        <v>7371</v>
      </c>
      <c r="G1555" s="74" t="s">
        <v>6758</v>
      </c>
    </row>
    <row r="1556">
      <c r="A1556" s="74" t="s">
        <v>7334</v>
      </c>
      <c r="B1556" s="74" t="s">
        <v>7337</v>
      </c>
      <c r="C1556" s="74" t="s">
        <v>7358</v>
      </c>
      <c r="D1556" s="74" t="s">
        <v>7360</v>
      </c>
      <c r="E1556" s="74" t="s">
        <v>6757</v>
      </c>
      <c r="F1556" s="74" t="s">
        <v>7371</v>
      </c>
      <c r="G1556" s="74" t="s">
        <v>6758</v>
      </c>
    </row>
    <row r="1557">
      <c r="A1557" s="74" t="s">
        <v>7346</v>
      </c>
      <c r="B1557" s="74" t="s">
        <v>7349</v>
      </c>
      <c r="C1557" s="74" t="s">
        <v>2071</v>
      </c>
      <c r="D1557" s="74" t="s">
        <v>96</v>
      </c>
      <c r="E1557" s="74" t="s">
        <v>6757</v>
      </c>
      <c r="F1557" s="74" t="s">
        <v>7371</v>
      </c>
      <c r="G1557" s="74" t="s">
        <v>6758</v>
      </c>
    </row>
    <row r="1558">
      <c r="A1558" s="74" t="s">
        <v>7346</v>
      </c>
      <c r="B1558" s="74" t="s">
        <v>7349</v>
      </c>
      <c r="C1558" s="74" t="s">
        <v>2079</v>
      </c>
      <c r="D1558" s="74" t="s">
        <v>106</v>
      </c>
      <c r="E1558" s="74" t="s">
        <v>6757</v>
      </c>
      <c r="F1558" s="74" t="s">
        <v>7371</v>
      </c>
      <c r="G1558" s="74" t="s">
        <v>6758</v>
      </c>
    </row>
    <row r="1559">
      <c r="A1559" s="74" t="s">
        <v>7346</v>
      </c>
      <c r="B1559" s="74" t="s">
        <v>7349</v>
      </c>
      <c r="C1559" s="74" t="s">
        <v>2081</v>
      </c>
      <c r="D1559" s="74" t="s">
        <v>113</v>
      </c>
      <c r="E1559" s="74" t="s">
        <v>6757</v>
      </c>
      <c r="F1559" s="74" t="s">
        <v>7371</v>
      </c>
      <c r="G1559" s="74" t="s">
        <v>6758</v>
      </c>
    </row>
    <row r="1560">
      <c r="A1560" s="74" t="s">
        <v>7346</v>
      </c>
      <c r="B1560" s="74" t="s">
        <v>7349</v>
      </c>
      <c r="C1560" s="74" t="s">
        <v>2087</v>
      </c>
      <c r="D1560" s="74" t="s">
        <v>128</v>
      </c>
      <c r="E1560" s="74" t="s">
        <v>6757</v>
      </c>
      <c r="F1560" s="74" t="s">
        <v>7371</v>
      </c>
      <c r="G1560" s="74" t="s">
        <v>6758</v>
      </c>
    </row>
    <row r="1561">
      <c r="A1561" s="74" t="s">
        <v>7346</v>
      </c>
      <c r="B1561" s="74" t="s">
        <v>7349</v>
      </c>
      <c r="C1561" s="74" t="s">
        <v>2124</v>
      </c>
      <c r="D1561" s="74" t="s">
        <v>226</v>
      </c>
      <c r="E1561" s="74" t="s">
        <v>6757</v>
      </c>
      <c r="F1561" s="74" t="s">
        <v>7371</v>
      </c>
      <c r="G1561" s="74" t="s">
        <v>6758</v>
      </c>
    </row>
    <row r="1562">
      <c r="A1562" s="74" t="s">
        <v>7346</v>
      </c>
      <c r="B1562" s="74" t="s">
        <v>7349</v>
      </c>
      <c r="C1562" s="74" t="s">
        <v>2130</v>
      </c>
      <c r="D1562" s="74" t="s">
        <v>240</v>
      </c>
      <c r="E1562" s="74" t="s">
        <v>6757</v>
      </c>
      <c r="F1562" s="74" t="s">
        <v>7371</v>
      </c>
      <c r="G1562" s="74" t="s">
        <v>6758</v>
      </c>
    </row>
    <row r="1563">
      <c r="A1563" s="74" t="s">
        <v>7346</v>
      </c>
      <c r="B1563" s="74" t="s">
        <v>7349</v>
      </c>
      <c r="C1563" s="74" t="s">
        <v>2133</v>
      </c>
      <c r="D1563" s="74" t="s">
        <v>248</v>
      </c>
      <c r="E1563" s="74" t="s">
        <v>6757</v>
      </c>
      <c r="F1563" s="74" t="s">
        <v>7371</v>
      </c>
      <c r="G1563" s="74" t="s">
        <v>6758</v>
      </c>
    </row>
    <row r="1564">
      <c r="A1564" s="74" t="s">
        <v>7346</v>
      </c>
      <c r="B1564" s="74" t="s">
        <v>7349</v>
      </c>
      <c r="C1564" s="74" t="s">
        <v>2136</v>
      </c>
      <c r="D1564" s="74" t="s">
        <v>254</v>
      </c>
      <c r="E1564" s="74" t="s">
        <v>6757</v>
      </c>
      <c r="F1564" s="74" t="s">
        <v>7371</v>
      </c>
      <c r="G1564" s="74" t="s">
        <v>6758</v>
      </c>
    </row>
    <row r="1565">
      <c r="A1565" s="74" t="s">
        <v>7346</v>
      </c>
      <c r="B1565" s="74" t="s">
        <v>7349</v>
      </c>
      <c r="C1565" s="74" t="s">
        <v>2140</v>
      </c>
      <c r="D1565" s="74" t="s">
        <v>263</v>
      </c>
      <c r="E1565" s="74" t="s">
        <v>6757</v>
      </c>
      <c r="F1565" s="74" t="s">
        <v>7371</v>
      </c>
      <c r="G1565" s="74" t="s">
        <v>6758</v>
      </c>
    </row>
    <row r="1566">
      <c r="A1566" s="74" t="s">
        <v>7346</v>
      </c>
      <c r="B1566" s="74" t="s">
        <v>7349</v>
      </c>
      <c r="C1566" s="74" t="s">
        <v>2146</v>
      </c>
      <c r="D1566" s="74" t="s">
        <v>279</v>
      </c>
      <c r="E1566" s="74" t="s">
        <v>6757</v>
      </c>
      <c r="F1566" s="74" t="s">
        <v>7371</v>
      </c>
      <c r="G1566" s="74" t="s">
        <v>6758</v>
      </c>
    </row>
    <row r="1567">
      <c r="A1567" s="74" t="s">
        <v>7346</v>
      </c>
      <c r="B1567" s="74" t="s">
        <v>7349</v>
      </c>
      <c r="C1567" s="74" t="s">
        <v>3147</v>
      </c>
      <c r="D1567" s="74" t="s">
        <v>3148</v>
      </c>
      <c r="E1567" s="74" t="s">
        <v>6757</v>
      </c>
      <c r="F1567" s="74" t="s">
        <v>7371</v>
      </c>
      <c r="G1567" s="74" t="s">
        <v>6758</v>
      </c>
    </row>
    <row r="1568">
      <c r="A1568" s="74" t="s">
        <v>7358</v>
      </c>
      <c r="B1568" s="74" t="s">
        <v>7360</v>
      </c>
      <c r="C1568" s="74" t="s">
        <v>2071</v>
      </c>
      <c r="D1568" s="74" t="s">
        <v>96</v>
      </c>
      <c r="E1568" s="74" t="s">
        <v>6757</v>
      </c>
      <c r="F1568" s="74" t="s">
        <v>7371</v>
      </c>
      <c r="G1568" s="74" t="s">
        <v>6758</v>
      </c>
    </row>
    <row r="1569">
      <c r="A1569" s="74" t="s">
        <v>7358</v>
      </c>
      <c r="B1569" s="74" t="s">
        <v>7360</v>
      </c>
      <c r="C1569" s="74" t="s">
        <v>2087</v>
      </c>
      <c r="D1569" s="74" t="s">
        <v>128</v>
      </c>
      <c r="E1569" s="74" t="s">
        <v>6757</v>
      </c>
      <c r="F1569" s="74" t="s">
        <v>7371</v>
      </c>
      <c r="G1569" s="74" t="s">
        <v>6758</v>
      </c>
    </row>
    <row r="1570">
      <c r="A1570" s="74" t="s">
        <v>7358</v>
      </c>
      <c r="B1570" s="74" t="s">
        <v>7360</v>
      </c>
      <c r="C1570" s="74" t="s">
        <v>2092</v>
      </c>
      <c r="D1570" s="74" t="s">
        <v>145</v>
      </c>
      <c r="E1570" s="74" t="s">
        <v>6757</v>
      </c>
      <c r="F1570" s="74" t="s">
        <v>7371</v>
      </c>
      <c r="G1570" s="74" t="s">
        <v>6758</v>
      </c>
    </row>
    <row r="1571">
      <c r="A1571" s="74" t="s">
        <v>7358</v>
      </c>
      <c r="B1571" s="74" t="s">
        <v>7360</v>
      </c>
      <c r="C1571" s="74" t="s">
        <v>2124</v>
      </c>
      <c r="D1571" s="74" t="s">
        <v>226</v>
      </c>
      <c r="E1571" s="74" t="s">
        <v>6757</v>
      </c>
      <c r="F1571" s="74" t="s">
        <v>7371</v>
      </c>
      <c r="G1571" s="74" t="s">
        <v>6758</v>
      </c>
    </row>
    <row r="1572">
      <c r="A1572" s="74" t="s">
        <v>7358</v>
      </c>
      <c r="B1572" s="74" t="s">
        <v>7360</v>
      </c>
      <c r="C1572" s="74" t="s">
        <v>2133</v>
      </c>
      <c r="D1572" s="74" t="s">
        <v>248</v>
      </c>
      <c r="E1572" s="74" t="s">
        <v>6757</v>
      </c>
      <c r="F1572" s="74" t="s">
        <v>7371</v>
      </c>
      <c r="G1572" s="74" t="s">
        <v>6758</v>
      </c>
    </row>
    <row r="1573">
      <c r="A1573" s="74" t="s">
        <v>7358</v>
      </c>
      <c r="B1573" s="74" t="s">
        <v>7360</v>
      </c>
      <c r="C1573" s="74" t="s">
        <v>2140</v>
      </c>
      <c r="D1573" s="74" t="s">
        <v>263</v>
      </c>
      <c r="E1573" s="74" t="s">
        <v>6757</v>
      </c>
      <c r="F1573" s="74" t="s">
        <v>7371</v>
      </c>
      <c r="G1573" s="74" t="s">
        <v>6758</v>
      </c>
    </row>
    <row r="1574">
      <c r="A1574" s="74" t="s">
        <v>7358</v>
      </c>
      <c r="B1574" s="74" t="s">
        <v>7360</v>
      </c>
      <c r="C1574" s="74" t="s">
        <v>2156</v>
      </c>
      <c r="D1574" s="74" t="s">
        <v>2157</v>
      </c>
      <c r="E1574" s="74" t="s">
        <v>6757</v>
      </c>
      <c r="F1574" s="74" t="s">
        <v>7371</v>
      </c>
      <c r="G1574" s="74" t="s">
        <v>6758</v>
      </c>
    </row>
    <row r="1575">
      <c r="A1575" s="74" t="s">
        <v>7358</v>
      </c>
      <c r="B1575" s="74" t="s">
        <v>7360</v>
      </c>
      <c r="C1575" s="74" t="s">
        <v>2164</v>
      </c>
      <c r="D1575" s="74" t="s">
        <v>322</v>
      </c>
      <c r="E1575" s="74" t="s">
        <v>6757</v>
      </c>
      <c r="F1575" s="74" t="s">
        <v>7371</v>
      </c>
      <c r="G1575" s="74" t="s">
        <v>6758</v>
      </c>
    </row>
    <row r="1576">
      <c r="A1576" s="74" t="s">
        <v>7358</v>
      </c>
      <c r="B1576" s="74" t="s">
        <v>7360</v>
      </c>
      <c r="C1576" s="74" t="s">
        <v>3147</v>
      </c>
      <c r="D1576" s="74" t="s">
        <v>3148</v>
      </c>
      <c r="E1576" s="74" t="s">
        <v>6757</v>
      </c>
      <c r="F1576" s="74" t="s">
        <v>7371</v>
      </c>
      <c r="G1576" s="74" t="s">
        <v>6758</v>
      </c>
    </row>
  </sheetData>
  <pageMargins left="0.7" right="0.7" top="0.75" bottom="0.75" header="0.3" footer="0.3"/>
</worksheet>
</file>

<file path=xl/worksheets/sheet21.xml><?xml version="1.0" encoding="utf-8"?>
<worksheet xmlns="http://schemas.openxmlformats.org/spreadsheetml/2006/main">
  <sheetFormatPr baseColWidth="10" defaultColWidth="8.83203125" defaultRowHeight="13"/>
  <sheetData>
    <row r="1">
      <c r="A1" t="s">
        <v>2058</v>
      </c>
      <c r="B1" t="s">
        <v>61</v>
      </c>
      <c r="C1" t="s">
        <v>63</v>
      </c>
      <c r="D1" t="s">
        <v>64</v>
      </c>
      <c r="E1" t="s">
        <v>2045</v>
      </c>
      <c r="F1" t="s">
        <v>6767</v>
      </c>
      <c r="G1" t="s">
        <v>6768</v>
      </c>
    </row>
    <row r="2">
      <c r="A2" t="s">
        <v>2071</v>
      </c>
      <c r="B2" t="s">
        <v>96</v>
      </c>
      <c r="C2" t="s">
        <v>129</v>
      </c>
      <c r="D2" t="s">
        <v>2077</v>
      </c>
      <c r="E2" s="15" t="s">
        <v>161</v>
      </c>
      <c r="F2" t="s">
        <v>2001</v>
      </c>
      <c r="G2" t="s">
        <v>6769</v>
      </c>
    </row>
    <row r="3">
      <c r="A3" t="s">
        <v>2079</v>
      </c>
      <c r="B3" t="s">
        <v>106</v>
      </c>
      <c r="C3" t="s">
        <v>97</v>
      </c>
      <c r="D3" t="s">
        <v>2078</v>
      </c>
      <c r="E3" s="15" t="s">
        <v>6770</v>
      </c>
      <c r="F3" t="s">
        <v>2001</v>
      </c>
      <c r="G3" t="s">
        <v>6769</v>
      </c>
    </row>
    <row r="4">
      <c r="A4" t="s">
        <v>2081</v>
      </c>
      <c r="B4" t="s">
        <v>113</v>
      </c>
      <c r="C4" t="s">
        <v>97</v>
      </c>
      <c r="D4" t="s">
        <v>2078</v>
      </c>
      <c r="E4" s="15" t="s">
        <v>6770</v>
      </c>
      <c r="F4" t="s">
        <v>2001</v>
      </c>
      <c r="G4" t="s">
        <v>6769</v>
      </c>
    </row>
    <row r="5">
      <c r="A5" t="s">
        <v>2084</v>
      </c>
      <c r="B5" t="s">
        <v>119</v>
      </c>
      <c r="C5" t="s">
        <v>120</v>
      </c>
      <c r="F5" t="s">
        <v>2002</v>
      </c>
      <c r="G5" t="s">
        <v>6771</v>
      </c>
    </row>
    <row r="6">
      <c r="A6" t="s">
        <v>2087</v>
      </c>
      <c r="B6" t="s">
        <v>128</v>
      </c>
      <c r="C6" t="s">
        <v>129</v>
      </c>
      <c r="D6" t="s">
        <v>2078</v>
      </c>
      <c r="E6" s="15" t="s">
        <v>161</v>
      </c>
      <c r="F6" t="s">
        <v>2001</v>
      </c>
      <c r="G6" t="s">
        <v>6769</v>
      </c>
    </row>
    <row r="7">
      <c r="A7" t="s">
        <v>2089</v>
      </c>
      <c r="B7" t="s">
        <v>137</v>
      </c>
      <c r="C7" t="s">
        <v>97</v>
      </c>
      <c r="D7" t="s">
        <v>2078</v>
      </c>
      <c r="E7" s="15" t="s">
        <v>6770</v>
      </c>
      <c r="F7" t="s">
        <v>2001</v>
      </c>
      <c r="G7" t="s">
        <v>6769</v>
      </c>
    </row>
    <row r="8">
      <c r="A8" t="s">
        <v>2092</v>
      </c>
      <c r="B8" t="s">
        <v>145</v>
      </c>
      <c r="C8" t="s">
        <v>129</v>
      </c>
      <c r="D8" t="s">
        <v>2077</v>
      </c>
      <c r="E8" s="15" t="s">
        <v>161</v>
      </c>
      <c r="F8" t="s">
        <v>2001</v>
      </c>
      <c r="G8" t="s">
        <v>6769</v>
      </c>
    </row>
    <row r="9">
      <c r="A9" t="s">
        <v>2095</v>
      </c>
      <c r="B9" t="s">
        <v>153</v>
      </c>
      <c r="C9" t="s">
        <v>154</v>
      </c>
      <c r="F9" t="s">
        <v>2002</v>
      </c>
      <c r="G9" t="s">
        <v>6771</v>
      </c>
    </row>
    <row r="10">
      <c r="A10" t="s">
        <v>2097</v>
      </c>
      <c r="B10" t="s">
        <v>164</v>
      </c>
      <c r="C10" t="s">
        <v>129</v>
      </c>
      <c r="D10" t="s">
        <v>2077</v>
      </c>
      <c r="E10" s="15" t="s">
        <v>161</v>
      </c>
      <c r="F10" t="s">
        <v>2001</v>
      </c>
      <c r="G10" t="s">
        <v>6769</v>
      </c>
    </row>
    <row r="11">
      <c r="A11" t="s">
        <v>2100</v>
      </c>
      <c r="B11" t="s">
        <v>172</v>
      </c>
      <c r="C11" t="s">
        <v>129</v>
      </c>
      <c r="D11" t="s">
        <v>2078</v>
      </c>
      <c r="E11" s="15" t="s">
        <v>161</v>
      </c>
      <c r="F11" t="s">
        <v>2001</v>
      </c>
      <c r="G11" t="s">
        <v>6769</v>
      </c>
    </row>
    <row r="12">
      <c r="A12" t="s">
        <v>2104</v>
      </c>
      <c r="B12" t="s">
        <v>177</v>
      </c>
      <c r="C12" t="s">
        <v>154</v>
      </c>
      <c r="F12" t="s">
        <v>2002</v>
      </c>
      <c r="G12" t="s">
        <v>6771</v>
      </c>
    </row>
    <row r="13">
      <c r="A13" t="s">
        <v>2107</v>
      </c>
      <c r="B13" t="s">
        <v>184</v>
      </c>
      <c r="C13" t="s">
        <v>129</v>
      </c>
      <c r="D13" t="s">
        <v>2078</v>
      </c>
      <c r="E13" s="15" t="s">
        <v>161</v>
      </c>
      <c r="F13" t="s">
        <v>2001</v>
      </c>
      <c r="G13" t="s">
        <v>6769</v>
      </c>
    </row>
    <row r="14">
      <c r="A14" t="s">
        <v>2110</v>
      </c>
      <c r="B14" t="s">
        <v>192</v>
      </c>
      <c r="C14" t="s">
        <v>129</v>
      </c>
      <c r="D14" t="s">
        <v>2078</v>
      </c>
      <c r="E14" s="15" t="s">
        <v>161</v>
      </c>
      <c r="F14" t="s">
        <v>2001</v>
      </c>
      <c r="G14" t="s">
        <v>6769</v>
      </c>
    </row>
    <row r="15">
      <c r="A15" t="s">
        <v>2112</v>
      </c>
      <c r="B15" t="s">
        <v>198</v>
      </c>
      <c r="C15" t="s">
        <v>129</v>
      </c>
      <c r="D15" t="s">
        <v>2077</v>
      </c>
      <c r="E15" s="15" t="s">
        <v>161</v>
      </c>
      <c r="F15" t="s">
        <v>2001</v>
      </c>
      <c r="G15" t="s">
        <v>6769</v>
      </c>
    </row>
    <row r="16">
      <c r="A16" t="s">
        <v>2114</v>
      </c>
      <c r="B16" t="s">
        <v>204</v>
      </c>
      <c r="C16" t="s">
        <v>154</v>
      </c>
      <c r="F16" t="s">
        <v>2002</v>
      </c>
      <c r="G16" t="s">
        <v>6771</v>
      </c>
    </row>
    <row r="17">
      <c r="A17" t="s">
        <v>2117</v>
      </c>
      <c r="B17" t="s">
        <v>211</v>
      </c>
      <c r="C17" t="s">
        <v>120</v>
      </c>
      <c r="F17" t="s">
        <v>2002</v>
      </c>
      <c r="G17" t="s">
        <v>6771</v>
      </c>
    </row>
    <row r="18">
      <c r="A18" t="s">
        <v>2120</v>
      </c>
      <c r="B18" t="s">
        <v>219</v>
      </c>
      <c r="C18" t="s">
        <v>129</v>
      </c>
      <c r="D18" t="s">
        <v>2077</v>
      </c>
      <c r="E18" s="15" t="s">
        <v>161</v>
      </c>
      <c r="F18" t="s">
        <v>2001</v>
      </c>
      <c r="G18" t="s">
        <v>6769</v>
      </c>
    </row>
    <row r="19">
      <c r="A19" t="s">
        <v>2124</v>
      </c>
      <c r="B19" t="s">
        <v>226</v>
      </c>
      <c r="C19" t="s">
        <v>129</v>
      </c>
      <c r="D19" t="s">
        <v>2077</v>
      </c>
      <c r="E19" s="15" t="s">
        <v>161</v>
      </c>
      <c r="F19" t="s">
        <v>2001</v>
      </c>
      <c r="G19" t="s">
        <v>6769</v>
      </c>
    </row>
    <row r="20">
      <c r="A20" t="s">
        <v>2127</v>
      </c>
      <c r="B20" t="s">
        <v>231</v>
      </c>
      <c r="C20" t="s">
        <v>154</v>
      </c>
      <c r="F20" t="s">
        <v>2002</v>
      </c>
      <c r="G20" t="s">
        <v>6771</v>
      </c>
    </row>
    <row r="21">
      <c r="A21" t="s">
        <v>2130</v>
      </c>
      <c r="B21" t="s">
        <v>240</v>
      </c>
      <c r="C21" t="s">
        <v>154</v>
      </c>
      <c r="F21" t="s">
        <v>2002</v>
      </c>
      <c r="G21" t="s">
        <v>6771</v>
      </c>
    </row>
    <row r="22">
      <c r="A22" t="s">
        <v>2133</v>
      </c>
      <c r="B22" t="s">
        <v>248</v>
      </c>
      <c r="C22" t="s">
        <v>129</v>
      </c>
      <c r="D22" t="s">
        <v>2077</v>
      </c>
      <c r="E22" s="15" t="s">
        <v>161</v>
      </c>
      <c r="F22" t="s">
        <v>2001</v>
      </c>
      <c r="G22" t="s">
        <v>6769</v>
      </c>
    </row>
    <row r="23">
      <c r="A23" t="s">
        <v>2136</v>
      </c>
      <c r="B23" t="s">
        <v>254</v>
      </c>
      <c r="C23" t="s">
        <v>120</v>
      </c>
      <c r="F23" t="s">
        <v>2002</v>
      </c>
      <c r="G23" t="s">
        <v>6771</v>
      </c>
    </row>
    <row r="24">
      <c r="A24" t="s">
        <v>2140</v>
      </c>
      <c r="B24" t="s">
        <v>263</v>
      </c>
      <c r="C24" t="s">
        <v>129</v>
      </c>
      <c r="D24" t="s">
        <v>2077</v>
      </c>
      <c r="E24" s="15" t="s">
        <v>161</v>
      </c>
      <c r="F24" t="s">
        <v>2001</v>
      </c>
      <c r="G24" t="s">
        <v>6769</v>
      </c>
    </row>
    <row r="25">
      <c r="A25" t="s">
        <v>2143</v>
      </c>
      <c r="B25" t="s">
        <v>271</v>
      </c>
      <c r="C25" t="s">
        <v>97</v>
      </c>
      <c r="D25" t="s">
        <v>2078</v>
      </c>
      <c r="E25" s="15" t="s">
        <v>6770</v>
      </c>
      <c r="F25" t="s">
        <v>2001</v>
      </c>
      <c r="G25" t="s">
        <v>6769</v>
      </c>
    </row>
    <row r="26">
      <c r="A26" t="s">
        <v>2146</v>
      </c>
      <c r="B26" t="s">
        <v>279</v>
      </c>
      <c r="C26" t="s">
        <v>97</v>
      </c>
      <c r="D26" t="s">
        <v>2078</v>
      </c>
      <c r="E26" s="15" t="s">
        <v>6770</v>
      </c>
      <c r="F26" t="s">
        <v>2001</v>
      </c>
      <c r="G26" t="s">
        <v>6769</v>
      </c>
    </row>
    <row r="27">
      <c r="A27" t="s">
        <v>2149</v>
      </c>
      <c r="B27" t="s">
        <v>287</v>
      </c>
      <c r="C27" t="s">
        <v>97</v>
      </c>
      <c r="D27" t="s">
        <v>2078</v>
      </c>
      <c r="E27" s="15" t="s">
        <v>6770</v>
      </c>
      <c r="F27" t="s">
        <v>2001</v>
      </c>
      <c r="G27" t="s">
        <v>6769</v>
      </c>
    </row>
    <row r="28">
      <c r="A28" t="s">
        <v>2152</v>
      </c>
      <c r="B28" t="s">
        <v>295</v>
      </c>
      <c r="C28" t="s">
        <v>97</v>
      </c>
      <c r="D28" t="s">
        <v>2078</v>
      </c>
      <c r="E28" s="15" t="s">
        <v>6770</v>
      </c>
      <c r="F28" t="s">
        <v>2001</v>
      </c>
      <c r="G28" t="s">
        <v>6769</v>
      </c>
    </row>
    <row r="29">
      <c r="A29" t="s">
        <v>2156</v>
      </c>
      <c r="B29" t="s">
        <v>306</v>
      </c>
      <c r="C29" t="s">
        <v>129</v>
      </c>
      <c r="D29" t="s">
        <v>2077</v>
      </c>
      <c r="E29" s="15" t="s">
        <v>161</v>
      </c>
      <c r="F29" t="s">
        <v>2001</v>
      </c>
      <c r="G29" t="s">
        <v>6769</v>
      </c>
    </row>
    <row r="30">
      <c r="A30" t="s">
        <v>2161</v>
      </c>
      <c r="B30" t="s">
        <v>313</v>
      </c>
      <c r="C30" t="s">
        <v>154</v>
      </c>
      <c r="F30" t="s">
        <v>2002</v>
      </c>
      <c r="G30" t="s">
        <v>6771</v>
      </c>
    </row>
    <row r="31">
      <c r="A31" t="s">
        <v>2164</v>
      </c>
      <c r="B31" t="s">
        <v>322</v>
      </c>
      <c r="C31" t="s">
        <v>120</v>
      </c>
      <c r="F31" t="s">
        <v>2002</v>
      </c>
      <c r="G31" t="s">
        <v>6771</v>
      </c>
    </row>
    <row r="32">
      <c r="A32" t="s">
        <v>2167</v>
      </c>
      <c r="B32" t="s">
        <v>332</v>
      </c>
      <c r="C32" t="s">
        <v>120</v>
      </c>
      <c r="F32" t="s">
        <v>2002</v>
      </c>
      <c r="G32" t="s">
        <v>6771</v>
      </c>
    </row>
    <row r="33">
      <c r="A33" t="s">
        <v>2170</v>
      </c>
      <c r="B33" t="s">
        <v>343</v>
      </c>
      <c r="C33" t="s">
        <v>129</v>
      </c>
      <c r="D33" t="s">
        <v>2078</v>
      </c>
      <c r="E33" s="15" t="s">
        <v>161</v>
      </c>
      <c r="F33" t="s">
        <v>2001</v>
      </c>
      <c r="G33" t="s">
        <v>6769</v>
      </c>
    </row>
    <row r="34">
      <c r="A34" t="s">
        <v>2174</v>
      </c>
      <c r="B34" t="s">
        <v>351</v>
      </c>
      <c r="C34" t="s">
        <v>97</v>
      </c>
      <c r="D34" t="s">
        <v>2078</v>
      </c>
      <c r="E34" s="15" t="s">
        <v>6770</v>
      </c>
      <c r="F34" t="s">
        <v>2001</v>
      </c>
      <c r="G34" t="s">
        <v>6769</v>
      </c>
    </row>
    <row r="35">
      <c r="A35" t="s">
        <v>2177</v>
      </c>
      <c r="B35" t="s">
        <v>357</v>
      </c>
      <c r="C35" t="s">
        <v>97</v>
      </c>
      <c r="D35" t="s">
        <v>2078</v>
      </c>
      <c r="E35" s="15" t="s">
        <v>6770</v>
      </c>
      <c r="F35" t="s">
        <v>2001</v>
      </c>
      <c r="G35" t="s">
        <v>6769</v>
      </c>
    </row>
    <row r="36">
      <c r="A36" t="s">
        <v>2180</v>
      </c>
      <c r="B36" t="s">
        <v>363</v>
      </c>
      <c r="C36" t="s">
        <v>97</v>
      </c>
      <c r="D36" t="s">
        <v>2078</v>
      </c>
      <c r="E36" s="15" t="s">
        <v>6770</v>
      </c>
      <c r="F36" t="s">
        <v>2001</v>
      </c>
      <c r="G36" t="s">
        <v>6769</v>
      </c>
    </row>
    <row r="37">
      <c r="A37" t="s">
        <v>2184</v>
      </c>
      <c r="B37" t="s">
        <v>369</v>
      </c>
      <c r="C37" t="s">
        <v>120</v>
      </c>
      <c r="F37" t="s">
        <v>2002</v>
      </c>
      <c r="G37" t="s">
        <v>6771</v>
      </c>
    </row>
    <row r="38">
      <c r="A38" t="s">
        <v>2188</v>
      </c>
      <c r="B38" t="s">
        <v>378</v>
      </c>
      <c r="C38" t="s">
        <v>97</v>
      </c>
      <c r="D38" t="s">
        <v>2078</v>
      </c>
      <c r="E38" s="15" t="s">
        <v>6770</v>
      </c>
      <c r="F38" t="s">
        <v>2001</v>
      </c>
      <c r="G38" t="s">
        <v>6769</v>
      </c>
    </row>
    <row r="39">
      <c r="A39" t="s">
        <v>2191</v>
      </c>
      <c r="B39" t="s">
        <v>387</v>
      </c>
      <c r="C39" t="s">
        <v>97</v>
      </c>
      <c r="D39" t="s">
        <v>2078</v>
      </c>
      <c r="E39" s="15" t="s">
        <v>6770</v>
      </c>
      <c r="F39" t="s">
        <v>2001</v>
      </c>
      <c r="G39" t="s">
        <v>6769</v>
      </c>
    </row>
    <row r="40">
      <c r="A40" t="s">
        <v>2193</v>
      </c>
      <c r="B40" t="s">
        <v>394</v>
      </c>
      <c r="C40" t="s">
        <v>97</v>
      </c>
      <c r="D40" t="s">
        <v>2078</v>
      </c>
      <c r="E40" s="15" t="s">
        <v>6770</v>
      </c>
      <c r="F40" t="s">
        <v>2001</v>
      </c>
      <c r="G40" t="s">
        <v>6769</v>
      </c>
    </row>
    <row r="41">
      <c r="A41" t="s">
        <v>2196</v>
      </c>
      <c r="B41" t="s">
        <v>400</v>
      </c>
      <c r="C41" t="s">
        <v>97</v>
      </c>
      <c r="D41" t="s">
        <v>2078</v>
      </c>
      <c r="E41" s="15" t="s">
        <v>6770</v>
      </c>
      <c r="F41" t="s">
        <v>2001</v>
      </c>
      <c r="G41" t="s">
        <v>6769</v>
      </c>
    </row>
    <row r="42">
      <c r="A42" t="s">
        <v>2199</v>
      </c>
      <c r="B42" t="s">
        <v>410</v>
      </c>
      <c r="C42" t="s">
        <v>129</v>
      </c>
      <c r="D42" t="s">
        <v>2078</v>
      </c>
      <c r="E42" s="15" t="s">
        <v>161</v>
      </c>
      <c r="F42" t="s">
        <v>2001</v>
      </c>
      <c r="G42" t="s">
        <v>6769</v>
      </c>
    </row>
    <row r="43">
      <c r="A43" t="s">
        <v>2203</v>
      </c>
      <c r="B43" t="s">
        <v>417</v>
      </c>
      <c r="C43" t="s">
        <v>97</v>
      </c>
      <c r="D43" t="s">
        <v>2078</v>
      </c>
      <c r="E43" s="15" t="s">
        <v>6770</v>
      </c>
      <c r="F43" t="s">
        <v>2001</v>
      </c>
      <c r="G43" t="s">
        <v>6769</v>
      </c>
    </row>
    <row r="44">
      <c r="A44" t="s">
        <v>2206</v>
      </c>
      <c r="B44" t="s">
        <v>423</v>
      </c>
      <c r="C44" t="s">
        <v>154</v>
      </c>
      <c r="F44" t="s">
        <v>2002</v>
      </c>
      <c r="G44" t="s">
        <v>6771</v>
      </c>
    </row>
    <row r="45">
      <c r="A45" t="s">
        <v>2209</v>
      </c>
      <c r="B45" t="s">
        <v>432</v>
      </c>
      <c r="C45" t="s">
        <v>154</v>
      </c>
      <c r="F45" t="s">
        <v>2002</v>
      </c>
      <c r="G45" t="s">
        <v>6771</v>
      </c>
    </row>
    <row r="46">
      <c r="A46" t="s">
        <v>2212</v>
      </c>
      <c r="B46" t="s">
        <v>439</v>
      </c>
      <c r="C46" t="s">
        <v>120</v>
      </c>
      <c r="F46" t="s">
        <v>2002</v>
      </c>
      <c r="G46" t="s">
        <v>6771</v>
      </c>
    </row>
    <row r="47">
      <c r="A47" t="s">
        <v>2215</v>
      </c>
      <c r="B47" t="s">
        <v>447</v>
      </c>
      <c r="C47" t="s">
        <v>120</v>
      </c>
      <c r="F47" t="s">
        <v>2002</v>
      </c>
      <c r="G47" t="s">
        <v>6771</v>
      </c>
    </row>
    <row r="48">
      <c r="A48" t="s">
        <v>2218</v>
      </c>
      <c r="B48" t="s">
        <v>455</v>
      </c>
      <c r="C48" t="s">
        <v>120</v>
      </c>
      <c r="F48" t="s">
        <v>2002</v>
      </c>
      <c r="G48" t="s">
        <v>6771</v>
      </c>
    </row>
    <row r="49">
      <c r="A49" t="s">
        <v>2224</v>
      </c>
      <c r="B49" t="s">
        <v>467</v>
      </c>
      <c r="C49" t="s">
        <v>154</v>
      </c>
      <c r="F49" t="s">
        <v>2002</v>
      </c>
      <c r="G49" t="s">
        <v>6771</v>
      </c>
    </row>
    <row r="50">
      <c r="A50" t="s">
        <v>2230</v>
      </c>
      <c r="B50" t="s">
        <v>475</v>
      </c>
      <c r="C50" t="s">
        <v>120</v>
      </c>
      <c r="F50" t="s">
        <v>2002</v>
      </c>
      <c r="G50" t="s">
        <v>6771</v>
      </c>
    </row>
    <row r="51">
      <c r="A51" t="s">
        <v>2233</v>
      </c>
      <c r="B51" t="s">
        <v>481</v>
      </c>
      <c r="C51" t="s">
        <v>120</v>
      </c>
      <c r="F51" t="s">
        <v>2002</v>
      </c>
      <c r="G51" t="s">
        <v>6771</v>
      </c>
    </row>
    <row r="52">
      <c r="A52" t="s">
        <v>2236</v>
      </c>
      <c r="B52" t="s">
        <v>488</v>
      </c>
      <c r="C52" t="s">
        <v>120</v>
      </c>
      <c r="F52" t="s">
        <v>2002</v>
      </c>
      <c r="G52" t="s">
        <v>6771</v>
      </c>
    </row>
    <row r="53">
      <c r="A53" t="s">
        <v>2239</v>
      </c>
      <c r="B53" t="s">
        <v>496</v>
      </c>
      <c r="C53" t="s">
        <v>154</v>
      </c>
      <c r="F53" t="s">
        <v>2002</v>
      </c>
      <c r="G53" t="s">
        <v>6771</v>
      </c>
    </row>
    <row r="54">
      <c r="A54" t="s">
        <v>2242</v>
      </c>
      <c r="B54" t="s">
        <v>502</v>
      </c>
      <c r="C54" t="s">
        <v>154</v>
      </c>
      <c r="F54" t="s">
        <v>2002</v>
      </c>
      <c r="G54" t="s">
        <v>6771</v>
      </c>
    </row>
    <row r="55">
      <c r="A55" t="s">
        <v>2245</v>
      </c>
      <c r="B55" t="s">
        <v>508</v>
      </c>
      <c r="C55" t="s">
        <v>154</v>
      </c>
      <c r="F55" t="s">
        <v>2002</v>
      </c>
      <c r="G55" t="s">
        <v>6771</v>
      </c>
    </row>
    <row r="56">
      <c r="A56" t="s">
        <v>2248</v>
      </c>
      <c r="B56" t="s">
        <v>515</v>
      </c>
      <c r="C56" t="s">
        <v>120</v>
      </c>
      <c r="F56" t="s">
        <v>2002</v>
      </c>
      <c r="G56" t="s">
        <v>6771</v>
      </c>
    </row>
    <row r="57">
      <c r="A57" t="s">
        <v>2251</v>
      </c>
      <c r="B57" t="s">
        <v>524</v>
      </c>
      <c r="C57" t="s">
        <v>120</v>
      </c>
      <c r="F57" t="s">
        <v>2002</v>
      </c>
      <c r="G57" t="s">
        <v>6771</v>
      </c>
    </row>
    <row r="58">
      <c r="A58" t="s">
        <v>2254</v>
      </c>
      <c r="B58" t="s">
        <v>532</v>
      </c>
      <c r="C58" t="s">
        <v>120</v>
      </c>
      <c r="F58" t="s">
        <v>2002</v>
      </c>
      <c r="G58" t="s">
        <v>6771</v>
      </c>
    </row>
    <row r="59">
      <c r="A59" t="s">
        <v>2257</v>
      </c>
      <c r="B59" t="s">
        <v>538</v>
      </c>
      <c r="C59" t="s">
        <v>120</v>
      </c>
      <c r="F59" t="s">
        <v>2002</v>
      </c>
      <c r="G59" t="s">
        <v>6771</v>
      </c>
    </row>
    <row r="60">
      <c r="A60" t="s">
        <v>2260</v>
      </c>
      <c r="B60" t="s">
        <v>548</v>
      </c>
      <c r="C60" t="s">
        <v>120</v>
      </c>
      <c r="F60" t="s">
        <v>2002</v>
      </c>
      <c r="G60" t="s">
        <v>6771</v>
      </c>
    </row>
    <row r="61">
      <c r="A61" t="s">
        <v>2263</v>
      </c>
      <c r="B61" t="s">
        <v>556</v>
      </c>
      <c r="C61" t="s">
        <v>120</v>
      </c>
      <c r="F61" t="s">
        <v>2002</v>
      </c>
      <c r="G61" t="s">
        <v>6771</v>
      </c>
    </row>
    <row r="62">
      <c r="A62" t="s">
        <v>2266</v>
      </c>
      <c r="B62" t="s">
        <v>561</v>
      </c>
      <c r="C62" t="s">
        <v>120</v>
      </c>
      <c r="F62" t="s">
        <v>2002</v>
      </c>
      <c r="G62" t="s">
        <v>6771</v>
      </c>
    </row>
    <row r="63">
      <c r="A63" t="s">
        <v>2269</v>
      </c>
      <c r="B63" t="s">
        <v>569</v>
      </c>
      <c r="C63" t="s">
        <v>120</v>
      </c>
      <c r="F63" t="s">
        <v>2002</v>
      </c>
      <c r="G63" t="s">
        <v>6771</v>
      </c>
    </row>
    <row r="64">
      <c r="A64" t="s">
        <v>2272</v>
      </c>
      <c r="B64" t="s">
        <v>580</v>
      </c>
      <c r="C64" t="s">
        <v>154</v>
      </c>
      <c r="F64" t="s">
        <v>2002</v>
      </c>
      <c r="G64" t="s">
        <v>6771</v>
      </c>
    </row>
    <row r="65">
      <c r="A65" t="s">
        <v>2275</v>
      </c>
      <c r="B65" t="s">
        <v>587</v>
      </c>
      <c r="C65" t="s">
        <v>154</v>
      </c>
      <c r="F65" t="s">
        <v>2002</v>
      </c>
      <c r="G65" t="s">
        <v>6771</v>
      </c>
    </row>
    <row r="66">
      <c r="A66" t="s">
        <v>2278</v>
      </c>
      <c r="B66" t="s">
        <v>593</v>
      </c>
      <c r="C66" t="s">
        <v>120</v>
      </c>
      <c r="F66" t="s">
        <v>2002</v>
      </c>
      <c r="G66" t="s">
        <v>6771</v>
      </c>
    </row>
    <row r="67">
      <c r="A67" t="s">
        <v>2281</v>
      </c>
      <c r="B67" t="s">
        <v>602</v>
      </c>
      <c r="C67" t="s">
        <v>120</v>
      </c>
      <c r="F67" t="s">
        <v>2002</v>
      </c>
      <c r="G67" t="s">
        <v>6771</v>
      </c>
    </row>
    <row r="68">
      <c r="A68" t="s">
        <v>2284</v>
      </c>
      <c r="B68" t="s">
        <v>610</v>
      </c>
      <c r="C68" t="s">
        <v>120</v>
      </c>
      <c r="F68" t="s">
        <v>2002</v>
      </c>
      <c r="G68" t="s">
        <v>6771</v>
      </c>
    </row>
    <row r="69">
      <c r="A69" t="s">
        <v>2287</v>
      </c>
      <c r="B69" t="s">
        <v>617</v>
      </c>
      <c r="C69" t="s">
        <v>120</v>
      </c>
      <c r="F69" t="s">
        <v>2002</v>
      </c>
      <c r="G69" t="s">
        <v>6771</v>
      </c>
    </row>
    <row r="70">
      <c r="A70" t="s">
        <v>2290</v>
      </c>
      <c r="B70" t="s">
        <v>624</v>
      </c>
      <c r="C70" t="s">
        <v>120</v>
      </c>
      <c r="F70" t="s">
        <v>2002</v>
      </c>
      <c r="G70" t="s">
        <v>6771</v>
      </c>
    </row>
    <row r="71">
      <c r="A71" t="s">
        <v>2293</v>
      </c>
      <c r="B71" t="s">
        <v>634</v>
      </c>
      <c r="C71" t="s">
        <v>120</v>
      </c>
      <c r="F71" t="s">
        <v>2002</v>
      </c>
      <c r="G71" t="s">
        <v>6771</v>
      </c>
    </row>
    <row r="72">
      <c r="A72" t="s">
        <v>2296</v>
      </c>
      <c r="B72" t="s">
        <v>641</v>
      </c>
      <c r="C72" t="s">
        <v>120</v>
      </c>
      <c r="F72" t="s">
        <v>2002</v>
      </c>
      <c r="G72" t="s">
        <v>6771</v>
      </c>
    </row>
    <row r="73">
      <c r="A73" t="s">
        <v>2299</v>
      </c>
      <c r="B73" t="s">
        <v>647</v>
      </c>
      <c r="C73" t="s">
        <v>120</v>
      </c>
      <c r="F73" t="s">
        <v>2002</v>
      </c>
      <c r="G73" t="s">
        <v>6771</v>
      </c>
    </row>
    <row r="74">
      <c r="A74" t="s">
        <v>2302</v>
      </c>
      <c r="B74" t="s">
        <v>656</v>
      </c>
      <c r="C74" t="s">
        <v>120</v>
      </c>
      <c r="F74" t="s">
        <v>2002</v>
      </c>
      <c r="G74" t="s">
        <v>6771</v>
      </c>
    </row>
    <row r="75">
      <c r="A75" t="s">
        <v>2305</v>
      </c>
      <c r="B75" t="s">
        <v>664</v>
      </c>
      <c r="C75" t="s">
        <v>120</v>
      </c>
      <c r="F75" t="s">
        <v>2002</v>
      </c>
      <c r="G75" t="s">
        <v>6771</v>
      </c>
    </row>
    <row r="76">
      <c r="A76" t="s">
        <v>2308</v>
      </c>
      <c r="B76" t="s">
        <v>671</v>
      </c>
      <c r="C76" t="s">
        <v>120</v>
      </c>
      <c r="F76" t="s">
        <v>2002</v>
      </c>
      <c r="G76" t="s">
        <v>6771</v>
      </c>
    </row>
    <row r="77">
      <c r="A77" t="s">
        <v>2311</v>
      </c>
      <c r="B77" t="s">
        <v>683</v>
      </c>
      <c r="C77" t="s">
        <v>120</v>
      </c>
      <c r="F77" t="s">
        <v>2002</v>
      </c>
      <c r="G77" t="s">
        <v>6771</v>
      </c>
    </row>
    <row r="78">
      <c r="A78" t="s">
        <v>2314</v>
      </c>
      <c r="B78" t="s">
        <v>691</v>
      </c>
      <c r="C78" t="s">
        <v>120</v>
      </c>
      <c r="F78" t="s">
        <v>2002</v>
      </c>
      <c r="G78" t="s">
        <v>6771</v>
      </c>
    </row>
    <row r="79">
      <c r="A79" t="s">
        <v>2317</v>
      </c>
      <c r="B79" t="s">
        <v>697</v>
      </c>
      <c r="C79" t="s">
        <v>120</v>
      </c>
      <c r="F79" t="s">
        <v>2002</v>
      </c>
      <c r="G79" t="s">
        <v>6771</v>
      </c>
    </row>
    <row r="80">
      <c r="A80" t="s">
        <v>2320</v>
      </c>
      <c r="B80" t="s">
        <v>702</v>
      </c>
      <c r="C80" t="s">
        <v>120</v>
      </c>
      <c r="F80" t="s">
        <v>2002</v>
      </c>
      <c r="G80" t="s">
        <v>6771</v>
      </c>
    </row>
    <row r="81">
      <c r="A81" t="s">
        <v>2323</v>
      </c>
      <c r="B81" t="s">
        <v>707</v>
      </c>
      <c r="C81" t="s">
        <v>120</v>
      </c>
      <c r="F81" t="s">
        <v>2002</v>
      </c>
      <c r="G81" t="s">
        <v>6771</v>
      </c>
    </row>
    <row r="82">
      <c r="A82" t="s">
        <v>2326</v>
      </c>
      <c r="B82" t="s">
        <v>713</v>
      </c>
      <c r="C82" t="s">
        <v>120</v>
      </c>
      <c r="F82" t="s">
        <v>2002</v>
      </c>
      <c r="G82" t="s">
        <v>6771</v>
      </c>
    </row>
    <row r="83">
      <c r="A83" t="s">
        <v>2329</v>
      </c>
      <c r="B83" t="s">
        <v>721</v>
      </c>
      <c r="C83" t="s">
        <v>120</v>
      </c>
      <c r="F83" t="s">
        <v>2002</v>
      </c>
      <c r="G83" t="s">
        <v>6771</v>
      </c>
    </row>
    <row r="84">
      <c r="A84" t="s">
        <v>2332</v>
      </c>
      <c r="B84" t="s">
        <v>728</v>
      </c>
      <c r="C84" t="s">
        <v>120</v>
      </c>
      <c r="F84" t="s">
        <v>2002</v>
      </c>
      <c r="G84" t="s">
        <v>6771</v>
      </c>
    </row>
    <row r="85">
      <c r="A85" t="s">
        <v>2335</v>
      </c>
      <c r="B85" t="s">
        <v>736</v>
      </c>
      <c r="C85" t="s">
        <v>120</v>
      </c>
      <c r="F85" t="s">
        <v>2002</v>
      </c>
      <c r="G85" t="s">
        <v>6771</v>
      </c>
    </row>
    <row r="86">
      <c r="A86" t="s">
        <v>2338</v>
      </c>
      <c r="B86" t="s">
        <v>743</v>
      </c>
      <c r="C86" t="s">
        <v>120</v>
      </c>
      <c r="F86" t="s">
        <v>2002</v>
      </c>
      <c r="G86" t="s">
        <v>6771</v>
      </c>
    </row>
    <row r="87">
      <c r="A87" t="s">
        <v>2340</v>
      </c>
      <c r="B87" t="s">
        <v>749</v>
      </c>
      <c r="C87" t="s">
        <v>120</v>
      </c>
      <c r="F87" t="s">
        <v>2002</v>
      </c>
      <c r="G87" t="s">
        <v>6771</v>
      </c>
    </row>
    <row r="88">
      <c r="A88" t="s">
        <v>2343</v>
      </c>
      <c r="B88" t="s">
        <v>758</v>
      </c>
      <c r="C88" t="s">
        <v>120</v>
      </c>
      <c r="F88" t="s">
        <v>2002</v>
      </c>
      <c r="G88" t="s">
        <v>6771</v>
      </c>
    </row>
    <row r="89">
      <c r="A89" t="s">
        <v>2346</v>
      </c>
      <c r="B89" t="s">
        <v>764</v>
      </c>
      <c r="C89" t="s">
        <v>120</v>
      </c>
      <c r="F89" t="s">
        <v>2002</v>
      </c>
      <c r="G89" t="s">
        <v>6771</v>
      </c>
    </row>
    <row r="90">
      <c r="A90" t="s">
        <v>2349</v>
      </c>
      <c r="B90" t="s">
        <v>769</v>
      </c>
      <c r="C90" t="s">
        <v>120</v>
      </c>
      <c r="F90" t="s">
        <v>2002</v>
      </c>
      <c r="G90" t="s">
        <v>6771</v>
      </c>
    </row>
    <row r="91">
      <c r="A91" t="s">
        <v>2351</v>
      </c>
      <c r="B91" t="s">
        <v>775</v>
      </c>
      <c r="C91" t="s">
        <v>120</v>
      </c>
      <c r="F91" t="s">
        <v>2002</v>
      </c>
      <c r="G91" t="s">
        <v>6771</v>
      </c>
    </row>
    <row r="92">
      <c r="A92" t="s">
        <v>2354</v>
      </c>
      <c r="B92" t="s">
        <v>783</v>
      </c>
      <c r="C92" t="s">
        <v>120</v>
      </c>
      <c r="F92" t="s">
        <v>2002</v>
      </c>
      <c r="G92" t="s">
        <v>6771</v>
      </c>
    </row>
    <row r="93">
      <c r="A93" t="s">
        <v>2357</v>
      </c>
      <c r="B93" t="s">
        <v>790</v>
      </c>
      <c r="C93" t="s">
        <v>120</v>
      </c>
      <c r="F93" t="s">
        <v>2002</v>
      </c>
      <c r="G93" t="s">
        <v>6771</v>
      </c>
    </row>
    <row r="94">
      <c r="A94" t="s">
        <v>2360</v>
      </c>
      <c r="B94" t="s">
        <v>795</v>
      </c>
      <c r="C94" t="s">
        <v>120</v>
      </c>
      <c r="F94" t="s">
        <v>2002</v>
      </c>
      <c r="G94" t="s">
        <v>6771</v>
      </c>
    </row>
    <row r="95">
      <c r="A95" t="s">
        <v>2363</v>
      </c>
      <c r="B95" t="s">
        <v>800</v>
      </c>
      <c r="C95" t="s">
        <v>120</v>
      </c>
      <c r="F95" t="s">
        <v>2002</v>
      </c>
      <c r="G95" t="s">
        <v>6771</v>
      </c>
    </row>
    <row r="96">
      <c r="A96" t="s">
        <v>2366</v>
      </c>
      <c r="B96" t="s">
        <v>808</v>
      </c>
      <c r="C96" t="s">
        <v>120</v>
      </c>
      <c r="F96" t="s">
        <v>2002</v>
      </c>
      <c r="G96" t="s">
        <v>6771</v>
      </c>
    </row>
    <row r="97">
      <c r="A97" t="s">
        <v>2369</v>
      </c>
      <c r="B97" t="s">
        <v>815</v>
      </c>
      <c r="C97" t="s">
        <v>120</v>
      </c>
      <c r="F97" t="s">
        <v>2002</v>
      </c>
      <c r="G97" t="s">
        <v>6771</v>
      </c>
    </row>
    <row r="98">
      <c r="A98" t="s">
        <v>2372</v>
      </c>
      <c r="B98" t="s">
        <v>820</v>
      </c>
      <c r="C98" t="s">
        <v>120</v>
      </c>
      <c r="F98" t="s">
        <v>2002</v>
      </c>
      <c r="G98" t="s">
        <v>6771</v>
      </c>
    </row>
    <row r="99">
      <c r="A99" t="s">
        <v>2375</v>
      </c>
      <c r="B99" t="s">
        <v>826</v>
      </c>
      <c r="C99" t="s">
        <v>120</v>
      </c>
      <c r="F99" t="s">
        <v>2002</v>
      </c>
      <c r="G99" t="s">
        <v>6771</v>
      </c>
    </row>
    <row r="100">
      <c r="A100" t="s">
        <v>2378</v>
      </c>
      <c r="B100" t="s">
        <v>836</v>
      </c>
      <c r="C100" t="s">
        <v>120</v>
      </c>
      <c r="F100" t="s">
        <v>2002</v>
      </c>
      <c r="G100" t="s">
        <v>6771</v>
      </c>
    </row>
    <row r="101">
      <c r="A101" t="s">
        <v>2381</v>
      </c>
      <c r="B101" t="s">
        <v>843</v>
      </c>
      <c r="C101" t="s">
        <v>120</v>
      </c>
      <c r="F101" t="s">
        <v>2002</v>
      </c>
      <c r="G101" t="s">
        <v>6771</v>
      </c>
    </row>
    <row r="102">
      <c r="A102" t="s">
        <v>2384</v>
      </c>
      <c r="B102" t="s">
        <v>850</v>
      </c>
      <c r="C102" t="s">
        <v>120</v>
      </c>
      <c r="F102" t="s">
        <v>2002</v>
      </c>
      <c r="G102" t="s">
        <v>6771</v>
      </c>
    </row>
    <row r="103">
      <c r="A103" t="s">
        <v>2387</v>
      </c>
      <c r="B103" t="s">
        <v>857</v>
      </c>
      <c r="C103" t="s">
        <v>120</v>
      </c>
      <c r="F103" t="s">
        <v>2002</v>
      </c>
      <c r="G103" t="s">
        <v>6771</v>
      </c>
    </row>
    <row r="104">
      <c r="A104" t="s">
        <v>2390</v>
      </c>
      <c r="B104" t="s">
        <v>864</v>
      </c>
      <c r="C104" t="s">
        <v>120</v>
      </c>
      <c r="F104" t="s">
        <v>2002</v>
      </c>
      <c r="G104" t="s">
        <v>6771</v>
      </c>
    </row>
    <row r="105">
      <c r="A105" t="s">
        <v>2393</v>
      </c>
      <c r="B105" t="s">
        <v>870</v>
      </c>
      <c r="C105" t="s">
        <v>120</v>
      </c>
      <c r="F105" t="s">
        <v>2002</v>
      </c>
      <c r="G105" t="s">
        <v>6771</v>
      </c>
    </row>
    <row r="106">
      <c r="A106" t="s">
        <v>2396</v>
      </c>
      <c r="B106" t="s">
        <v>877</v>
      </c>
      <c r="C106" t="s">
        <v>120</v>
      </c>
      <c r="F106" t="s">
        <v>2002</v>
      </c>
      <c r="G106" t="s">
        <v>6771</v>
      </c>
    </row>
    <row r="107">
      <c r="A107" t="s">
        <v>2399</v>
      </c>
      <c r="B107" t="s">
        <v>882</v>
      </c>
      <c r="C107" t="s">
        <v>120</v>
      </c>
      <c r="F107" t="s">
        <v>2002</v>
      </c>
      <c r="G107" t="s">
        <v>6771</v>
      </c>
    </row>
    <row r="108">
      <c r="A108" t="s">
        <v>2402</v>
      </c>
      <c r="B108" t="s">
        <v>889</v>
      </c>
      <c r="C108" t="s">
        <v>120</v>
      </c>
      <c r="F108" t="s">
        <v>2002</v>
      </c>
      <c r="G108" t="s">
        <v>6771</v>
      </c>
    </row>
    <row r="109">
      <c r="A109" t="s">
        <v>2405</v>
      </c>
      <c r="B109" t="s">
        <v>899</v>
      </c>
      <c r="C109" t="s">
        <v>120</v>
      </c>
      <c r="F109" t="s">
        <v>2002</v>
      </c>
      <c r="G109" t="s">
        <v>6771</v>
      </c>
    </row>
    <row r="110">
      <c r="A110" t="s">
        <v>2408</v>
      </c>
      <c r="B110" t="s">
        <v>906</v>
      </c>
      <c r="C110" t="s">
        <v>120</v>
      </c>
      <c r="F110" t="s">
        <v>2002</v>
      </c>
      <c r="G110" t="s">
        <v>6771</v>
      </c>
    </row>
    <row r="111">
      <c r="A111" t="s">
        <v>2411</v>
      </c>
      <c r="B111" t="s">
        <v>912</v>
      </c>
      <c r="C111" t="s">
        <v>120</v>
      </c>
      <c r="F111" t="s">
        <v>2002</v>
      </c>
      <c r="G111" t="s">
        <v>6771</v>
      </c>
    </row>
    <row r="112">
      <c r="A112" t="s">
        <v>2414</v>
      </c>
      <c r="B112" t="s">
        <v>919</v>
      </c>
      <c r="C112" t="s">
        <v>120</v>
      </c>
      <c r="F112" t="s">
        <v>2002</v>
      </c>
      <c r="G112" t="s">
        <v>6771</v>
      </c>
    </row>
    <row r="113">
      <c r="A113" t="s">
        <v>2417</v>
      </c>
      <c r="B113" t="s">
        <v>925</v>
      </c>
      <c r="C113" t="s">
        <v>120</v>
      </c>
      <c r="F113" t="s">
        <v>2002</v>
      </c>
      <c r="G113" t="s">
        <v>6771</v>
      </c>
    </row>
    <row r="114">
      <c r="A114" t="s">
        <v>2420</v>
      </c>
      <c r="B114" t="s">
        <v>935</v>
      </c>
      <c r="C114" t="s">
        <v>120</v>
      </c>
      <c r="F114" t="s">
        <v>2002</v>
      </c>
      <c r="G114" t="s">
        <v>6771</v>
      </c>
    </row>
    <row r="115">
      <c r="A115" t="s">
        <v>2423</v>
      </c>
      <c r="B115" t="s">
        <v>940</v>
      </c>
      <c r="C115" t="s">
        <v>120</v>
      </c>
      <c r="F115" t="s">
        <v>2002</v>
      </c>
      <c r="G115" t="s">
        <v>6771</v>
      </c>
    </row>
    <row r="116">
      <c r="A116" t="s">
        <v>2426</v>
      </c>
      <c r="B116" t="s">
        <v>946</v>
      </c>
      <c r="C116" t="s">
        <v>120</v>
      </c>
      <c r="F116" t="s">
        <v>2002</v>
      </c>
      <c r="G116" t="s">
        <v>6771</v>
      </c>
    </row>
    <row r="117">
      <c r="A117" t="s">
        <v>2429</v>
      </c>
      <c r="B117" t="s">
        <v>953</v>
      </c>
      <c r="C117" t="s">
        <v>120</v>
      </c>
      <c r="F117" t="s">
        <v>2002</v>
      </c>
      <c r="G117" t="s">
        <v>6771</v>
      </c>
    </row>
    <row r="118">
      <c r="A118" t="s">
        <v>2431</v>
      </c>
      <c r="B118" t="s">
        <v>962</v>
      </c>
      <c r="C118" t="s">
        <v>97</v>
      </c>
      <c r="D118" t="s">
        <v>2077</v>
      </c>
      <c r="E118">
        <v>1</v>
      </c>
      <c r="F118" t="s">
        <v>2001</v>
      </c>
      <c r="G118" t="s">
        <v>6769</v>
      </c>
    </row>
    <row r="119">
      <c r="A119" t="s">
        <v>2439</v>
      </c>
      <c r="B119" t="s">
        <v>973</v>
      </c>
      <c r="C119" t="s">
        <v>154</v>
      </c>
      <c r="F119" t="s">
        <v>2002</v>
      </c>
      <c r="G119" t="s">
        <v>6771</v>
      </c>
    </row>
    <row r="120">
      <c r="A120" t="s">
        <v>2446</v>
      </c>
      <c r="B120" t="s">
        <v>981</v>
      </c>
      <c r="C120" t="s">
        <v>154</v>
      </c>
      <c r="F120" t="s">
        <v>2002</v>
      </c>
      <c r="G120" t="s">
        <v>6771</v>
      </c>
    </row>
    <row r="121">
      <c r="A121" t="s">
        <v>2449</v>
      </c>
      <c r="B121" t="s">
        <v>987</v>
      </c>
      <c r="C121" t="s">
        <v>154</v>
      </c>
      <c r="F121" t="s">
        <v>2002</v>
      </c>
      <c r="G121" t="s">
        <v>6771</v>
      </c>
    </row>
    <row r="122">
      <c r="A122" t="s">
        <v>2452</v>
      </c>
      <c r="B122" t="s">
        <v>993</v>
      </c>
      <c r="C122" t="s">
        <v>120</v>
      </c>
      <c r="F122" t="s">
        <v>2002</v>
      </c>
      <c r="G122" t="s">
        <v>6771</v>
      </c>
    </row>
    <row r="123">
      <c r="A123" t="s">
        <v>2455</v>
      </c>
      <c r="B123" t="s">
        <v>1001</v>
      </c>
      <c r="C123" t="s">
        <v>120</v>
      </c>
      <c r="F123" t="s">
        <v>2002</v>
      </c>
      <c r="G123" t="s">
        <v>6771</v>
      </c>
    </row>
    <row r="124">
      <c r="A124" t="s">
        <v>2458</v>
      </c>
      <c r="B124" t="s">
        <v>1007</v>
      </c>
      <c r="C124" t="s">
        <v>120</v>
      </c>
      <c r="F124" t="s">
        <v>2002</v>
      </c>
      <c r="G124" t="s">
        <v>6771</v>
      </c>
    </row>
    <row r="125">
      <c r="A125" t="s">
        <v>2461</v>
      </c>
      <c r="B125" t="s">
        <v>1015</v>
      </c>
      <c r="C125" t="s">
        <v>154</v>
      </c>
      <c r="F125" t="s">
        <v>2002</v>
      </c>
      <c r="G125" t="s">
        <v>6771</v>
      </c>
    </row>
    <row r="126">
      <c r="A126" t="s">
        <v>2464</v>
      </c>
      <c r="B126" t="s">
        <v>1022</v>
      </c>
      <c r="C126" t="s">
        <v>120</v>
      </c>
      <c r="F126" t="s">
        <v>2002</v>
      </c>
      <c r="G126" t="s">
        <v>6771</v>
      </c>
    </row>
    <row r="127">
      <c r="A127" t="s">
        <v>2467</v>
      </c>
      <c r="B127" t="s">
        <v>1029</v>
      </c>
      <c r="C127" t="s">
        <v>154</v>
      </c>
      <c r="F127" t="s">
        <v>2002</v>
      </c>
      <c r="G127" t="s">
        <v>6771</v>
      </c>
    </row>
    <row r="128">
      <c r="A128" t="s">
        <v>2471</v>
      </c>
      <c r="B128" t="s">
        <v>1035</v>
      </c>
      <c r="C128" t="s">
        <v>120</v>
      </c>
      <c r="F128" t="s">
        <v>2002</v>
      </c>
      <c r="G128" t="s">
        <v>6771</v>
      </c>
    </row>
    <row r="129">
      <c r="A129" t="s">
        <v>2474</v>
      </c>
      <c r="B129" t="s">
        <v>1043</v>
      </c>
      <c r="C129" t="s">
        <v>120</v>
      </c>
      <c r="F129" t="s">
        <v>2002</v>
      </c>
      <c r="G129" t="s">
        <v>6771</v>
      </c>
    </row>
    <row r="130">
      <c r="A130" t="s">
        <v>2477</v>
      </c>
      <c r="B130" t="s">
        <v>1050</v>
      </c>
      <c r="C130" t="s">
        <v>154</v>
      </c>
      <c r="F130" t="s">
        <v>2002</v>
      </c>
      <c r="G130" t="s">
        <v>6771</v>
      </c>
    </row>
    <row r="131">
      <c r="A131" t="s">
        <v>2480</v>
      </c>
      <c r="B131" t="s">
        <v>1058</v>
      </c>
      <c r="C131" t="s">
        <v>120</v>
      </c>
      <c r="F131" t="s">
        <v>2002</v>
      </c>
      <c r="G131" t="s">
        <v>6771</v>
      </c>
    </row>
    <row r="132">
      <c r="A132" t="s">
        <v>2483</v>
      </c>
      <c r="B132" t="s">
        <v>1064</v>
      </c>
      <c r="C132" t="s">
        <v>120</v>
      </c>
      <c r="F132" t="s">
        <v>2002</v>
      </c>
      <c r="G132" t="s">
        <v>6771</v>
      </c>
    </row>
    <row r="133">
      <c r="A133" t="s">
        <v>2486</v>
      </c>
      <c r="B133" t="s">
        <v>1074</v>
      </c>
      <c r="C133" t="s">
        <v>120</v>
      </c>
      <c r="F133" t="s">
        <v>2002</v>
      </c>
      <c r="G133" t="s">
        <v>6771</v>
      </c>
    </row>
    <row r="134">
      <c r="A134" t="s">
        <v>2489</v>
      </c>
      <c r="B134" t="s">
        <v>1081</v>
      </c>
      <c r="C134" t="s">
        <v>120</v>
      </c>
      <c r="F134" t="s">
        <v>2002</v>
      </c>
      <c r="G134" t="s">
        <v>6771</v>
      </c>
    </row>
    <row r="135">
      <c r="A135" t="s">
        <v>2492</v>
      </c>
      <c r="B135" t="s">
        <v>1087</v>
      </c>
      <c r="C135" t="s">
        <v>120</v>
      </c>
      <c r="F135" t="s">
        <v>2002</v>
      </c>
      <c r="G135" t="s">
        <v>6771</v>
      </c>
    </row>
    <row r="136">
      <c r="A136" t="s">
        <v>2495</v>
      </c>
      <c r="B136" t="s">
        <v>1094</v>
      </c>
      <c r="C136" t="s">
        <v>120</v>
      </c>
      <c r="F136" t="s">
        <v>2002</v>
      </c>
      <c r="G136" t="s">
        <v>6771</v>
      </c>
    </row>
    <row r="137">
      <c r="A137" t="s">
        <v>2498</v>
      </c>
      <c r="B137" t="s">
        <v>1101</v>
      </c>
      <c r="C137" t="s">
        <v>120</v>
      </c>
      <c r="F137" t="s">
        <v>2002</v>
      </c>
      <c r="G137" t="s">
        <v>6771</v>
      </c>
    </row>
    <row r="138">
      <c r="A138" t="s">
        <v>2501</v>
      </c>
      <c r="B138" t="s">
        <v>1109</v>
      </c>
      <c r="C138" t="s">
        <v>120</v>
      </c>
      <c r="F138" t="s">
        <v>2002</v>
      </c>
      <c r="G138" t="s">
        <v>6771</v>
      </c>
    </row>
    <row r="139">
      <c r="A139" t="s">
        <v>2504</v>
      </c>
      <c r="B139" t="s">
        <v>1114</v>
      </c>
      <c r="C139" t="s">
        <v>120</v>
      </c>
      <c r="F139" t="s">
        <v>2002</v>
      </c>
      <c r="G139" t="s">
        <v>6771</v>
      </c>
    </row>
    <row r="140">
      <c r="A140" t="s">
        <v>2505</v>
      </c>
      <c r="B140" t="s">
        <v>1121</v>
      </c>
      <c r="C140" t="s">
        <v>120</v>
      </c>
      <c r="F140" t="s">
        <v>2002</v>
      </c>
      <c r="G140" t="s">
        <v>6771</v>
      </c>
    </row>
    <row r="141">
      <c r="A141" t="s">
        <v>2508</v>
      </c>
      <c r="B141" t="s">
        <v>1131</v>
      </c>
      <c r="C141" t="s">
        <v>129</v>
      </c>
      <c r="D141" t="s">
        <v>2078</v>
      </c>
      <c r="E141" s="15" t="s">
        <v>161</v>
      </c>
      <c r="F141" t="s">
        <v>2001</v>
      </c>
      <c r="G141" t="s">
        <v>6769</v>
      </c>
    </row>
    <row r="142">
      <c r="A142" t="s">
        <v>2510</v>
      </c>
      <c r="B142" t="s">
        <v>1139</v>
      </c>
      <c r="C142" t="s">
        <v>129</v>
      </c>
      <c r="D142" t="s">
        <v>2078</v>
      </c>
      <c r="E142" s="15" t="s">
        <v>161</v>
      </c>
      <c r="F142" t="s">
        <v>2001</v>
      </c>
      <c r="G142" t="s">
        <v>6769</v>
      </c>
    </row>
    <row r="143">
      <c r="A143" t="s">
        <v>2514</v>
      </c>
      <c r="B143" t="s">
        <v>1145</v>
      </c>
      <c r="C143" t="s">
        <v>97</v>
      </c>
      <c r="D143" t="s">
        <v>2078</v>
      </c>
      <c r="E143" s="15" t="s">
        <v>6770</v>
      </c>
      <c r="F143" t="s">
        <v>2001</v>
      </c>
      <c r="G143" t="s">
        <v>6769</v>
      </c>
    </row>
    <row r="144">
      <c r="A144" t="s">
        <v>2519</v>
      </c>
      <c r="B144" t="s">
        <v>1152</v>
      </c>
      <c r="C144" t="s">
        <v>97</v>
      </c>
      <c r="D144" t="s">
        <v>2078</v>
      </c>
      <c r="E144" s="15" t="s">
        <v>6770</v>
      </c>
      <c r="F144" t="s">
        <v>2001</v>
      </c>
      <c r="G144" t="s">
        <v>6769</v>
      </c>
    </row>
    <row r="145">
      <c r="A145" t="s">
        <v>2522</v>
      </c>
      <c r="B145" t="s">
        <v>1160</v>
      </c>
      <c r="C145" t="s">
        <v>97</v>
      </c>
      <c r="D145" t="s">
        <v>2078</v>
      </c>
      <c r="E145" s="15" t="s">
        <v>6770</v>
      </c>
      <c r="F145" t="s">
        <v>2001</v>
      </c>
      <c r="G145" t="s">
        <v>6769</v>
      </c>
    </row>
    <row r="146">
      <c r="A146" t="s">
        <v>2525</v>
      </c>
      <c r="B146" t="s">
        <v>1168</v>
      </c>
      <c r="C146" t="s">
        <v>154</v>
      </c>
      <c r="F146" t="s">
        <v>2002</v>
      </c>
      <c r="G146" t="s">
        <v>6771</v>
      </c>
    </row>
    <row r="147">
      <c r="A147" t="s">
        <v>2528</v>
      </c>
      <c r="B147" t="s">
        <v>1174</v>
      </c>
      <c r="C147" t="s">
        <v>154</v>
      </c>
      <c r="F147" t="s">
        <v>2002</v>
      </c>
      <c r="G147" t="s">
        <v>6771</v>
      </c>
    </row>
    <row r="148">
      <c r="A148" t="s">
        <v>2531</v>
      </c>
      <c r="B148" t="s">
        <v>1182</v>
      </c>
      <c r="C148" t="s">
        <v>154</v>
      </c>
      <c r="F148" t="s">
        <v>2002</v>
      </c>
      <c r="G148" t="s">
        <v>6771</v>
      </c>
    </row>
    <row r="149">
      <c r="A149" t="s">
        <v>2534</v>
      </c>
      <c r="B149" t="s">
        <v>1190</v>
      </c>
      <c r="C149" t="s">
        <v>120</v>
      </c>
      <c r="F149" t="s">
        <v>2002</v>
      </c>
      <c r="G149" t="s">
        <v>6771</v>
      </c>
    </row>
    <row r="150">
      <c r="A150" t="s">
        <v>2537</v>
      </c>
      <c r="B150" t="s">
        <v>1201</v>
      </c>
      <c r="C150" t="s">
        <v>129</v>
      </c>
      <c r="D150" t="s">
        <v>2078</v>
      </c>
      <c r="E150" s="15" t="s">
        <v>161</v>
      </c>
      <c r="F150" t="s">
        <v>2001</v>
      </c>
      <c r="G150" t="s">
        <v>6769</v>
      </c>
    </row>
    <row r="151">
      <c r="A151" t="s">
        <v>2541</v>
      </c>
      <c r="B151" t="s">
        <v>1209</v>
      </c>
      <c r="C151" t="s">
        <v>154</v>
      </c>
      <c r="F151" t="s">
        <v>2002</v>
      </c>
      <c r="G151" t="s">
        <v>6771</v>
      </c>
    </row>
    <row r="152">
      <c r="A152" t="s">
        <v>2544</v>
      </c>
      <c r="B152" t="s">
        <v>1215</v>
      </c>
      <c r="C152" t="s">
        <v>120</v>
      </c>
      <c r="F152" t="s">
        <v>2002</v>
      </c>
      <c r="G152" t="s">
        <v>6771</v>
      </c>
    </row>
    <row r="153">
      <c r="A153" t="s">
        <v>2547</v>
      </c>
      <c r="B153" t="s">
        <v>1223</v>
      </c>
      <c r="C153" t="s">
        <v>154</v>
      </c>
      <c r="F153" t="s">
        <v>2002</v>
      </c>
      <c r="G153" t="s">
        <v>6771</v>
      </c>
    </row>
    <row r="154">
      <c r="A154" t="s">
        <v>2550</v>
      </c>
      <c r="B154" t="s">
        <v>1229</v>
      </c>
      <c r="C154" t="s">
        <v>154</v>
      </c>
      <c r="F154" t="s">
        <v>2002</v>
      </c>
      <c r="G154" t="s">
        <v>6771</v>
      </c>
    </row>
    <row r="155">
      <c r="A155" t="s">
        <v>2553</v>
      </c>
      <c r="B155" t="s">
        <v>1235</v>
      </c>
      <c r="C155" t="s">
        <v>120</v>
      </c>
      <c r="F155" t="s">
        <v>2002</v>
      </c>
      <c r="G155" t="s">
        <v>6771</v>
      </c>
    </row>
    <row r="156">
      <c r="A156" t="s">
        <v>2555</v>
      </c>
      <c r="B156" t="s">
        <v>1242</v>
      </c>
      <c r="C156" t="s">
        <v>120</v>
      </c>
      <c r="F156" t="s">
        <v>2002</v>
      </c>
      <c r="G156" t="s">
        <v>6771</v>
      </c>
    </row>
    <row r="157">
      <c r="A157" t="s">
        <v>2558</v>
      </c>
      <c r="B157" t="s">
        <v>1250</v>
      </c>
      <c r="C157" t="s">
        <v>154</v>
      </c>
      <c r="F157" t="s">
        <v>2002</v>
      </c>
      <c r="G157" t="s">
        <v>6771</v>
      </c>
    </row>
    <row r="158">
      <c r="A158" t="s">
        <v>2561</v>
      </c>
      <c r="B158" t="s">
        <v>1257</v>
      </c>
      <c r="C158" t="s">
        <v>154</v>
      </c>
      <c r="F158" t="s">
        <v>2002</v>
      </c>
      <c r="G158" t="s">
        <v>6771</v>
      </c>
    </row>
    <row r="159">
      <c r="A159" t="s">
        <v>2564</v>
      </c>
      <c r="B159" t="s">
        <v>1263</v>
      </c>
      <c r="C159" t="s">
        <v>154</v>
      </c>
      <c r="F159" t="s">
        <v>2002</v>
      </c>
      <c r="G159" t="s">
        <v>6771</v>
      </c>
    </row>
    <row r="160">
      <c r="A160" t="s">
        <v>2567</v>
      </c>
      <c r="B160" t="s">
        <v>1271</v>
      </c>
      <c r="C160" t="s">
        <v>120</v>
      </c>
      <c r="F160" t="s">
        <v>2002</v>
      </c>
      <c r="G160" t="s">
        <v>6771</v>
      </c>
    </row>
    <row r="161">
      <c r="A161" t="s">
        <v>2570</v>
      </c>
      <c r="B161" t="s">
        <v>1279</v>
      </c>
      <c r="C161" t="s">
        <v>129</v>
      </c>
      <c r="D161" t="s">
        <v>2078</v>
      </c>
      <c r="E161" s="15" t="s">
        <v>161</v>
      </c>
      <c r="F161" t="s">
        <v>2001</v>
      </c>
      <c r="G161" t="s">
        <v>6769</v>
      </c>
    </row>
    <row r="162">
      <c r="A162" t="s">
        <v>2573</v>
      </c>
      <c r="B162" t="s">
        <v>1287</v>
      </c>
      <c r="C162" t="s">
        <v>97</v>
      </c>
      <c r="D162" t="s">
        <v>2078</v>
      </c>
      <c r="E162" s="15" t="s">
        <v>6770</v>
      </c>
      <c r="F162" t="s">
        <v>2001</v>
      </c>
      <c r="G162" t="s">
        <v>6769</v>
      </c>
    </row>
    <row r="163">
      <c r="A163" t="s">
        <v>2576</v>
      </c>
      <c r="B163" t="s">
        <v>1294</v>
      </c>
      <c r="C163" t="s">
        <v>120</v>
      </c>
      <c r="F163" t="s">
        <v>2002</v>
      </c>
      <c r="G163" t="s">
        <v>6771</v>
      </c>
    </row>
    <row r="164">
      <c r="A164" t="s">
        <v>2579</v>
      </c>
      <c r="B164" t="s">
        <v>1302</v>
      </c>
      <c r="C164" t="s">
        <v>120</v>
      </c>
      <c r="F164" t="s">
        <v>2002</v>
      </c>
      <c r="G164" t="s">
        <v>6771</v>
      </c>
    </row>
    <row r="165">
      <c r="A165" t="s">
        <v>2582</v>
      </c>
      <c r="B165" t="s">
        <v>1312</v>
      </c>
      <c r="C165" t="s">
        <v>97</v>
      </c>
      <c r="D165" t="s">
        <v>2078</v>
      </c>
      <c r="E165" s="15" t="s">
        <v>6770</v>
      </c>
      <c r="F165" t="s">
        <v>2001</v>
      </c>
      <c r="G165" t="s">
        <v>6769</v>
      </c>
    </row>
    <row r="166">
      <c r="A166" t="s">
        <v>2585</v>
      </c>
      <c r="B166" t="s">
        <v>1320</v>
      </c>
      <c r="C166" t="s">
        <v>120</v>
      </c>
      <c r="F166" t="s">
        <v>2002</v>
      </c>
      <c r="G166" t="s">
        <v>6771</v>
      </c>
    </row>
    <row r="167">
      <c r="A167" t="s">
        <v>2588</v>
      </c>
      <c r="B167" t="s">
        <v>1328</v>
      </c>
      <c r="C167" t="s">
        <v>120</v>
      </c>
      <c r="F167" t="s">
        <v>2002</v>
      </c>
      <c r="G167" t="s">
        <v>6771</v>
      </c>
    </row>
    <row r="168">
      <c r="A168" t="s">
        <v>2590</v>
      </c>
      <c r="B168" t="s">
        <v>1334</v>
      </c>
      <c r="C168" t="s">
        <v>120</v>
      </c>
      <c r="F168" t="s">
        <v>2002</v>
      </c>
      <c r="G168" t="s">
        <v>6771</v>
      </c>
    </row>
    <row r="169">
      <c r="A169" t="s">
        <v>2593</v>
      </c>
      <c r="B169" t="s">
        <v>1344</v>
      </c>
      <c r="C169" t="s">
        <v>97</v>
      </c>
      <c r="D169" t="s">
        <v>2078</v>
      </c>
      <c r="E169" s="15" t="s">
        <v>6770</v>
      </c>
      <c r="F169" t="s">
        <v>2001</v>
      </c>
      <c r="G169" t="s">
        <v>6769</v>
      </c>
    </row>
    <row r="170">
      <c r="A170" t="s">
        <v>2596</v>
      </c>
      <c r="B170" t="s">
        <v>1352</v>
      </c>
      <c r="C170" t="s">
        <v>97</v>
      </c>
      <c r="D170" t="s">
        <v>2078</v>
      </c>
      <c r="E170" s="15" t="s">
        <v>6770</v>
      </c>
      <c r="F170" t="s">
        <v>2001</v>
      </c>
      <c r="G170" t="s">
        <v>6769</v>
      </c>
    </row>
    <row r="171">
      <c r="A171" t="s">
        <v>2599</v>
      </c>
      <c r="B171" t="s">
        <v>1359</v>
      </c>
      <c r="C171" t="s">
        <v>154</v>
      </c>
      <c r="F171" t="s">
        <v>2002</v>
      </c>
      <c r="G171" t="s">
        <v>6771</v>
      </c>
    </row>
    <row r="172">
      <c r="A172" t="s">
        <v>2602</v>
      </c>
      <c r="B172" t="s">
        <v>1366</v>
      </c>
      <c r="C172" t="s">
        <v>154</v>
      </c>
      <c r="F172" t="s">
        <v>2002</v>
      </c>
      <c r="G172" t="s">
        <v>6771</v>
      </c>
    </row>
    <row r="173">
      <c r="A173" t="s">
        <v>2605</v>
      </c>
      <c r="B173" t="s">
        <v>1372</v>
      </c>
      <c r="C173" t="s">
        <v>120</v>
      </c>
      <c r="F173" t="s">
        <v>2002</v>
      </c>
      <c r="G173" t="s">
        <v>6771</v>
      </c>
    </row>
    <row r="174">
      <c r="A174" t="s">
        <v>2608</v>
      </c>
      <c r="B174" t="s">
        <v>1383</v>
      </c>
      <c r="C174" t="s">
        <v>97</v>
      </c>
      <c r="D174" t="s">
        <v>2078</v>
      </c>
      <c r="E174" s="15" t="s">
        <v>6770</v>
      </c>
      <c r="F174" t="s">
        <v>2001</v>
      </c>
      <c r="G174" t="s">
        <v>6769</v>
      </c>
    </row>
    <row r="175">
      <c r="A175" t="s">
        <v>2611</v>
      </c>
      <c r="B175" t="s">
        <v>1390</v>
      </c>
      <c r="C175" t="s">
        <v>97</v>
      </c>
      <c r="D175" t="s">
        <v>2078</v>
      </c>
      <c r="E175" s="15" t="s">
        <v>6770</v>
      </c>
      <c r="F175" t="s">
        <v>2001</v>
      </c>
      <c r="G175" t="s">
        <v>6769</v>
      </c>
    </row>
    <row r="176">
      <c r="A176" t="s">
        <v>2614</v>
      </c>
      <c r="B176" t="s">
        <v>1396</v>
      </c>
      <c r="C176" t="s">
        <v>154</v>
      </c>
      <c r="F176" t="s">
        <v>2002</v>
      </c>
      <c r="G176" t="s">
        <v>6771</v>
      </c>
    </row>
    <row r="177">
      <c r="A177" t="s">
        <v>2617</v>
      </c>
      <c r="B177" t="s">
        <v>1402</v>
      </c>
      <c r="C177" t="s">
        <v>120</v>
      </c>
      <c r="F177" t="s">
        <v>2002</v>
      </c>
      <c r="G177" t="s">
        <v>6771</v>
      </c>
    </row>
    <row r="178">
      <c r="A178" t="s">
        <v>2620</v>
      </c>
      <c r="B178" t="s">
        <v>1410</v>
      </c>
      <c r="C178" t="s">
        <v>120</v>
      </c>
      <c r="F178" t="s">
        <v>2002</v>
      </c>
      <c r="G178" t="s">
        <v>6771</v>
      </c>
    </row>
    <row r="179">
      <c r="A179" t="s">
        <v>2623</v>
      </c>
      <c r="B179" t="s">
        <v>1420</v>
      </c>
      <c r="C179" t="s">
        <v>154</v>
      </c>
      <c r="F179" t="s">
        <v>2002</v>
      </c>
      <c r="G179" t="s">
        <v>6771</v>
      </c>
    </row>
    <row r="180">
      <c r="A180" t="s">
        <v>2626</v>
      </c>
      <c r="B180" t="s">
        <v>1428</v>
      </c>
      <c r="C180" t="s">
        <v>154</v>
      </c>
      <c r="F180" t="s">
        <v>2002</v>
      </c>
      <c r="G180" t="s">
        <v>6771</v>
      </c>
    </row>
    <row r="181">
      <c r="A181" t="s">
        <v>2628</v>
      </c>
      <c r="B181" t="s">
        <v>1435</v>
      </c>
      <c r="C181" t="s">
        <v>120</v>
      </c>
      <c r="F181" t="s">
        <v>2002</v>
      </c>
      <c r="G181" t="s">
        <v>6771</v>
      </c>
    </row>
    <row r="182">
      <c r="A182" t="s">
        <v>2631</v>
      </c>
      <c r="B182" t="s">
        <v>1440</v>
      </c>
      <c r="C182" t="s">
        <v>120</v>
      </c>
      <c r="F182" t="s">
        <v>2002</v>
      </c>
      <c r="G182" t="s">
        <v>6771</v>
      </c>
    </row>
    <row r="183">
      <c r="A183" t="s">
        <v>2634</v>
      </c>
      <c r="B183" t="s">
        <v>1445</v>
      </c>
      <c r="C183" t="s">
        <v>120</v>
      </c>
      <c r="F183" t="s">
        <v>2002</v>
      </c>
      <c r="G183" t="s">
        <v>6771</v>
      </c>
    </row>
    <row r="184">
      <c r="A184" t="s">
        <v>2637</v>
      </c>
      <c r="B184" t="s">
        <v>1455</v>
      </c>
      <c r="C184" t="s">
        <v>154</v>
      </c>
      <c r="F184" t="s">
        <v>2002</v>
      </c>
      <c r="G184" t="s">
        <v>6771</v>
      </c>
    </row>
    <row r="185">
      <c r="A185" t="s">
        <v>2640</v>
      </c>
      <c r="B185" t="s">
        <v>1463</v>
      </c>
      <c r="C185" t="s">
        <v>120</v>
      </c>
      <c r="F185" t="s">
        <v>2002</v>
      </c>
      <c r="G185" t="s">
        <v>6771</v>
      </c>
    </row>
    <row r="186">
      <c r="A186" t="s">
        <v>2643</v>
      </c>
      <c r="B186" t="s">
        <v>1468</v>
      </c>
      <c r="C186" t="s">
        <v>120</v>
      </c>
      <c r="F186" t="s">
        <v>2002</v>
      </c>
      <c r="G186" t="s">
        <v>6771</v>
      </c>
    </row>
    <row r="187">
      <c r="A187" t="s">
        <v>2646</v>
      </c>
      <c r="B187" t="s">
        <v>1473</v>
      </c>
      <c r="C187" t="s">
        <v>120</v>
      </c>
      <c r="F187" t="s">
        <v>2002</v>
      </c>
      <c r="G187" t="s">
        <v>6771</v>
      </c>
    </row>
    <row r="188">
      <c r="A188" t="s">
        <v>2649</v>
      </c>
      <c r="B188" t="s">
        <v>1481</v>
      </c>
      <c r="C188" t="s">
        <v>120</v>
      </c>
      <c r="F188" t="s">
        <v>2002</v>
      </c>
      <c r="G188" t="s">
        <v>6771</v>
      </c>
    </row>
    <row r="189">
      <c r="A189" t="s">
        <v>2652</v>
      </c>
      <c r="B189" t="s">
        <v>1489</v>
      </c>
      <c r="C189" t="s">
        <v>120</v>
      </c>
      <c r="F189" t="s">
        <v>2002</v>
      </c>
      <c r="G189" t="s">
        <v>6771</v>
      </c>
    </row>
    <row r="190">
      <c r="A190" t="s">
        <v>2655</v>
      </c>
      <c r="B190" t="s">
        <v>1497</v>
      </c>
      <c r="C190" t="s">
        <v>120</v>
      </c>
      <c r="F190" t="s">
        <v>2002</v>
      </c>
      <c r="G190" t="s">
        <v>6771</v>
      </c>
    </row>
    <row r="191">
      <c r="A191" t="s">
        <v>2658</v>
      </c>
      <c r="B191" t="s">
        <v>1502</v>
      </c>
      <c r="C191" t="s">
        <v>120</v>
      </c>
      <c r="F191" t="s">
        <v>2002</v>
      </c>
      <c r="G191" t="s">
        <v>6771</v>
      </c>
    </row>
    <row r="192">
      <c r="A192" t="s">
        <v>2661</v>
      </c>
      <c r="B192" t="s">
        <v>1509</v>
      </c>
      <c r="C192" t="s">
        <v>120</v>
      </c>
      <c r="F192" t="s">
        <v>2002</v>
      </c>
      <c r="G192" t="s">
        <v>6771</v>
      </c>
    </row>
    <row r="193">
      <c r="A193" t="s">
        <v>2664</v>
      </c>
      <c r="B193" t="s">
        <v>1515</v>
      </c>
      <c r="C193" t="s">
        <v>120</v>
      </c>
      <c r="F193" t="s">
        <v>2002</v>
      </c>
      <c r="G193" t="s">
        <v>6771</v>
      </c>
    </row>
    <row r="194">
      <c r="A194" t="s">
        <v>2667</v>
      </c>
      <c r="B194" t="s">
        <v>1524</v>
      </c>
      <c r="C194" t="s">
        <v>120</v>
      </c>
      <c r="F194" t="s">
        <v>2002</v>
      </c>
      <c r="G194" t="s">
        <v>6771</v>
      </c>
    </row>
    <row r="195">
      <c r="A195" t="s">
        <v>2671</v>
      </c>
      <c r="B195" t="s">
        <v>1532</v>
      </c>
      <c r="C195" t="s">
        <v>120</v>
      </c>
      <c r="F195" t="s">
        <v>2002</v>
      </c>
      <c r="G195" t="s">
        <v>6771</v>
      </c>
    </row>
    <row r="196">
      <c r="A196" t="s">
        <v>2674</v>
      </c>
      <c r="B196" t="s">
        <v>1539</v>
      </c>
      <c r="C196" t="s">
        <v>120</v>
      </c>
      <c r="F196" t="s">
        <v>2002</v>
      </c>
      <c r="G196" t="s">
        <v>6771</v>
      </c>
    </row>
    <row r="197">
      <c r="A197" t="s">
        <v>2677</v>
      </c>
      <c r="B197" t="s">
        <v>1547</v>
      </c>
      <c r="C197" t="s">
        <v>120</v>
      </c>
      <c r="F197" t="s">
        <v>2002</v>
      </c>
      <c r="G197" t="s">
        <v>6771</v>
      </c>
    </row>
    <row r="198">
      <c r="A198" t="s">
        <v>2680</v>
      </c>
      <c r="B198" t="s">
        <v>1555</v>
      </c>
      <c r="C198" t="s">
        <v>120</v>
      </c>
      <c r="F198" t="s">
        <v>2002</v>
      </c>
      <c r="G198" t="s">
        <v>6771</v>
      </c>
    </row>
    <row r="199">
      <c r="A199" t="s">
        <v>2683</v>
      </c>
      <c r="B199" t="s">
        <v>1566</v>
      </c>
      <c r="C199" t="s">
        <v>120</v>
      </c>
      <c r="F199" t="s">
        <v>2002</v>
      </c>
      <c r="G199" t="s">
        <v>6771</v>
      </c>
    </row>
    <row r="200">
      <c r="A200" t="s">
        <v>2686</v>
      </c>
      <c r="B200" t="s">
        <v>1532</v>
      </c>
      <c r="C200" t="s">
        <v>120</v>
      </c>
      <c r="F200" t="s">
        <v>2002</v>
      </c>
      <c r="G200" t="s">
        <v>6771</v>
      </c>
    </row>
    <row r="201">
      <c r="A201" t="s">
        <v>2689</v>
      </c>
      <c r="B201" t="s">
        <v>1578</v>
      </c>
      <c r="C201" t="s">
        <v>120</v>
      </c>
      <c r="F201" t="s">
        <v>2002</v>
      </c>
      <c r="G201" t="s">
        <v>6771</v>
      </c>
    </row>
    <row r="202">
      <c r="A202" t="s">
        <v>2692</v>
      </c>
      <c r="B202" t="s">
        <v>1586</v>
      </c>
      <c r="C202" t="s">
        <v>120</v>
      </c>
      <c r="F202" t="s">
        <v>2002</v>
      </c>
      <c r="G202" t="s">
        <v>6771</v>
      </c>
    </row>
    <row r="203">
      <c r="A203" t="s">
        <v>2695</v>
      </c>
      <c r="B203" t="s">
        <v>1596</v>
      </c>
      <c r="C203" t="s">
        <v>120</v>
      </c>
      <c r="F203" t="s">
        <v>2002</v>
      </c>
      <c r="G203" t="s">
        <v>6771</v>
      </c>
    </row>
    <row r="204">
      <c r="A204" t="s">
        <v>2698</v>
      </c>
      <c r="B204" t="s">
        <v>1604</v>
      </c>
      <c r="C204" t="s">
        <v>120</v>
      </c>
      <c r="F204" t="s">
        <v>2002</v>
      </c>
      <c r="G204" t="s">
        <v>6771</v>
      </c>
    </row>
    <row r="205">
      <c r="A205" t="s">
        <v>2701</v>
      </c>
      <c r="B205" t="s">
        <v>1612</v>
      </c>
      <c r="C205" t="s">
        <v>120</v>
      </c>
      <c r="F205" t="s">
        <v>2002</v>
      </c>
      <c r="G205" t="s">
        <v>6771</v>
      </c>
    </row>
    <row r="206">
      <c r="A206" t="s">
        <v>2704</v>
      </c>
      <c r="B206" t="s">
        <v>1620</v>
      </c>
      <c r="C206" t="s">
        <v>120</v>
      </c>
      <c r="F206" t="s">
        <v>2002</v>
      </c>
      <c r="G206" t="s">
        <v>6771</v>
      </c>
    </row>
    <row r="207">
      <c r="A207" t="s">
        <v>2707</v>
      </c>
      <c r="B207" t="s">
        <v>1632</v>
      </c>
      <c r="C207" t="s">
        <v>129</v>
      </c>
      <c r="D207" t="s">
        <v>2078</v>
      </c>
      <c r="E207" s="15" t="s">
        <v>161</v>
      </c>
      <c r="F207" t="s">
        <v>2001</v>
      </c>
      <c r="G207" t="s">
        <v>6769</v>
      </c>
    </row>
    <row r="208">
      <c r="A208" t="s">
        <v>2712</v>
      </c>
      <c r="B208" t="s">
        <v>1640</v>
      </c>
      <c r="C208" t="s">
        <v>97</v>
      </c>
      <c r="D208" t="s">
        <v>2078</v>
      </c>
      <c r="E208" s="15" t="s">
        <v>6770</v>
      </c>
      <c r="F208" t="s">
        <v>2001</v>
      </c>
      <c r="G208" t="s">
        <v>6769</v>
      </c>
    </row>
    <row r="209">
      <c r="A209" t="s">
        <v>2715</v>
      </c>
      <c r="B209" t="s">
        <v>1645</v>
      </c>
      <c r="C209" t="s">
        <v>97</v>
      </c>
      <c r="D209" t="s">
        <v>2078</v>
      </c>
      <c r="E209" s="15" t="s">
        <v>6770</v>
      </c>
      <c r="F209" t="s">
        <v>2001</v>
      </c>
      <c r="G209" t="s">
        <v>6769</v>
      </c>
    </row>
    <row r="210">
      <c r="A210" t="s">
        <v>2718</v>
      </c>
      <c r="B210" t="s">
        <v>1651</v>
      </c>
      <c r="C210" t="s">
        <v>129</v>
      </c>
      <c r="D210" t="s">
        <v>2078</v>
      </c>
      <c r="E210" s="15" t="s">
        <v>161</v>
      </c>
      <c r="F210" t="s">
        <v>2001</v>
      </c>
      <c r="G210" t="s">
        <v>6769</v>
      </c>
    </row>
    <row r="211">
      <c r="A211" t="s">
        <v>2721</v>
      </c>
      <c r="B211" t="s">
        <v>1657</v>
      </c>
      <c r="C211" t="s">
        <v>154</v>
      </c>
      <c r="F211" t="s">
        <v>2002</v>
      </c>
      <c r="G211" t="s">
        <v>6771</v>
      </c>
    </row>
    <row r="212">
      <c r="A212" t="s">
        <v>2724</v>
      </c>
      <c r="B212" t="s">
        <v>1663</v>
      </c>
      <c r="C212" t="s">
        <v>154</v>
      </c>
      <c r="F212" t="s">
        <v>2002</v>
      </c>
      <c r="G212" t="s">
        <v>6771</v>
      </c>
    </row>
    <row r="213">
      <c r="A213" t="s">
        <v>2727</v>
      </c>
      <c r="B213" t="s">
        <v>1671</v>
      </c>
      <c r="C213" t="s">
        <v>129</v>
      </c>
      <c r="D213" t="s">
        <v>2078</v>
      </c>
      <c r="E213" s="15" t="s">
        <v>161</v>
      </c>
      <c r="F213" t="s">
        <v>2001</v>
      </c>
      <c r="G213" t="s">
        <v>6769</v>
      </c>
    </row>
    <row r="214">
      <c r="A214" t="s">
        <v>2730</v>
      </c>
      <c r="B214" t="s">
        <v>1678</v>
      </c>
      <c r="C214" t="s">
        <v>97</v>
      </c>
      <c r="D214" t="s">
        <v>2078</v>
      </c>
      <c r="E214" s="15" t="s">
        <v>6770</v>
      </c>
      <c r="F214" t="s">
        <v>2001</v>
      </c>
      <c r="G214" t="s">
        <v>6769</v>
      </c>
    </row>
    <row r="215">
      <c r="A215" t="s">
        <v>2733</v>
      </c>
      <c r="B215" t="s">
        <v>1684</v>
      </c>
      <c r="C215" t="s">
        <v>154</v>
      </c>
      <c r="F215" t="s">
        <v>2002</v>
      </c>
      <c r="G215" t="s">
        <v>6771</v>
      </c>
    </row>
    <row r="216">
      <c r="A216" t="s">
        <v>2736</v>
      </c>
      <c r="B216" t="s">
        <v>1690</v>
      </c>
      <c r="C216" t="s">
        <v>154</v>
      </c>
      <c r="F216" t="s">
        <v>2002</v>
      </c>
      <c r="G216" t="s">
        <v>6771</v>
      </c>
    </row>
    <row r="217">
      <c r="A217" t="s">
        <v>2739</v>
      </c>
      <c r="B217" t="s">
        <v>1696</v>
      </c>
      <c r="C217" t="s">
        <v>154</v>
      </c>
      <c r="F217" t="s">
        <v>2002</v>
      </c>
      <c r="G217" t="s">
        <v>6771</v>
      </c>
    </row>
    <row r="218">
      <c r="A218" t="s">
        <v>2742</v>
      </c>
      <c r="B218" t="s">
        <v>1706</v>
      </c>
      <c r="C218" t="s">
        <v>154</v>
      </c>
      <c r="F218" t="s">
        <v>2002</v>
      </c>
      <c r="G218" t="s">
        <v>6771</v>
      </c>
    </row>
    <row r="219">
      <c r="A219" t="s">
        <v>2745</v>
      </c>
      <c r="B219" t="s">
        <v>1713</v>
      </c>
      <c r="C219" t="s">
        <v>154</v>
      </c>
      <c r="F219" t="s">
        <v>2002</v>
      </c>
      <c r="G219" t="s">
        <v>6771</v>
      </c>
    </row>
    <row r="220">
      <c r="A220" t="s">
        <v>2748</v>
      </c>
      <c r="B220" t="s">
        <v>1720</v>
      </c>
      <c r="C220" t="s">
        <v>120</v>
      </c>
      <c r="F220" t="s">
        <v>2002</v>
      </c>
      <c r="G220" t="s">
        <v>6771</v>
      </c>
    </row>
    <row r="221">
      <c r="A221" t="s">
        <v>2751</v>
      </c>
      <c r="B221" t="s">
        <v>1726</v>
      </c>
      <c r="C221" t="s">
        <v>120</v>
      </c>
      <c r="F221" t="s">
        <v>2002</v>
      </c>
      <c r="G221" t="s">
        <v>6771</v>
      </c>
    </row>
    <row r="222">
      <c r="A222" t="s">
        <v>2754</v>
      </c>
      <c r="B222" t="s">
        <v>1735</v>
      </c>
      <c r="C222" t="s">
        <v>129</v>
      </c>
      <c r="D222" t="s">
        <v>2078</v>
      </c>
      <c r="E222" s="15" t="s">
        <v>161</v>
      </c>
      <c r="F222" t="s">
        <v>2001</v>
      </c>
      <c r="G222" t="s">
        <v>6769</v>
      </c>
    </row>
    <row r="223">
      <c r="A223" t="s">
        <v>2757</v>
      </c>
      <c r="B223" t="s">
        <v>1743</v>
      </c>
      <c r="C223" t="s">
        <v>97</v>
      </c>
      <c r="D223" t="s">
        <v>2078</v>
      </c>
      <c r="E223" s="15" t="s">
        <v>6770</v>
      </c>
      <c r="F223" t="s">
        <v>2001</v>
      </c>
      <c r="G223" t="s">
        <v>6769</v>
      </c>
    </row>
    <row r="224">
      <c r="A224" t="s">
        <v>2760</v>
      </c>
      <c r="B224" t="s">
        <v>1750</v>
      </c>
      <c r="C224" t="s">
        <v>154</v>
      </c>
      <c r="F224" t="s">
        <v>2002</v>
      </c>
      <c r="G224" t="s">
        <v>6771</v>
      </c>
    </row>
    <row r="225">
      <c r="A225" t="s">
        <v>2763</v>
      </c>
      <c r="B225" t="s">
        <v>1756</v>
      </c>
      <c r="C225" t="s">
        <v>97</v>
      </c>
      <c r="D225" t="s">
        <v>2078</v>
      </c>
      <c r="E225" s="15" t="s">
        <v>6770</v>
      </c>
      <c r="F225" t="s">
        <v>2001</v>
      </c>
      <c r="G225" t="s">
        <v>6769</v>
      </c>
    </row>
    <row r="226">
      <c r="A226" t="s">
        <v>2766</v>
      </c>
      <c r="B226" t="s">
        <v>1762</v>
      </c>
      <c r="C226" t="s">
        <v>154</v>
      </c>
      <c r="F226" t="s">
        <v>2002</v>
      </c>
      <c r="G226" t="s">
        <v>6771</v>
      </c>
    </row>
    <row r="227">
      <c r="A227" t="s">
        <v>2769</v>
      </c>
      <c r="B227" t="s">
        <v>1768</v>
      </c>
      <c r="C227" t="s">
        <v>97</v>
      </c>
      <c r="D227" t="s">
        <v>2078</v>
      </c>
      <c r="E227" s="15" t="s">
        <v>6770</v>
      </c>
      <c r="F227" t="s">
        <v>2001</v>
      </c>
      <c r="G227" t="s">
        <v>6769</v>
      </c>
    </row>
    <row r="228">
      <c r="A228" t="s">
        <v>2772</v>
      </c>
      <c r="B228" t="s">
        <v>1777</v>
      </c>
      <c r="C228" t="s">
        <v>129</v>
      </c>
      <c r="D228" t="s">
        <v>2078</v>
      </c>
      <c r="E228" s="15" t="s">
        <v>161</v>
      </c>
      <c r="F228" t="s">
        <v>2001</v>
      </c>
      <c r="G228" t="s">
        <v>6769</v>
      </c>
    </row>
    <row r="229">
      <c r="A229" t="s">
        <v>2776</v>
      </c>
      <c r="B229" t="s">
        <v>1785</v>
      </c>
      <c r="C229" t="s">
        <v>154</v>
      </c>
      <c r="F229" t="s">
        <v>2002</v>
      </c>
      <c r="G229" t="s">
        <v>6771</v>
      </c>
    </row>
    <row r="230">
      <c r="A230" t="s">
        <v>2779</v>
      </c>
      <c r="B230" t="s">
        <v>1792</v>
      </c>
      <c r="C230" t="s">
        <v>154</v>
      </c>
      <c r="F230" t="s">
        <v>2002</v>
      </c>
      <c r="G230" t="s">
        <v>6771</v>
      </c>
    </row>
    <row r="231">
      <c r="A231" t="s">
        <v>2782</v>
      </c>
      <c r="B231" t="s">
        <v>1802</v>
      </c>
      <c r="C231" t="s">
        <v>154</v>
      </c>
      <c r="F231" t="s">
        <v>2002</v>
      </c>
      <c r="G231" t="s">
        <v>6771</v>
      </c>
    </row>
    <row r="232">
      <c r="A232" t="s">
        <v>2785</v>
      </c>
      <c r="B232" t="s">
        <v>1810</v>
      </c>
      <c r="C232" t="s">
        <v>120</v>
      </c>
      <c r="F232" t="s">
        <v>2002</v>
      </c>
      <c r="G232" t="s">
        <v>6771</v>
      </c>
    </row>
    <row r="233">
      <c r="A233" t="s">
        <v>2788</v>
      </c>
      <c r="B233" t="s">
        <v>1816</v>
      </c>
      <c r="C233" t="s">
        <v>120</v>
      </c>
      <c r="F233" t="s">
        <v>2002</v>
      </c>
      <c r="G233" t="s">
        <v>6771</v>
      </c>
    </row>
    <row r="234">
      <c r="A234" t="s">
        <v>2790</v>
      </c>
      <c r="B234" t="s">
        <v>1822</v>
      </c>
      <c r="C234" t="s">
        <v>120</v>
      </c>
      <c r="F234" t="s">
        <v>2002</v>
      </c>
      <c r="G234" t="s">
        <v>6771</v>
      </c>
    </row>
    <row r="235">
      <c r="A235" t="s">
        <v>2793</v>
      </c>
      <c r="B235" t="s">
        <v>1829</v>
      </c>
      <c r="C235" t="s">
        <v>120</v>
      </c>
      <c r="F235" t="s">
        <v>2002</v>
      </c>
      <c r="G235" t="s">
        <v>6771</v>
      </c>
    </row>
    <row r="236">
      <c r="A236" t="s">
        <v>2796</v>
      </c>
      <c r="B236" t="s">
        <v>1836</v>
      </c>
      <c r="C236" t="s">
        <v>120</v>
      </c>
      <c r="F236" t="s">
        <v>2002</v>
      </c>
      <c r="G236" t="s">
        <v>6771</v>
      </c>
    </row>
    <row r="237">
      <c r="A237" t="s">
        <v>2799</v>
      </c>
      <c r="B237" t="s">
        <v>1847</v>
      </c>
      <c r="C237" t="s">
        <v>120</v>
      </c>
      <c r="F237" t="s">
        <v>2002</v>
      </c>
      <c r="G237" t="s">
        <v>6771</v>
      </c>
    </row>
    <row r="238">
      <c r="A238" t="s">
        <v>2802</v>
      </c>
      <c r="B238" t="s">
        <v>1855</v>
      </c>
      <c r="C238" t="s">
        <v>120</v>
      </c>
      <c r="F238" t="s">
        <v>2002</v>
      </c>
      <c r="G238" t="s">
        <v>6771</v>
      </c>
    </row>
    <row r="239">
      <c r="A239" t="s">
        <v>2804</v>
      </c>
      <c r="B239" t="s">
        <v>1861</v>
      </c>
      <c r="C239" t="s">
        <v>120</v>
      </c>
      <c r="F239" t="s">
        <v>2002</v>
      </c>
      <c r="G239" t="s">
        <v>6771</v>
      </c>
    </row>
    <row r="240">
      <c r="A240" t="s">
        <v>2806</v>
      </c>
      <c r="B240" t="s">
        <v>1868</v>
      </c>
      <c r="C240" t="s">
        <v>120</v>
      </c>
      <c r="F240" t="s">
        <v>2002</v>
      </c>
      <c r="G240" t="s">
        <v>6771</v>
      </c>
    </row>
    <row r="241">
      <c r="A241" t="s">
        <v>2809</v>
      </c>
      <c r="B241" t="s">
        <v>1877</v>
      </c>
      <c r="C241" t="s">
        <v>120</v>
      </c>
      <c r="F241" t="s">
        <v>2002</v>
      </c>
      <c r="G241" t="s">
        <v>6771</v>
      </c>
    </row>
    <row r="242">
      <c r="A242" t="s">
        <v>2812</v>
      </c>
      <c r="B242" t="s">
        <v>1885</v>
      </c>
      <c r="C242" t="s">
        <v>120</v>
      </c>
      <c r="F242" t="s">
        <v>2002</v>
      </c>
      <c r="G242" t="s">
        <v>6771</v>
      </c>
    </row>
    <row r="243">
      <c r="A243" t="s">
        <v>2814</v>
      </c>
      <c r="B243" t="s">
        <v>1890</v>
      </c>
      <c r="C243" t="s">
        <v>120</v>
      </c>
      <c r="F243" t="s">
        <v>2002</v>
      </c>
      <c r="G243" t="s">
        <v>6771</v>
      </c>
    </row>
    <row r="244">
      <c r="A244" t="s">
        <v>2816</v>
      </c>
      <c r="B244" t="s">
        <v>1897</v>
      </c>
      <c r="C244" t="s">
        <v>120</v>
      </c>
      <c r="F244" t="s">
        <v>2002</v>
      </c>
      <c r="G244" t="s">
        <v>6771</v>
      </c>
    </row>
    <row r="245">
      <c r="A245" t="s">
        <v>2819</v>
      </c>
      <c r="B245" t="s">
        <v>1905</v>
      </c>
      <c r="C245" t="s">
        <v>120</v>
      </c>
      <c r="F245" t="s">
        <v>2002</v>
      </c>
      <c r="G245" t="s">
        <v>6771</v>
      </c>
    </row>
    <row r="246">
      <c r="A246" t="s">
        <v>2821</v>
      </c>
      <c r="B246" t="s">
        <v>1916</v>
      </c>
      <c r="C246" t="s">
        <v>154</v>
      </c>
      <c r="F246" t="s">
        <v>2002</v>
      </c>
      <c r="G246" t="s">
        <v>6771</v>
      </c>
    </row>
    <row r="247">
      <c r="A247" t="s">
        <v>2823</v>
      </c>
      <c r="B247" t="s">
        <v>1924</v>
      </c>
      <c r="C247" t="s">
        <v>120</v>
      </c>
      <c r="F247" t="s">
        <v>2002</v>
      </c>
      <c r="G247" t="s">
        <v>6771</v>
      </c>
    </row>
    <row r="248">
      <c r="A248" t="s">
        <v>2826</v>
      </c>
      <c r="B248" t="s">
        <v>1932</v>
      </c>
      <c r="C248" t="s">
        <v>120</v>
      </c>
      <c r="F248" t="s">
        <v>2002</v>
      </c>
      <c r="G248" t="s">
        <v>6771</v>
      </c>
    </row>
    <row r="249">
      <c r="A249" t="s">
        <v>2830</v>
      </c>
      <c r="B249" t="s">
        <v>1942</v>
      </c>
      <c r="C249" t="s">
        <v>154</v>
      </c>
      <c r="F249" t="s">
        <v>2002</v>
      </c>
      <c r="G249" t="s">
        <v>6771</v>
      </c>
    </row>
    <row r="250">
      <c r="A250" t="s">
        <v>2835</v>
      </c>
      <c r="B250" t="s">
        <v>1949</v>
      </c>
      <c r="C250" t="s">
        <v>154</v>
      </c>
      <c r="F250" t="s">
        <v>2002</v>
      </c>
      <c r="G250" t="s">
        <v>6771</v>
      </c>
    </row>
    <row r="251">
      <c r="A251" t="s">
        <v>2837</v>
      </c>
      <c r="B251" t="s">
        <v>1955</v>
      </c>
      <c r="C251" t="s">
        <v>120</v>
      </c>
      <c r="F251" t="s">
        <v>2002</v>
      </c>
      <c r="G251" t="s">
        <v>6771</v>
      </c>
    </row>
    <row r="252">
      <c r="A252" t="s">
        <v>2839</v>
      </c>
      <c r="B252" t="s">
        <v>2843</v>
      </c>
      <c r="C252" t="s">
        <v>129</v>
      </c>
      <c r="D252" t="s">
        <v>2078</v>
      </c>
      <c r="E252" s="15" t="s">
        <v>161</v>
      </c>
      <c r="F252" t="s">
        <v>2001</v>
      </c>
      <c r="G252" t="s">
        <v>6769</v>
      </c>
    </row>
    <row r="253">
      <c r="A253" t="s">
        <v>2857</v>
      </c>
      <c r="B253" t="s">
        <v>2861</v>
      </c>
      <c r="C253" t="s">
        <v>129</v>
      </c>
      <c r="D253" t="s">
        <v>2078</v>
      </c>
      <c r="E253" s="15" t="s">
        <v>161</v>
      </c>
      <c r="F253" t="s">
        <v>2001</v>
      </c>
      <c r="G253" t="s">
        <v>6769</v>
      </c>
    </row>
    <row r="254">
      <c r="A254" t="s">
        <v>2871</v>
      </c>
      <c r="B254" t="s">
        <v>2872</v>
      </c>
      <c r="C254" t="s">
        <v>129</v>
      </c>
      <c r="D254" t="s">
        <v>2078</v>
      </c>
      <c r="E254" s="15" t="s">
        <v>161</v>
      </c>
      <c r="F254" t="s">
        <v>2001</v>
      </c>
      <c r="G254" t="s">
        <v>6769</v>
      </c>
    </row>
    <row r="255">
      <c r="A255" t="s">
        <v>2877</v>
      </c>
      <c r="B255" t="s">
        <v>2878</v>
      </c>
      <c r="C255" t="s">
        <v>129</v>
      </c>
      <c r="D255" t="s">
        <v>2078</v>
      </c>
      <c r="E255" s="15" t="s">
        <v>161</v>
      </c>
      <c r="F255" t="s">
        <v>2001</v>
      </c>
      <c r="G255" t="s">
        <v>6769</v>
      </c>
    </row>
    <row r="256">
      <c r="A256" t="s">
        <v>2883</v>
      </c>
      <c r="B256" t="s">
        <v>2884</v>
      </c>
      <c r="C256" t="s">
        <v>129</v>
      </c>
      <c r="D256" t="s">
        <v>2078</v>
      </c>
      <c r="E256" s="15" t="s">
        <v>161</v>
      </c>
      <c r="F256" t="s">
        <v>2001</v>
      </c>
      <c r="G256" t="s">
        <v>6769</v>
      </c>
    </row>
    <row r="257">
      <c r="A257" t="s">
        <v>2889</v>
      </c>
      <c r="B257" t="s">
        <v>2890</v>
      </c>
      <c r="C257" t="s">
        <v>129</v>
      </c>
      <c r="D257" t="s">
        <v>2078</v>
      </c>
      <c r="E257" s="15" t="s">
        <v>161</v>
      </c>
      <c r="F257" t="s">
        <v>2001</v>
      </c>
      <c r="G257" t="s">
        <v>6769</v>
      </c>
    </row>
    <row r="258">
      <c r="A258" t="s">
        <v>2894</v>
      </c>
      <c r="B258" t="s">
        <v>2895</v>
      </c>
      <c r="C258" t="s">
        <v>129</v>
      </c>
      <c r="D258" t="s">
        <v>2078</v>
      </c>
      <c r="E258" s="15" t="s">
        <v>161</v>
      </c>
      <c r="F258" t="s">
        <v>2001</v>
      </c>
      <c r="G258" t="s">
        <v>6769</v>
      </c>
    </row>
    <row r="259">
      <c r="A259" t="s">
        <v>2900</v>
      </c>
      <c r="B259" t="s">
        <v>2901</v>
      </c>
      <c r="C259" t="s">
        <v>129</v>
      </c>
      <c r="D259" t="s">
        <v>2078</v>
      </c>
      <c r="E259" s="15" t="s">
        <v>161</v>
      </c>
      <c r="F259" t="s">
        <v>2001</v>
      </c>
      <c r="G259" t="s">
        <v>6769</v>
      </c>
    </row>
    <row r="260">
      <c r="A260" t="s">
        <v>2906</v>
      </c>
      <c r="B260" t="s">
        <v>2907</v>
      </c>
      <c r="C260" t="s">
        <v>129</v>
      </c>
      <c r="D260" t="s">
        <v>2078</v>
      </c>
      <c r="E260" s="15" t="s">
        <v>161</v>
      </c>
      <c r="F260" t="s">
        <v>2001</v>
      </c>
      <c r="G260" t="s">
        <v>6769</v>
      </c>
    </row>
    <row r="261">
      <c r="A261" t="s">
        <v>2912</v>
      </c>
      <c r="B261" t="s">
        <v>2913</v>
      </c>
      <c r="C261" t="s">
        <v>129</v>
      </c>
      <c r="D261" t="s">
        <v>2078</v>
      </c>
      <c r="E261" s="15" t="s">
        <v>161</v>
      </c>
      <c r="F261" t="s">
        <v>2001</v>
      </c>
      <c r="G261" t="s">
        <v>6769</v>
      </c>
    </row>
    <row r="262">
      <c r="A262" t="s">
        <v>2918</v>
      </c>
      <c r="B262" t="s">
        <v>2919</v>
      </c>
      <c r="C262" t="s">
        <v>129</v>
      </c>
      <c r="D262" t="s">
        <v>2077</v>
      </c>
      <c r="E262" s="15" t="s">
        <v>161</v>
      </c>
      <c r="F262" t="s">
        <v>2001</v>
      </c>
      <c r="G262" t="s">
        <v>6769</v>
      </c>
    </row>
    <row r="263">
      <c r="A263" t="s">
        <v>2925</v>
      </c>
      <c r="B263" t="s">
        <v>2929</v>
      </c>
      <c r="C263" t="s">
        <v>129</v>
      </c>
      <c r="D263" t="s">
        <v>2077</v>
      </c>
      <c r="E263" s="15" t="s">
        <v>161</v>
      </c>
      <c r="F263" t="s">
        <v>2001</v>
      </c>
      <c r="G263" t="s">
        <v>6769</v>
      </c>
    </row>
    <row r="264">
      <c r="A264" t="s">
        <v>2940</v>
      </c>
      <c r="B264" t="s">
        <v>2941</v>
      </c>
      <c r="C264" t="s">
        <v>129</v>
      </c>
      <c r="D264" t="s">
        <v>2078</v>
      </c>
      <c r="E264" s="15" t="s">
        <v>161</v>
      </c>
      <c r="F264" t="s">
        <v>2001</v>
      </c>
      <c r="G264" t="s">
        <v>6769</v>
      </c>
    </row>
    <row r="265">
      <c r="A265" t="s">
        <v>2945</v>
      </c>
      <c r="B265" t="s">
        <v>2946</v>
      </c>
      <c r="C265" t="s">
        <v>129</v>
      </c>
      <c r="D265" t="s">
        <v>2078</v>
      </c>
      <c r="E265" s="15" t="s">
        <v>161</v>
      </c>
      <c r="F265" t="s">
        <v>2001</v>
      </c>
      <c r="G265" t="s">
        <v>6769</v>
      </c>
    </row>
    <row r="266">
      <c r="A266" t="s">
        <v>2948</v>
      </c>
      <c r="B266" t="s">
        <v>2949</v>
      </c>
      <c r="C266" t="s">
        <v>129</v>
      </c>
      <c r="D266" t="s">
        <v>2078</v>
      </c>
      <c r="E266" s="15" t="s">
        <v>161</v>
      </c>
      <c r="F266" t="s">
        <v>2001</v>
      </c>
      <c r="G266" t="s">
        <v>6769</v>
      </c>
    </row>
    <row r="267">
      <c r="A267" t="s">
        <v>2954</v>
      </c>
      <c r="B267" t="s">
        <v>2955</v>
      </c>
      <c r="C267" t="s">
        <v>129</v>
      </c>
      <c r="D267" t="s">
        <v>2078</v>
      </c>
      <c r="E267" s="15" t="s">
        <v>161</v>
      </c>
      <c r="F267" t="s">
        <v>2001</v>
      </c>
      <c r="G267" t="s">
        <v>6769</v>
      </c>
    </row>
    <row r="268">
      <c r="A268" t="s">
        <v>2960</v>
      </c>
      <c r="B268" t="s">
        <v>2961</v>
      </c>
      <c r="C268" t="s">
        <v>129</v>
      </c>
      <c r="D268" t="s">
        <v>2078</v>
      </c>
      <c r="E268" s="15" t="s">
        <v>161</v>
      </c>
      <c r="F268" t="s">
        <v>2001</v>
      </c>
      <c r="G268" t="s">
        <v>6769</v>
      </c>
    </row>
    <row r="269">
      <c r="A269" t="s">
        <v>2966</v>
      </c>
      <c r="B269" t="s">
        <v>2967</v>
      </c>
      <c r="C269" t="s">
        <v>129</v>
      </c>
      <c r="D269" t="s">
        <v>2078</v>
      </c>
      <c r="E269" s="15" t="s">
        <v>161</v>
      </c>
      <c r="F269" t="s">
        <v>2001</v>
      </c>
      <c r="G269" t="s">
        <v>6769</v>
      </c>
    </row>
    <row r="270">
      <c r="A270" t="s">
        <v>2970</v>
      </c>
      <c r="B270" t="s">
        <v>2971</v>
      </c>
      <c r="C270" t="s">
        <v>129</v>
      </c>
      <c r="D270" t="s">
        <v>2078</v>
      </c>
      <c r="E270" s="15" t="s">
        <v>161</v>
      </c>
      <c r="F270" t="s">
        <v>2001</v>
      </c>
      <c r="G270" t="s">
        <v>6769</v>
      </c>
    </row>
    <row r="271">
      <c r="A271" t="s">
        <v>2976</v>
      </c>
      <c r="B271" t="s">
        <v>2977</v>
      </c>
      <c r="C271" t="s">
        <v>129</v>
      </c>
      <c r="D271" t="s">
        <v>2078</v>
      </c>
      <c r="E271" s="15" t="s">
        <v>161</v>
      </c>
      <c r="F271" t="s">
        <v>2001</v>
      </c>
      <c r="G271" t="s">
        <v>6769</v>
      </c>
    </row>
    <row r="272">
      <c r="A272" t="s">
        <v>2982</v>
      </c>
      <c r="B272" t="s">
        <v>2983</v>
      </c>
      <c r="C272" t="s">
        <v>129</v>
      </c>
      <c r="D272" t="s">
        <v>2078</v>
      </c>
      <c r="E272" s="15" t="s">
        <v>161</v>
      </c>
      <c r="F272" t="s">
        <v>2001</v>
      </c>
      <c r="G272" t="s">
        <v>6769</v>
      </c>
    </row>
    <row r="273">
      <c r="A273" t="s">
        <v>2988</v>
      </c>
      <c r="B273" t="s">
        <v>2989</v>
      </c>
      <c r="C273" t="s">
        <v>129</v>
      </c>
      <c r="D273" t="s">
        <v>2078</v>
      </c>
      <c r="E273" s="15" t="s">
        <v>161</v>
      </c>
      <c r="F273" t="s">
        <v>2001</v>
      </c>
      <c r="G273" t="s">
        <v>6769</v>
      </c>
    </row>
    <row r="274">
      <c r="A274" t="s">
        <v>2994</v>
      </c>
      <c r="B274" t="s">
        <v>2995</v>
      </c>
      <c r="C274" t="s">
        <v>129</v>
      </c>
      <c r="D274" t="s">
        <v>2078</v>
      </c>
      <c r="E274" s="15" t="s">
        <v>161</v>
      </c>
      <c r="F274" t="s">
        <v>2001</v>
      </c>
      <c r="G274" t="s">
        <v>6769</v>
      </c>
    </row>
    <row r="275">
      <c r="A275" t="s">
        <v>2998</v>
      </c>
      <c r="B275" t="s">
        <v>2999</v>
      </c>
      <c r="C275" t="s">
        <v>129</v>
      </c>
      <c r="D275" t="s">
        <v>2078</v>
      </c>
      <c r="E275" s="15" t="s">
        <v>161</v>
      </c>
      <c r="F275" t="s">
        <v>2001</v>
      </c>
      <c r="G275" t="s">
        <v>6769</v>
      </c>
    </row>
    <row r="276">
      <c r="A276" t="s">
        <v>3004</v>
      </c>
      <c r="B276" t="s">
        <v>3005</v>
      </c>
      <c r="C276" t="s">
        <v>129</v>
      </c>
      <c r="D276" t="s">
        <v>2078</v>
      </c>
      <c r="E276" s="15" t="s">
        <v>161</v>
      </c>
      <c r="F276" t="s">
        <v>2001</v>
      </c>
      <c r="G276" t="s">
        <v>6769</v>
      </c>
    </row>
    <row r="277">
      <c r="A277" t="s">
        <v>3010</v>
      </c>
      <c r="B277" t="s">
        <v>3011</v>
      </c>
      <c r="C277" t="s">
        <v>129</v>
      </c>
      <c r="D277" t="s">
        <v>2078</v>
      </c>
      <c r="E277" s="15" t="s">
        <v>161</v>
      </c>
      <c r="F277" t="s">
        <v>2001</v>
      </c>
      <c r="G277" t="s">
        <v>6769</v>
      </c>
    </row>
    <row r="278">
      <c r="A278" t="s">
        <v>3015</v>
      </c>
      <c r="B278" t="s">
        <v>3016</v>
      </c>
      <c r="C278" t="s">
        <v>129</v>
      </c>
      <c r="D278" t="s">
        <v>2078</v>
      </c>
      <c r="E278" s="15" t="s">
        <v>161</v>
      </c>
      <c r="F278" t="s">
        <v>2001</v>
      </c>
      <c r="G278" t="s">
        <v>6769</v>
      </c>
    </row>
    <row r="279">
      <c r="A279" t="s">
        <v>3019</v>
      </c>
      <c r="B279" t="s">
        <v>3020</v>
      </c>
      <c r="C279" t="s">
        <v>129</v>
      </c>
      <c r="D279" t="s">
        <v>2078</v>
      </c>
      <c r="E279" s="15" t="s">
        <v>161</v>
      </c>
      <c r="F279" t="s">
        <v>2001</v>
      </c>
      <c r="G279" t="s">
        <v>6769</v>
      </c>
    </row>
    <row r="280">
      <c r="A280" t="s">
        <v>3025</v>
      </c>
      <c r="B280" t="s">
        <v>3028</v>
      </c>
      <c r="C280" t="s">
        <v>154</v>
      </c>
      <c r="E280" t="s">
        <v>6772</v>
      </c>
      <c r="F280" t="s">
        <v>2002</v>
      </c>
      <c r="G280" t="s">
        <v>6771</v>
      </c>
    </row>
    <row r="281">
      <c r="A281" t="s">
        <v>3042</v>
      </c>
      <c r="B281" t="s">
        <v>3044</v>
      </c>
      <c r="C281" t="s">
        <v>154</v>
      </c>
      <c r="E281" t="s">
        <v>6772</v>
      </c>
      <c r="F281" t="s">
        <v>2002</v>
      </c>
      <c r="G281" t="s">
        <v>6771</v>
      </c>
    </row>
    <row r="282">
      <c r="A282" t="s">
        <v>3055</v>
      </c>
      <c r="B282" t="s">
        <v>3057</v>
      </c>
      <c r="C282" t="s">
        <v>120</v>
      </c>
      <c r="E282" t="s">
        <v>6773</v>
      </c>
      <c r="F282" t="s">
        <v>2002</v>
      </c>
      <c r="G282" t="s">
        <v>6771</v>
      </c>
    </row>
    <row r="283">
      <c r="A283" t="s">
        <v>3069</v>
      </c>
      <c r="B283" t="s">
        <v>3072</v>
      </c>
      <c r="C283" t="s">
        <v>120</v>
      </c>
      <c r="E283" t="s">
        <v>3085</v>
      </c>
      <c r="F283" t="s">
        <v>2002</v>
      </c>
      <c r="G283" t="s">
        <v>6771</v>
      </c>
    </row>
    <row r="284">
      <c r="A284" t="s">
        <v>3086</v>
      </c>
      <c r="B284" t="s">
        <v>3088</v>
      </c>
      <c r="C284" t="s">
        <v>120</v>
      </c>
      <c r="E284" t="s">
        <v>3085</v>
      </c>
      <c r="F284" t="s">
        <v>2002</v>
      </c>
      <c r="G284" t="s">
        <v>6771</v>
      </c>
    </row>
    <row r="285">
      <c r="A285" t="s">
        <v>3099</v>
      </c>
      <c r="B285" t="s">
        <v>3101</v>
      </c>
      <c r="C285" t="s">
        <v>120</v>
      </c>
      <c r="E285" t="s">
        <v>3085</v>
      </c>
      <c r="F285" t="s">
        <v>2002</v>
      </c>
      <c r="G285" t="s">
        <v>6771</v>
      </c>
    </row>
    <row r="286" ht="196">
      <c r="A286" s="10" t="s">
        <v>3112</v>
      </c>
      <c r="B286" s="10" t="s">
        <v>3115</v>
      </c>
      <c r="C286" s="10" t="s">
        <v>129</v>
      </c>
      <c r="D286" s="10" t="s">
        <v>2077</v>
      </c>
      <c r="E286" s="10" t="s">
        <v>161</v>
      </c>
      <c r="F286" s="10" t="s">
        <v>2001</v>
      </c>
      <c r="G286" s="10" t="s">
        <v>6774</v>
      </c>
    </row>
    <row r="287">
      <c r="A287" t="s">
        <v>3124</v>
      </c>
      <c r="B287" t="s">
        <v>3125</v>
      </c>
      <c r="C287" t="s">
        <v>129</v>
      </c>
      <c r="D287" t="s">
        <v>2077</v>
      </c>
      <c r="E287" t="s">
        <v>161</v>
      </c>
      <c r="F287" t="s">
        <v>2001</v>
      </c>
      <c r="G287" t="s">
        <v>6775</v>
      </c>
    </row>
    <row r="288">
      <c r="A288" t="s">
        <v>3135</v>
      </c>
      <c r="B288" t="s">
        <v>3138</v>
      </c>
      <c r="C288" t="s">
        <v>97</v>
      </c>
      <c r="D288" t="s">
        <v>2078</v>
      </c>
      <c r="E288" t="s">
        <v>161</v>
      </c>
      <c r="F288" t="s">
        <v>2001</v>
      </c>
      <c r="G288" t="s">
        <v>6776</v>
      </c>
    </row>
    <row r="289">
      <c r="A289" t="s">
        <v>3147</v>
      </c>
      <c r="B289" t="s">
        <v>3148</v>
      </c>
      <c r="C289" t="s">
        <v>97</v>
      </c>
      <c r="D289" t="s">
        <v>2078</v>
      </c>
      <c r="E289" t="s">
        <v>161</v>
      </c>
      <c r="F289" t="s">
        <v>2001</v>
      </c>
      <c r="G289" t="s">
        <v>6777</v>
      </c>
    </row>
    <row r="290">
      <c r="A290" t="s">
        <v>3162</v>
      </c>
      <c r="B290" t="s">
        <v>3164</v>
      </c>
      <c r="C290" t="s">
        <v>154</v>
      </c>
      <c r="D290" t="s">
        <v>2078</v>
      </c>
      <c r="E290" t="s">
        <v>3176</v>
      </c>
      <c r="F290" t="s">
        <v>2002</v>
      </c>
      <c r="G290" t="s">
        <v>6778</v>
      </c>
    </row>
    <row r="291">
      <c r="A291" t="s">
        <v>3179</v>
      </c>
      <c r="B291" t="s">
        <v>3183</v>
      </c>
      <c r="C291" t="s">
        <v>154</v>
      </c>
      <c r="D291" t="s">
        <v>2078</v>
      </c>
      <c r="E291" t="s">
        <v>3196</v>
      </c>
      <c r="F291" t="s">
        <v>2002</v>
      </c>
      <c r="G291" t="s">
        <v>6778</v>
      </c>
    </row>
    <row r="292">
      <c r="A292" t="s">
        <v>3200</v>
      </c>
      <c r="B292" t="s">
        <v>3202</v>
      </c>
      <c r="C292" t="s">
        <v>154</v>
      </c>
      <c r="D292" t="s">
        <v>2078</v>
      </c>
      <c r="E292" t="s">
        <v>3176</v>
      </c>
      <c r="F292" t="s">
        <v>2002</v>
      </c>
      <c r="G292" t="s">
        <v>6778</v>
      </c>
    </row>
    <row r="293">
      <c r="A293" t="s">
        <v>3216</v>
      </c>
      <c r="B293" t="s">
        <v>3219</v>
      </c>
      <c r="C293" t="s">
        <v>97</v>
      </c>
      <c r="D293" t="s">
        <v>2078</v>
      </c>
      <c r="E293" t="s">
        <v>3230</v>
      </c>
      <c r="F293" t="s">
        <v>2001</v>
      </c>
      <c r="G293" t="s">
        <v>6779</v>
      </c>
    </row>
    <row r="294">
      <c r="A294" t="s">
        <v>3234</v>
      </c>
      <c r="B294" t="s">
        <v>3236</v>
      </c>
      <c r="C294" t="s">
        <v>154</v>
      </c>
      <c r="D294" t="s">
        <v>2078</v>
      </c>
      <c r="E294" t="s">
        <v>3244</v>
      </c>
      <c r="F294" t="s">
        <v>2002</v>
      </c>
      <c r="G294" t="s">
        <v>6780</v>
      </c>
    </row>
    <row r="295">
      <c r="A295" t="s">
        <v>3248</v>
      </c>
      <c r="B295" t="s">
        <v>3250</v>
      </c>
      <c r="C295" t="s">
        <v>154</v>
      </c>
      <c r="D295" t="s">
        <v>2078</v>
      </c>
      <c r="E295" t="s">
        <v>3244</v>
      </c>
      <c r="F295" t="s">
        <v>2002</v>
      </c>
      <c r="G295" t="s">
        <v>6781</v>
      </c>
    </row>
    <row r="296">
      <c r="A296" t="s">
        <v>3264</v>
      </c>
      <c r="B296" t="s">
        <v>3266</v>
      </c>
      <c r="C296" t="s">
        <v>154</v>
      </c>
      <c r="D296" t="s">
        <v>2078</v>
      </c>
      <c r="E296" t="s">
        <v>3276</v>
      </c>
      <c r="F296" t="s">
        <v>2002</v>
      </c>
      <c r="G296" t="s">
        <v>6782</v>
      </c>
    </row>
    <row r="297">
      <c r="A297" t="s">
        <v>3280</v>
      </c>
      <c r="B297" t="s">
        <v>3282</v>
      </c>
      <c r="C297" t="s">
        <v>97</v>
      </c>
      <c r="D297" t="s">
        <v>2078</v>
      </c>
      <c r="E297" t="s">
        <v>3230</v>
      </c>
      <c r="F297" t="s">
        <v>2001</v>
      </c>
      <c r="G297" t="s">
        <v>6783</v>
      </c>
    </row>
    <row r="298" ht="140">
      <c r="A298" s="28" t="s">
        <v>3295</v>
      </c>
      <c r="B298" s="25" t="s">
        <v>3298</v>
      </c>
      <c r="C298" s="25" t="s">
        <v>97</v>
      </c>
      <c r="D298" s="25" t="s">
        <v>2078</v>
      </c>
      <c r="E298" s="25" t="s">
        <v>2854</v>
      </c>
      <c r="F298" s="25" t="s">
        <v>2001</v>
      </c>
      <c r="G298" s="25" t="s">
        <v>6784</v>
      </c>
    </row>
    <row r="299" ht="140">
      <c r="A299" s="28" t="s">
        <v>3308</v>
      </c>
      <c r="B299" s="25" t="s">
        <v>3310</v>
      </c>
      <c r="C299" s="25" t="s">
        <v>97</v>
      </c>
      <c r="D299" s="25" t="s">
        <v>2078</v>
      </c>
      <c r="E299" s="25" t="s">
        <v>2854</v>
      </c>
      <c r="F299" s="25" t="s">
        <v>2001</v>
      </c>
      <c r="G299" s="25" t="s">
        <v>6784</v>
      </c>
    </row>
    <row r="300" ht="140">
      <c r="A300" s="28" t="s">
        <v>3319</v>
      </c>
      <c r="B300" s="25" t="s">
        <v>3320</v>
      </c>
      <c r="C300" s="25" t="s">
        <v>97</v>
      </c>
      <c r="D300" s="25" t="s">
        <v>2078</v>
      </c>
      <c r="E300" s="25" t="s">
        <v>2854</v>
      </c>
      <c r="F300" s="25" t="s">
        <v>2001</v>
      </c>
      <c r="G300" s="25" t="s">
        <v>6784</v>
      </c>
    </row>
    <row r="301" ht="112">
      <c r="A301" s="28" t="s">
        <v>3329</v>
      </c>
      <c r="B301" s="25" t="s">
        <v>3332</v>
      </c>
      <c r="C301" s="25" t="s">
        <v>120</v>
      </c>
      <c r="D301" s="25" t="s">
        <v>2078</v>
      </c>
      <c r="E301" s="25" t="s">
        <v>3040</v>
      </c>
      <c r="F301" s="25" t="s">
        <v>2002</v>
      </c>
      <c r="G301" s="25" t="s">
        <v>6785</v>
      </c>
    </row>
    <row r="302" ht="112">
      <c r="A302" s="28" t="s">
        <v>3344</v>
      </c>
      <c r="B302" s="25" t="s">
        <v>3345</v>
      </c>
      <c r="C302" s="25" t="s">
        <v>120</v>
      </c>
      <c r="D302" s="25" t="s">
        <v>2078</v>
      </c>
      <c r="E302" s="25" t="s">
        <v>3040</v>
      </c>
      <c r="F302" s="25" t="s">
        <v>2002</v>
      </c>
      <c r="G302" s="25" t="s">
        <v>6785</v>
      </c>
    </row>
    <row r="303" ht="112">
      <c r="A303" s="28" t="s">
        <v>3356</v>
      </c>
      <c r="B303" s="25" t="s">
        <v>3357</v>
      </c>
      <c r="C303" s="25" t="s">
        <v>120</v>
      </c>
      <c r="D303" s="25" t="s">
        <v>2078</v>
      </c>
      <c r="E303" s="25" t="s">
        <v>3040</v>
      </c>
      <c r="F303" s="25" t="s">
        <v>2002</v>
      </c>
      <c r="G303" s="25" t="s">
        <v>6785</v>
      </c>
    </row>
    <row r="304" ht="140">
      <c r="A304" s="28" t="s">
        <v>3366</v>
      </c>
      <c r="B304" s="25" t="s">
        <v>3367</v>
      </c>
      <c r="C304" s="25" t="s">
        <v>97</v>
      </c>
      <c r="D304" s="25" t="s">
        <v>2078</v>
      </c>
      <c r="E304" s="25" t="s">
        <v>2854</v>
      </c>
      <c r="F304" s="25" t="s">
        <v>2001</v>
      </c>
      <c r="G304" s="25" t="s">
        <v>6784</v>
      </c>
    </row>
    <row r="305" ht="112">
      <c r="A305" s="28" t="s">
        <v>3379</v>
      </c>
      <c r="B305" s="25" t="s">
        <v>3382</v>
      </c>
      <c r="C305" s="25" t="s">
        <v>120</v>
      </c>
      <c r="D305" s="25" t="s">
        <v>2078</v>
      </c>
      <c r="E305" s="25" t="s">
        <v>3040</v>
      </c>
      <c r="F305" s="25" t="s">
        <v>2002</v>
      </c>
      <c r="G305" s="25" t="s">
        <v>6785</v>
      </c>
    </row>
    <row r="306" ht="140">
      <c r="A306" s="28" t="s">
        <v>3391</v>
      </c>
      <c r="B306" s="25" t="s">
        <v>3392</v>
      </c>
      <c r="C306" s="25" t="s">
        <v>97</v>
      </c>
      <c r="D306" s="25" t="s">
        <v>2078</v>
      </c>
      <c r="E306" s="25" t="s">
        <v>2854</v>
      </c>
      <c r="F306" s="25" t="s">
        <v>2001</v>
      </c>
      <c r="G306" s="25" t="s">
        <v>6784</v>
      </c>
    </row>
    <row r="307" ht="140">
      <c r="A307" s="28" t="s">
        <v>3403</v>
      </c>
      <c r="B307" s="25" t="s">
        <v>3406</v>
      </c>
      <c r="C307" s="25" t="s">
        <v>97</v>
      </c>
      <c r="D307" s="25" t="s">
        <v>2078</v>
      </c>
      <c r="E307" s="25" t="s">
        <v>2854</v>
      </c>
      <c r="F307" s="25" t="s">
        <v>2001</v>
      </c>
      <c r="G307" s="25" t="s">
        <v>6784</v>
      </c>
    </row>
    <row r="308" ht="140">
      <c r="A308" s="28" t="s">
        <v>3417</v>
      </c>
      <c r="B308" s="25" t="s">
        <v>3418</v>
      </c>
      <c r="C308" s="25" t="s">
        <v>97</v>
      </c>
      <c r="D308" s="25" t="s">
        <v>2078</v>
      </c>
      <c r="E308" s="25" t="s">
        <v>2854</v>
      </c>
      <c r="F308" s="25" t="s">
        <v>2001</v>
      </c>
      <c r="G308" s="25" t="s">
        <v>6784</v>
      </c>
    </row>
    <row r="309" ht="112">
      <c r="A309" s="28" t="s">
        <v>3429</v>
      </c>
      <c r="B309" s="25" t="s">
        <v>3430</v>
      </c>
      <c r="C309" s="25" t="s">
        <v>120</v>
      </c>
      <c r="D309" s="25" t="s">
        <v>2078</v>
      </c>
      <c r="E309" s="25" t="s">
        <v>3040</v>
      </c>
      <c r="F309" s="25" t="s">
        <v>2002</v>
      </c>
      <c r="G309" s="25" t="s">
        <v>6785</v>
      </c>
    </row>
    <row r="310" ht="112">
      <c r="A310" s="28" t="s">
        <v>3440</v>
      </c>
      <c r="B310" s="25" t="s">
        <v>3441</v>
      </c>
      <c r="C310" s="25" t="s">
        <v>120</v>
      </c>
      <c r="D310" s="25" t="s">
        <v>2078</v>
      </c>
      <c r="E310" s="25" t="s">
        <v>3040</v>
      </c>
      <c r="F310" s="25" t="s">
        <v>2002</v>
      </c>
      <c r="G310" s="25" t="s">
        <v>6785</v>
      </c>
    </row>
    <row r="311" ht="140">
      <c r="A311" s="28" t="s">
        <v>3451</v>
      </c>
      <c r="B311" s="25" t="s">
        <v>3452</v>
      </c>
      <c r="C311" s="25" t="s">
        <v>97</v>
      </c>
      <c r="D311" s="25" t="s">
        <v>2078</v>
      </c>
      <c r="E311" s="25" t="s">
        <v>2854</v>
      </c>
      <c r="F311" s="25" t="s">
        <v>2001</v>
      </c>
      <c r="G311" s="25" t="s">
        <v>6784</v>
      </c>
    </row>
    <row r="312" ht="140">
      <c r="A312" s="28" t="s">
        <v>3465</v>
      </c>
      <c r="B312" s="25" t="s">
        <v>3466</v>
      </c>
      <c r="C312" s="25" t="s">
        <v>97</v>
      </c>
      <c r="D312" s="25" t="s">
        <v>2078</v>
      </c>
      <c r="E312" s="25" t="s">
        <v>2854</v>
      </c>
      <c r="F312" s="25" t="s">
        <v>2001</v>
      </c>
      <c r="G312" s="25" t="s">
        <v>6784</v>
      </c>
    </row>
    <row r="313" ht="140">
      <c r="A313" s="28" t="s">
        <v>3477</v>
      </c>
      <c r="B313" s="25" t="s">
        <v>3480</v>
      </c>
      <c r="C313" s="25" t="s">
        <v>97</v>
      </c>
      <c r="D313" s="25" t="s">
        <v>2078</v>
      </c>
      <c r="E313" s="25" t="s">
        <v>2854</v>
      </c>
      <c r="F313" s="25" t="s">
        <v>2001</v>
      </c>
      <c r="G313" s="25" t="s">
        <v>6784</v>
      </c>
    </row>
    <row r="314" ht="140">
      <c r="A314" s="28" t="s">
        <v>3492</v>
      </c>
      <c r="B314" s="25" t="s">
        <v>3493</v>
      </c>
      <c r="C314" s="25" t="s">
        <v>97</v>
      </c>
      <c r="D314" s="25" t="s">
        <v>2078</v>
      </c>
      <c r="E314" s="25" t="s">
        <v>2854</v>
      </c>
      <c r="F314" s="25" t="s">
        <v>2001</v>
      </c>
      <c r="G314" s="25" t="s">
        <v>6784</v>
      </c>
    </row>
    <row r="315" ht="140">
      <c r="A315" s="28" t="s">
        <v>3505</v>
      </c>
      <c r="B315" s="25" t="s">
        <v>3506</v>
      </c>
      <c r="C315" s="25" t="s">
        <v>97</v>
      </c>
      <c r="D315" s="25" t="s">
        <v>2078</v>
      </c>
      <c r="E315" s="25" t="s">
        <v>2854</v>
      </c>
      <c r="F315" s="25" t="s">
        <v>2001</v>
      </c>
      <c r="G315" s="25" t="s">
        <v>6784</v>
      </c>
    </row>
    <row r="316" ht="140">
      <c r="A316" s="28" t="s">
        <v>3516</v>
      </c>
      <c r="B316" s="25" t="s">
        <v>3518</v>
      </c>
      <c r="C316" s="25" t="s">
        <v>154</v>
      </c>
      <c r="D316" s="25" t="s">
        <v>2078</v>
      </c>
      <c r="E316" s="25" t="s">
        <v>6786</v>
      </c>
      <c r="F316" s="25" t="s">
        <v>2001</v>
      </c>
      <c r="G316" s="25" t="s">
        <v>6784</v>
      </c>
    </row>
    <row r="317" ht="112">
      <c r="A317" s="28" t="s">
        <v>3530</v>
      </c>
      <c r="B317" s="25" t="s">
        <v>3532</v>
      </c>
      <c r="C317" s="25" t="s">
        <v>120</v>
      </c>
      <c r="D317" s="25" t="s">
        <v>2078</v>
      </c>
      <c r="E317" s="25" t="s">
        <v>3040</v>
      </c>
      <c r="F317" s="25" t="s">
        <v>2002</v>
      </c>
      <c r="G317" s="25" t="s">
        <v>6785</v>
      </c>
    </row>
    <row r="318" ht="140">
      <c r="A318" s="28" t="s">
        <v>3544</v>
      </c>
      <c r="B318" s="25" t="s">
        <v>3547</v>
      </c>
      <c r="C318" s="25" t="s">
        <v>154</v>
      </c>
      <c r="D318" s="25" t="s">
        <v>2078</v>
      </c>
      <c r="E318" s="25" t="s">
        <v>3555</v>
      </c>
      <c r="F318" s="25" t="s">
        <v>2001</v>
      </c>
      <c r="G318" s="25" t="s">
        <v>6784</v>
      </c>
    </row>
    <row r="319" ht="112">
      <c r="A319" s="28" t="s">
        <v>3560</v>
      </c>
      <c r="B319" s="25" t="s">
        <v>3561</v>
      </c>
      <c r="C319" s="25" t="s">
        <v>120</v>
      </c>
      <c r="D319" s="25" t="s">
        <v>2078</v>
      </c>
      <c r="E319" s="25" t="s">
        <v>3040</v>
      </c>
      <c r="F319" s="25" t="s">
        <v>2002</v>
      </c>
      <c r="G319" s="25" t="s">
        <v>6785</v>
      </c>
    </row>
    <row r="320" ht="140">
      <c r="A320" s="28" t="s">
        <v>3573</v>
      </c>
      <c r="B320" s="25" t="s">
        <v>3576</v>
      </c>
      <c r="C320" s="25" t="s">
        <v>97</v>
      </c>
      <c r="D320" s="25" t="s">
        <v>2078</v>
      </c>
      <c r="E320" s="25" t="s">
        <v>2854</v>
      </c>
      <c r="F320" s="25" t="s">
        <v>2001</v>
      </c>
      <c r="G320" s="25" t="s">
        <v>6784</v>
      </c>
    </row>
    <row r="321" ht="112">
      <c r="A321" s="28" t="s">
        <v>3587</v>
      </c>
      <c r="B321" s="25" t="s">
        <v>3588</v>
      </c>
      <c r="C321" s="25" t="s">
        <v>120</v>
      </c>
      <c r="D321" s="25" t="s">
        <v>2078</v>
      </c>
      <c r="E321" s="25" t="s">
        <v>3040</v>
      </c>
      <c r="F321" s="25" t="s">
        <v>2002</v>
      </c>
      <c r="G321" s="25" t="s">
        <v>6785</v>
      </c>
    </row>
    <row r="322">
      <c r="A322" t="s">
        <v>3598</v>
      </c>
      <c r="B322" t="s">
        <v>3602</v>
      </c>
      <c r="C322" t="s">
        <v>97</v>
      </c>
      <c r="D322" t="s">
        <v>2078</v>
      </c>
      <c r="E322" t="s">
        <v>2046</v>
      </c>
      <c r="F322" t="s">
        <v>2001</v>
      </c>
      <c r="G322" t="s">
        <v>6787</v>
      </c>
    </row>
    <row r="323">
      <c r="A323" t="s">
        <v>3619</v>
      </c>
      <c r="B323" t="s">
        <v>3620</v>
      </c>
      <c r="C323" t="s">
        <v>97</v>
      </c>
      <c r="D323" t="s">
        <v>2078</v>
      </c>
      <c r="E323" t="s">
        <v>2046</v>
      </c>
      <c r="F323" t="s">
        <v>2001</v>
      </c>
      <c r="G323" t="s">
        <v>6787</v>
      </c>
    </row>
    <row r="324">
      <c r="A324" t="s">
        <v>3626</v>
      </c>
      <c r="B324" t="s">
        <v>3627</v>
      </c>
      <c r="C324" t="s">
        <v>97</v>
      </c>
      <c r="D324" t="s">
        <v>2078</v>
      </c>
      <c r="E324" t="s">
        <v>2046</v>
      </c>
      <c r="F324" t="s">
        <v>2001</v>
      </c>
      <c r="G324" t="s">
        <v>6787</v>
      </c>
    </row>
    <row r="325">
      <c r="A325" t="s">
        <v>3633</v>
      </c>
      <c r="B325" t="s">
        <v>3634</v>
      </c>
      <c r="C325" t="s">
        <v>97</v>
      </c>
      <c r="D325" t="s">
        <v>2078</v>
      </c>
      <c r="E325" t="s">
        <v>2046</v>
      </c>
      <c r="F325" t="s">
        <v>2001</v>
      </c>
      <c r="G325" t="s">
        <v>6787</v>
      </c>
    </row>
    <row r="326">
      <c r="A326" t="s">
        <v>3640</v>
      </c>
      <c r="B326" t="s">
        <v>3641</v>
      </c>
      <c r="C326" t="s">
        <v>97</v>
      </c>
      <c r="D326" t="s">
        <v>2078</v>
      </c>
      <c r="E326" t="s">
        <v>2046</v>
      </c>
      <c r="F326" t="s">
        <v>2001</v>
      </c>
      <c r="G326" t="s">
        <v>6787</v>
      </c>
    </row>
    <row r="327">
      <c r="A327" t="s">
        <v>3647</v>
      </c>
      <c r="B327" t="s">
        <v>3648</v>
      </c>
      <c r="C327" t="s">
        <v>97</v>
      </c>
      <c r="D327" t="s">
        <v>2078</v>
      </c>
      <c r="E327" t="s">
        <v>2046</v>
      </c>
      <c r="F327" t="s">
        <v>2001</v>
      </c>
      <c r="G327" t="s">
        <v>6787</v>
      </c>
    </row>
    <row r="328">
      <c r="A328" t="s">
        <v>3654</v>
      </c>
      <c r="B328" t="s">
        <v>3657</v>
      </c>
      <c r="C328" t="s">
        <v>97</v>
      </c>
      <c r="D328" t="s">
        <v>2078</v>
      </c>
      <c r="E328" t="s">
        <v>2046</v>
      </c>
      <c r="F328" t="s">
        <v>2001</v>
      </c>
      <c r="G328" t="s">
        <v>6787</v>
      </c>
    </row>
    <row r="329">
      <c r="A329" t="s">
        <v>3664</v>
      </c>
      <c r="B329" t="s">
        <v>3665</v>
      </c>
      <c r="C329" t="s">
        <v>97</v>
      </c>
      <c r="D329" t="s">
        <v>2078</v>
      </c>
      <c r="E329" t="s">
        <v>2046</v>
      </c>
      <c r="F329" t="s">
        <v>2001</v>
      </c>
      <c r="G329" t="s">
        <v>6787</v>
      </c>
    </row>
    <row r="330">
      <c r="A330" t="s">
        <v>3671</v>
      </c>
      <c r="B330" t="s">
        <v>3672</v>
      </c>
      <c r="C330" t="s">
        <v>97</v>
      </c>
      <c r="D330" t="s">
        <v>2078</v>
      </c>
      <c r="E330" t="s">
        <v>2046</v>
      </c>
      <c r="F330" t="s">
        <v>2001</v>
      </c>
      <c r="G330" t="s">
        <v>6787</v>
      </c>
    </row>
    <row r="331">
      <c r="A331" t="s">
        <v>3678</v>
      </c>
      <c r="B331" t="s">
        <v>3679</v>
      </c>
      <c r="C331" t="s">
        <v>97</v>
      </c>
      <c r="D331" t="s">
        <v>2078</v>
      </c>
      <c r="E331" t="s">
        <v>2046</v>
      </c>
      <c r="F331" t="s">
        <v>2001</v>
      </c>
      <c r="G331" t="s">
        <v>6787</v>
      </c>
    </row>
    <row r="332">
      <c r="A332" t="s">
        <v>3685</v>
      </c>
      <c r="B332" t="s">
        <v>3686</v>
      </c>
      <c r="C332" t="s">
        <v>97</v>
      </c>
      <c r="D332" t="s">
        <v>2078</v>
      </c>
      <c r="E332" t="s">
        <v>2046</v>
      </c>
      <c r="F332" t="s">
        <v>2001</v>
      </c>
      <c r="G332" t="s">
        <v>6787</v>
      </c>
    </row>
    <row r="333">
      <c r="A333" t="s">
        <v>3692</v>
      </c>
      <c r="B333" t="s">
        <v>3693</v>
      </c>
      <c r="C333" t="s">
        <v>97</v>
      </c>
      <c r="D333" t="s">
        <v>2078</v>
      </c>
      <c r="E333" t="s">
        <v>2046</v>
      </c>
      <c r="F333" t="s">
        <v>2001</v>
      </c>
      <c r="G333" t="s">
        <v>6787</v>
      </c>
    </row>
    <row r="334">
      <c r="A334" t="s">
        <v>3699</v>
      </c>
      <c r="B334" t="s">
        <v>3700</v>
      </c>
      <c r="C334" t="s">
        <v>154</v>
      </c>
      <c r="D334" t="s">
        <v>2078</v>
      </c>
      <c r="E334" t="s">
        <v>2046</v>
      </c>
      <c r="F334" t="s">
        <v>2001</v>
      </c>
      <c r="G334" t="s">
        <v>6787</v>
      </c>
    </row>
    <row r="335">
      <c r="A335" t="s">
        <v>3706</v>
      </c>
      <c r="B335" t="s">
        <v>3707</v>
      </c>
      <c r="C335" t="s">
        <v>154</v>
      </c>
      <c r="D335" t="s">
        <v>2078</v>
      </c>
      <c r="E335" t="s">
        <v>2047</v>
      </c>
      <c r="F335" t="s">
        <v>2001</v>
      </c>
      <c r="G335" t="s">
        <v>6787</v>
      </c>
    </row>
    <row r="336">
      <c r="A336" t="s">
        <v>3713</v>
      </c>
      <c r="B336" t="s">
        <v>3714</v>
      </c>
      <c r="C336" t="s">
        <v>97</v>
      </c>
      <c r="D336" t="s">
        <v>2078</v>
      </c>
      <c r="E336" t="s">
        <v>2046</v>
      </c>
      <c r="F336" t="s">
        <v>2001</v>
      </c>
      <c r="G336" t="s">
        <v>6787</v>
      </c>
    </row>
    <row r="337">
      <c r="A337" t="s">
        <v>3720</v>
      </c>
      <c r="B337" t="s">
        <v>3721</v>
      </c>
      <c r="C337" t="s">
        <v>97</v>
      </c>
      <c r="D337" t="s">
        <v>2078</v>
      </c>
      <c r="E337" t="s">
        <v>2046</v>
      </c>
      <c r="F337" t="s">
        <v>2001</v>
      </c>
      <c r="G337" t="s">
        <v>6787</v>
      </c>
    </row>
    <row r="338">
      <c r="A338" t="s">
        <v>3727</v>
      </c>
      <c r="B338" t="s">
        <v>3730</v>
      </c>
      <c r="C338" t="s">
        <v>120</v>
      </c>
      <c r="D338" t="s">
        <v>2078</v>
      </c>
      <c r="E338" t="s">
        <v>2048</v>
      </c>
      <c r="F338" t="s">
        <v>2002</v>
      </c>
      <c r="G338" t="s">
        <v>6788</v>
      </c>
    </row>
    <row r="339">
      <c r="A339" t="s">
        <v>3737</v>
      </c>
      <c r="B339" t="s">
        <v>3738</v>
      </c>
      <c r="C339" t="s">
        <v>120</v>
      </c>
      <c r="D339" t="s">
        <v>2078</v>
      </c>
      <c r="E339" t="s">
        <v>2048</v>
      </c>
      <c r="F339" t="s">
        <v>2002</v>
      </c>
      <c r="G339" t="s">
        <v>6788</v>
      </c>
    </row>
    <row r="340">
      <c r="A340" t="s">
        <v>3744</v>
      </c>
      <c r="B340" t="s">
        <v>3745</v>
      </c>
      <c r="C340" t="s">
        <v>120</v>
      </c>
      <c r="D340" t="s">
        <v>2078</v>
      </c>
      <c r="E340" t="s">
        <v>2048</v>
      </c>
      <c r="F340" t="s">
        <v>2002</v>
      </c>
      <c r="G340" t="s">
        <v>6788</v>
      </c>
    </row>
    <row r="341">
      <c r="A341" t="s">
        <v>3751</v>
      </c>
      <c r="B341" t="s">
        <v>3752</v>
      </c>
      <c r="C341" t="s">
        <v>120</v>
      </c>
      <c r="D341" t="s">
        <v>2078</v>
      </c>
      <c r="E341" t="s">
        <v>2048</v>
      </c>
      <c r="F341" t="s">
        <v>2002</v>
      </c>
      <c r="G341" t="s">
        <v>6788</v>
      </c>
    </row>
    <row r="342">
      <c r="A342" t="s">
        <v>3758</v>
      </c>
      <c r="B342" t="s">
        <v>3759</v>
      </c>
      <c r="C342" t="s">
        <v>120</v>
      </c>
      <c r="D342" t="s">
        <v>2078</v>
      </c>
      <c r="E342" t="s">
        <v>2048</v>
      </c>
      <c r="F342" t="s">
        <v>2002</v>
      </c>
      <c r="G342" t="s">
        <v>6788</v>
      </c>
    </row>
    <row r="343">
      <c r="A343" t="s">
        <v>3765</v>
      </c>
      <c r="B343" t="s">
        <v>3766</v>
      </c>
      <c r="C343" t="s">
        <v>120</v>
      </c>
      <c r="D343" t="s">
        <v>2078</v>
      </c>
      <c r="E343" t="s">
        <v>2048</v>
      </c>
      <c r="F343" t="s">
        <v>2002</v>
      </c>
      <c r="G343" t="s">
        <v>6788</v>
      </c>
    </row>
    <row r="344">
      <c r="A344" t="s">
        <v>3772</v>
      </c>
      <c r="B344" t="s">
        <v>3773</v>
      </c>
      <c r="C344" t="s">
        <v>120</v>
      </c>
      <c r="D344" t="s">
        <v>2078</v>
      </c>
      <c r="E344" t="s">
        <v>2048</v>
      </c>
      <c r="F344" t="s">
        <v>2002</v>
      </c>
      <c r="G344" t="s">
        <v>6788</v>
      </c>
    </row>
    <row r="345">
      <c r="A345" t="s">
        <v>3779</v>
      </c>
      <c r="B345" t="s">
        <v>3782</v>
      </c>
      <c r="C345" t="s">
        <v>3783</v>
      </c>
      <c r="D345" t="s">
        <v>2078</v>
      </c>
      <c r="E345" t="s">
        <v>2049</v>
      </c>
      <c r="F345" t="s">
        <v>2002</v>
      </c>
      <c r="G345" t="s">
        <v>6788</v>
      </c>
    </row>
    <row r="346">
      <c r="A346" t="s">
        <v>3792</v>
      </c>
      <c r="B346" t="s">
        <v>3793</v>
      </c>
      <c r="C346" t="s">
        <v>3783</v>
      </c>
      <c r="D346" t="s">
        <v>2078</v>
      </c>
      <c r="E346" t="s">
        <v>2049</v>
      </c>
      <c r="F346" t="s">
        <v>2002</v>
      </c>
      <c r="G346" t="s">
        <v>6788</v>
      </c>
    </row>
    <row r="347">
      <c r="A347" t="s">
        <v>3799</v>
      </c>
      <c r="B347" t="s">
        <v>3800</v>
      </c>
      <c r="C347" t="s">
        <v>3783</v>
      </c>
      <c r="D347" t="s">
        <v>2078</v>
      </c>
      <c r="E347" t="s">
        <v>2049</v>
      </c>
      <c r="F347" t="s">
        <v>2002</v>
      </c>
      <c r="G347" t="s">
        <v>6788</v>
      </c>
    </row>
    <row r="348">
      <c r="A348" t="s">
        <v>3806</v>
      </c>
      <c r="B348" t="s">
        <v>3807</v>
      </c>
      <c r="C348" t="s">
        <v>3783</v>
      </c>
      <c r="D348" t="s">
        <v>2078</v>
      </c>
      <c r="E348" t="s">
        <v>2049</v>
      </c>
      <c r="F348" t="s">
        <v>2002</v>
      </c>
      <c r="G348" t="s">
        <v>6788</v>
      </c>
    </row>
    <row r="349">
      <c r="A349" t="s">
        <v>3813</v>
      </c>
      <c r="B349" t="s">
        <v>3814</v>
      </c>
      <c r="C349" t="s">
        <v>3783</v>
      </c>
      <c r="D349" t="s">
        <v>2078</v>
      </c>
      <c r="E349" t="s">
        <v>2049</v>
      </c>
      <c r="F349" t="s">
        <v>2002</v>
      </c>
      <c r="G349" t="s">
        <v>6788</v>
      </c>
    </row>
    <row r="350">
      <c r="A350" t="s">
        <v>3820</v>
      </c>
      <c r="B350" t="s">
        <v>3821</v>
      </c>
      <c r="C350" t="s">
        <v>3783</v>
      </c>
      <c r="D350" t="s">
        <v>2078</v>
      </c>
      <c r="E350" t="s">
        <v>2049</v>
      </c>
      <c r="F350" t="s">
        <v>2002</v>
      </c>
      <c r="G350" t="s">
        <v>6788</v>
      </c>
    </row>
    <row r="351">
      <c r="A351" t="s">
        <v>3827</v>
      </c>
      <c r="B351" t="s">
        <v>3830</v>
      </c>
      <c r="C351" t="s">
        <v>97</v>
      </c>
      <c r="D351" t="s">
        <v>2078</v>
      </c>
      <c r="E351" t="s">
        <v>2046</v>
      </c>
      <c r="F351" t="s">
        <v>2001</v>
      </c>
      <c r="G351" t="s">
        <v>6787</v>
      </c>
    </row>
    <row r="352">
      <c r="A352" t="s">
        <v>3837</v>
      </c>
      <c r="B352" t="s">
        <v>3838</v>
      </c>
      <c r="C352" t="s">
        <v>120</v>
      </c>
      <c r="D352" t="s">
        <v>2078</v>
      </c>
      <c r="E352" t="s">
        <v>2048</v>
      </c>
      <c r="F352" t="s">
        <v>2002</v>
      </c>
      <c r="G352" t="s">
        <v>6788</v>
      </c>
    </row>
    <row r="353">
      <c r="A353" s="74" t="s">
        <v>7286</v>
      </c>
      <c r="B353" s="74" t="s">
        <v>7291</v>
      </c>
      <c r="C353" s="74" t="s">
        <v>120</v>
      </c>
      <c r="D353" s="74" t="s">
        <v>7303</v>
      </c>
      <c r="E353" s="74" t="s">
        <v>7304</v>
      </c>
      <c r="F353" s="74" t="s">
        <v>2001</v>
      </c>
      <c r="G353" s="74" t="s">
        <v>7370</v>
      </c>
    </row>
    <row r="354">
      <c r="A354" s="74" t="s">
        <v>7308</v>
      </c>
      <c r="B354" s="74" t="s">
        <v>7311</v>
      </c>
      <c r="C354" s="74" t="s">
        <v>154</v>
      </c>
      <c r="D354" s="74" t="s">
        <v>7318</v>
      </c>
      <c r="E354" s="74" t="s">
        <v>7319</v>
      </c>
      <c r="F354" s="74" t="s">
        <v>2001</v>
      </c>
      <c r="G354" s="74" t="s">
        <v>7370</v>
      </c>
    </row>
    <row r="355">
      <c r="A355" s="74" t="s">
        <v>7321</v>
      </c>
      <c r="B355" s="74" t="s">
        <v>7324</v>
      </c>
      <c r="C355" s="74" t="s">
        <v>120</v>
      </c>
      <c r="D355" s="74" t="s">
        <v>7303</v>
      </c>
      <c r="E355" s="74" t="s">
        <v>7304</v>
      </c>
      <c r="F355" s="74" t="s">
        <v>2001</v>
      </c>
      <c r="G355" s="74" t="s">
        <v>7370</v>
      </c>
    </row>
    <row r="356">
      <c r="A356" s="74" t="s">
        <v>7334</v>
      </c>
      <c r="B356" s="74" t="s">
        <v>7337</v>
      </c>
      <c r="C356" s="74" t="s">
        <v>3783</v>
      </c>
      <c r="D356" s="74" t="s">
        <v>7303</v>
      </c>
      <c r="E356" s="74" t="s">
        <v>7304</v>
      </c>
      <c r="F356" s="74" t="s">
        <v>2001</v>
      </c>
      <c r="G356" s="74" t="s">
        <v>7370</v>
      </c>
    </row>
    <row r="357">
      <c r="A357" s="74" t="s">
        <v>7346</v>
      </c>
      <c r="B357" s="74" t="s">
        <v>7349</v>
      </c>
      <c r="C357" s="74" t="s">
        <v>154</v>
      </c>
      <c r="D357" s="74" t="s">
        <v>7318</v>
      </c>
      <c r="E357" s="74" t="s">
        <v>7319</v>
      </c>
      <c r="F357" s="74" t="s">
        <v>2001</v>
      </c>
      <c r="G357" s="74" t="s">
        <v>7370</v>
      </c>
    </row>
    <row r="358">
      <c r="A358" s="74" t="s">
        <v>7358</v>
      </c>
      <c r="B358" s="74" t="s">
        <v>7360</v>
      </c>
      <c r="C358" s="74" t="s">
        <v>154</v>
      </c>
      <c r="D358" s="74" t="s">
        <v>7303</v>
      </c>
      <c r="E358" s="74" t="s">
        <v>7304</v>
      </c>
      <c r="F358" s="74" t="s">
        <v>2001</v>
      </c>
      <c r="G358" s="74" t="s">
        <v>7370</v>
      </c>
    </row>
    <row r="999">
      <c r="A999" s="74"/>
      <c r="B999" s="74"/>
      <c r="C999" s="74"/>
      <c r="D999" s="74"/>
      <c r="E999" s="74"/>
      <c r="F999" s="74"/>
      <c r="G999" s="74"/>
    </row>
    <row r="1000">
      <c r="A1000" s="74"/>
      <c r="B1000" s="74"/>
      <c r="C1000" s="74"/>
      <c r="D1000" s="74"/>
      <c r="E1000" s="74"/>
      <c r="F1000" s="74"/>
      <c r="G1000" s="74"/>
    </row>
    <row r="1001">
      <c r="A1001" s="74"/>
      <c r="B1001" s="74"/>
      <c r="C1001" s="74"/>
      <c r="D1001" s="74"/>
      <c r="E1001" s="74"/>
      <c r="F1001" s="74"/>
      <c r="G1001" s="74"/>
    </row>
    <row r="1002">
      <c r="A1002" s="74"/>
      <c r="B1002" s="74"/>
      <c r="C1002" s="74"/>
      <c r="D1002" s="74"/>
      <c r="E1002" s="74"/>
      <c r="F1002" s="74"/>
      <c r="G1002" s="74"/>
    </row>
    <row r="1003">
      <c r="A1003" s="74"/>
      <c r="B1003" s="74"/>
      <c r="C1003" s="74"/>
      <c r="D1003" s="74"/>
      <c r="E1003" s="74"/>
      <c r="F1003" s="74"/>
      <c r="G1003" s="74"/>
    </row>
    <row r="1004">
      <c r="A1004" s="74"/>
      <c r="B1004" s="74"/>
      <c r="C1004" s="74"/>
      <c r="D1004" s="74"/>
      <c r="E1004" s="74"/>
      <c r="F1004" s="74"/>
      <c r="G1004" s="74"/>
    </row>
    <row r="1005">
      <c r="A1005" s="74"/>
      <c r="B1005" s="74"/>
      <c r="C1005" s="74"/>
      <c r="D1005" s="74"/>
      <c r="E1005" s="74"/>
      <c r="F1005" s="74"/>
      <c r="G1005" s="74"/>
    </row>
    <row r="1006">
      <c r="A1006" s="74"/>
      <c r="B1006" s="74"/>
      <c r="C1006" s="74"/>
      <c r="D1006" s="74"/>
      <c r="E1006" s="74"/>
      <c r="F1006" s="74"/>
      <c r="G1006" s="74"/>
    </row>
  </sheetData>
  <pageMargins left="0.7" right="0.7" top="0.75" bottom="0.75" header="0.3" footer="0.3"/>
</worksheet>
</file>

<file path=xl/worksheets/sheet22.xml><?xml version="1.0" encoding="utf-8"?>
<x:worksheet xmlns:x="http://schemas.openxmlformats.org/spreadsheetml/2006/main">
  <x:sheetFormatPr baseColWidth="10" defaultColWidth="8.83203125" defaultRowHeight="13"/>
  <x:cols>
    <x:col min="1" max="1" width="26" customWidth="1"/>
    <x:col min="2" max="2" width="46" customWidth="1"/>
    <x:col min="3" max="3" width="40" customWidth="1"/>
    <x:col min="4" max="4" width="12" customWidth="1"/>
  </x:cols>
  <x:sheetData>
    <x:row r="1" ht="138.75" customHeight="1">
      <x:c r="A1" s="33" t="s">
        <x:v>6789</x:v>
      </x:c>
      <x:c r="B1" s="34"/>
      <x:c r="C1" s="34"/>
      <x:c r="D1" s="34"/>
    </x:row>
    <x:row r="2" ht="35.75" customHeight="1">
      <x:c r="A2" s="18" t="s">
        <x:v>6790</x:v>
      </x:c>
      <x:c r="B2" s="10" t="s">
        <x:v>6791</x:v>
      </x:c>
      <x:c r="C2" s="10"/>
      <x:c r="D2" s="10"/>
    </x:row>
    <x:row r="3" ht="35.75" customHeight="1">
      <x:c r="A3" s="18" t="s">
        <x:v>6792</x:v>
      </x:c>
      <x:c r="B3" s="10" t="s">
        <x:v>3112</x:v>
      </x:c>
      <x:c r="C3" s="10"/>
      <x:c r="D3" s="10"/>
    </x:row>
    <x:row r="4" ht="35.75" customHeight="1">
      <x:c r="A4" s="18" t="s">
        <x:v>4030</x:v>
      </x:c>
      <x:c r="B4" s="10" t="s">
        <x:v>160</x:v>
      </x:c>
      <x:c r="C4" s="10"/>
      <x:c r="D4" s="10"/>
    </x:row>
    <x:row r="5" ht="35.75" customHeight="1">
      <x:c r="A5" s="18" t="s">
        <x:v>81</x:v>
      </x:c>
      <x:c r="B5" s="10" t="s">
        <x:v>161</x:v>
      </x:c>
      <x:c r="C5" s="10"/>
      <x:c r="D5" s="10"/>
    </x:row>
    <x:row r="6" ht="35.75" customHeight="1">
      <x:c r="A6" s="18" t="s">
        <x:v>82</x:v>
      </x:c>
      <x:c r="B6" s="10" t="s">
        <x:v>3113</x:v>
      </x:c>
      <x:c r="C6" s="10"/>
      <x:c r="D6" s="10"/>
    </x:row>
    <x:row r="7" ht="35.75" customHeight="1">
      <x:c r="A7" s="18" t="s">
        <x:v>63</x:v>
      </x:c>
      <x:c r="B7" s="10" t="s">
        <x:v>129</x:v>
      </x:c>
      <x:c r="C7" s="10"/>
      <x:c r="D7" s="10"/>
    </x:row>
    <x:row r="8" ht="35.75" customHeight="1">
      <x:c r="A8" s="18" t="s">
        <x:v>64</x:v>
      </x:c>
      <x:c r="B8" s="10" t="s">
        <x:v>2077</x:v>
      </x:c>
      <x:c r="C8" s="10"/>
      <x:c r="D8" s="10"/>
    </x:row>
    <x:row r="9" ht="115.75" customHeight="1">
      <x:c r="A9" s="18" t="s">
        <x:v>6793</x:v>
      </x:c>
      <x:c r="B9" s="10" t="s">
        <x:v>6794</x:v>
      </x:c>
      <x:c r="C9" s="10"/>
      <x:c r="D9" s="10"/>
    </x:row>
    <x:row r="10" ht="35.75" customHeight="1">
      <x:c r="A10" s="10"/>
      <x:c r="B10" s="10"/>
      <x:c r="C10" s="10"/>
      <x:c r="D10" s="10"/>
    </x:row>
    <x:row r="11" ht="35.75" customHeight="1">
      <x:c r="A11" s="18" t="s">
        <x:v>6795</x:v>
      </x:c>
      <x:c r="B11" s="18" t="s">
        <x:v>6796</x:v>
      </x:c>
      <x:c r="C11" s="18" t="s">
        <x:v>6797</x:v>
      </x:c>
      <x:c r="D11" s="18" t="s">
        <x:v>3946</x:v>
      </x:c>
    </x:row>
    <x:row r="12" ht="35.75" customHeight="1">
      <x:c r="A12" s="10" t="s">
        <x:v>6798</x:v>
      </x:c>
      <x:c r="B12" s="10" t="s">
        <x:v>6799</x:v>
      </x:c>
      <x:c r="C12" s="10" t="s">
        <x:v>6800</x:v>
      </x:c>
      <x:c r="D12" s="10" t="s">
        <x:v>6801</x:v>
      </x:c>
    </x:row>
    <x:row r="13" ht="35.75" customHeight="1">
      <x:c r="A13" s="10" t="s">
        <x:v>6802</x:v>
      </x:c>
      <x:c r="B13" s="10" t="s">
        <x:v>6803</x:v>
      </x:c>
      <x:c r="C13" s="10" t="s">
        <x:v>6804</x:v>
      </x:c>
      <x:c r="D13" s="10" t="s">
        <x:v>6801</x:v>
      </x:c>
    </x:row>
    <x:row r="14" ht="35.75" customHeight="1">
      <x:c r="A14" s="10" t="s">
        <x:v>6805</x:v>
      </x:c>
      <x:c r="B14" s="10" t="s">
        <x:v>6799</x:v>
      </x:c>
      <x:c r="C14" s="10" t="s">
        <x:v>6806</x:v>
      </x:c>
      <x:c r="D14" s="10" t="s">
        <x:v>6801</x:v>
      </x:c>
    </x:row>
    <x:row r="15" ht="35.75" customHeight="1">
      <x:c r="A15" s="10" t="s">
        <x:v>6807</x:v>
      </x:c>
      <x:c r="B15" s="10" t="s">
        <x:v>6808</x:v>
      </x:c>
      <x:c r="C15" s="10" t="s">
        <x:v>6809</x:v>
      </x:c>
      <x:c r="D15" s="10" t="s">
        <x:v>6801</x:v>
      </x:c>
    </x:row>
    <x:row r="16" ht="35.75" customHeight="1">
      <x:c r="A16" s="10" t="s">
        <x:v>6810</x:v>
      </x:c>
      <x:c r="B16" s="10" t="s">
        <x:v>6799</x:v>
      </x:c>
      <x:c r="C16" s="10" t="s">
        <x:v>6811</x:v>
      </x:c>
      <x:c r="D16" s="10" t="s">
        <x:v>6801</x:v>
      </x:c>
    </x:row>
    <x:row r="17" ht="35.75" customHeight="1">
      <x:c r="A17" s="10" t="s">
        <x:v>6812</x:v>
      </x:c>
      <x:c r="B17" s="10" t="s">
        <x:v>6813</x:v>
      </x:c>
      <x:c r="C17" s="10" t="s">
        <x:v>6814</x:v>
      </x:c>
      <x:c r="D17" s="10" t="s">
        <x:v>6801</x:v>
      </x:c>
    </x:row>
    <x:row r="18" ht="35.75" customHeight="1">
      <x:c r="A18" s="10" t="s">
        <x:v>6815</x:v>
      </x:c>
      <x:c r="B18" s="10" t="s">
        <x:v>6813</x:v>
      </x:c>
      <x:c r="C18" s="10" t="s">
        <x:v>6816</x:v>
      </x:c>
      <x:c r="D18" s="10" t="s">
        <x:v>6801</x:v>
      </x:c>
    </x:row>
    <x:row r="19" ht="35.75" customHeight="1">
      <x:c r="A19" s="10" t="s">
        <x:v>6817</x:v>
      </x:c>
      <x:c r="B19" s="10" t="s">
        <x:v>6818</x:v>
      </x:c>
      <x:c r="C19" s="10" t="s">
        <x:v>6819</x:v>
      </x:c>
      <x:c r="D19" s="10" t="s">
        <x:v>6801</x:v>
      </x:c>
    </x:row>
    <x:row r="20" ht="35.75" customHeight="1">
      <x:c r="A20" s="10" t="s">
        <x:v>6820</x:v>
      </x:c>
      <x:c r="B20" s="10" t="s">
        <x:v>6821</x:v>
      </x:c>
      <x:c r="C20" s="10" t="s">
        <x:v>6822</x:v>
      </x:c>
      <x:c r="D20" s="10" t="s">
        <x:v>6801</x:v>
      </x:c>
    </x:row>
    <x:row r="21" ht="35.75" customHeight="1">
      <x:c r="A21" s="10" t="s">
        <x:v>6823</x:v>
      </x:c>
      <x:c r="B21" s="10" t="s">
        <x:v>6824</x:v>
      </x:c>
      <x:c r="C21" s="10" t="s">
        <x:v>6825</x:v>
      </x:c>
      <x:c r="D21" s="10" t="s">
        <x:v>6801</x:v>
      </x:c>
    </x:row>
  </x:sheetData>
  <x:mergeCells>
    <x:mergeCell ref="A1:D1"/>
  </x:mergeCells>
  <x:pageMargins left="0.7" right="0.7" top="0.75" bottom="0.75" header="0.3" footer="0.3"/>
</x:worksheet>
</file>

<file path=xl/worksheets/sheet23.xml><?xml version="1.0" encoding="utf-8"?>
<x:worksheet xmlns:x="http://schemas.openxmlformats.org/spreadsheetml/2006/main">
  <x:sheetFormatPr baseColWidth="10" defaultColWidth="8.83203125" defaultRowHeight="13"/>
  <x:cols>
    <x:col min="1" max="1" width="18" customWidth="1"/>
    <x:col min="2" max="2" width="38" customWidth="1"/>
    <x:col min="3" max="3" width="30" customWidth="1"/>
    <x:col min="4" max="5" width="14" customWidth="1"/>
    <x:col min="6" max="6" width="46" customWidth="1"/>
  </x:cols>
  <x:sheetData>
    <x:row r="1" ht="15">
      <x:c r="A1" s="35" t="s">
        <x:v>6826</x:v>
      </x:c>
      <x:c r="B1" s="36"/>
      <x:c r="C1" s="36"/>
      <x:c r="D1" s="36"/>
      <x:c r="E1" s="36"/>
      <x:c r="F1" s="36"/>
    </x:row>
    <x:row r="2">
      <x:c r="A2" t="s">
        <x:v>6827</x:v>
      </x:c>
      <x:c r="B2" t="s">
        <x:v>4063</x:v>
      </x:c>
    </x:row>
    <x:row r="3">
      <x:c r="A3" t="s">
        <x:v>6790</x:v>
      </x:c>
      <x:c r="B3" t="s">
        <x:v>6828</x:v>
      </x:c>
    </x:row>
    <x:row r="5">
      <x:c r="A5" s="19" t="s">
        <x:v>6829</x:v>
      </x:c>
      <x:c r="B5" s="19" t="s">
        <x:v>61</x:v>
      </x:c>
      <x:c r="C5" s="19" t="s">
        <x:v>4030</x:v>
      </x:c>
      <x:c r="D5" s="19" t="s">
        <x:v>63</x:v>
      </x:c>
      <x:c r="E5" s="19" t="s">
        <x:v>64</x:v>
      </x:c>
      <x:c r="F5" s="19" t="s">
        <x:v>6830</x:v>
      </x:c>
    </x:row>
    <x:row r="6">
      <x:c r="A6" t="s">
        <x:v>3124</x:v>
      </x:c>
      <x:c r="B6" t="s">
        <x:v>3125</x:v>
      </x:c>
      <x:c r="C6" t="s">
        <x:v>160</x:v>
      </x:c>
      <x:c r="D6" t="s">
        <x:v>129</x:v>
      </x:c>
      <x:c r="E6" t="s">
        <x:v>2077</x:v>
      </x:c>
      <x:c r="F6" t="s">
        <x:v>6831</x:v>
      </x:c>
    </x:row>
    <x:row r="7">
      <x:c r="A7" t="s">
        <x:v>3135</x:v>
      </x:c>
      <x:c r="B7" t="s">
        <x:v>3138</x:v>
      </x:c>
      <x:c r="C7" t="s">
        <x:v>160</x:v>
      </x:c>
      <x:c r="D7" t="s">
        <x:v>97</x:v>
      </x:c>
      <x:c r="E7" t="s">
        <x:v>2078</x:v>
      </x:c>
      <x:c r="F7" t="s">
        <x:v>6832</x:v>
      </x:c>
    </x:row>
    <x:row r="8">
      <x:c r="A8" t="s">
        <x:v>3147</x:v>
      </x:c>
      <x:c r="B8" t="s">
        <x:v>3148</x:v>
      </x:c>
      <x:c r="C8" t="s">
        <x:v>160</x:v>
      </x:c>
      <x:c r="D8" t="s">
        <x:v>97</x:v>
      </x:c>
      <x:c r="E8" t="s">
        <x:v>2078</x:v>
      </x:c>
      <x:c r="F8" t="s">
        <x:v>6833</x:v>
      </x:c>
    </x:row>
    <x:row r="9">
      <x:c r="A9" t="s">
        <x:v>3162</x:v>
      </x:c>
      <x:c r="B9" t="s">
        <x:v>3164</x:v>
      </x:c>
      <x:c r="C9" t="s">
        <x:v>958</x:v>
      </x:c>
      <x:c r="D9" t="s">
        <x:v>154</x:v>
      </x:c>
      <x:c r="E9" t="s">
        <x:v>2078</x:v>
      </x:c>
      <x:c r="F9" t="s">
        <x:v>6834</x:v>
      </x:c>
    </x:row>
    <x:row r="10">
      <x:c r="A10" t="s">
        <x:v>3179</x:v>
      </x:c>
      <x:c r="B10" t="s">
        <x:v>3183</x:v>
      </x:c>
      <x:c r="C10" t="s">
        <x:v>958</x:v>
      </x:c>
      <x:c r="D10" t="s">
        <x:v>154</x:v>
      </x:c>
      <x:c r="E10" t="s">
        <x:v>2078</x:v>
      </x:c>
      <x:c r="F10" t="s">
        <x:v>6835</x:v>
      </x:c>
    </x:row>
    <x:row r="11">
      <x:c r="A11" t="s">
        <x:v>3200</x:v>
      </x:c>
      <x:c r="B11" t="s">
        <x:v>3202</x:v>
      </x:c>
      <x:c r="C11" t="s">
        <x:v>958</x:v>
      </x:c>
      <x:c r="D11" t="s">
        <x:v>154</x:v>
      </x:c>
      <x:c r="E11" t="s">
        <x:v>2078</x:v>
      </x:c>
      <x:c r="F11" t="s">
        <x:v>6836</x:v>
      </x:c>
    </x:row>
    <x:row r="13">
      <x:c r="A13" t="s">
        <x:v>6837</x:v>
      </x:c>
      <x:c r="B13" t="s">
        <x:v>6838</x:v>
      </x:c>
    </x:row>
    <x:row r="14">
      <x:c r="A14" t="s">
        <x:v>6839</x:v>
      </x:c>
      <x:c r="B14" t="s">
        <x:v>6840</x:v>
      </x:c>
    </x:row>
    <x:row r="15">
      <x:c r="A15" t="s">
        <x:v>6841</x:v>
      </x:c>
      <x:c r="B15" t="s">
        <x:v>6842</x:v>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10" defaultColWidth="8.83203125" defaultRowHeight="13"/>
  <x:sheetData>
    <x:row r="1">
      <x:c r="A1" t="s">
        <x:v>6843</x:v>
      </x:c>
    </x:row>
    <x:row r="2">
      <x:c r="A2" t="s">
        <x:v>6827</x:v>
      </x:c>
      <x:c r="B2" t="s">
        <x:v>4063</x:v>
      </x:c>
    </x:row>
    <x:row r="3">
      <x:c r="A3" t="s">
        <x:v>6790</x:v>
      </x:c>
      <x:c r="B3" t="s">
        <x:v>6844</x:v>
      </x:c>
    </x:row>
    <x:row r="4">
      <x:c r="A4" t="s">
        <x:v>6845</x:v>
      </x:c>
      <x:c r="B4" t="s">
        <x:v>6846</x:v>
      </x:c>
    </x:row>
    <x:row r="6">
      <x:c r="A6" t="s">
        <x:v>6829</x:v>
      </x:c>
      <x:c r="B6" t="s">
        <x:v>61</x:v>
      </x:c>
      <x:c r="C6" t="s">
        <x:v>4030</x:v>
      </x:c>
      <x:c r="D6" t="s">
        <x:v>63</x:v>
      </x:c>
      <x:c r="E6" t="s">
        <x:v>64</x:v>
      </x:c>
      <x:c r="F6" t="s">
        <x:v>6830</x:v>
      </x:c>
    </x:row>
    <x:row r="7">
      <x:c r="A7" t="s">
        <x:v>3216</x:v>
      </x:c>
      <x:c r="B7" t="s">
        <x:v>3219</x:v>
      </x:c>
      <x:c r="C7" t="s">
        <x:v>160</x:v>
      </x:c>
      <x:c r="D7" t="s">
        <x:v>97</x:v>
      </x:c>
      <x:c r="E7" t="s">
        <x:v>2078</x:v>
      </x:c>
      <x:c r="F7" t="s">
        <x:v>3221</x:v>
      </x:c>
    </x:row>
    <x:row r="8">
      <x:c r="A8" t="s">
        <x:v>3234</x:v>
      </x:c>
      <x:c r="B8" t="s">
        <x:v>3236</x:v>
      </x:c>
      <x:c r="C8" t="s">
        <x:v>160</x:v>
      </x:c>
      <x:c r="D8" t="s">
        <x:v>154</x:v>
      </x:c>
      <x:c r="E8" t="s">
        <x:v>2078</x:v>
      </x:c>
      <x:c r="F8" t="s">
        <x:v>3238</x:v>
      </x:c>
    </x:row>
    <x:row r="9">
      <x:c r="A9" t="s">
        <x:v>3248</x:v>
      </x:c>
      <x:c r="B9" t="s">
        <x:v>3250</x:v>
      </x:c>
      <x:c r="C9" t="s">
        <x:v>160</x:v>
      </x:c>
      <x:c r="D9" t="s">
        <x:v>154</x:v>
      </x:c>
      <x:c r="E9" t="s">
        <x:v>2078</x:v>
      </x:c>
      <x:c r="F9" t="s">
        <x:v>3252</x:v>
      </x:c>
    </x:row>
    <x:row r="10">
      <x:c r="A10" t="s">
        <x:v>3264</x:v>
      </x:c>
      <x:c r="B10" t="s">
        <x:v>3266</x:v>
      </x:c>
      <x:c r="C10" t="s">
        <x:v>160</x:v>
      </x:c>
      <x:c r="D10" t="s">
        <x:v>154</x:v>
      </x:c>
      <x:c r="E10" t="s">
        <x:v>2078</x:v>
      </x:c>
      <x:c r="F10" t="s">
        <x:v>3268</x:v>
      </x:c>
    </x:row>
    <x:row r="11">
      <x:c r="A11" t="s">
        <x:v>3280</x:v>
      </x:c>
      <x:c r="B11" t="s">
        <x:v>3282</x:v>
      </x:c>
      <x:c r="C11" t="s">
        <x:v>160</x:v>
      </x:c>
      <x:c r="D11" t="s">
        <x:v>97</x:v>
      </x:c>
      <x:c r="E11" t="s">
        <x:v>2078</x:v>
      </x:c>
      <x:c r="F11" t="s">
        <x:v>3284</x:v>
      </x:c>
    </x:row>
    <x:row r="13">
      <x:c r="A13" t="s">
        <x:v>6837</x:v>
      </x:c>
      <x:c r="B13" t="s">
        <x:v>6838</x:v>
      </x:c>
    </x:row>
    <x:row r="14">
      <x:c r="A14" t="s">
        <x:v>6847</x:v>
      </x:c>
      <x:c r="B14" t="s">
        <x:v>6848</x:v>
      </x:c>
    </x:row>
    <x:row r="15">
      <x:c r="A15" t="s">
        <x:v>6841</x:v>
      </x:c>
      <x:c r="B15" t="s">
        <x:v>6849</x:v>
      </x:c>
    </x:row>
  </x:sheetData>
  <x:pageMargins left="0.7" right="0.7" top="0.75" bottom="0.75" header="0.3" footer="0.3"/>
</x:worksheet>
</file>

<file path=xl/worksheets/sheet25.xml><?xml version="1.0" encoding="utf-8"?>
<x:worksheet xmlns:x="http://schemas.openxmlformats.org/spreadsheetml/2006/main">
  <x:sheetFormatPr baseColWidth="10" defaultColWidth="8.83203125" defaultRowHeight="13"/>
  <x:cols>
    <x:col min="1" max="1" width="28" customWidth="1"/>
    <x:col min="2" max="2" width="15" customWidth="1"/>
    <x:col min="3" max="3" width="38" customWidth="1"/>
    <x:col min="4" max="4" width="28" customWidth="1"/>
    <x:col min="5" max="5" width="18" customWidth="1"/>
    <x:col min="6" max="6" width="52" customWidth="1"/>
  </x:cols>
  <x:sheetData>
    <x:row r="1" ht="57">
      <x:c r="A1" s="26" t="s">
        <x:v>6850</x:v>
      </x:c>
      <x:c r="B1" s="26"/>
      <x:c r="C1" s="26"/>
      <x:c r="D1" s="26"/>
      <x:c r="E1" s="26"/>
      <x:c r="F1" s="26"/>
    </x:row>
    <x:row r="2" ht="14">
      <x:c r="A2" s="25" t="s">
        <x:v>6827</x:v>
      </x:c>
      <x:c r="B2" s="25" t="s">
        <x:v>4070</x:v>
      </x:c>
      <x:c r="C2" s="25"/>
      <x:c r="D2" s="25"/>
      <x:c r="E2" s="25"/>
      <x:c r="F2" s="25"/>
    </x:row>
    <x:row r="3" ht="154">
      <x:c r="A3" s="25" t="s">
        <x:v>6790</x:v>
      </x:c>
      <x:c r="B3" s="25" t="s">
        <x:v>6851</x:v>
      </x:c>
      <x:c r="C3" s="25"/>
      <x:c r="D3" s="25"/>
      <x:c r="E3" s="25"/>
      <x:c r="F3" s="25"/>
    </x:row>
    <x:row r="4" ht="168">
      <x:c r="A4" s="25" t="s">
        <x:v>6845</x:v>
      </x:c>
      <x:c r="B4" s="25" t="s">
        <x:v>6852</x:v>
      </x:c>
      <x:c r="C4" s="25"/>
      <x:c r="D4" s="25"/>
      <x:c r="E4" s="25"/>
      <x:c r="F4" s="25"/>
    </x:row>
    <x:row r="5">
      <x:c r="A5" s="25"/>
      <x:c r="B5" s="25"/>
      <x:c r="C5" s="25"/>
      <x:c r="D5" s="25"/>
      <x:c r="E5" s="25"/>
      <x:c r="F5" s="25"/>
    </x:row>
    <x:row r="6" ht="14">
      <x:c r="A6" s="27" t="s">
        <x:v>6853</x:v>
      </x:c>
      <x:c r="B6" s="27" t="s">
        <x:v>6854</x:v>
      </x:c>
      <x:c r="C6" s="27" t="s">
        <x:v>61</x:v>
      </x:c>
      <x:c r="D6" s="27" t="s">
        <x:v>6855</x:v>
      </x:c>
      <x:c r="E6" s="27" t="s">
        <x:v>6856</x:v>
      </x:c>
      <x:c r="F6" s="27" t="s">
        <x:v>6839</x:v>
      </x:c>
    </x:row>
    <x:row r="7" ht="28">
      <x:c r="A7" s="25" t="s">
        <x:v>3296</x:v>
      </x:c>
      <x:c r="B7" s="25" t="s">
        <x:v>3295</x:v>
      </x:c>
      <x:c r="C7" s="25" t="s">
        <x:v>3298</x:v>
      </x:c>
      <x:c r="D7" s="25" t="s">
        <x:v>6857</x:v>
      </x:c>
      <x:c r="E7" s="25" t="s">
        <x:v>2854</x:v>
      </x:c>
      <x:c r="F7" s="25" t="s">
        <x:v>3307</x:v>
      </x:c>
    </x:row>
    <x:row r="8" ht="14">
      <x:c r="A8" s="25" t="s">
        <x:v>3296</x:v>
      </x:c>
      <x:c r="B8" s="25" t="s">
        <x:v>3308</x:v>
      </x:c>
      <x:c r="C8" s="25" t="s">
        <x:v>3310</x:v>
      </x:c>
      <x:c r="D8" s="25" t="s">
        <x:v>6858</x:v>
      </x:c>
      <x:c r="E8" s="25" t="s">
        <x:v>2854</x:v>
      </x:c>
      <x:c r="F8" s="25" t="s">
        <x:v>6859</x:v>
      </x:c>
    </x:row>
    <x:row r="9" ht="28">
      <x:c r="A9" s="25" t="s">
        <x:v>3296</x:v>
      </x:c>
      <x:c r="B9" s="25" t="s">
        <x:v>3319</x:v>
      </x:c>
      <x:c r="C9" s="25" t="s">
        <x:v>3320</x:v>
      </x:c>
      <x:c r="D9" s="25" t="s">
        <x:v>6860</x:v>
      </x:c>
      <x:c r="E9" s="25" t="s">
        <x:v>2854</x:v>
      </x:c>
      <x:c r="F9" s="25" t="s">
        <x:v>3328</x:v>
      </x:c>
    </x:row>
    <x:row r="10" ht="28">
      <x:c r="A10" s="25" t="s">
        <x:v>3330</x:v>
      </x:c>
      <x:c r="B10" s="25" t="s">
        <x:v>3329</x:v>
      </x:c>
      <x:c r="C10" s="25" t="s">
        <x:v>3332</x:v>
      </x:c>
      <x:c r="D10" s="25" t="s">
        <x:v>6861</x:v>
      </x:c>
      <x:c r="E10" s="25" t="s">
        <x:v>3040</x:v>
      </x:c>
      <x:c r="F10" s="25" t="s">
        <x:v>3343</x:v>
      </x:c>
    </x:row>
    <x:row r="11" ht="28">
      <x:c r="A11" s="25" t="s">
        <x:v>3330</x:v>
      </x:c>
      <x:c r="B11" s="25" t="s">
        <x:v>3344</x:v>
      </x:c>
      <x:c r="C11" s="25" t="s">
        <x:v>3345</x:v>
      </x:c>
      <x:c r="D11" s="25" t="s">
        <x:v>6861</x:v>
      </x:c>
      <x:c r="E11" s="25" t="s">
        <x:v>3040</x:v>
      </x:c>
      <x:c r="F11" s="25" t="s">
        <x:v>3355</x:v>
      </x:c>
    </x:row>
    <x:row r="12" ht="28">
      <x:c r="A12" s="25" t="s">
        <x:v>3330</x:v>
      </x:c>
      <x:c r="B12" s="25" t="s">
        <x:v>3356</x:v>
      </x:c>
      <x:c r="C12" s="25" t="s">
        <x:v>3357</x:v>
      </x:c>
      <x:c r="D12" s="25" t="s">
        <x:v>6861</x:v>
      </x:c>
      <x:c r="E12" s="25" t="s">
        <x:v>3040</x:v>
      </x:c>
      <x:c r="F12" s="25" t="s">
        <x:v>6862</x:v>
      </x:c>
    </x:row>
    <x:row r="13" ht="28">
      <x:c r="A13" s="25" t="s">
        <x:v>3330</x:v>
      </x:c>
      <x:c r="B13" s="25" t="s">
        <x:v>3366</x:v>
      </x:c>
      <x:c r="C13" s="25" t="s">
        <x:v>3367</x:v>
      </x:c>
      <x:c r="D13" s="25" t="s">
        <x:v>6861</x:v>
      </x:c>
      <x:c r="E13" s="25" t="s">
        <x:v>2854</x:v>
      </x:c>
      <x:c r="F13" s="25" t="s">
        <x:v>3378</x:v>
      </x:c>
    </x:row>
    <x:row r="14" ht="28">
      <x:c r="A14" s="25" t="s">
        <x:v>3380</x:v>
      </x:c>
      <x:c r="B14" s="25" t="s">
        <x:v>3379</x:v>
      </x:c>
      <x:c r="C14" s="25" t="s">
        <x:v>3382</x:v>
      </x:c>
      <x:c r="D14" s="25" t="s">
        <x:v>6861</x:v>
      </x:c>
      <x:c r="E14" s="25" t="s">
        <x:v>3040</x:v>
      </x:c>
      <x:c r="F14" s="25" t="s">
        <x:v>6863</x:v>
      </x:c>
    </x:row>
    <x:row r="15" ht="42">
      <x:c r="A15" s="25" t="s">
        <x:v>3380</x:v>
      </x:c>
      <x:c r="B15" s="25" t="s">
        <x:v>3391</x:v>
      </x:c>
      <x:c r="C15" s="25" t="s">
        <x:v>3392</x:v>
      </x:c>
      <x:c r="D15" s="25" t="s">
        <x:v>6861</x:v>
      </x:c>
      <x:c r="E15" s="25" t="s">
        <x:v>2854</x:v>
      </x:c>
      <x:c r="F15" s="25" t="s">
        <x:v>3402</x:v>
      </x:c>
    </x:row>
    <x:row r="16" ht="28">
      <x:c r="A16" s="25" t="s">
        <x:v>3404</x:v>
      </x:c>
      <x:c r="B16" s="25" t="s">
        <x:v>3403</x:v>
      </x:c>
      <x:c r="C16" s="25" t="s">
        <x:v>3406</x:v>
      </x:c>
      <x:c r="D16" s="25" t="s">
        <x:v>6864</x:v>
      </x:c>
      <x:c r="E16" s="25" t="s">
        <x:v>2854</x:v>
      </x:c>
      <x:c r="F16" s="25" t="s">
        <x:v>3416</x:v>
      </x:c>
    </x:row>
    <x:row r="17" ht="28">
      <x:c r="A17" s="25" t="s">
        <x:v>3404</x:v>
      </x:c>
      <x:c r="B17" s="25" t="s">
        <x:v>3417</x:v>
      </x:c>
      <x:c r="C17" s="25" t="s">
        <x:v>3418</x:v>
      </x:c>
      <x:c r="D17" s="25" t="s">
        <x:v>6864</x:v>
      </x:c>
      <x:c r="E17" s="25" t="s">
        <x:v>2854</x:v>
      </x:c>
      <x:c r="F17" s="25" t="s">
        <x:v>3428</x:v>
      </x:c>
    </x:row>
    <x:row r="18" ht="28">
      <x:c r="A18" s="25" t="s">
        <x:v>3404</x:v>
      </x:c>
      <x:c r="B18" s="25" t="s">
        <x:v>3429</x:v>
      </x:c>
      <x:c r="C18" s="25" t="s">
        <x:v>3430</x:v>
      </x:c>
      <x:c r="D18" s="25" t="s">
        <x:v>6861</x:v>
      </x:c>
      <x:c r="E18" s="25" t="s">
        <x:v>3040</x:v>
      </x:c>
      <x:c r="F18" s="25" t="s">
        <x:v>3439</x:v>
      </x:c>
    </x:row>
    <x:row r="19" ht="28">
      <x:c r="A19" s="25" t="s">
        <x:v>3404</x:v>
      </x:c>
      <x:c r="B19" s="25" t="s">
        <x:v>3440</x:v>
      </x:c>
      <x:c r="C19" s="25" t="s">
        <x:v>3441</x:v>
      </x:c>
      <x:c r="D19" s="25" t="s">
        <x:v>6865</x:v>
      </x:c>
      <x:c r="E19" s="25" t="s">
        <x:v>3040</x:v>
      </x:c>
      <x:c r="F19" s="25" t="s">
        <x:v>3450</x:v>
      </x:c>
    </x:row>
    <x:row r="20" ht="28">
      <x:c r="A20" s="25" t="s">
        <x:v>3452</x:v>
      </x:c>
      <x:c r="B20" s="25" t="s">
        <x:v>3451</x:v>
      </x:c>
      <x:c r="C20" s="25" t="s">
        <x:v>3452</x:v>
      </x:c>
      <x:c r="D20" s="25" t="s">
        <x:v>6866</x:v>
      </x:c>
      <x:c r="E20" s="25" t="s">
        <x:v>2854</x:v>
      </x:c>
      <x:c r="F20" s="25" t="s">
        <x:v>3464</x:v>
      </x:c>
    </x:row>
    <x:row r="21" ht="28">
      <x:c r="A21" s="25" t="s">
        <x:v>3452</x:v>
      </x:c>
      <x:c r="B21" s="25" t="s">
        <x:v>3465</x:v>
      </x:c>
      <x:c r="C21" s="25" t="s">
        <x:v>3466</x:v>
      </x:c>
      <x:c r="D21" s="25" t="s">
        <x:v>6866</x:v>
      </x:c>
      <x:c r="E21" s="25" t="s">
        <x:v>2854</x:v>
      </x:c>
      <x:c r="F21" s="25" t="s">
        <x:v>3476</x:v>
      </x:c>
    </x:row>
    <x:row r="22" ht="28">
      <x:c r="A22" s="25" t="s">
        <x:v>3478</x:v>
      </x:c>
      <x:c r="B22" s="25" t="s">
        <x:v>3477</x:v>
      </x:c>
      <x:c r="C22" s="25" t="s">
        <x:v>3480</x:v>
      </x:c>
      <x:c r="D22" s="25" t="s">
        <x:v>6867</x:v>
      </x:c>
      <x:c r="E22" s="25" t="s">
        <x:v>2854</x:v>
      </x:c>
      <x:c r="F22" s="25" t="s">
        <x:v>3491</x:v>
      </x:c>
    </x:row>
    <x:row r="23" ht="28">
      <x:c r="A23" s="25" t="s">
        <x:v>3478</x:v>
      </x:c>
      <x:c r="B23" s="25" t="s">
        <x:v>3492</x:v>
      </x:c>
      <x:c r="C23" s="25" t="s">
        <x:v>3493</x:v>
      </x:c>
      <x:c r="D23" s="25" t="s">
        <x:v>6868</x:v>
      </x:c>
      <x:c r="E23" s="25" t="s">
        <x:v>2854</x:v>
      </x:c>
      <x:c r="F23" s="25" t="s">
        <x:v>3504</x:v>
      </x:c>
    </x:row>
    <x:row r="24" ht="28">
      <x:c r="A24" s="25" t="s">
        <x:v>3478</x:v>
      </x:c>
      <x:c r="B24" s="25" t="s">
        <x:v>3505</x:v>
      </x:c>
      <x:c r="C24" s="25" t="s">
        <x:v>3506</x:v>
      </x:c>
      <x:c r="D24" s="25" t="s">
        <x:v>6869</x:v>
      </x:c>
      <x:c r="E24" s="25" t="s">
        <x:v>2854</x:v>
      </x:c>
      <x:c r="F24" s="25" t="s">
        <x:v>3515</x:v>
      </x:c>
    </x:row>
    <x:row r="25" ht="28">
      <x:c r="A25" s="25" t="s">
        <x:v>3026</x:v>
      </x:c>
      <x:c r="B25" s="25" t="s">
        <x:v>3516</x:v>
      </x:c>
      <x:c r="C25" s="25" t="s">
        <x:v>3518</x:v>
      </x:c>
      <x:c r="D25" s="25" t="s">
        <x:v>6870</x:v>
      </x:c>
      <x:c r="E25" s="25" t="s">
        <x:v>3040</x:v>
      </x:c>
      <x:c r="F25" s="25" t="s">
        <x:v>3529</x:v>
      </x:c>
    </x:row>
    <x:row r="26" ht="28">
      <x:c r="A26" s="25" t="s">
        <x:v>3026</x:v>
      </x:c>
      <x:c r="B26" s="25" t="s">
        <x:v>3530</x:v>
      </x:c>
      <x:c r="C26" s="25" t="s">
        <x:v>3532</x:v>
      </x:c>
      <x:c r="D26" s="25" t="s">
        <x:v>6871</x:v>
      </x:c>
      <x:c r="E26" s="25" t="s">
        <x:v>3040</x:v>
      </x:c>
      <x:c r="F26" s="25" t="s">
        <x:v>6872</x:v>
      </x:c>
    </x:row>
    <x:row r="27" ht="28">
      <x:c r="A27" s="25" t="s">
        <x:v>3545</x:v>
      </x:c>
      <x:c r="B27" s="25" t="s">
        <x:v>3544</x:v>
      </x:c>
      <x:c r="C27" s="25" t="s">
        <x:v>3547</x:v>
      </x:c>
      <x:c r="D27" s="25" t="s">
        <x:v>6873</x:v>
      </x:c>
      <x:c r="E27" s="25" t="s">
        <x:v>3555</x:v>
      </x:c>
      <x:c r="F27" s="25" t="s">
        <x:v>3559</x:v>
      </x:c>
    </x:row>
    <x:row r="28" ht="28">
      <x:c r="A28" s="25" t="s">
        <x:v>3545</x:v>
      </x:c>
      <x:c r="B28" s="25" t="s">
        <x:v>3560</x:v>
      </x:c>
      <x:c r="C28" s="25" t="s">
        <x:v>3561</x:v>
      </x:c>
      <x:c r="D28" s="25" t="s">
        <x:v>6874</x:v>
      </x:c>
      <x:c r="E28" s="25" t="s">
        <x:v>3040</x:v>
      </x:c>
      <x:c r="F28" s="25" t="s">
        <x:v>3572</x:v>
      </x:c>
    </x:row>
    <x:row r="29" ht="28">
      <x:c r="A29" s="25" t="s">
        <x:v>3574</x:v>
      </x:c>
      <x:c r="B29" s="25" t="s">
        <x:v>3573</x:v>
      </x:c>
      <x:c r="C29" s="25" t="s">
        <x:v>3576</x:v>
      </x:c>
      <x:c r="D29" s="25" t="s">
        <x:v>6875</x:v>
      </x:c>
      <x:c r="E29" s="25" t="s">
        <x:v>2854</x:v>
      </x:c>
      <x:c r="F29" s="25" t="s">
        <x:v>3586</x:v>
      </x:c>
    </x:row>
    <x:row r="30" ht="28">
      <x:c r="A30" s="25" t="s">
        <x:v>3404</x:v>
      </x:c>
      <x:c r="B30" s="25" t="s">
        <x:v>3587</x:v>
      </x:c>
      <x:c r="C30" s="25" t="s">
        <x:v>3588</x:v>
      </x:c>
      <x:c r="D30" s="25" t="s">
        <x:v>6876</x:v>
      </x:c>
      <x:c r="E30" s="25" t="s">
        <x:v>3040</x:v>
      </x:c>
      <x:c r="F30" s="25" t="s">
        <x:v>3597</x:v>
      </x:c>
    </x:row>
    <x:row r="31">
      <x:c r="A31" s="25"/>
      <x:c r="B31" s="25"/>
      <x:c r="C31" s="25"/>
      <x:c r="D31" s="25"/>
      <x:c r="E31" s="25"/>
      <x:c r="F31" s="25"/>
    </x:row>
    <x:row r="32" ht="210">
      <x:c r="A32" s="25" t="s">
        <x:v>6837</x:v>
      </x:c>
      <x:c r="B32" s="25" t="s">
        <x:v>6838</x:v>
      </x:c>
      <x:c r="C32" s="25"/>
      <x:c r="D32" s="25"/>
      <x:c r="E32" s="25"/>
      <x:c r="F32" s="25"/>
    </x:row>
    <x:row r="33" ht="126">
      <x:c r="A33" s="25" t="s">
        <x:v>6877</x:v>
      </x:c>
      <x:c r="B33" s="25" t="s">
        <x:v>6878</x:v>
      </x:c>
      <x:c r="C33" s="25"/>
      <x:c r="D33" s="25"/>
      <x:c r="E33" s="25"/>
      <x:c r="F33" s="25"/>
    </x:row>
  </x:sheetData>
  <x:pageMargins left="0.7" right="0.7" top="0.75" bottom="0.75" header="0.3" footer="0.3"/>
</x:worksheet>
</file>

<file path=xl/worksheets/sheet26.xml><?xml version="1.0" encoding="utf-8"?>
<x:worksheet xmlns:x="http://schemas.openxmlformats.org/spreadsheetml/2006/main">
  <x:sheetFormatPr baseColWidth="10" defaultColWidth="12" defaultRowHeight="13"/>
  <x:cols>
    <x:col min="1" max="1" width="34" customWidth="1"/>
    <x:col min="2" max="2" width="18" customWidth="1"/>
    <x:col min="3" max="3" width="46" customWidth="1"/>
    <x:col min="4" max="4" width="38" customWidth="1"/>
    <x:col min="5" max="5" width="26" customWidth="1"/>
    <x:col min="6" max="6" width="80" customWidth="1"/>
  </x:cols>
  <x:sheetData>
    <x:row r="1">
      <x:c r="A1" t="s">
        <x:v>6879</x:v>
      </x:c>
    </x:row>
    <x:row r="3">
      <x:c r="A3" t="s">
        <x:v>4030</x:v>
      </x:c>
      <x:c r="B3" t="s">
        <x:v>958</x:v>
      </x:c>
    </x:row>
    <x:row r="4">
      <x:c r="A4" t="s">
        <x:v>6880</x:v>
      </x:c>
      <x:c r="B4" t="s">
        <x:v>3599</x:v>
      </x:c>
    </x:row>
    <x:row r="5">
      <x:c r="A5" t="s">
        <x:v>6881</x:v>
      </x:c>
      <x:c r="B5" t="s">
        <x:v>6882</x:v>
      </x:c>
    </x:row>
    <x:row r="6">
      <x:c r="A6" t="s">
        <x:v>6793</x:v>
      </x:c>
      <x:c r="B6" t="s">
        <x:v>6883</x:v>
      </x:c>
    </x:row>
    <x:row r="8">
      <x:c r="A8" t="s">
        <x:v>6853</x:v>
      </x:c>
      <x:c r="B8" t="s">
        <x:v>6854</x:v>
      </x:c>
      <x:c r="C8" t="s">
        <x:v>61</x:v>
      </x:c>
      <x:c r="D8" t="s">
        <x:v>6855</x:v>
      </x:c>
      <x:c r="E8" t="s">
        <x:v>6856</x:v>
      </x:c>
      <x:c r="F8" t="s">
        <x:v>6839</x:v>
      </x:c>
    </x:row>
    <x:row r="9">
      <x:c r="A9" t="s">
        <x:v>3600</x:v>
      </x:c>
      <x:c r="B9" t="s">
        <x:v>3598</x:v>
      </x:c>
      <x:c r="C9" t="s">
        <x:v>3602</x:v>
      </x:c>
      <x:c r="D9" t="s">
        <x:v>6884</x:v>
      </x:c>
      <x:c r="E9" t="s">
        <x:v>2046</x:v>
      </x:c>
      <x:c r="F9" t="s">
        <x:v>6885</x:v>
      </x:c>
    </x:row>
    <x:row r="10">
      <x:c r="A10" t="s">
        <x:v>3600</x:v>
      </x:c>
      <x:c r="B10" t="s">
        <x:v>3619</x:v>
      </x:c>
      <x:c r="C10" t="s">
        <x:v>3620</x:v>
      </x:c>
      <x:c r="D10" t="s">
        <x:v>6886</x:v>
      </x:c>
      <x:c r="E10" t="s">
        <x:v>2046</x:v>
      </x:c>
      <x:c r="F10" t="s">
        <x:v>6887</x:v>
      </x:c>
    </x:row>
    <x:row r="11">
      <x:c r="A11" t="s">
        <x:v>3600</x:v>
      </x:c>
      <x:c r="B11" t="s">
        <x:v>3626</x:v>
      </x:c>
      <x:c r="C11" t="s">
        <x:v>3627</x:v>
      </x:c>
      <x:c r="D11" t="s">
        <x:v>6888</x:v>
      </x:c>
      <x:c r="E11" t="s">
        <x:v>2046</x:v>
      </x:c>
      <x:c r="F11" t="s">
        <x:v>6889</x:v>
      </x:c>
    </x:row>
    <x:row r="12">
      <x:c r="A12" t="s">
        <x:v>3600</x:v>
      </x:c>
      <x:c r="B12" t="s">
        <x:v>3633</x:v>
      </x:c>
      <x:c r="C12" t="s">
        <x:v>3634</x:v>
      </x:c>
      <x:c r="D12" t="s">
        <x:v>6890</x:v>
      </x:c>
      <x:c r="E12" t="s">
        <x:v>2046</x:v>
      </x:c>
      <x:c r="F12" t="s">
        <x:v>6891</x:v>
      </x:c>
    </x:row>
    <x:row r="13">
      <x:c r="A13" t="s">
        <x:v>3600</x:v>
      </x:c>
      <x:c r="B13" t="s">
        <x:v>3640</x:v>
      </x:c>
      <x:c r="C13" t="s">
        <x:v>3641</x:v>
      </x:c>
      <x:c r="D13" t="s">
        <x:v>6892</x:v>
      </x:c>
      <x:c r="E13" t="s">
        <x:v>2046</x:v>
      </x:c>
      <x:c r="F13" t="s">
        <x:v>6893</x:v>
      </x:c>
    </x:row>
    <x:row r="14">
      <x:c r="A14" t="s">
        <x:v>3600</x:v>
      </x:c>
      <x:c r="B14" t="s">
        <x:v>3647</x:v>
      </x:c>
      <x:c r="C14" t="s">
        <x:v>3648</x:v>
      </x:c>
      <x:c r="D14" t="s">
        <x:v>6894</x:v>
      </x:c>
      <x:c r="E14" t="s">
        <x:v>2046</x:v>
      </x:c>
      <x:c r="F14" t="s">
        <x:v>6895</x:v>
      </x:c>
    </x:row>
    <x:row r="15">
      <x:c r="A15" t="s">
        <x:v>3655</x:v>
      </x:c>
      <x:c r="B15" t="s">
        <x:v>3654</x:v>
      </x:c>
      <x:c r="C15" t="s">
        <x:v>3657</x:v>
      </x:c>
      <x:c r="D15" t="s">
        <x:v>6896</x:v>
      </x:c>
      <x:c r="E15" t="s">
        <x:v>2046</x:v>
      </x:c>
      <x:c r="F15" t="s">
        <x:v>6897</x:v>
      </x:c>
    </x:row>
    <x:row r="16">
      <x:c r="A16" t="s">
        <x:v>3655</x:v>
      </x:c>
      <x:c r="B16" t="s">
        <x:v>3664</x:v>
      </x:c>
      <x:c r="C16" t="s">
        <x:v>3665</x:v>
      </x:c>
      <x:c r="D16" t="s">
        <x:v>6898</x:v>
      </x:c>
      <x:c r="E16" t="s">
        <x:v>2046</x:v>
      </x:c>
      <x:c r="F16" t="s">
        <x:v>6899</x:v>
      </x:c>
    </x:row>
    <x:row r="17">
      <x:c r="A17" t="s">
        <x:v>3655</x:v>
      </x:c>
      <x:c r="B17" t="s">
        <x:v>3671</x:v>
      </x:c>
      <x:c r="C17" t="s">
        <x:v>3672</x:v>
      </x:c>
      <x:c r="D17" t="s">
        <x:v>6900</x:v>
      </x:c>
      <x:c r="E17" t="s">
        <x:v>2046</x:v>
      </x:c>
      <x:c r="F17" t="s">
        <x:v>6901</x:v>
      </x:c>
    </x:row>
    <x:row r="18">
      <x:c r="A18" t="s">
        <x:v>3655</x:v>
      </x:c>
      <x:c r="B18" t="s">
        <x:v>3678</x:v>
      </x:c>
      <x:c r="C18" t="s">
        <x:v>3679</x:v>
      </x:c>
      <x:c r="D18" t="s">
        <x:v>6902</x:v>
      </x:c>
      <x:c r="E18" t="s">
        <x:v>2046</x:v>
      </x:c>
      <x:c r="F18" t="s">
        <x:v>6903</x:v>
      </x:c>
    </x:row>
    <x:row r="19">
      <x:c r="A19" t="s">
        <x:v>3655</x:v>
      </x:c>
      <x:c r="B19" t="s">
        <x:v>3685</x:v>
      </x:c>
      <x:c r="C19" t="s">
        <x:v>3686</x:v>
      </x:c>
      <x:c r="D19" t="s">
        <x:v>6904</x:v>
      </x:c>
      <x:c r="E19" t="s">
        <x:v>2046</x:v>
      </x:c>
      <x:c r="F19" t="s">
        <x:v>6905</x:v>
      </x:c>
    </x:row>
    <x:row r="20">
      <x:c r="A20" t="s">
        <x:v>3655</x:v>
      </x:c>
      <x:c r="B20" t="s">
        <x:v>3692</x:v>
      </x:c>
      <x:c r="C20" t="s">
        <x:v>3693</x:v>
      </x:c>
      <x:c r="D20" t="s">
        <x:v>6906</x:v>
      </x:c>
      <x:c r="E20" t="s">
        <x:v>2046</x:v>
      </x:c>
      <x:c r="F20" t="s">
        <x:v>6907</x:v>
      </x:c>
    </x:row>
    <x:row r="21">
      <x:c r="A21" t="s">
        <x:v>3655</x:v>
      </x:c>
      <x:c r="B21" t="s">
        <x:v>3699</x:v>
      </x:c>
      <x:c r="C21" t="s">
        <x:v>3700</x:v>
      </x:c>
      <x:c r="D21" t="s">
        <x:v>6908</x:v>
      </x:c>
      <x:c r="E21" t="s">
        <x:v>2046</x:v>
      </x:c>
      <x:c r="F21" t="s">
        <x:v>6909</x:v>
      </x:c>
    </x:row>
    <x:row r="22">
      <x:c r="A22" t="s">
        <x:v>3655</x:v>
      </x:c>
      <x:c r="B22" t="s">
        <x:v>3706</x:v>
      </x:c>
      <x:c r="C22" t="s">
        <x:v>3707</x:v>
      </x:c>
      <x:c r="D22" t="s">
        <x:v>6910</x:v>
      </x:c>
      <x:c r="E22" t="s">
        <x:v>2047</x:v>
      </x:c>
      <x:c r="F22" t="s">
        <x:v>6911</x:v>
      </x:c>
    </x:row>
    <x:row r="23">
      <x:c r="A23" t="s">
        <x:v>3655</x:v>
      </x:c>
      <x:c r="B23" t="s">
        <x:v>3713</x:v>
      </x:c>
      <x:c r="C23" t="s">
        <x:v>3714</x:v>
      </x:c>
      <x:c r="D23" t="s">
        <x:v>6912</x:v>
      </x:c>
      <x:c r="E23" t="s">
        <x:v>2046</x:v>
      </x:c>
      <x:c r="F23" t="s">
        <x:v>6913</x:v>
      </x:c>
    </x:row>
    <x:row r="24">
      <x:c r="A24" t="s">
        <x:v>3655</x:v>
      </x:c>
      <x:c r="B24" t="s">
        <x:v>3720</x:v>
      </x:c>
      <x:c r="C24" t="s">
        <x:v>3721</x:v>
      </x:c>
      <x:c r="D24" t="s">
        <x:v>6914</x:v>
      </x:c>
      <x:c r="E24" t="s">
        <x:v>2046</x:v>
      </x:c>
      <x:c r="F24" t="s">
        <x:v>6915</x:v>
      </x:c>
    </x:row>
    <x:row r="25">
      <x:c r="A25" t="s">
        <x:v>3728</x:v>
      </x:c>
      <x:c r="B25" t="s">
        <x:v>3727</x:v>
      </x:c>
      <x:c r="C25" t="s">
        <x:v>3730</x:v>
      </x:c>
      <x:c r="D25" t="s">
        <x:v>6916</x:v>
      </x:c>
      <x:c r="E25" t="s">
        <x:v>2048</x:v>
      </x:c>
      <x:c r="F25" t="s">
        <x:v>6917</x:v>
      </x:c>
    </x:row>
    <x:row r="26">
      <x:c r="A26" t="s">
        <x:v>3728</x:v>
      </x:c>
      <x:c r="B26" t="s">
        <x:v>3737</x:v>
      </x:c>
      <x:c r="C26" t="s">
        <x:v>3738</x:v>
      </x:c>
      <x:c r="D26" t="s">
        <x:v>6918</x:v>
      </x:c>
      <x:c r="E26" t="s">
        <x:v>2048</x:v>
      </x:c>
      <x:c r="F26" t="s">
        <x:v>6919</x:v>
      </x:c>
    </x:row>
    <x:row r="27">
      <x:c r="A27" t="s">
        <x:v>3728</x:v>
      </x:c>
      <x:c r="B27" t="s">
        <x:v>3744</x:v>
      </x:c>
      <x:c r="C27" t="s">
        <x:v>3745</x:v>
      </x:c>
      <x:c r="D27" t="s">
        <x:v>6920</x:v>
      </x:c>
      <x:c r="E27" t="s">
        <x:v>2048</x:v>
      </x:c>
      <x:c r="F27" t="s">
        <x:v>6921</x:v>
      </x:c>
    </x:row>
    <x:row r="28">
      <x:c r="A28" t="s">
        <x:v>3728</x:v>
      </x:c>
      <x:c r="B28" t="s">
        <x:v>3751</x:v>
      </x:c>
      <x:c r="C28" t="s">
        <x:v>3752</x:v>
      </x:c>
      <x:c r="D28" t="s">
        <x:v>6922</x:v>
      </x:c>
      <x:c r="E28" t="s">
        <x:v>2048</x:v>
      </x:c>
      <x:c r="F28" t="s">
        <x:v>6923</x:v>
      </x:c>
    </x:row>
    <x:row r="29">
      <x:c r="A29" t="s">
        <x:v>3728</x:v>
      </x:c>
      <x:c r="B29" t="s">
        <x:v>3758</x:v>
      </x:c>
      <x:c r="C29" t="s">
        <x:v>3759</x:v>
      </x:c>
      <x:c r="D29" t="s">
        <x:v>6924</x:v>
      </x:c>
      <x:c r="E29" t="s">
        <x:v>2048</x:v>
      </x:c>
      <x:c r="F29" t="s">
        <x:v>6925</x:v>
      </x:c>
    </x:row>
    <x:row r="30">
      <x:c r="A30" t="s">
        <x:v>3728</x:v>
      </x:c>
      <x:c r="B30" t="s">
        <x:v>3765</x:v>
      </x:c>
      <x:c r="C30" t="s">
        <x:v>3766</x:v>
      </x:c>
      <x:c r="D30" t="s">
        <x:v>6926</x:v>
      </x:c>
      <x:c r="E30" t="s">
        <x:v>2048</x:v>
      </x:c>
      <x:c r="F30" t="s">
        <x:v>6927</x:v>
      </x:c>
    </x:row>
    <x:row r="31">
      <x:c r="A31" t="s">
        <x:v>3728</x:v>
      </x:c>
      <x:c r="B31" t="s">
        <x:v>3772</x:v>
      </x:c>
      <x:c r="C31" t="s">
        <x:v>3773</x:v>
      </x:c>
      <x:c r="D31" t="s">
        <x:v>6928</x:v>
      </x:c>
      <x:c r="E31" t="s">
        <x:v>2048</x:v>
      </x:c>
      <x:c r="F31" t="s">
        <x:v>6929</x:v>
      </x:c>
    </x:row>
    <x:row r="32">
      <x:c r="A32" t="s">
        <x:v>3780</x:v>
      </x:c>
      <x:c r="B32" t="s">
        <x:v>3779</x:v>
      </x:c>
      <x:c r="C32" t="s">
        <x:v>3782</x:v>
      </x:c>
      <x:c r="D32" t="s">
        <x:v>6930</x:v>
      </x:c>
      <x:c r="E32" t="s">
        <x:v>2049</x:v>
      </x:c>
      <x:c r="F32" t="s">
        <x:v>6931</x:v>
      </x:c>
    </x:row>
    <x:row r="33">
      <x:c r="A33" t="s">
        <x:v>3780</x:v>
      </x:c>
      <x:c r="B33" t="s">
        <x:v>3792</x:v>
      </x:c>
      <x:c r="C33" t="s">
        <x:v>3793</x:v>
      </x:c>
      <x:c r="D33" t="s">
        <x:v>6932</x:v>
      </x:c>
      <x:c r="E33" t="s">
        <x:v>2049</x:v>
      </x:c>
      <x:c r="F33" t="s">
        <x:v>6933</x:v>
      </x:c>
    </x:row>
    <x:row r="34">
      <x:c r="A34" t="s">
        <x:v>3780</x:v>
      </x:c>
      <x:c r="B34" t="s">
        <x:v>3799</x:v>
      </x:c>
      <x:c r="C34" t="s">
        <x:v>3800</x:v>
      </x:c>
      <x:c r="D34" t="s">
        <x:v>6934</x:v>
      </x:c>
      <x:c r="E34" t="s">
        <x:v>2049</x:v>
      </x:c>
      <x:c r="F34" t="s">
        <x:v>6935</x:v>
      </x:c>
    </x:row>
    <x:row r="35">
      <x:c r="A35" t="s">
        <x:v>3780</x:v>
      </x:c>
      <x:c r="B35" t="s">
        <x:v>3806</x:v>
      </x:c>
      <x:c r="C35" t="s">
        <x:v>3807</x:v>
      </x:c>
      <x:c r="D35" t="s">
        <x:v>6936</x:v>
      </x:c>
      <x:c r="E35" t="s">
        <x:v>2049</x:v>
      </x:c>
      <x:c r="F35" t="s">
        <x:v>6937</x:v>
      </x:c>
    </x:row>
    <x:row r="36">
      <x:c r="A36" t="s">
        <x:v>3780</x:v>
      </x:c>
      <x:c r="B36" t="s">
        <x:v>3813</x:v>
      </x:c>
      <x:c r="C36" t="s">
        <x:v>3814</x:v>
      </x:c>
      <x:c r="D36" t="s">
        <x:v>6938</x:v>
      </x:c>
      <x:c r="E36" t="s">
        <x:v>2049</x:v>
      </x:c>
      <x:c r="F36" t="s">
        <x:v>6939</x:v>
      </x:c>
    </x:row>
    <x:row r="37">
      <x:c r="A37" t="s">
        <x:v>3780</x:v>
      </x:c>
      <x:c r="B37" t="s">
        <x:v>3820</x:v>
      </x:c>
      <x:c r="C37" t="s">
        <x:v>3821</x:v>
      </x:c>
      <x:c r="D37" t="s">
        <x:v>6940</x:v>
      </x:c>
      <x:c r="E37" t="s">
        <x:v>2049</x:v>
      </x:c>
      <x:c r="F37" t="s">
        <x:v>6941</x:v>
      </x:c>
    </x:row>
    <x:row r="38">
      <x:c r="A38" t="s">
        <x:v>3828</x:v>
      </x:c>
      <x:c r="B38" t="s">
        <x:v>3827</x:v>
      </x:c>
      <x:c r="C38" t="s">
        <x:v>3830</x:v>
      </x:c>
      <x:c r="D38" t="s">
        <x:v>6942</x:v>
      </x:c>
      <x:c r="E38" t="s">
        <x:v>2046</x:v>
      </x:c>
      <x:c r="F38" t="s">
        <x:v>6943</x:v>
      </x:c>
    </x:row>
    <x:row r="39">
      <x:c r="A39" t="s">
        <x:v>3828</x:v>
      </x:c>
      <x:c r="B39" t="s">
        <x:v>3837</x:v>
      </x:c>
      <x:c r="C39" t="s">
        <x:v>3838</x:v>
      </x:c>
      <x:c r="D39" t="s">
        <x:v>6944</x:v>
      </x:c>
      <x:c r="E39" t="s">
        <x:v>2048</x:v>
      </x:c>
      <x:c r="F39" t="s">
        <x:v>6945</x:v>
      </x:c>
    </x:row>
  </x:sheetData>
  <x:pageMargins left="0.7" right="0.7" top="0.75" bottom="0.75" header="0.3" footer="0.3"/>
</x:worksheet>
</file>

<file path=xl/worksheets/sheet27.xml><?xml version="1.0" encoding="utf-8"?>
<worksheet xmlns="http://schemas.openxmlformats.org/spreadsheetml/2006/main">
  <sheetFormatPr baseColWidth="10" defaultColWidth="8.83203125" defaultRowHeight="13"/>
  <cols>
    <col min="1" max="1" width="29" customWidth="1"/>
    <col min="2" max="2" width="47.83203125" customWidth="1"/>
    <col min="3" max="3" width="54.83203125" customWidth="1"/>
  </cols>
  <sheetData>
    <row r="1" ht="18">
      <c r="A1" s="37" t="s">
        <v>6946</v>
      </c>
      <c r="B1" s="37"/>
      <c r="C1" s="37"/>
      <c r="D1" s="37"/>
    </row>
    <row r="2" ht="14">
      <c r="A2" s="25" t="s">
        <v>6947</v>
      </c>
      <c r="B2" s="25" t="s">
        <v>7404</v>
      </c>
      <c r="C2" s="25"/>
      <c r="D2" s="25"/>
    </row>
    <row r="3" ht="14">
      <c r="A3" s="25" t="s">
        <v>6948</v>
      </c>
      <c r="B3" s="25" t="s">
        <v>7405</v>
      </c>
      <c r="C3" s="25"/>
      <c r="D3" s="25"/>
    </row>
    <row r="4">
      <c r="A4" s="25"/>
      <c r="B4" s="25"/>
      <c r="C4" s="25"/>
      <c r="D4" s="25"/>
    </row>
    <row r="5" ht="14">
      <c r="A5" s="30" t="s">
        <v>6949</v>
      </c>
      <c r="B5" s="30" t="s">
        <v>1962</v>
      </c>
      <c r="C5" s="30" t="s">
        <v>4093</v>
      </c>
      <c r="D5" s="30"/>
    </row>
    <row r="6" ht="14">
      <c r="A6" s="25" t="s">
        <v>6950</v>
      </c>
      <c r="B6" s="25" t="s">
        <v>6951</v>
      </c>
      <c r="C6" s="25" t="s">
        <v>6952</v>
      </c>
      <c r="D6" s="25"/>
    </row>
    <row r="7" ht="28">
      <c r="A7" s="25" t="s">
        <v>6953</v>
      </c>
      <c r="B7" s="25" t="s">
        <v>6954</v>
      </c>
      <c r="C7" s="25" t="s">
        <v>6952</v>
      </c>
      <c r="D7" s="25"/>
    </row>
    <row r="8" ht="14">
      <c r="A8" s="25" t="s">
        <v>6955</v>
      </c>
      <c r="B8" s="25">
        <v>201</v>
      </c>
      <c r="C8" s="25" t="s">
        <v>6956</v>
      </c>
      <c r="D8" s="25"/>
    </row>
    <row r="9" ht="14">
      <c r="A9" s="25" t="s">
        <v>6957</v>
      </c>
      <c r="B9" s="25">
        <v>105</v>
      </c>
      <c r="C9" s="25" t="s">
        <v>6958</v>
      </c>
      <c r="D9" s="25"/>
    </row>
    <row r="10" ht="14">
      <c r="A10" s="25" t="s">
        <v>6959</v>
      </c>
      <c r="B10" s="25">
        <v>24</v>
      </c>
      <c r="C10" s="25" t="s">
        <v>6960</v>
      </c>
      <c r="D10" s="25"/>
    </row>
    <row r="11" ht="14">
      <c r="A11" s="25" t="s">
        <v>6961</v>
      </c>
      <c r="B11" s="25">
        <v>106</v>
      </c>
      <c r="C11" s="25" t="s">
        <v>6962</v>
      </c>
      <c r="D11" s="25"/>
    </row>
    <row r="12" ht="14">
      <c r="A12" s="25" t="s">
        <v>6963</v>
      </c>
      <c r="B12" s="25">
        <v>6</v>
      </c>
      <c r="C12" s="25" t="s">
        <v>6964</v>
      </c>
      <c r="D12" s="25"/>
    </row>
    <row r="13" ht="14">
      <c r="A13" s="25" t="s">
        <v>6965</v>
      </c>
      <c r="B13" s="25">
        <v>15</v>
      </c>
      <c r="C13" s="25" t="s">
        <v>6966</v>
      </c>
      <c r="D13" s="25"/>
    </row>
    <row r="14" ht="14">
      <c r="A14" s="25" t="s">
        <v>6967</v>
      </c>
      <c r="B14" s="25">
        <v>6</v>
      </c>
      <c r="C14" s="25" t="s">
        <v>6968</v>
      </c>
      <c r="D14" s="25"/>
    </row>
    <row r="15" ht="14">
      <c r="A15" s="25" t="s">
        <v>6969</v>
      </c>
      <c r="B15" s="25">
        <v>0</v>
      </c>
      <c r="C15" s="25" t="s">
        <v>6970</v>
      </c>
      <c r="D15" s="25"/>
    </row>
    <row r="16" ht="28">
      <c r="A16" s="25" t="s">
        <v>6971</v>
      </c>
      <c r="B16" s="25" t="s">
        <v>6972</v>
      </c>
      <c r="C16" s="25" t="s">
        <v>6973</v>
      </c>
      <c r="D16" s="25"/>
    </row>
    <row r="17">
      <c r="A17" s="25"/>
      <c r="B17" s="25"/>
      <c r="C17" s="25"/>
      <c r="D17" s="25"/>
    </row>
    <row r="18" ht="14">
      <c r="A18" s="30" t="s">
        <v>6974</v>
      </c>
      <c r="B18" s="30" t="s">
        <v>6975</v>
      </c>
      <c r="C18" s="30"/>
      <c r="D18" s="30"/>
    </row>
    <row r="19" ht="14">
      <c r="A19" s="25" t="s">
        <v>2710</v>
      </c>
      <c r="B19" s="25">
        <v>23</v>
      </c>
      <c r="C19" s="25"/>
      <c r="D19" s="25"/>
    </row>
    <row r="20" ht="14">
      <c r="A20" s="25" t="s">
        <v>2444</v>
      </c>
      <c r="B20" s="25" t="n">
        <v>137</v>
      </c>
      <c r="C20" s="25"/>
      <c r="D20" s="25"/>
    </row>
    <row r="21" ht="14">
      <c r="A21" s="25" t="s">
        <v>2669</v>
      </c>
      <c r="B21" s="25" t="n">
        <v>0</v>
      </c>
      <c r="C21" s="25"/>
      <c r="D21" s="25"/>
    </row>
    <row r="22" ht="14">
      <c r="A22" s="25" t="s">
        <v>6976</v>
      </c>
      <c r="B22" s="25" t="n">
        <v>2</v>
      </c>
      <c r="C22" s="25"/>
      <c r="D22" s="25"/>
    </row>
    <row r="23">
      <c r="A23" s="25"/>
      <c r="B23" s="25"/>
      <c r="C23" s="25"/>
      <c r="D23" s="25"/>
    </row>
    <row r="24" ht="14">
      <c r="A24" s="30" t="s">
        <v>6977</v>
      </c>
      <c r="B24" s="30" t="s">
        <v>6975</v>
      </c>
      <c r="C24" s="30"/>
      <c r="D24" s="30"/>
    </row>
    <row r="25" ht="14">
      <c r="A25" s="25" t="s">
        <v>6978</v>
      </c>
      <c r="B25" s="25">
        <v>1</v>
      </c>
      <c r="C25" s="25"/>
      <c r="D25" s="25"/>
    </row>
    <row r="26" ht="14">
      <c r="A26" s="25" t="s">
        <v>6979</v>
      </c>
      <c r="B26" s="25">
        <v>24</v>
      </c>
      <c r="C26" s="25"/>
      <c r="D26" s="25"/>
    </row>
    <row r="27" ht="14">
      <c r="A27" s="25" t="s">
        <v>78</v>
      </c>
      <c r="B27" s="25">
        <v>106</v>
      </c>
      <c r="C27" s="25"/>
      <c r="D27" s="25"/>
    </row>
    <row r="28" ht="14">
      <c r="A28" s="25" t="s">
        <v>6980</v>
      </c>
      <c r="B28" s="25">
        <v>6</v>
      </c>
      <c r="C28" s="25"/>
      <c r="D28" s="25"/>
    </row>
    <row r="29" ht="14">
      <c r="A29" s="25" t="s">
        <v>6981</v>
      </c>
      <c r="B29" s="25">
        <v>2</v>
      </c>
      <c r="C29" s="25"/>
      <c r="D29" s="25"/>
    </row>
    <row r="30" ht="14">
      <c r="A30" s="25" t="s">
        <v>6982</v>
      </c>
      <c r="B30" s="25">
        <v>1</v>
      </c>
      <c r="C30" s="25"/>
      <c r="D30" s="25"/>
    </row>
    <row r="31" ht="14">
      <c r="A31" s="25" t="s">
        <v>69</v>
      </c>
      <c r="B31" s="25">
        <v>15</v>
      </c>
      <c r="C31" s="25"/>
      <c r="D31" s="25"/>
    </row>
    <row r="32">
      <c r="A32" s="74" t="str">
        <v>Missing Canonical Capability</v>
      </c>
      <c r="B32" s="74">
        <v>7</v>
      </c>
      <c r="C32" s="74" t="s">
        <v>7406</v>
      </c>
      <c r="D32" s="25"/>
    </row>
    <row r="33">
      <c r="A33" s="74" t="str">
        <v>Management &amp; Governance modules added</v>
      </c>
      <c r="B33" s="74">
        <v>6</v>
      </c>
      <c r="C33" s="74" t="s">
        <v>7407</v>
      </c>
      <c r="D33" s="25"/>
    </row>
    <row r="34">
      <c r="A34" s="74" t="str">
        <v>Management &amp; Governance subdomains mapped</v>
      </c>
      <c r="B34" s="74" t="n">
        <v>10</v>
      </c>
      <c r="C34" s="74" t="str">
        <v>Complete logical-domain mapping added</v>
      </c>
      <c r="D34" s="25"/>
    </row>
    <row r="35">
      <c r="A35" s="74" t="str">
        <v>Management &amp; Governance capability gaps resolved</v>
      </c>
      <c r="B35" s="74" t="n">
        <v>6</v>
      </c>
      <c r="C35" s="74" t="str">
        <v>Strategy, DWS, BPM, cadence, authority and charters</v>
      </c>
      <c r="D35" s="25"/>
    </row>
    <row r="36">
      <c r="A36" s="74" t="str">
        <v>Management &amp; Governance new module pages</v>
      </c>
      <c r="B36" s="74">
        <v>60</v>
      </c>
      <c r="C36" s="74" t="s">
        <v>7408</v>
      </c>
      <c r="D36" s="25"/>
    </row>
    <row r="37">
      <c r="A37" s="74" t="str">
        <v>Management &amp; Governance object catalog additions</v>
      </c>
      <c r="B37" s="74">
        <v>30</v>
      </c>
      <c r="C37" s="74" t="s">
        <v>7409</v>
      </c>
      <c r="D37" s="25"/>
    </row>
    <row r="38">
      <c r="A38" s="25" t="s">
        <v>7410</v>
      </c>
      <c r="B38" s="25">
        <v>1</v>
      </c>
      <c r="C38" s="25" t="s">
        <v>7411</v>
      </c>
      <c r="D38" s="25"/>
    </row>
    <row r="39">
      <c r="A39" s="79" t="str">
        <v>Status</v>
      </c>
      <c r="B39" s="79" t="str">
        <v>Count</v>
      </c>
      <c r="C39" s="79"/>
      <c r="D39" s="25"/>
    </row>
    <row r="40">
      <c r="A40" s="74" t="str">
        <v>Open</v>
      </c>
      <c r="B40" s="74">
        <v>154</v>
      </c>
      <c r="C40" s="74"/>
      <c r="D40" s="25"/>
    </row>
    <row r="41">
      <c r="A41" s="74" t="str">
        <v>Resolved</v>
      </c>
      <c r="B41" s="74" t="n">
        <v>6</v>
      </c>
      <c r="C41" s="74"/>
    </row>
    <row r="42">
      <c r="A42" s="74" t="str">
        <v>Confirmed</v>
      </c>
      <c r="B42" s="74" t="n">
        <v>2</v>
      </c>
      <c r="C42" s="74"/>
    </row>
  </sheetData>
  <mergeCells>
    <mergeCell ref="A1:D1"/>
  </mergeCells>
  <pageMargins left="0.7" right="0.7" top="0.75" bottom="0.75" header="0.3" footer="0.3"/>
</worksheet>
</file>

<file path=xl/worksheets/sheet28.xml><?xml version="1.0" encoding="utf-8"?>
<worksheet xmlns="http://schemas.openxmlformats.org/spreadsheetml/2006/main" xmlns:r="http://schemas.openxmlformats.org/officeDocument/2006/relationships">
  <sheetFormatPr baseColWidth="10" defaultColWidth="8.83203125" defaultRowHeight="13"/>
  <cols>
    <col min="1" max="2" width="10" customWidth="1"/>
    <col min="3" max="3" width="24" customWidth="1"/>
    <col min="4" max="4" width="16" customWidth="1"/>
    <col min="5" max="5" width="34" customWidth="1"/>
    <col min="6" max="7" width="30" customWidth="1"/>
    <col min="8" max="9" width="44" customWidth="1"/>
    <col min="10" max="10" width="50" customWidth="1"/>
    <col min="11" max="11" width="28" customWidth="1"/>
    <col min="12" max="12" width="12" customWidth="1"/>
    <col min="13" max="13" width="16" customWidth="1"/>
    <col min="14" max="14" width="40" customWidth="1"/>
  </cols>
  <sheetData>
    <row r="1" ht="32" customHeight="1">
      <c r="A1" s="31" t="s">
        <v>6983</v>
      </c>
      <c r="B1" s="31" t="s">
        <v>6974</v>
      </c>
      <c r="C1" s="31" t="s">
        <v>6977</v>
      </c>
      <c r="D1" s="31" t="s">
        <v>6984</v>
      </c>
      <c r="E1" s="31" t="s">
        <v>6985</v>
      </c>
      <c r="F1" s="31" t="s">
        <v>4030</v>
      </c>
      <c r="G1" s="31" t="s">
        <v>6986</v>
      </c>
      <c r="H1" s="31" t="s">
        <v>6987</v>
      </c>
      <c r="I1" s="31" t="s">
        <v>6988</v>
      </c>
      <c r="J1" s="31" t="s">
        <v>6989</v>
      </c>
      <c r="K1" s="31" t="s">
        <v>6990</v>
      </c>
      <c r="L1" s="31" t="s">
        <v>3946</v>
      </c>
      <c r="M1" s="31" t="s">
        <v>6991</v>
      </c>
      <c r="N1" s="31" t="s">
        <v>4093</v>
      </c>
    </row>
    <row r="2" ht="60" customHeight="1">
      <c r="A2" s="25" t="s">
        <v>6992</v>
      </c>
      <c r="B2" s="25" t="s">
        <v>2710</v>
      </c>
      <c r="C2" s="25" t="s">
        <v>6982</v>
      </c>
      <c r="D2" s="25" t="s">
        <v>6993</v>
      </c>
      <c r="E2" s="25" t="s">
        <v>6994</v>
      </c>
      <c r="F2" s="25" t="s">
        <v>6995</v>
      </c>
      <c r="G2" s="25" t="s">
        <v>6996</v>
      </c>
      <c r="H2" s="25" t="s">
        <v>6997</v>
      </c>
      <c r="I2" s="25" t="s">
        <v>6998</v>
      </c>
      <c r="J2" s="25" t="s">
        <v>6999</v>
      </c>
      <c r="K2" s="25" t="s">
        <v>7000</v>
      </c>
      <c r="L2" s="25" t="s">
        <v>7001</v>
      </c>
      <c r="M2" s="25" t="s">
        <v>7002</v>
      </c>
      <c r="N2" s="25" t="s">
        <v>7003</v>
      </c>
    </row>
    <row r="3" ht="60" customHeight="1">
      <c r="A3" s="25" t="s">
        <v>7004</v>
      </c>
      <c r="B3" s="25" t="s">
        <v>2710</v>
      </c>
      <c r="C3" s="25" t="s">
        <v>6979</v>
      </c>
      <c r="D3" s="25" t="s">
        <v>3295</v>
      </c>
      <c r="E3" s="25" t="s">
        <v>3298</v>
      </c>
      <c r="F3" s="25" t="s">
        <v>958</v>
      </c>
      <c r="G3" s="25" t="s">
        <v>3296</v>
      </c>
      <c r="H3" s="25" t="s">
        <v>7005</v>
      </c>
      <c r="I3" s="25" t="s">
        <v>7006</v>
      </c>
      <c r="J3" s="25" t="s">
        <v>7007</v>
      </c>
      <c r="K3" s="25" t="s">
        <v>7008</v>
      </c>
      <c r="L3" s="25" t="s">
        <v>7001</v>
      </c>
      <c r="M3" s="25" t="s">
        <v>7002</v>
      </c>
      <c r="N3" s="25" t="s">
        <v>7009</v>
      </c>
    </row>
    <row r="4" ht="60" customHeight="1">
      <c r="A4" s="25" t="s">
        <v>7010</v>
      </c>
      <c r="B4" s="25" t="s">
        <v>2710</v>
      </c>
      <c r="C4" s="25" t="s">
        <v>6979</v>
      </c>
      <c r="D4" s="25" t="s">
        <v>3308</v>
      </c>
      <c r="E4" s="25" t="s">
        <v>3310</v>
      </c>
      <c r="F4" s="25" t="s">
        <v>958</v>
      </c>
      <c r="G4" s="25" t="s">
        <v>3296</v>
      </c>
      <c r="H4" s="25" t="s">
        <v>7005</v>
      </c>
      <c r="I4" s="25" t="s">
        <v>7006</v>
      </c>
      <c r="J4" s="25" t="s">
        <v>7007</v>
      </c>
      <c r="K4" s="25" t="s">
        <v>7008</v>
      </c>
      <c r="L4" s="25" t="s">
        <v>7001</v>
      </c>
      <c r="M4" s="25" t="s">
        <v>7002</v>
      </c>
      <c r="N4" s="25" t="s">
        <v>7009</v>
      </c>
    </row>
    <row r="5" ht="60" customHeight="1">
      <c r="A5" s="25" t="s">
        <v>7011</v>
      </c>
      <c r="B5" s="25" t="s">
        <v>2710</v>
      </c>
      <c r="C5" s="25" t="s">
        <v>6979</v>
      </c>
      <c r="D5" s="25" t="s">
        <v>3319</v>
      </c>
      <c r="E5" s="25" t="s">
        <v>3320</v>
      </c>
      <c r="F5" s="25" t="s">
        <v>958</v>
      </c>
      <c r="G5" s="25" t="s">
        <v>3296</v>
      </c>
      <c r="H5" s="25" t="s">
        <v>7005</v>
      </c>
      <c r="I5" s="25" t="s">
        <v>7006</v>
      </c>
      <c r="J5" s="25" t="s">
        <v>7007</v>
      </c>
      <c r="K5" s="25" t="s">
        <v>7008</v>
      </c>
      <c r="L5" s="25" t="s">
        <v>7001</v>
      </c>
      <c r="M5" s="25" t="s">
        <v>7002</v>
      </c>
      <c r="N5" s="25" t="s">
        <v>7009</v>
      </c>
    </row>
    <row r="6" ht="60" customHeight="1">
      <c r="A6" s="25" t="s">
        <v>7012</v>
      </c>
      <c r="B6" s="25" t="s">
        <v>2444</v>
      </c>
      <c r="C6" s="25" t="s">
        <v>6979</v>
      </c>
      <c r="D6" s="25" t="s">
        <v>3329</v>
      </c>
      <c r="E6" s="25" t="s">
        <v>3332</v>
      </c>
      <c r="F6" s="25" t="s">
        <v>958</v>
      </c>
      <c r="G6" s="25" t="s">
        <v>3330</v>
      </c>
      <c r="H6" s="25" t="s">
        <v>7005</v>
      </c>
      <c r="I6" s="25" t="s">
        <v>7006</v>
      </c>
      <c r="J6" s="25" t="s">
        <v>7013</v>
      </c>
      <c r="K6" s="25" t="s">
        <v>7008</v>
      </c>
      <c r="L6" s="25" t="s">
        <v>7001</v>
      </c>
      <c r="M6" s="25" t="s">
        <v>7002</v>
      </c>
      <c r="N6" s="25" t="s">
        <v>7014</v>
      </c>
    </row>
    <row r="7" ht="60" customHeight="1">
      <c r="A7" s="25" t="s">
        <v>7015</v>
      </c>
      <c r="B7" s="25" t="s">
        <v>2444</v>
      </c>
      <c r="C7" s="25" t="s">
        <v>6979</v>
      </c>
      <c r="D7" s="25" t="s">
        <v>3344</v>
      </c>
      <c r="E7" s="25" t="s">
        <v>3345</v>
      </c>
      <c r="F7" s="25" t="s">
        <v>958</v>
      </c>
      <c r="G7" s="25" t="s">
        <v>3330</v>
      </c>
      <c r="H7" s="25" t="s">
        <v>7005</v>
      </c>
      <c r="I7" s="25" t="s">
        <v>7006</v>
      </c>
      <c r="J7" s="25" t="s">
        <v>7013</v>
      </c>
      <c r="K7" s="25" t="s">
        <v>7008</v>
      </c>
      <c r="L7" s="25" t="s">
        <v>7001</v>
      </c>
      <c r="M7" s="25" t="s">
        <v>7002</v>
      </c>
      <c r="N7" s="25" t="s">
        <v>7014</v>
      </c>
    </row>
    <row r="8" ht="60" customHeight="1">
      <c r="A8" s="25" t="s">
        <v>7016</v>
      </c>
      <c r="B8" s="25" t="s">
        <v>2444</v>
      </c>
      <c r="C8" s="25" t="s">
        <v>6979</v>
      </c>
      <c r="D8" s="25" t="s">
        <v>3356</v>
      </c>
      <c r="E8" s="25" t="s">
        <v>3357</v>
      </c>
      <c r="F8" s="25" t="s">
        <v>958</v>
      </c>
      <c r="G8" s="25" t="s">
        <v>3330</v>
      </c>
      <c r="H8" s="25" t="s">
        <v>7005</v>
      </c>
      <c r="I8" s="25" t="s">
        <v>7006</v>
      </c>
      <c r="J8" s="25" t="s">
        <v>7013</v>
      </c>
      <c r="K8" s="25" t="s">
        <v>7008</v>
      </c>
      <c r="L8" s="25" t="s">
        <v>7001</v>
      </c>
      <c r="M8" s="25" t="s">
        <v>7002</v>
      </c>
      <c r="N8" s="25" t="s">
        <v>7014</v>
      </c>
    </row>
    <row r="9" ht="60" customHeight="1">
      <c r="A9" s="25" t="s">
        <v>7017</v>
      </c>
      <c r="B9" s="25" t="s">
        <v>2710</v>
      </c>
      <c r="C9" s="25" t="s">
        <v>6979</v>
      </c>
      <c r="D9" s="25" t="s">
        <v>3366</v>
      </c>
      <c r="E9" s="25" t="s">
        <v>3367</v>
      </c>
      <c r="F9" s="25" t="s">
        <v>958</v>
      </c>
      <c r="G9" s="25" t="s">
        <v>3330</v>
      </c>
      <c r="H9" s="25" t="s">
        <v>7005</v>
      </c>
      <c r="I9" s="25" t="s">
        <v>7006</v>
      </c>
      <c r="J9" s="25" t="s">
        <v>7007</v>
      </c>
      <c r="K9" s="25" t="s">
        <v>7008</v>
      </c>
      <c r="L9" s="25" t="s">
        <v>7001</v>
      </c>
      <c r="M9" s="25" t="s">
        <v>7002</v>
      </c>
      <c r="N9" s="25" t="s">
        <v>7009</v>
      </c>
    </row>
    <row r="10" ht="60" customHeight="1">
      <c r="A10" s="25" t="s">
        <v>7018</v>
      </c>
      <c r="B10" s="25" t="s">
        <v>2444</v>
      </c>
      <c r="C10" s="25" t="s">
        <v>6979</v>
      </c>
      <c r="D10" s="25" t="s">
        <v>3379</v>
      </c>
      <c r="E10" s="25" t="s">
        <v>3382</v>
      </c>
      <c r="F10" s="25" t="s">
        <v>958</v>
      </c>
      <c r="G10" s="25" t="s">
        <v>3380</v>
      </c>
      <c r="H10" s="25" t="s">
        <v>7005</v>
      </c>
      <c r="I10" s="25" t="s">
        <v>7006</v>
      </c>
      <c r="J10" s="25" t="s">
        <v>7013</v>
      </c>
      <c r="K10" s="25" t="s">
        <v>7008</v>
      </c>
      <c r="L10" s="25" t="s">
        <v>7001</v>
      </c>
      <c r="M10" s="25" t="s">
        <v>7002</v>
      </c>
      <c r="N10" s="25" t="s">
        <v>7014</v>
      </c>
    </row>
    <row r="11" ht="60" customHeight="1">
      <c r="A11" s="25" t="s">
        <v>7019</v>
      </c>
      <c r="B11" s="25" t="s">
        <v>2710</v>
      </c>
      <c r="C11" s="25" t="s">
        <v>6979</v>
      </c>
      <c r="D11" s="25" t="s">
        <v>3391</v>
      </c>
      <c r="E11" s="25" t="s">
        <v>3392</v>
      </c>
      <c r="F11" s="25" t="s">
        <v>958</v>
      </c>
      <c r="G11" s="25" t="s">
        <v>3380</v>
      </c>
      <c r="H11" s="25" t="s">
        <v>7005</v>
      </c>
      <c r="I11" s="25" t="s">
        <v>7006</v>
      </c>
      <c r="J11" s="25" t="s">
        <v>7007</v>
      </c>
      <c r="K11" s="25" t="s">
        <v>7008</v>
      </c>
      <c r="L11" s="25" t="s">
        <v>7001</v>
      </c>
      <c r="M11" s="25" t="s">
        <v>7002</v>
      </c>
      <c r="N11" s="25" t="s">
        <v>7009</v>
      </c>
    </row>
    <row r="12" ht="60" customHeight="1">
      <c r="A12" s="25" t="s">
        <v>7020</v>
      </c>
      <c r="B12" s="25" t="s">
        <v>2710</v>
      </c>
      <c r="C12" s="25" t="s">
        <v>6979</v>
      </c>
      <c r="D12" s="25" t="s">
        <v>3403</v>
      </c>
      <c r="E12" s="25" t="s">
        <v>3406</v>
      </c>
      <c r="F12" s="25" t="s">
        <v>958</v>
      </c>
      <c r="G12" s="25" t="s">
        <v>3404</v>
      </c>
      <c r="H12" s="25" t="s">
        <v>7005</v>
      </c>
      <c r="I12" s="25" t="s">
        <v>7006</v>
      </c>
      <c r="J12" s="25" t="s">
        <v>7007</v>
      </c>
      <c r="K12" s="25" t="s">
        <v>7008</v>
      </c>
      <c r="L12" s="25" t="s">
        <v>7001</v>
      </c>
      <c r="M12" s="25" t="s">
        <v>7002</v>
      </c>
      <c r="N12" s="25" t="s">
        <v>7009</v>
      </c>
    </row>
    <row r="13" ht="60" customHeight="1">
      <c r="A13" s="25" t="s">
        <v>7021</v>
      </c>
      <c r="B13" s="25" t="s">
        <v>2710</v>
      </c>
      <c r="C13" s="25" t="s">
        <v>6979</v>
      </c>
      <c r="D13" s="25" t="s">
        <v>3417</v>
      </c>
      <c r="E13" s="25" t="s">
        <v>3418</v>
      </c>
      <c r="F13" s="25" t="s">
        <v>958</v>
      </c>
      <c r="G13" s="25" t="s">
        <v>3404</v>
      </c>
      <c r="H13" s="25" t="s">
        <v>7005</v>
      </c>
      <c r="I13" s="25" t="s">
        <v>7006</v>
      </c>
      <c r="J13" s="25" t="s">
        <v>7007</v>
      </c>
      <c r="K13" s="25" t="s">
        <v>7008</v>
      </c>
      <c r="L13" s="25" t="s">
        <v>7001</v>
      </c>
      <c r="M13" s="25" t="s">
        <v>7002</v>
      </c>
      <c r="N13" s="25" t="s">
        <v>7009</v>
      </c>
    </row>
    <row r="14" ht="60" customHeight="1">
      <c r="A14" s="25" t="s">
        <v>7022</v>
      </c>
      <c r="B14" s="25" t="s">
        <v>2444</v>
      </c>
      <c r="C14" s="25" t="s">
        <v>6979</v>
      </c>
      <c r="D14" s="25" t="s">
        <v>3429</v>
      </c>
      <c r="E14" s="25" t="s">
        <v>3430</v>
      </c>
      <c r="F14" s="25" t="s">
        <v>958</v>
      </c>
      <c r="G14" s="25" t="s">
        <v>3404</v>
      </c>
      <c r="H14" s="25" t="s">
        <v>7005</v>
      </c>
      <c r="I14" s="25" t="s">
        <v>7006</v>
      </c>
      <c r="J14" s="25" t="s">
        <v>7013</v>
      </c>
      <c r="K14" s="25" t="s">
        <v>7008</v>
      </c>
      <c r="L14" s="25" t="s">
        <v>7001</v>
      </c>
      <c r="M14" s="25" t="s">
        <v>7002</v>
      </c>
      <c r="N14" s="25" t="s">
        <v>7014</v>
      </c>
    </row>
    <row r="15" ht="60" customHeight="1">
      <c r="A15" s="25" t="s">
        <v>7023</v>
      </c>
      <c r="B15" s="25" t="s">
        <v>2444</v>
      </c>
      <c r="C15" s="25" t="s">
        <v>6979</v>
      </c>
      <c r="D15" s="25" t="s">
        <v>3440</v>
      </c>
      <c r="E15" s="25" t="s">
        <v>3441</v>
      </c>
      <c r="F15" s="25" t="s">
        <v>958</v>
      </c>
      <c r="G15" s="25" t="s">
        <v>3404</v>
      </c>
      <c r="H15" s="25" t="s">
        <v>7005</v>
      </c>
      <c r="I15" s="25" t="s">
        <v>7006</v>
      </c>
      <c r="J15" s="25" t="s">
        <v>7013</v>
      </c>
      <c r="K15" s="25" t="s">
        <v>7008</v>
      </c>
      <c r="L15" s="25" t="s">
        <v>7001</v>
      </c>
      <c r="M15" s="25" t="s">
        <v>7002</v>
      </c>
      <c r="N15" s="25" t="s">
        <v>7014</v>
      </c>
    </row>
    <row r="16" ht="60" customHeight="1">
      <c r="A16" s="25" t="s">
        <v>7024</v>
      </c>
      <c r="B16" s="25" t="s">
        <v>2710</v>
      </c>
      <c r="C16" s="25" t="s">
        <v>6979</v>
      </c>
      <c r="D16" s="25" t="s">
        <v>3451</v>
      </c>
      <c r="E16" s="25" t="s">
        <v>3452</v>
      </c>
      <c r="F16" s="25" t="s">
        <v>958</v>
      </c>
      <c r="G16" s="25" t="s">
        <v>3452</v>
      </c>
      <c r="H16" s="25" t="s">
        <v>7005</v>
      </c>
      <c r="I16" s="25" t="s">
        <v>7006</v>
      </c>
      <c r="J16" s="25" t="s">
        <v>7007</v>
      </c>
      <c r="K16" s="25" t="s">
        <v>7008</v>
      </c>
      <c r="L16" s="25" t="s">
        <v>7001</v>
      </c>
      <c r="M16" s="25" t="s">
        <v>7002</v>
      </c>
      <c r="N16" s="25" t="s">
        <v>7009</v>
      </c>
    </row>
    <row r="17" ht="60" customHeight="1">
      <c r="A17" s="25" t="s">
        <v>7025</v>
      </c>
      <c r="B17" s="25" t="s">
        <v>2710</v>
      </c>
      <c r="C17" s="25" t="s">
        <v>6979</v>
      </c>
      <c r="D17" s="25" t="s">
        <v>3465</v>
      </c>
      <c r="E17" s="25" t="s">
        <v>3466</v>
      </c>
      <c r="F17" s="25" t="s">
        <v>958</v>
      </c>
      <c r="G17" s="25" t="s">
        <v>3452</v>
      </c>
      <c r="H17" s="25" t="s">
        <v>7005</v>
      </c>
      <c r="I17" s="25" t="s">
        <v>7006</v>
      </c>
      <c r="J17" s="25" t="s">
        <v>7007</v>
      </c>
      <c r="K17" s="25" t="s">
        <v>7008</v>
      </c>
      <c r="L17" s="25" t="s">
        <v>7001</v>
      </c>
      <c r="M17" s="25" t="s">
        <v>7002</v>
      </c>
      <c r="N17" s="25" t="s">
        <v>7009</v>
      </c>
    </row>
    <row r="18" ht="60" customHeight="1">
      <c r="A18" s="25" t="s">
        <v>7026</v>
      </c>
      <c r="B18" s="25" t="s">
        <v>2710</v>
      </c>
      <c r="C18" s="25" t="s">
        <v>6979</v>
      </c>
      <c r="D18" s="25" t="s">
        <v>3477</v>
      </c>
      <c r="E18" s="25" t="s">
        <v>3480</v>
      </c>
      <c r="F18" s="25" t="s">
        <v>958</v>
      </c>
      <c r="G18" s="25" t="s">
        <v>3478</v>
      </c>
      <c r="H18" s="25" t="s">
        <v>7005</v>
      </c>
      <c r="I18" s="25" t="s">
        <v>7006</v>
      </c>
      <c r="J18" s="25" t="s">
        <v>7007</v>
      </c>
      <c r="K18" s="25" t="s">
        <v>7008</v>
      </c>
      <c r="L18" s="25" t="s">
        <v>7001</v>
      </c>
      <c r="M18" s="25" t="s">
        <v>7002</v>
      </c>
      <c r="N18" s="25" t="s">
        <v>7009</v>
      </c>
    </row>
    <row r="19" ht="60" customHeight="1">
      <c r="A19" s="25" t="s">
        <v>7027</v>
      </c>
      <c r="B19" s="25" t="s">
        <v>2710</v>
      </c>
      <c r="C19" s="25" t="s">
        <v>6979</v>
      </c>
      <c r="D19" s="25" t="s">
        <v>3492</v>
      </c>
      <c r="E19" s="25" t="s">
        <v>3493</v>
      </c>
      <c r="F19" s="25" t="s">
        <v>958</v>
      </c>
      <c r="G19" s="25" t="s">
        <v>3478</v>
      </c>
      <c r="H19" s="25" t="s">
        <v>7005</v>
      </c>
      <c r="I19" s="25" t="s">
        <v>7006</v>
      </c>
      <c r="J19" s="25" t="s">
        <v>7007</v>
      </c>
      <c r="K19" s="25" t="s">
        <v>7008</v>
      </c>
      <c r="L19" s="25" t="s">
        <v>7001</v>
      </c>
      <c r="M19" s="25" t="s">
        <v>7002</v>
      </c>
      <c r="N19" s="25" t="s">
        <v>7009</v>
      </c>
    </row>
    <row r="20" ht="60" customHeight="1">
      <c r="A20" s="25" t="s">
        <v>7028</v>
      </c>
      <c r="B20" s="25" t="s">
        <v>2710</v>
      </c>
      <c r="C20" s="25" t="s">
        <v>6979</v>
      </c>
      <c r="D20" s="25" t="s">
        <v>3505</v>
      </c>
      <c r="E20" s="25" t="s">
        <v>3506</v>
      </c>
      <c r="F20" s="25" t="s">
        <v>958</v>
      </c>
      <c r="G20" s="25" t="s">
        <v>3478</v>
      </c>
      <c r="H20" s="25" t="s">
        <v>7005</v>
      </c>
      <c r="I20" s="25" t="s">
        <v>7006</v>
      </c>
      <c r="J20" s="25" t="s">
        <v>7007</v>
      </c>
      <c r="K20" s="25" t="s">
        <v>7008</v>
      </c>
      <c r="L20" s="25" t="s">
        <v>7001</v>
      </c>
      <c r="M20" s="25" t="s">
        <v>7002</v>
      </c>
      <c r="N20" s="25" t="s">
        <v>7009</v>
      </c>
    </row>
    <row r="21" ht="60" customHeight="1">
      <c r="A21" s="25" t="s">
        <v>7029</v>
      </c>
      <c r="B21" s="25" t="s">
        <v>2444</v>
      </c>
      <c r="C21" s="25" t="s">
        <v>6979</v>
      </c>
      <c r="D21" s="25" t="s">
        <v>3516</v>
      </c>
      <c r="E21" s="25" t="s">
        <v>3518</v>
      </c>
      <c r="F21" s="25" t="s">
        <v>958</v>
      </c>
      <c r="G21" s="25" t="s">
        <v>3026</v>
      </c>
      <c r="H21" s="25" t="s">
        <v>7005</v>
      </c>
      <c r="I21" s="25" t="s">
        <v>7006</v>
      </c>
      <c r="J21" s="25" t="s">
        <v>7030</v>
      </c>
      <c r="K21" s="25" t="s">
        <v>7008</v>
      </c>
      <c r="L21" s="25" t="s">
        <v>7001</v>
      </c>
      <c r="M21" s="25" t="s">
        <v>7002</v>
      </c>
      <c r="N21" s="25" t="s">
        <v>7031</v>
      </c>
    </row>
    <row r="22" ht="60" customHeight="1">
      <c r="A22" s="25" t="s">
        <v>7032</v>
      </c>
      <c r="B22" s="25" t="s">
        <v>2444</v>
      </c>
      <c r="C22" s="25" t="s">
        <v>6979</v>
      </c>
      <c r="D22" s="25" t="s">
        <v>3530</v>
      </c>
      <c r="E22" s="25" t="s">
        <v>3532</v>
      </c>
      <c r="F22" s="25" t="s">
        <v>958</v>
      </c>
      <c r="G22" s="25" t="s">
        <v>3026</v>
      </c>
      <c r="H22" s="25" t="s">
        <v>7005</v>
      </c>
      <c r="I22" s="25" t="s">
        <v>7006</v>
      </c>
      <c r="J22" s="25" t="s">
        <v>7013</v>
      </c>
      <c r="K22" s="25" t="s">
        <v>7008</v>
      </c>
      <c r="L22" s="25" t="s">
        <v>7001</v>
      </c>
      <c r="M22" s="25" t="s">
        <v>7002</v>
      </c>
      <c r="N22" s="25" t="s">
        <v>7014</v>
      </c>
    </row>
    <row r="23" ht="60" customHeight="1">
      <c r="A23" s="25" t="s">
        <v>7033</v>
      </c>
      <c r="B23" s="25" t="s">
        <v>2444</v>
      </c>
      <c r="C23" s="25" t="s">
        <v>6979</v>
      </c>
      <c r="D23" s="25" t="s">
        <v>3544</v>
      </c>
      <c r="E23" s="25" t="s">
        <v>3547</v>
      </c>
      <c r="F23" s="25" t="s">
        <v>958</v>
      </c>
      <c r="G23" s="25" t="s">
        <v>3545</v>
      </c>
      <c r="H23" s="25" t="s">
        <v>7005</v>
      </c>
      <c r="I23" s="25" t="s">
        <v>7006</v>
      </c>
      <c r="J23" s="25" t="s">
        <v>7030</v>
      </c>
      <c r="K23" s="25" t="s">
        <v>7008</v>
      </c>
      <c r="L23" s="25" t="s">
        <v>7001</v>
      </c>
      <c r="M23" s="25" t="s">
        <v>7002</v>
      </c>
      <c r="N23" s="25" t="s">
        <v>7034</v>
      </c>
    </row>
    <row r="24" ht="60" customHeight="1">
      <c r="A24" s="25" t="s">
        <v>7035</v>
      </c>
      <c r="B24" s="25" t="s">
        <v>2444</v>
      </c>
      <c r="C24" s="25" t="s">
        <v>6979</v>
      </c>
      <c r="D24" s="25" t="s">
        <v>3560</v>
      </c>
      <c r="E24" s="25" t="s">
        <v>3561</v>
      </c>
      <c r="F24" s="25" t="s">
        <v>958</v>
      </c>
      <c r="G24" s="25" t="s">
        <v>3545</v>
      </c>
      <c r="H24" s="25" t="s">
        <v>7005</v>
      </c>
      <c r="I24" s="25" t="s">
        <v>7006</v>
      </c>
      <c r="J24" s="25" t="s">
        <v>7013</v>
      </c>
      <c r="K24" s="25" t="s">
        <v>7008</v>
      </c>
      <c r="L24" s="25" t="s">
        <v>7001</v>
      </c>
      <c r="M24" s="25" t="s">
        <v>7002</v>
      </c>
      <c r="N24" s="25" t="s">
        <v>7014</v>
      </c>
    </row>
    <row r="25" ht="60" customHeight="1">
      <c r="A25" s="25" t="s">
        <v>7036</v>
      </c>
      <c r="B25" s="25" t="s">
        <v>2710</v>
      </c>
      <c r="C25" s="25" t="s">
        <v>6979</v>
      </c>
      <c r="D25" s="25" t="s">
        <v>3573</v>
      </c>
      <c r="E25" s="25" t="s">
        <v>3576</v>
      </c>
      <c r="F25" s="25" t="s">
        <v>958</v>
      </c>
      <c r="G25" s="25" t="s">
        <v>3574</v>
      </c>
      <c r="H25" s="25" t="s">
        <v>7005</v>
      </c>
      <c r="I25" s="25" t="s">
        <v>7006</v>
      </c>
      <c r="J25" s="25" t="s">
        <v>7007</v>
      </c>
      <c r="K25" s="25" t="s">
        <v>7008</v>
      </c>
      <c r="L25" s="25" t="s">
        <v>7001</v>
      </c>
      <c r="M25" s="25" t="s">
        <v>7002</v>
      </c>
      <c r="N25" s="25" t="s">
        <v>7009</v>
      </c>
    </row>
    <row r="26" ht="60" customHeight="1">
      <c r="A26" s="25" t="s">
        <v>7037</v>
      </c>
      <c r="B26" s="25" t="s">
        <v>2444</v>
      </c>
      <c r="C26" s="25" t="s">
        <v>6979</v>
      </c>
      <c r="D26" s="25" t="s">
        <v>3587</v>
      </c>
      <c r="E26" s="25" t="s">
        <v>3588</v>
      </c>
      <c r="F26" s="25" t="s">
        <v>958</v>
      </c>
      <c r="G26" s="25" t="s">
        <v>3404</v>
      </c>
      <c r="H26" s="25" t="s">
        <v>7005</v>
      </c>
      <c r="I26" s="25" t="s">
        <v>7006</v>
      </c>
      <c r="J26" s="25" t="s">
        <v>7013</v>
      </c>
      <c r="K26" s="25" t="s">
        <v>7008</v>
      </c>
      <c r="L26" s="25" t="s">
        <v>7001</v>
      </c>
      <c r="M26" s="25" t="s">
        <v>7002</v>
      </c>
      <c r="N26" s="25" t="s">
        <v>7014</v>
      </c>
    </row>
    <row r="27" ht="60" customHeight="1">
      <c r="A27" s="25" t="s">
        <v>7038</v>
      </c>
      <c r="B27" s="25" t="s">
        <v>2444</v>
      </c>
      <c r="C27" s="25" t="s">
        <v>78</v>
      </c>
      <c r="D27" s="25" t="s">
        <v>2104</v>
      </c>
      <c r="E27" s="25" t="s">
        <v>177</v>
      </c>
      <c r="F27" s="25" t="s">
        <v>160</v>
      </c>
      <c r="G27" s="25" t="s">
        <v>162</v>
      </c>
      <c r="H27" s="25" t="s">
        <v>7039</v>
      </c>
      <c r="I27" s="25" t="s">
        <v>7040</v>
      </c>
      <c r="J27" s="25" t="s">
        <v>7041</v>
      </c>
      <c r="K27" s="25" t="s">
        <v>2074</v>
      </c>
      <c r="L27" s="25" t="s">
        <v>7001</v>
      </c>
      <c r="M27" s="25" t="s">
        <v>7042</v>
      </c>
      <c r="N27" s="25" t="s">
        <v>7043</v>
      </c>
    </row>
    <row r="28" ht="60" customHeight="1">
      <c r="A28" s="25" t="s">
        <v>7044</v>
      </c>
      <c r="B28" s="25" t="s">
        <v>2444</v>
      </c>
      <c r="C28" s="25" t="s">
        <v>78</v>
      </c>
      <c r="D28" s="25" t="s">
        <v>2127</v>
      </c>
      <c r="E28" s="25" t="s">
        <v>231</v>
      </c>
      <c r="F28" s="25" t="s">
        <v>160</v>
      </c>
      <c r="G28" s="25" t="s">
        <v>217</v>
      </c>
      <c r="H28" s="25" t="s">
        <v>7045</v>
      </c>
      <c r="I28" s="25" t="s">
        <v>7040</v>
      </c>
      <c r="J28" s="25" t="s">
        <v>7041</v>
      </c>
      <c r="K28" s="25" t="s">
        <v>2074</v>
      </c>
      <c r="L28" s="25" t="s">
        <v>7001</v>
      </c>
      <c r="M28" s="25" t="s">
        <v>7042</v>
      </c>
      <c r="N28" s="25" t="s">
        <v>7043</v>
      </c>
    </row>
    <row r="29" ht="60" customHeight="1">
      <c r="A29" s="25" t="s">
        <v>7046</v>
      </c>
      <c r="B29" s="25" t="s">
        <v>2444</v>
      </c>
      <c r="C29" s="25" t="s">
        <v>78</v>
      </c>
      <c r="D29" s="25" t="s">
        <v>2161</v>
      </c>
      <c r="E29" s="25" t="s">
        <v>313</v>
      </c>
      <c r="F29" s="25" t="s">
        <v>160</v>
      </c>
      <c r="G29" s="25" t="s">
        <v>304</v>
      </c>
      <c r="H29" s="25" t="s">
        <v>7047</v>
      </c>
      <c r="I29" s="25" t="s">
        <v>7040</v>
      </c>
      <c r="J29" s="25" t="s">
        <v>7041</v>
      </c>
      <c r="K29" s="25" t="s">
        <v>2074</v>
      </c>
      <c r="L29" s="25" t="s">
        <v>7001</v>
      </c>
      <c r="M29" s="25" t="s">
        <v>7042</v>
      </c>
      <c r="N29" s="25" t="s">
        <v>7043</v>
      </c>
    </row>
    <row r="30" ht="60" customHeight="1">
      <c r="A30" s="25" t="s">
        <v>7048</v>
      </c>
      <c r="B30" s="25" t="s">
        <v>2444</v>
      </c>
      <c r="C30" s="25" t="s">
        <v>78</v>
      </c>
      <c r="D30" s="25" t="s">
        <v>2164</v>
      </c>
      <c r="E30" s="25" t="s">
        <v>322</v>
      </c>
      <c r="F30" s="25" t="s">
        <v>160</v>
      </c>
      <c r="G30" s="25" t="s">
        <v>320</v>
      </c>
      <c r="H30" s="25" t="s">
        <v>7047</v>
      </c>
      <c r="I30" s="25" t="s">
        <v>7040</v>
      </c>
      <c r="J30" s="25" t="s">
        <v>7041</v>
      </c>
      <c r="K30" s="25" t="s">
        <v>2074</v>
      </c>
      <c r="L30" s="25" t="s">
        <v>7001</v>
      </c>
      <c r="M30" s="25" t="s">
        <v>7042</v>
      </c>
      <c r="N30" s="25" t="s">
        <v>7049</v>
      </c>
    </row>
    <row r="31" ht="60" customHeight="1">
      <c r="A31" s="25" t="s">
        <v>7050</v>
      </c>
      <c r="B31" s="25" t="s">
        <v>2444</v>
      </c>
      <c r="C31" s="25" t="s">
        <v>78</v>
      </c>
      <c r="D31" s="25" t="s">
        <v>2167</v>
      </c>
      <c r="E31" s="25" t="s">
        <v>332</v>
      </c>
      <c r="F31" s="25" t="s">
        <v>160</v>
      </c>
      <c r="G31" s="25" t="s">
        <v>330</v>
      </c>
      <c r="H31" s="25" t="s">
        <v>7051</v>
      </c>
      <c r="I31" s="25" t="s">
        <v>7040</v>
      </c>
      <c r="J31" s="25" t="s">
        <v>7041</v>
      </c>
      <c r="K31" s="25" t="s">
        <v>2074</v>
      </c>
      <c r="L31" s="25" t="s">
        <v>7001</v>
      </c>
      <c r="M31" s="25" t="s">
        <v>7042</v>
      </c>
      <c r="N31" s="25" t="s">
        <v>7049</v>
      </c>
    </row>
    <row r="32" ht="60" customHeight="1">
      <c r="A32" s="25" t="s">
        <v>7052</v>
      </c>
      <c r="B32" s="25" t="s">
        <v>2444</v>
      </c>
      <c r="C32" s="25" t="s">
        <v>78</v>
      </c>
      <c r="D32" s="25" t="s">
        <v>2174</v>
      </c>
      <c r="E32" s="25" t="s">
        <v>351</v>
      </c>
      <c r="F32" s="25" t="s">
        <v>160</v>
      </c>
      <c r="G32" s="25" t="s">
        <v>341</v>
      </c>
      <c r="H32" s="25" t="s">
        <v>7053</v>
      </c>
      <c r="I32" s="25" t="s">
        <v>7040</v>
      </c>
      <c r="J32" s="25" t="s">
        <v>7041</v>
      </c>
      <c r="K32" s="25" t="s">
        <v>2074</v>
      </c>
      <c r="L32" s="25" t="s">
        <v>7001</v>
      </c>
      <c r="M32" s="25" t="s">
        <v>7042</v>
      </c>
      <c r="N32" s="25" t="s">
        <v>7054</v>
      </c>
    </row>
    <row r="33" ht="60" customHeight="1">
      <c r="A33" s="25" t="s">
        <v>7055</v>
      </c>
      <c r="B33" s="25" t="s">
        <v>2444</v>
      </c>
      <c r="C33" s="25" t="s">
        <v>78</v>
      </c>
      <c r="D33" s="25" t="s">
        <v>2180</v>
      </c>
      <c r="E33" s="25" t="s">
        <v>363</v>
      </c>
      <c r="F33" s="25" t="s">
        <v>160</v>
      </c>
      <c r="G33" s="25" t="s">
        <v>341</v>
      </c>
      <c r="H33" s="25" t="s">
        <v>7056</v>
      </c>
      <c r="I33" s="25" t="s">
        <v>7040</v>
      </c>
      <c r="J33" s="25" t="s">
        <v>7041</v>
      </c>
      <c r="K33" s="25" t="s">
        <v>2074</v>
      </c>
      <c r="L33" s="25" t="s">
        <v>7001</v>
      </c>
      <c r="M33" s="25" t="s">
        <v>7042</v>
      </c>
      <c r="N33" s="25" t="s">
        <v>7054</v>
      </c>
    </row>
    <row r="34" ht="60" customHeight="1">
      <c r="A34" s="25" t="s">
        <v>7057</v>
      </c>
      <c r="B34" s="25" t="s">
        <v>2444</v>
      </c>
      <c r="C34" s="25" t="s">
        <v>78</v>
      </c>
      <c r="D34" s="25" t="s">
        <v>2184</v>
      </c>
      <c r="E34" s="25" t="s">
        <v>369</v>
      </c>
      <c r="F34" s="25" t="s">
        <v>160</v>
      </c>
      <c r="G34" s="25" t="s">
        <v>341</v>
      </c>
      <c r="H34" s="25" t="s">
        <v>7058</v>
      </c>
      <c r="I34" s="25" t="s">
        <v>7040</v>
      </c>
      <c r="J34" s="25" t="s">
        <v>7041</v>
      </c>
      <c r="K34" s="25" t="s">
        <v>2074</v>
      </c>
      <c r="L34" s="25" t="s">
        <v>7001</v>
      </c>
      <c r="M34" s="25" t="s">
        <v>7042</v>
      </c>
      <c r="N34" s="25" t="s">
        <v>7049</v>
      </c>
    </row>
    <row r="35" ht="60" customHeight="1">
      <c r="A35" s="25" t="s">
        <v>7059</v>
      </c>
      <c r="B35" s="25" t="s">
        <v>2444</v>
      </c>
      <c r="C35" s="25" t="s">
        <v>78</v>
      </c>
      <c r="D35" s="25" t="s">
        <v>2188</v>
      </c>
      <c r="E35" s="25" t="s">
        <v>378</v>
      </c>
      <c r="F35" s="25" t="s">
        <v>160</v>
      </c>
      <c r="G35" s="25" t="s">
        <v>376</v>
      </c>
      <c r="H35" s="25" t="s">
        <v>7060</v>
      </c>
      <c r="I35" s="25" t="s">
        <v>7040</v>
      </c>
      <c r="J35" s="25" t="s">
        <v>7041</v>
      </c>
      <c r="K35" s="25" t="s">
        <v>2074</v>
      </c>
      <c r="L35" s="25" t="s">
        <v>7001</v>
      </c>
      <c r="M35" s="25" t="s">
        <v>7042</v>
      </c>
      <c r="N35" s="25" t="s">
        <v>7054</v>
      </c>
    </row>
    <row r="36" ht="60" customHeight="1">
      <c r="A36" s="25" t="s">
        <v>7061</v>
      </c>
      <c r="B36" s="25" t="s">
        <v>2444</v>
      </c>
      <c r="C36" s="25" t="s">
        <v>78</v>
      </c>
      <c r="D36" s="25" t="s">
        <v>2209</v>
      </c>
      <c r="E36" s="25" t="s">
        <v>432</v>
      </c>
      <c r="F36" s="25" t="s">
        <v>160</v>
      </c>
      <c r="G36" s="25" t="s">
        <v>430</v>
      </c>
      <c r="H36" s="25" t="s">
        <v>7062</v>
      </c>
      <c r="I36" s="25" t="s">
        <v>7040</v>
      </c>
      <c r="J36" s="25" t="s">
        <v>7041</v>
      </c>
      <c r="K36" s="25" t="s">
        <v>2074</v>
      </c>
      <c r="L36" s="25" t="s">
        <v>7001</v>
      </c>
      <c r="M36" s="25" t="s">
        <v>7042</v>
      </c>
      <c r="N36" s="25" t="s">
        <v>7043</v>
      </c>
    </row>
    <row r="37" ht="60" customHeight="1">
      <c r="A37" s="25" t="s">
        <v>7063</v>
      </c>
      <c r="B37" s="25" t="s">
        <v>2444</v>
      </c>
      <c r="C37" s="25" t="s">
        <v>78</v>
      </c>
      <c r="D37" s="25" t="s">
        <v>2212</v>
      </c>
      <c r="E37" s="25" t="s">
        <v>439</v>
      </c>
      <c r="F37" s="25" t="s">
        <v>160</v>
      </c>
      <c r="G37" s="25" t="s">
        <v>430</v>
      </c>
      <c r="H37" s="25" t="s">
        <v>7064</v>
      </c>
      <c r="I37" s="25" t="s">
        <v>7040</v>
      </c>
      <c r="J37" s="25" t="s">
        <v>7041</v>
      </c>
      <c r="K37" s="25" t="s">
        <v>2074</v>
      </c>
      <c r="L37" s="25" t="s">
        <v>7001</v>
      </c>
      <c r="M37" s="25" t="s">
        <v>7042</v>
      </c>
      <c r="N37" s="25" t="s">
        <v>7049</v>
      </c>
    </row>
    <row r="38" ht="60" customHeight="1">
      <c r="A38" s="25" t="s">
        <v>7065</v>
      </c>
      <c r="B38" s="25" t="s">
        <v>2444</v>
      </c>
      <c r="C38" s="25" t="s">
        <v>78</v>
      </c>
      <c r="D38" s="25" t="s">
        <v>2215</v>
      </c>
      <c r="E38" s="25" t="s">
        <v>447</v>
      </c>
      <c r="F38" s="25" t="s">
        <v>160</v>
      </c>
      <c r="G38" s="25" t="s">
        <v>430</v>
      </c>
      <c r="H38" s="25" t="s">
        <v>7066</v>
      </c>
      <c r="I38" s="25" t="s">
        <v>7040</v>
      </c>
      <c r="J38" s="25" t="s">
        <v>7041</v>
      </c>
      <c r="K38" s="25" t="s">
        <v>2074</v>
      </c>
      <c r="L38" s="25" t="s">
        <v>7001</v>
      </c>
      <c r="M38" s="25" t="s">
        <v>7042</v>
      </c>
      <c r="N38" s="25" t="s">
        <v>7049</v>
      </c>
    </row>
    <row r="39" ht="60" customHeight="1">
      <c r="A39" s="25" t="s">
        <v>7067</v>
      </c>
      <c r="B39" s="25" t="s">
        <v>2444</v>
      </c>
      <c r="C39" s="25" t="s">
        <v>78</v>
      </c>
      <c r="D39" s="25" t="s">
        <v>2218</v>
      </c>
      <c r="E39" s="25" t="s">
        <v>455</v>
      </c>
      <c r="F39" s="25" t="s">
        <v>160</v>
      </c>
      <c r="G39" s="25" t="s">
        <v>430</v>
      </c>
      <c r="H39" s="25" t="s">
        <v>7068</v>
      </c>
      <c r="I39" s="25" t="s">
        <v>7040</v>
      </c>
      <c r="J39" s="25" t="s">
        <v>7041</v>
      </c>
      <c r="K39" s="25" t="s">
        <v>2220</v>
      </c>
      <c r="L39" s="25" t="s">
        <v>7001</v>
      </c>
      <c r="M39" s="25" t="s">
        <v>7042</v>
      </c>
      <c r="N39" s="25" t="s">
        <v>7049</v>
      </c>
    </row>
    <row r="40" ht="60" customHeight="1">
      <c r="A40" s="25" t="s">
        <v>7069</v>
      </c>
      <c r="B40" s="25" t="s">
        <v>2444</v>
      </c>
      <c r="C40" s="25" t="s">
        <v>78</v>
      </c>
      <c r="D40" s="25" t="s">
        <v>2230</v>
      </c>
      <c r="E40" s="25" t="s">
        <v>475</v>
      </c>
      <c r="F40" s="25" t="s">
        <v>463</v>
      </c>
      <c r="G40" s="25" t="s">
        <v>465</v>
      </c>
      <c r="H40" s="25" t="s">
        <v>7070</v>
      </c>
      <c r="I40" s="25" t="s">
        <v>7040</v>
      </c>
      <c r="J40" s="25" t="s">
        <v>7041</v>
      </c>
      <c r="K40" s="25" t="s">
        <v>2226</v>
      </c>
      <c r="L40" s="25" t="s">
        <v>7001</v>
      </c>
      <c r="M40" s="25" t="s">
        <v>7042</v>
      </c>
      <c r="N40" s="25" t="s">
        <v>7049</v>
      </c>
    </row>
    <row r="41" ht="60" customHeight="1">
      <c r="A41" s="25" t="s">
        <v>7071</v>
      </c>
      <c r="B41" s="25" t="s">
        <v>2444</v>
      </c>
      <c r="C41" s="25" t="s">
        <v>78</v>
      </c>
      <c r="D41" s="25" t="s">
        <v>2233</v>
      </c>
      <c r="E41" s="25" t="s">
        <v>481</v>
      </c>
      <c r="F41" s="25" t="s">
        <v>463</v>
      </c>
      <c r="G41" s="25" t="s">
        <v>465</v>
      </c>
      <c r="H41" s="25" t="s">
        <v>7072</v>
      </c>
      <c r="I41" s="25" t="s">
        <v>7040</v>
      </c>
      <c r="J41" s="25" t="s">
        <v>7041</v>
      </c>
      <c r="K41" s="25" t="s">
        <v>2226</v>
      </c>
      <c r="L41" s="25" t="s">
        <v>7001</v>
      </c>
      <c r="M41" s="25" t="s">
        <v>7042</v>
      </c>
      <c r="N41" s="25" t="s">
        <v>7049</v>
      </c>
    </row>
    <row r="42" ht="60" customHeight="1">
      <c r="A42" s="25" t="s">
        <v>7073</v>
      </c>
      <c r="B42" s="25" t="s">
        <v>2444</v>
      </c>
      <c r="C42" s="25" t="s">
        <v>78</v>
      </c>
      <c r="D42" s="25" t="s">
        <v>2236</v>
      </c>
      <c r="E42" s="25" t="s">
        <v>488</v>
      </c>
      <c r="F42" s="25" t="s">
        <v>463</v>
      </c>
      <c r="G42" s="25" t="s">
        <v>465</v>
      </c>
      <c r="H42" s="25" t="s">
        <v>7072</v>
      </c>
      <c r="I42" s="25" t="s">
        <v>7040</v>
      </c>
      <c r="J42" s="25" t="s">
        <v>7041</v>
      </c>
      <c r="K42" s="25" t="s">
        <v>2226</v>
      </c>
      <c r="L42" s="25" t="s">
        <v>7001</v>
      </c>
      <c r="M42" s="25" t="s">
        <v>7042</v>
      </c>
      <c r="N42" s="25" t="s">
        <v>7049</v>
      </c>
    </row>
    <row r="43" ht="60" customHeight="1">
      <c r="A43" s="25" t="s">
        <v>7074</v>
      </c>
      <c r="B43" s="25" t="s">
        <v>2444</v>
      </c>
      <c r="C43" s="25" t="s">
        <v>78</v>
      </c>
      <c r="D43" s="25" t="s">
        <v>2239</v>
      </c>
      <c r="E43" s="25" t="s">
        <v>496</v>
      </c>
      <c r="F43" s="25" t="s">
        <v>463</v>
      </c>
      <c r="G43" s="25" t="s">
        <v>494</v>
      </c>
      <c r="H43" s="25" t="s">
        <v>7070</v>
      </c>
      <c r="I43" s="25" t="s">
        <v>7040</v>
      </c>
      <c r="J43" s="25" t="s">
        <v>7041</v>
      </c>
      <c r="K43" s="25" t="s">
        <v>2226</v>
      </c>
      <c r="L43" s="25" t="s">
        <v>7001</v>
      </c>
      <c r="M43" s="25" t="s">
        <v>7042</v>
      </c>
      <c r="N43" s="25" t="s">
        <v>7043</v>
      </c>
    </row>
    <row r="44" ht="60" customHeight="1">
      <c r="A44" s="25" t="s">
        <v>7075</v>
      </c>
      <c r="B44" s="25" t="s">
        <v>2444</v>
      </c>
      <c r="C44" s="25" t="s">
        <v>78</v>
      </c>
      <c r="D44" s="25" t="s">
        <v>2245</v>
      </c>
      <c r="E44" s="25" t="s">
        <v>508</v>
      </c>
      <c r="F44" s="25" t="s">
        <v>463</v>
      </c>
      <c r="G44" s="25" t="s">
        <v>494</v>
      </c>
      <c r="H44" s="25" t="s">
        <v>7070</v>
      </c>
      <c r="I44" s="25" t="s">
        <v>7040</v>
      </c>
      <c r="J44" s="25" t="s">
        <v>7041</v>
      </c>
      <c r="K44" s="25" t="s">
        <v>2226</v>
      </c>
      <c r="L44" s="25" t="s">
        <v>7001</v>
      </c>
      <c r="M44" s="25" t="s">
        <v>7042</v>
      </c>
      <c r="N44" s="25" t="s">
        <v>7043</v>
      </c>
    </row>
    <row r="45" ht="60" customHeight="1">
      <c r="A45" s="25" t="s">
        <v>7076</v>
      </c>
      <c r="B45" s="25" t="s">
        <v>2444</v>
      </c>
      <c r="C45" s="25" t="s">
        <v>78</v>
      </c>
      <c r="D45" s="25" t="s">
        <v>2251</v>
      </c>
      <c r="E45" s="25" t="s">
        <v>524</v>
      </c>
      <c r="F45" s="25" t="s">
        <v>463</v>
      </c>
      <c r="G45" s="25" t="s">
        <v>522</v>
      </c>
      <c r="H45" s="25" t="s">
        <v>7047</v>
      </c>
      <c r="I45" s="25" t="s">
        <v>7040</v>
      </c>
      <c r="J45" s="25" t="s">
        <v>7041</v>
      </c>
      <c r="K45" s="25" t="s">
        <v>2226</v>
      </c>
      <c r="L45" s="25" t="s">
        <v>7001</v>
      </c>
      <c r="M45" s="25" t="s">
        <v>7042</v>
      </c>
      <c r="N45" s="25" t="s">
        <v>7049</v>
      </c>
    </row>
    <row r="46" ht="60" customHeight="1">
      <c r="A46" s="25" t="s">
        <v>7077</v>
      </c>
      <c r="B46" s="25" t="s">
        <v>2444</v>
      </c>
      <c r="C46" s="25" t="s">
        <v>78</v>
      </c>
      <c r="D46" s="25" t="s">
        <v>2254</v>
      </c>
      <c r="E46" s="25" t="s">
        <v>532</v>
      </c>
      <c r="F46" s="25" t="s">
        <v>463</v>
      </c>
      <c r="G46" s="25" t="s">
        <v>522</v>
      </c>
      <c r="H46" s="25" t="s">
        <v>7078</v>
      </c>
      <c r="I46" s="25" t="s">
        <v>7040</v>
      </c>
      <c r="J46" s="25" t="s">
        <v>7041</v>
      </c>
      <c r="K46" s="25" t="s">
        <v>2226</v>
      </c>
      <c r="L46" s="25" t="s">
        <v>7001</v>
      </c>
      <c r="M46" s="25" t="s">
        <v>7042</v>
      </c>
      <c r="N46" s="25" t="s">
        <v>7049</v>
      </c>
    </row>
    <row r="47" ht="60" customHeight="1">
      <c r="A47" s="25" t="s">
        <v>7079</v>
      </c>
      <c r="B47" s="25" t="s">
        <v>2444</v>
      </c>
      <c r="C47" s="25" t="s">
        <v>78</v>
      </c>
      <c r="D47" s="25" t="s">
        <v>2257</v>
      </c>
      <c r="E47" s="25" t="s">
        <v>538</v>
      </c>
      <c r="F47" s="25" t="s">
        <v>463</v>
      </c>
      <c r="G47" s="25" t="s">
        <v>522</v>
      </c>
      <c r="H47" s="25" t="s">
        <v>7080</v>
      </c>
      <c r="I47" s="25" t="s">
        <v>7040</v>
      </c>
      <c r="J47" s="25" t="s">
        <v>7041</v>
      </c>
      <c r="K47" s="25" t="s">
        <v>2226</v>
      </c>
      <c r="L47" s="25" t="s">
        <v>7001</v>
      </c>
      <c r="M47" s="25" t="s">
        <v>7042</v>
      </c>
      <c r="N47" s="25" t="s">
        <v>7049</v>
      </c>
    </row>
    <row r="48" ht="60" customHeight="1">
      <c r="A48" s="25" t="s">
        <v>7081</v>
      </c>
      <c r="B48" s="25" t="s">
        <v>2444</v>
      </c>
      <c r="C48" s="25" t="s">
        <v>78</v>
      </c>
      <c r="D48" s="25" t="s">
        <v>2266</v>
      </c>
      <c r="E48" s="25" t="s">
        <v>561</v>
      </c>
      <c r="F48" s="25" t="s">
        <v>463</v>
      </c>
      <c r="G48" s="25" t="s">
        <v>546</v>
      </c>
      <c r="H48" s="25" t="s">
        <v>7082</v>
      </c>
      <c r="I48" s="25" t="s">
        <v>7040</v>
      </c>
      <c r="J48" s="25" t="s">
        <v>7041</v>
      </c>
      <c r="K48" s="25" t="s">
        <v>2226</v>
      </c>
      <c r="L48" s="25" t="s">
        <v>7001</v>
      </c>
      <c r="M48" s="25" t="s">
        <v>7042</v>
      </c>
      <c r="N48" s="25" t="s">
        <v>7049</v>
      </c>
    </row>
    <row r="49" ht="60" customHeight="1">
      <c r="A49" s="25" t="s">
        <v>7083</v>
      </c>
      <c r="B49" s="25" t="s">
        <v>2444</v>
      </c>
      <c r="C49" s="25" t="s">
        <v>78</v>
      </c>
      <c r="D49" s="25" t="s">
        <v>2269</v>
      </c>
      <c r="E49" s="25" t="s">
        <v>569</v>
      </c>
      <c r="F49" s="25" t="s">
        <v>463</v>
      </c>
      <c r="G49" s="25" t="s">
        <v>546</v>
      </c>
      <c r="H49" s="25" t="s">
        <v>7084</v>
      </c>
      <c r="I49" s="25" t="s">
        <v>7040</v>
      </c>
      <c r="J49" s="25" t="s">
        <v>7041</v>
      </c>
      <c r="K49" s="25" t="s">
        <v>2226</v>
      </c>
      <c r="L49" s="25" t="s">
        <v>7001</v>
      </c>
      <c r="M49" s="25" t="s">
        <v>7042</v>
      </c>
      <c r="N49" s="25" t="s">
        <v>7049</v>
      </c>
    </row>
    <row r="50" ht="60" customHeight="1">
      <c r="A50" s="25" t="s">
        <v>7085</v>
      </c>
      <c r="B50" s="25" t="s">
        <v>2444</v>
      </c>
      <c r="C50" s="25" t="s">
        <v>78</v>
      </c>
      <c r="D50" s="25" t="s">
        <v>2272</v>
      </c>
      <c r="E50" s="25" t="s">
        <v>580</v>
      </c>
      <c r="F50" s="25" t="s">
        <v>463</v>
      </c>
      <c r="G50" s="25" t="s">
        <v>578</v>
      </c>
      <c r="H50" s="25" t="s">
        <v>7086</v>
      </c>
      <c r="I50" s="25" t="s">
        <v>7040</v>
      </c>
      <c r="J50" s="25" t="s">
        <v>7041</v>
      </c>
      <c r="K50" s="25" t="s">
        <v>2226</v>
      </c>
      <c r="L50" s="25" t="s">
        <v>7001</v>
      </c>
      <c r="M50" s="25" t="s">
        <v>7042</v>
      </c>
      <c r="N50" s="25" t="s">
        <v>7043</v>
      </c>
    </row>
    <row r="51" ht="60" customHeight="1">
      <c r="A51" s="25" t="s">
        <v>7087</v>
      </c>
      <c r="B51" s="25" t="s">
        <v>2444</v>
      </c>
      <c r="C51" s="25" t="s">
        <v>78</v>
      </c>
      <c r="D51" s="25" t="s">
        <v>2275</v>
      </c>
      <c r="E51" s="25" t="s">
        <v>587</v>
      </c>
      <c r="F51" s="25" t="s">
        <v>463</v>
      </c>
      <c r="G51" s="25" t="s">
        <v>578</v>
      </c>
      <c r="H51" s="25" t="s">
        <v>7088</v>
      </c>
      <c r="I51" s="25" t="s">
        <v>7040</v>
      </c>
      <c r="J51" s="25" t="s">
        <v>7041</v>
      </c>
      <c r="K51" s="25" t="s">
        <v>2226</v>
      </c>
      <c r="L51" s="25" t="s">
        <v>7001</v>
      </c>
      <c r="M51" s="25" t="s">
        <v>7042</v>
      </c>
      <c r="N51" s="25" t="s">
        <v>7043</v>
      </c>
    </row>
    <row r="52" ht="60" customHeight="1">
      <c r="A52" s="25" t="s">
        <v>7089</v>
      </c>
      <c r="B52" s="25" t="s">
        <v>2444</v>
      </c>
      <c r="C52" s="25" t="s">
        <v>78</v>
      </c>
      <c r="D52" s="25" t="s">
        <v>2278</v>
      </c>
      <c r="E52" s="25" t="s">
        <v>593</v>
      </c>
      <c r="F52" s="25" t="s">
        <v>463</v>
      </c>
      <c r="G52" s="25" t="s">
        <v>578</v>
      </c>
      <c r="H52" s="25" t="s">
        <v>7090</v>
      </c>
      <c r="I52" s="25" t="s">
        <v>7040</v>
      </c>
      <c r="J52" s="25" t="s">
        <v>7041</v>
      </c>
      <c r="K52" s="25" t="s">
        <v>2226</v>
      </c>
      <c r="L52" s="25" t="s">
        <v>7001</v>
      </c>
      <c r="M52" s="25" t="s">
        <v>7042</v>
      </c>
      <c r="N52" s="25" t="s">
        <v>7049</v>
      </c>
    </row>
    <row r="53" ht="60" customHeight="1">
      <c r="A53" s="25" t="s">
        <v>7091</v>
      </c>
      <c r="B53" s="25" t="s">
        <v>2444</v>
      </c>
      <c r="C53" s="25" t="s">
        <v>78</v>
      </c>
      <c r="D53" s="25" t="s">
        <v>2281</v>
      </c>
      <c r="E53" s="25" t="s">
        <v>602</v>
      </c>
      <c r="F53" s="25" t="s">
        <v>463</v>
      </c>
      <c r="G53" s="25" t="s">
        <v>600</v>
      </c>
      <c r="H53" s="25" t="s">
        <v>7092</v>
      </c>
      <c r="I53" s="25" t="s">
        <v>7040</v>
      </c>
      <c r="J53" s="25" t="s">
        <v>7041</v>
      </c>
      <c r="K53" s="25" t="s">
        <v>2226</v>
      </c>
      <c r="L53" s="25" t="s">
        <v>7001</v>
      </c>
      <c r="M53" s="25" t="s">
        <v>7042</v>
      </c>
      <c r="N53" s="25" t="s">
        <v>7049</v>
      </c>
    </row>
    <row r="54" ht="60" customHeight="1">
      <c r="A54" s="25" t="s">
        <v>7093</v>
      </c>
      <c r="B54" s="25" t="s">
        <v>2444</v>
      </c>
      <c r="C54" s="25" t="s">
        <v>78</v>
      </c>
      <c r="D54" s="25" t="s">
        <v>2284</v>
      </c>
      <c r="E54" s="25" t="s">
        <v>610</v>
      </c>
      <c r="F54" s="25" t="s">
        <v>463</v>
      </c>
      <c r="G54" s="25" t="s">
        <v>600</v>
      </c>
      <c r="H54" s="25" t="s">
        <v>7094</v>
      </c>
      <c r="I54" s="25" t="s">
        <v>7040</v>
      </c>
      <c r="J54" s="25" t="s">
        <v>7041</v>
      </c>
      <c r="K54" s="25" t="s">
        <v>2226</v>
      </c>
      <c r="L54" s="25" t="s">
        <v>7001</v>
      </c>
      <c r="M54" s="25" t="s">
        <v>7042</v>
      </c>
      <c r="N54" s="25" t="s">
        <v>7049</v>
      </c>
    </row>
    <row r="55" ht="60" customHeight="1">
      <c r="A55" s="25" t="s">
        <v>7095</v>
      </c>
      <c r="B55" s="25" t="s">
        <v>2444</v>
      </c>
      <c r="C55" s="25" t="s">
        <v>78</v>
      </c>
      <c r="D55" s="25" t="s">
        <v>2290</v>
      </c>
      <c r="E55" s="25" t="s">
        <v>624</v>
      </c>
      <c r="F55" s="25" t="s">
        <v>463</v>
      </c>
      <c r="G55" s="25" t="s">
        <v>600</v>
      </c>
      <c r="H55" s="25" t="s">
        <v>7096</v>
      </c>
      <c r="I55" s="25" t="s">
        <v>7040</v>
      </c>
      <c r="J55" s="25" t="s">
        <v>7041</v>
      </c>
      <c r="K55" s="25" t="s">
        <v>2226</v>
      </c>
      <c r="L55" s="25" t="s">
        <v>7001</v>
      </c>
      <c r="M55" s="25" t="s">
        <v>7042</v>
      </c>
      <c r="N55" s="25" t="s">
        <v>7049</v>
      </c>
    </row>
    <row r="56" ht="60" customHeight="1">
      <c r="A56" s="25" t="s">
        <v>7097</v>
      </c>
      <c r="B56" s="25" t="s">
        <v>2444</v>
      </c>
      <c r="C56" s="25" t="s">
        <v>78</v>
      </c>
      <c r="D56" s="25" t="s">
        <v>2293</v>
      </c>
      <c r="E56" s="25" t="s">
        <v>634</v>
      </c>
      <c r="F56" s="25" t="s">
        <v>463</v>
      </c>
      <c r="G56" s="25" t="s">
        <v>632</v>
      </c>
      <c r="H56" s="25" t="s">
        <v>7092</v>
      </c>
      <c r="I56" s="25" t="s">
        <v>7040</v>
      </c>
      <c r="J56" s="25" t="s">
        <v>7041</v>
      </c>
      <c r="K56" s="25" t="s">
        <v>2226</v>
      </c>
      <c r="L56" s="25" t="s">
        <v>7001</v>
      </c>
      <c r="M56" s="25" t="s">
        <v>7042</v>
      </c>
      <c r="N56" s="25" t="s">
        <v>7049</v>
      </c>
    </row>
    <row r="57" ht="60" customHeight="1">
      <c r="A57" s="25" t="s">
        <v>7098</v>
      </c>
      <c r="B57" s="25" t="s">
        <v>2444</v>
      </c>
      <c r="C57" s="25" t="s">
        <v>78</v>
      </c>
      <c r="D57" s="25" t="s">
        <v>2296</v>
      </c>
      <c r="E57" s="25" t="s">
        <v>641</v>
      </c>
      <c r="F57" s="25" t="s">
        <v>463</v>
      </c>
      <c r="G57" s="25" t="s">
        <v>632</v>
      </c>
      <c r="H57" s="25" t="s">
        <v>7099</v>
      </c>
      <c r="I57" s="25" t="s">
        <v>7040</v>
      </c>
      <c r="J57" s="25" t="s">
        <v>7041</v>
      </c>
      <c r="K57" s="25" t="s">
        <v>2226</v>
      </c>
      <c r="L57" s="25" t="s">
        <v>7001</v>
      </c>
      <c r="M57" s="25" t="s">
        <v>7042</v>
      </c>
      <c r="N57" s="25" t="s">
        <v>7049</v>
      </c>
    </row>
    <row r="58" ht="60" customHeight="1">
      <c r="A58" s="25" t="s">
        <v>7100</v>
      </c>
      <c r="B58" s="25" t="s">
        <v>2444</v>
      </c>
      <c r="C58" s="25" t="s">
        <v>78</v>
      </c>
      <c r="D58" s="25" t="s">
        <v>2302</v>
      </c>
      <c r="E58" s="25" t="s">
        <v>656</v>
      </c>
      <c r="F58" s="25" t="s">
        <v>463</v>
      </c>
      <c r="G58" s="25" t="s">
        <v>654</v>
      </c>
      <c r="H58" s="25" t="s">
        <v>7084</v>
      </c>
      <c r="I58" s="25" t="s">
        <v>7040</v>
      </c>
      <c r="J58" s="25" t="s">
        <v>7041</v>
      </c>
      <c r="K58" s="25" t="s">
        <v>2226</v>
      </c>
      <c r="L58" s="25" t="s">
        <v>7001</v>
      </c>
      <c r="M58" s="25" t="s">
        <v>7042</v>
      </c>
      <c r="N58" s="25" t="s">
        <v>7049</v>
      </c>
    </row>
    <row r="59" ht="60" customHeight="1">
      <c r="A59" s="25" t="s">
        <v>7101</v>
      </c>
      <c r="B59" s="25" t="s">
        <v>2444</v>
      </c>
      <c r="C59" s="25" t="s">
        <v>78</v>
      </c>
      <c r="D59" s="25" t="s">
        <v>2305</v>
      </c>
      <c r="E59" s="25" t="s">
        <v>664</v>
      </c>
      <c r="F59" s="25" t="s">
        <v>463</v>
      </c>
      <c r="G59" s="25" t="s">
        <v>654</v>
      </c>
      <c r="H59" s="25" t="s">
        <v>7102</v>
      </c>
      <c r="I59" s="25" t="s">
        <v>7040</v>
      </c>
      <c r="J59" s="25" t="s">
        <v>7041</v>
      </c>
      <c r="K59" s="25" t="s">
        <v>2226</v>
      </c>
      <c r="L59" s="25" t="s">
        <v>7001</v>
      </c>
      <c r="M59" s="25" t="s">
        <v>7042</v>
      </c>
      <c r="N59" s="25" t="s">
        <v>7049</v>
      </c>
    </row>
    <row r="60" ht="60" customHeight="1">
      <c r="A60" s="25" t="s">
        <v>7103</v>
      </c>
      <c r="B60" s="25" t="s">
        <v>2444</v>
      </c>
      <c r="C60" s="25" t="s">
        <v>78</v>
      </c>
      <c r="D60" s="25" t="s">
        <v>2308</v>
      </c>
      <c r="E60" s="25" t="s">
        <v>671</v>
      </c>
      <c r="F60" s="25" t="s">
        <v>463</v>
      </c>
      <c r="G60" s="25" t="s">
        <v>654</v>
      </c>
      <c r="H60" s="25" t="s">
        <v>7104</v>
      </c>
      <c r="I60" s="25" t="s">
        <v>7040</v>
      </c>
      <c r="J60" s="25" t="s">
        <v>7041</v>
      </c>
      <c r="K60" s="25" t="s">
        <v>2226</v>
      </c>
      <c r="L60" s="25" t="s">
        <v>7001</v>
      </c>
      <c r="M60" s="25" t="s">
        <v>7042</v>
      </c>
      <c r="N60" s="25" t="s">
        <v>7049</v>
      </c>
    </row>
    <row r="61" ht="60" customHeight="1">
      <c r="A61" s="25" t="s">
        <v>7105</v>
      </c>
      <c r="B61" s="25" t="s">
        <v>2444</v>
      </c>
      <c r="C61" s="25" t="s">
        <v>78</v>
      </c>
      <c r="D61" s="25" t="s">
        <v>2340</v>
      </c>
      <c r="E61" s="25" t="s">
        <v>749</v>
      </c>
      <c r="F61" s="25" t="s">
        <v>679</v>
      </c>
      <c r="G61" s="25" t="s">
        <v>734</v>
      </c>
      <c r="H61" s="25" t="s">
        <v>7106</v>
      </c>
      <c r="I61" s="25" t="s">
        <v>7040</v>
      </c>
      <c r="J61" s="25" t="s">
        <v>7041</v>
      </c>
      <c r="K61" s="25" t="s">
        <v>2220</v>
      </c>
      <c r="L61" s="25" t="s">
        <v>7001</v>
      </c>
      <c r="M61" s="25" t="s">
        <v>7042</v>
      </c>
      <c r="N61" s="25" t="s">
        <v>7049</v>
      </c>
    </row>
    <row r="62" ht="60" customHeight="1">
      <c r="A62" s="25" t="s">
        <v>7107</v>
      </c>
      <c r="B62" s="25" t="s">
        <v>2444</v>
      </c>
      <c r="C62" s="25" t="s">
        <v>78</v>
      </c>
      <c r="D62" s="25" t="s">
        <v>2439</v>
      </c>
      <c r="E62" s="25" t="s">
        <v>973</v>
      </c>
      <c r="F62" s="25" t="s">
        <v>958</v>
      </c>
      <c r="G62" s="25" t="s">
        <v>971</v>
      </c>
      <c r="H62" s="25" t="s">
        <v>7070</v>
      </c>
      <c r="I62" s="25" t="s">
        <v>7040</v>
      </c>
      <c r="J62" s="25" t="s">
        <v>7041</v>
      </c>
      <c r="K62" s="25" t="s">
        <v>2435</v>
      </c>
      <c r="L62" s="25" t="s">
        <v>7001</v>
      </c>
      <c r="M62" s="25" t="s">
        <v>7042</v>
      </c>
      <c r="N62" s="25" t="s">
        <v>7043</v>
      </c>
    </row>
    <row r="63" ht="60" customHeight="1">
      <c r="A63" s="25" t="s">
        <v>7108</v>
      </c>
      <c r="B63" s="25" t="s">
        <v>2444</v>
      </c>
      <c r="C63" s="25" t="s">
        <v>78</v>
      </c>
      <c r="D63" s="25" t="s">
        <v>2449</v>
      </c>
      <c r="E63" s="25" t="s">
        <v>987</v>
      </c>
      <c r="F63" s="25" t="s">
        <v>958</v>
      </c>
      <c r="G63" s="25" t="s">
        <v>971</v>
      </c>
      <c r="H63" s="25" t="s">
        <v>7109</v>
      </c>
      <c r="I63" s="25" t="s">
        <v>7040</v>
      </c>
      <c r="J63" s="25" t="s">
        <v>7041</v>
      </c>
      <c r="K63" s="25" t="s">
        <v>2435</v>
      </c>
      <c r="L63" s="25" t="s">
        <v>7001</v>
      </c>
      <c r="M63" s="25" t="s">
        <v>7042</v>
      </c>
      <c r="N63" s="25" t="s">
        <v>7043</v>
      </c>
    </row>
    <row r="64" ht="60" customHeight="1">
      <c r="A64" s="25" t="s">
        <v>7110</v>
      </c>
      <c r="B64" s="25" t="s">
        <v>2444</v>
      </c>
      <c r="C64" s="25" t="s">
        <v>78</v>
      </c>
      <c r="D64" s="25" t="s">
        <v>2452</v>
      </c>
      <c r="E64" s="25" t="s">
        <v>993</v>
      </c>
      <c r="F64" s="25" t="s">
        <v>958</v>
      </c>
      <c r="G64" s="25" t="s">
        <v>971</v>
      </c>
      <c r="H64" s="25" t="s">
        <v>7082</v>
      </c>
      <c r="I64" s="25" t="s">
        <v>7040</v>
      </c>
      <c r="J64" s="25" t="s">
        <v>7041</v>
      </c>
      <c r="K64" s="25" t="s">
        <v>2435</v>
      </c>
      <c r="L64" s="25" t="s">
        <v>7001</v>
      </c>
      <c r="M64" s="25" t="s">
        <v>7042</v>
      </c>
      <c r="N64" s="25" t="s">
        <v>7049</v>
      </c>
    </row>
    <row r="65" ht="60" customHeight="1">
      <c r="A65" s="25" t="s">
        <v>7111</v>
      </c>
      <c r="B65" s="25" t="s">
        <v>2444</v>
      </c>
      <c r="C65" s="25" t="s">
        <v>78</v>
      </c>
      <c r="D65" s="25" t="s">
        <v>2455</v>
      </c>
      <c r="E65" s="25" t="s">
        <v>1001</v>
      </c>
      <c r="F65" s="25" t="s">
        <v>958</v>
      </c>
      <c r="G65" s="25" t="s">
        <v>971</v>
      </c>
      <c r="H65" s="25" t="s">
        <v>7112</v>
      </c>
      <c r="I65" s="25" t="s">
        <v>7040</v>
      </c>
      <c r="J65" s="25" t="s">
        <v>7041</v>
      </c>
      <c r="K65" s="25" t="s">
        <v>2435</v>
      </c>
      <c r="L65" s="25" t="s">
        <v>7001</v>
      </c>
      <c r="M65" s="25" t="s">
        <v>7042</v>
      </c>
      <c r="N65" s="25" t="s">
        <v>7049</v>
      </c>
    </row>
    <row r="66" ht="60" customHeight="1">
      <c r="A66" s="25" t="s">
        <v>7113</v>
      </c>
      <c r="B66" s="25" t="s">
        <v>2444</v>
      </c>
      <c r="C66" s="25" t="s">
        <v>78</v>
      </c>
      <c r="D66" s="25" t="s">
        <v>2458</v>
      </c>
      <c r="E66" s="25" t="s">
        <v>1007</v>
      </c>
      <c r="F66" s="25" t="s">
        <v>958</v>
      </c>
      <c r="G66" s="25" t="s">
        <v>971</v>
      </c>
      <c r="H66" s="25" t="s">
        <v>7114</v>
      </c>
      <c r="I66" s="25" t="s">
        <v>7040</v>
      </c>
      <c r="J66" s="25" t="s">
        <v>7041</v>
      </c>
      <c r="K66" s="25" t="s">
        <v>2435</v>
      </c>
      <c r="L66" s="25" t="s">
        <v>7001</v>
      </c>
      <c r="M66" s="25" t="s">
        <v>7042</v>
      </c>
      <c r="N66" s="25" t="s">
        <v>7049</v>
      </c>
    </row>
    <row r="67" ht="60" customHeight="1">
      <c r="A67" s="25" t="s">
        <v>7115</v>
      </c>
      <c r="B67" s="25" t="s">
        <v>2444</v>
      </c>
      <c r="C67" s="25" t="s">
        <v>78</v>
      </c>
      <c r="D67" s="25" t="s">
        <v>2464</v>
      </c>
      <c r="E67" s="25" t="s">
        <v>1022</v>
      </c>
      <c r="F67" s="25" t="s">
        <v>958</v>
      </c>
      <c r="G67" s="25" t="s">
        <v>1013</v>
      </c>
      <c r="H67" s="25" t="s">
        <v>7082</v>
      </c>
      <c r="I67" s="25" t="s">
        <v>7040</v>
      </c>
      <c r="J67" s="25" t="s">
        <v>7041</v>
      </c>
      <c r="K67" s="25" t="s">
        <v>2435</v>
      </c>
      <c r="L67" s="25" t="s">
        <v>7001</v>
      </c>
      <c r="M67" s="25" t="s">
        <v>7042</v>
      </c>
      <c r="N67" s="25" t="s">
        <v>7049</v>
      </c>
    </row>
    <row r="68" ht="60" customHeight="1">
      <c r="A68" s="25" t="s">
        <v>7116</v>
      </c>
      <c r="B68" s="25" t="s">
        <v>2444</v>
      </c>
      <c r="C68" s="25" t="s">
        <v>78</v>
      </c>
      <c r="D68" s="25" t="s">
        <v>2471</v>
      </c>
      <c r="E68" s="25" t="s">
        <v>1035</v>
      </c>
      <c r="F68" s="25" t="s">
        <v>958</v>
      </c>
      <c r="G68" s="25" t="s">
        <v>1013</v>
      </c>
      <c r="H68" s="25" t="s">
        <v>7117</v>
      </c>
      <c r="I68" s="25" t="s">
        <v>7040</v>
      </c>
      <c r="J68" s="25" t="s">
        <v>7041</v>
      </c>
      <c r="K68" s="25" t="s">
        <v>2435</v>
      </c>
      <c r="L68" s="25" t="s">
        <v>7001</v>
      </c>
      <c r="M68" s="25" t="s">
        <v>7042</v>
      </c>
      <c r="N68" s="25" t="s">
        <v>7049</v>
      </c>
    </row>
    <row r="69" ht="60" customHeight="1">
      <c r="A69" s="25" t="s">
        <v>7118</v>
      </c>
      <c r="B69" s="25" t="s">
        <v>2444</v>
      </c>
      <c r="C69" s="25" t="s">
        <v>78</v>
      </c>
      <c r="D69" s="25" t="s">
        <v>2474</v>
      </c>
      <c r="E69" s="25" t="s">
        <v>1043</v>
      </c>
      <c r="F69" s="25" t="s">
        <v>958</v>
      </c>
      <c r="G69" s="25" t="s">
        <v>1041</v>
      </c>
      <c r="H69" s="25" t="s">
        <v>7119</v>
      </c>
      <c r="I69" s="25" t="s">
        <v>7040</v>
      </c>
      <c r="J69" s="25" t="s">
        <v>7041</v>
      </c>
      <c r="K69" s="25" t="s">
        <v>2435</v>
      </c>
      <c r="L69" s="25" t="s">
        <v>7001</v>
      </c>
      <c r="M69" s="25" t="s">
        <v>7042</v>
      </c>
      <c r="N69" s="25" t="s">
        <v>7049</v>
      </c>
    </row>
    <row r="70" ht="60" customHeight="1">
      <c r="A70" s="25" t="s">
        <v>7120</v>
      </c>
      <c r="B70" s="25" t="s">
        <v>2444</v>
      </c>
      <c r="C70" s="25" t="s">
        <v>78</v>
      </c>
      <c r="D70" s="25" t="s">
        <v>2477</v>
      </c>
      <c r="E70" s="25" t="s">
        <v>1050</v>
      </c>
      <c r="F70" s="25" t="s">
        <v>958</v>
      </c>
      <c r="G70" s="25" t="s">
        <v>1041</v>
      </c>
      <c r="H70" s="25" t="s">
        <v>7051</v>
      </c>
      <c r="I70" s="25" t="s">
        <v>7040</v>
      </c>
      <c r="J70" s="25" t="s">
        <v>7041</v>
      </c>
      <c r="K70" s="25" t="s">
        <v>2435</v>
      </c>
      <c r="L70" s="25" t="s">
        <v>7001</v>
      </c>
      <c r="M70" s="25" t="s">
        <v>7042</v>
      </c>
      <c r="N70" s="25" t="s">
        <v>7043</v>
      </c>
    </row>
    <row r="71" ht="60" customHeight="1">
      <c r="A71" s="25" t="s">
        <v>7121</v>
      </c>
      <c r="B71" s="25" t="s">
        <v>2444</v>
      </c>
      <c r="C71" s="25" t="s">
        <v>78</v>
      </c>
      <c r="D71" s="25" t="s">
        <v>2480</v>
      </c>
      <c r="E71" s="25" t="s">
        <v>1058</v>
      </c>
      <c r="F71" s="25" t="s">
        <v>958</v>
      </c>
      <c r="G71" s="25" t="s">
        <v>1041</v>
      </c>
      <c r="H71" s="25" t="s">
        <v>7082</v>
      </c>
      <c r="I71" s="25" t="s">
        <v>7040</v>
      </c>
      <c r="J71" s="25" t="s">
        <v>7041</v>
      </c>
      <c r="K71" s="25" t="s">
        <v>2435</v>
      </c>
      <c r="L71" s="25" t="s">
        <v>7001</v>
      </c>
      <c r="M71" s="25" t="s">
        <v>7042</v>
      </c>
      <c r="N71" s="25" t="s">
        <v>7049</v>
      </c>
    </row>
    <row r="72" ht="60" customHeight="1">
      <c r="A72" s="25" t="s">
        <v>7122</v>
      </c>
      <c r="B72" s="25" t="s">
        <v>2444</v>
      </c>
      <c r="C72" s="25" t="s">
        <v>78</v>
      </c>
      <c r="D72" s="25" t="s">
        <v>2483</v>
      </c>
      <c r="E72" s="25" t="s">
        <v>1064</v>
      </c>
      <c r="F72" s="25" t="s">
        <v>958</v>
      </c>
      <c r="G72" s="25" t="s">
        <v>1041</v>
      </c>
      <c r="H72" s="25" t="s">
        <v>7082</v>
      </c>
      <c r="I72" s="25" t="s">
        <v>7040</v>
      </c>
      <c r="J72" s="25" t="s">
        <v>7041</v>
      </c>
      <c r="K72" s="25" t="s">
        <v>2435</v>
      </c>
      <c r="L72" s="25" t="s">
        <v>7001</v>
      </c>
      <c r="M72" s="25" t="s">
        <v>7042</v>
      </c>
      <c r="N72" s="25" t="s">
        <v>7049</v>
      </c>
    </row>
    <row r="73" ht="60" customHeight="1">
      <c r="A73" s="25" t="s">
        <v>7123</v>
      </c>
      <c r="B73" s="25" t="s">
        <v>2444</v>
      </c>
      <c r="C73" s="25" t="s">
        <v>78</v>
      </c>
      <c r="D73" s="25" t="s">
        <v>2489</v>
      </c>
      <c r="E73" s="25" t="s">
        <v>1081</v>
      </c>
      <c r="F73" s="25" t="s">
        <v>958</v>
      </c>
      <c r="G73" s="25" t="s">
        <v>1072</v>
      </c>
      <c r="H73" s="25" t="s">
        <v>7082</v>
      </c>
      <c r="I73" s="25" t="s">
        <v>7040</v>
      </c>
      <c r="J73" s="25" t="s">
        <v>7041</v>
      </c>
      <c r="K73" s="25" t="s">
        <v>2435</v>
      </c>
      <c r="L73" s="25" t="s">
        <v>7001</v>
      </c>
      <c r="M73" s="25" t="s">
        <v>7042</v>
      </c>
      <c r="N73" s="25" t="s">
        <v>7049</v>
      </c>
    </row>
    <row r="74" ht="60" customHeight="1">
      <c r="A74" s="25" t="s">
        <v>7124</v>
      </c>
      <c r="B74" s="25" t="s">
        <v>2444</v>
      </c>
      <c r="C74" s="25" t="s">
        <v>78</v>
      </c>
      <c r="D74" s="25" t="s">
        <v>2492</v>
      </c>
      <c r="E74" s="25" t="s">
        <v>1087</v>
      </c>
      <c r="F74" s="25" t="s">
        <v>958</v>
      </c>
      <c r="G74" s="25" t="s">
        <v>1072</v>
      </c>
      <c r="H74" s="25" t="s">
        <v>7051</v>
      </c>
      <c r="I74" s="25" t="s">
        <v>7040</v>
      </c>
      <c r="J74" s="25" t="s">
        <v>7041</v>
      </c>
      <c r="K74" s="25" t="s">
        <v>2435</v>
      </c>
      <c r="L74" s="25" t="s">
        <v>7001</v>
      </c>
      <c r="M74" s="25" t="s">
        <v>7042</v>
      </c>
      <c r="N74" s="25" t="s">
        <v>7049</v>
      </c>
    </row>
    <row r="75" ht="60" customHeight="1">
      <c r="A75" s="25" t="s">
        <v>7125</v>
      </c>
      <c r="B75" s="25" t="s">
        <v>2444</v>
      </c>
      <c r="C75" s="25" t="s">
        <v>78</v>
      </c>
      <c r="D75" s="25" t="s">
        <v>2495</v>
      </c>
      <c r="E75" s="25" t="s">
        <v>1094</v>
      </c>
      <c r="F75" s="25" t="s">
        <v>958</v>
      </c>
      <c r="G75" s="25" t="s">
        <v>1072</v>
      </c>
      <c r="H75" s="25" t="s">
        <v>7051</v>
      </c>
      <c r="I75" s="25" t="s">
        <v>7040</v>
      </c>
      <c r="J75" s="25" t="s">
        <v>7041</v>
      </c>
      <c r="K75" s="25" t="s">
        <v>2435</v>
      </c>
      <c r="L75" s="25" t="s">
        <v>7001</v>
      </c>
      <c r="M75" s="25" t="s">
        <v>7042</v>
      </c>
      <c r="N75" s="25" t="s">
        <v>7049</v>
      </c>
    </row>
    <row r="76" ht="60" customHeight="1">
      <c r="A76" s="25" t="s">
        <v>7126</v>
      </c>
      <c r="B76" s="25" t="s">
        <v>2444</v>
      </c>
      <c r="C76" s="25" t="s">
        <v>78</v>
      </c>
      <c r="D76" s="25" t="s">
        <v>2501</v>
      </c>
      <c r="E76" s="25" t="s">
        <v>1109</v>
      </c>
      <c r="F76" s="25" t="s">
        <v>958</v>
      </c>
      <c r="G76" s="25" t="s">
        <v>1099</v>
      </c>
      <c r="H76" s="25" t="s">
        <v>7082</v>
      </c>
      <c r="I76" s="25" t="s">
        <v>7040</v>
      </c>
      <c r="J76" s="25" t="s">
        <v>7041</v>
      </c>
      <c r="K76" s="25" t="s">
        <v>2435</v>
      </c>
      <c r="L76" s="25" t="s">
        <v>7001</v>
      </c>
      <c r="M76" s="25" t="s">
        <v>7042</v>
      </c>
      <c r="N76" s="25" t="s">
        <v>7049</v>
      </c>
    </row>
    <row r="77" ht="60" customHeight="1">
      <c r="A77" s="25" t="s">
        <v>7127</v>
      </c>
      <c r="B77" s="25" t="s">
        <v>2444</v>
      </c>
      <c r="C77" s="25" t="s">
        <v>78</v>
      </c>
      <c r="D77" s="25" t="s">
        <v>2505</v>
      </c>
      <c r="E77" s="25" t="s">
        <v>1121</v>
      </c>
      <c r="F77" s="25" t="s">
        <v>958</v>
      </c>
      <c r="G77" s="25" t="s">
        <v>1099</v>
      </c>
      <c r="H77" s="25" t="s">
        <v>7084</v>
      </c>
      <c r="I77" s="25" t="s">
        <v>7040</v>
      </c>
      <c r="J77" s="25" t="s">
        <v>7041</v>
      </c>
      <c r="K77" s="25" t="s">
        <v>2435</v>
      </c>
      <c r="L77" s="25" t="s">
        <v>7001</v>
      </c>
      <c r="M77" s="25" t="s">
        <v>7042</v>
      </c>
      <c r="N77" s="25" t="s">
        <v>7049</v>
      </c>
    </row>
    <row r="78" ht="60" customHeight="1">
      <c r="A78" s="25" t="s">
        <v>7128</v>
      </c>
      <c r="B78" s="25" t="s">
        <v>2444</v>
      </c>
      <c r="C78" s="25" t="s">
        <v>78</v>
      </c>
      <c r="D78" s="25" t="s">
        <v>2519</v>
      </c>
      <c r="E78" s="25" t="s">
        <v>1152</v>
      </c>
      <c r="F78" s="25" t="s">
        <v>958</v>
      </c>
      <c r="G78" s="25" t="s">
        <v>1129</v>
      </c>
      <c r="H78" s="25" t="s">
        <v>7129</v>
      </c>
      <c r="I78" s="25" t="s">
        <v>7040</v>
      </c>
      <c r="J78" s="25" t="s">
        <v>7041</v>
      </c>
      <c r="K78" s="25" t="s">
        <v>2435</v>
      </c>
      <c r="L78" s="25" t="s">
        <v>7001</v>
      </c>
      <c r="M78" s="25" t="s">
        <v>7042</v>
      </c>
      <c r="N78" s="25" t="s">
        <v>7054</v>
      </c>
    </row>
    <row r="79" ht="60" customHeight="1">
      <c r="A79" s="25" t="s">
        <v>7130</v>
      </c>
      <c r="B79" s="25" t="s">
        <v>2444</v>
      </c>
      <c r="C79" s="25" t="s">
        <v>78</v>
      </c>
      <c r="D79" s="25" t="s">
        <v>2522</v>
      </c>
      <c r="E79" s="25" t="s">
        <v>1160</v>
      </c>
      <c r="F79" s="25" t="s">
        <v>958</v>
      </c>
      <c r="G79" s="25" t="s">
        <v>1129</v>
      </c>
      <c r="H79" s="25" t="s">
        <v>7131</v>
      </c>
      <c r="I79" s="25" t="s">
        <v>7040</v>
      </c>
      <c r="J79" s="25" t="s">
        <v>7041</v>
      </c>
      <c r="K79" s="25" t="s">
        <v>2435</v>
      </c>
      <c r="L79" s="25" t="s">
        <v>7001</v>
      </c>
      <c r="M79" s="25" t="s">
        <v>7042</v>
      </c>
      <c r="N79" s="25" t="s">
        <v>7054</v>
      </c>
    </row>
    <row r="80" ht="60" customHeight="1">
      <c r="A80" s="25" t="s">
        <v>7132</v>
      </c>
      <c r="B80" s="25" t="s">
        <v>2444</v>
      </c>
      <c r="C80" s="25" t="s">
        <v>78</v>
      </c>
      <c r="D80" s="25" t="s">
        <v>2525</v>
      </c>
      <c r="E80" s="25" t="s">
        <v>1168</v>
      </c>
      <c r="F80" s="25" t="s">
        <v>958</v>
      </c>
      <c r="G80" s="25" t="s">
        <v>1129</v>
      </c>
      <c r="H80" s="25" t="s">
        <v>7133</v>
      </c>
      <c r="I80" s="25" t="s">
        <v>7040</v>
      </c>
      <c r="J80" s="25" t="s">
        <v>7041</v>
      </c>
      <c r="K80" s="25" t="s">
        <v>2435</v>
      </c>
      <c r="L80" s="25" t="s">
        <v>7001</v>
      </c>
      <c r="M80" s="25" t="s">
        <v>7042</v>
      </c>
      <c r="N80" s="25" t="s">
        <v>7043</v>
      </c>
    </row>
    <row r="81" ht="60" customHeight="1">
      <c r="A81" s="25" t="s">
        <v>7134</v>
      </c>
      <c r="B81" s="25" t="s">
        <v>2444</v>
      </c>
      <c r="C81" s="25" t="s">
        <v>78</v>
      </c>
      <c r="D81" s="25" t="s">
        <v>2528</v>
      </c>
      <c r="E81" s="25" t="s">
        <v>1174</v>
      </c>
      <c r="F81" s="25" t="s">
        <v>958</v>
      </c>
      <c r="G81" s="25" t="s">
        <v>1129</v>
      </c>
      <c r="H81" s="25" t="s">
        <v>7129</v>
      </c>
      <c r="I81" s="25" t="s">
        <v>7040</v>
      </c>
      <c r="J81" s="25" t="s">
        <v>7041</v>
      </c>
      <c r="K81" s="25" t="s">
        <v>2435</v>
      </c>
      <c r="L81" s="25" t="s">
        <v>7001</v>
      </c>
      <c r="M81" s="25" t="s">
        <v>7042</v>
      </c>
      <c r="N81" s="25" t="s">
        <v>7043</v>
      </c>
    </row>
    <row r="82" ht="60" customHeight="1">
      <c r="A82" s="25" t="s">
        <v>7135</v>
      </c>
      <c r="B82" s="25" t="s">
        <v>2444</v>
      </c>
      <c r="C82" s="25" t="s">
        <v>78</v>
      </c>
      <c r="D82" s="25" t="s">
        <v>2531</v>
      </c>
      <c r="E82" s="25" t="s">
        <v>1182</v>
      </c>
      <c r="F82" s="25" t="s">
        <v>958</v>
      </c>
      <c r="G82" s="25" t="s">
        <v>1129</v>
      </c>
      <c r="H82" s="25" t="s">
        <v>7136</v>
      </c>
      <c r="I82" s="25" t="s">
        <v>7040</v>
      </c>
      <c r="J82" s="25" t="s">
        <v>7041</v>
      </c>
      <c r="K82" s="25" t="s">
        <v>2435</v>
      </c>
      <c r="L82" s="25" t="s">
        <v>7001</v>
      </c>
      <c r="M82" s="25" t="s">
        <v>7042</v>
      </c>
      <c r="N82" s="25" t="s">
        <v>7043</v>
      </c>
    </row>
    <row r="83" ht="60" customHeight="1">
      <c r="A83" s="25" t="s">
        <v>7137</v>
      </c>
      <c r="B83" s="25" t="s">
        <v>2444</v>
      </c>
      <c r="C83" s="25" t="s">
        <v>78</v>
      </c>
      <c r="D83" s="25" t="s">
        <v>2534</v>
      </c>
      <c r="E83" s="25" t="s">
        <v>1190</v>
      </c>
      <c r="F83" s="25" t="s">
        <v>958</v>
      </c>
      <c r="G83" s="25" t="s">
        <v>1129</v>
      </c>
      <c r="H83" s="25" t="s">
        <v>7133</v>
      </c>
      <c r="I83" s="25" t="s">
        <v>7040</v>
      </c>
      <c r="J83" s="25" t="s">
        <v>7041</v>
      </c>
      <c r="K83" s="25" t="s">
        <v>2435</v>
      </c>
      <c r="L83" s="25" t="s">
        <v>7001</v>
      </c>
      <c r="M83" s="25" t="s">
        <v>7042</v>
      </c>
      <c r="N83" s="25" t="s">
        <v>7049</v>
      </c>
    </row>
    <row r="84" ht="60" customHeight="1">
      <c r="A84" s="25" t="s">
        <v>7138</v>
      </c>
      <c r="B84" s="25" t="s">
        <v>2444</v>
      </c>
      <c r="C84" s="25" t="s">
        <v>78</v>
      </c>
      <c r="D84" s="25" t="s">
        <v>2537</v>
      </c>
      <c r="E84" s="25" t="s">
        <v>1201</v>
      </c>
      <c r="F84" s="25" t="s">
        <v>958</v>
      </c>
      <c r="G84" s="25" t="s">
        <v>1199</v>
      </c>
      <c r="H84" s="25" t="s">
        <v>7139</v>
      </c>
      <c r="I84" s="25" t="s">
        <v>7040</v>
      </c>
      <c r="J84" s="25" t="s">
        <v>7041</v>
      </c>
      <c r="K84" s="25" t="s">
        <v>2435</v>
      </c>
      <c r="L84" s="25" t="s">
        <v>7001</v>
      </c>
      <c r="M84" s="25" t="s">
        <v>7042</v>
      </c>
      <c r="N84" s="25" t="s">
        <v>7140</v>
      </c>
    </row>
    <row r="85" ht="60" customHeight="1">
      <c r="A85" s="25" t="s">
        <v>7141</v>
      </c>
      <c r="B85" s="25" t="s">
        <v>2444</v>
      </c>
      <c r="C85" s="25" t="s">
        <v>78</v>
      </c>
      <c r="D85" s="25" t="s">
        <v>2541</v>
      </c>
      <c r="E85" s="25" t="s">
        <v>1209</v>
      </c>
      <c r="F85" s="25" t="s">
        <v>958</v>
      </c>
      <c r="G85" s="25" t="s">
        <v>1199</v>
      </c>
      <c r="H85" s="25" t="s">
        <v>7142</v>
      </c>
      <c r="I85" s="25" t="s">
        <v>7040</v>
      </c>
      <c r="J85" s="25" t="s">
        <v>7041</v>
      </c>
      <c r="K85" s="25" t="s">
        <v>2435</v>
      </c>
      <c r="L85" s="25" t="s">
        <v>7001</v>
      </c>
      <c r="M85" s="25" t="s">
        <v>7042</v>
      </c>
      <c r="N85" s="25" t="s">
        <v>7043</v>
      </c>
    </row>
    <row r="86" ht="60" customHeight="1">
      <c r="A86" s="25" t="s">
        <v>7143</v>
      </c>
      <c r="B86" s="25" t="s">
        <v>2444</v>
      </c>
      <c r="C86" s="25" t="s">
        <v>78</v>
      </c>
      <c r="D86" s="25" t="s">
        <v>2544</v>
      </c>
      <c r="E86" s="25" t="s">
        <v>1215</v>
      </c>
      <c r="F86" s="25" t="s">
        <v>958</v>
      </c>
      <c r="G86" s="25" t="s">
        <v>1199</v>
      </c>
      <c r="H86" s="25" t="s">
        <v>7144</v>
      </c>
      <c r="I86" s="25" t="s">
        <v>7040</v>
      </c>
      <c r="J86" s="25" t="s">
        <v>7041</v>
      </c>
      <c r="K86" s="25" t="s">
        <v>2435</v>
      </c>
      <c r="L86" s="25" t="s">
        <v>7001</v>
      </c>
      <c r="M86" s="25" t="s">
        <v>7042</v>
      </c>
      <c r="N86" s="25" t="s">
        <v>7049</v>
      </c>
    </row>
    <row r="87" ht="60" customHeight="1">
      <c r="A87" s="25" t="s">
        <v>7145</v>
      </c>
      <c r="B87" s="25" t="s">
        <v>2444</v>
      </c>
      <c r="C87" s="25" t="s">
        <v>78</v>
      </c>
      <c r="D87" s="25" t="s">
        <v>2553</v>
      </c>
      <c r="E87" s="25" t="s">
        <v>1235</v>
      </c>
      <c r="F87" s="25" t="s">
        <v>958</v>
      </c>
      <c r="G87" s="25" t="s">
        <v>1221</v>
      </c>
      <c r="H87" s="25" t="s">
        <v>7084</v>
      </c>
      <c r="I87" s="25" t="s">
        <v>7040</v>
      </c>
      <c r="J87" s="25" t="s">
        <v>7041</v>
      </c>
      <c r="K87" s="25" t="s">
        <v>2435</v>
      </c>
      <c r="L87" s="25" t="s">
        <v>7001</v>
      </c>
      <c r="M87" s="25" t="s">
        <v>7042</v>
      </c>
      <c r="N87" s="25" t="s">
        <v>7049</v>
      </c>
    </row>
    <row r="88" ht="60" customHeight="1">
      <c r="A88" s="25" t="s">
        <v>7146</v>
      </c>
      <c r="B88" s="25" t="s">
        <v>2444</v>
      </c>
      <c r="C88" s="25" t="s">
        <v>78</v>
      </c>
      <c r="D88" s="25" t="s">
        <v>2564</v>
      </c>
      <c r="E88" s="25" t="s">
        <v>1263</v>
      </c>
      <c r="F88" s="25" t="s">
        <v>958</v>
      </c>
      <c r="G88" s="25" t="s">
        <v>1248</v>
      </c>
      <c r="H88" s="25" t="s">
        <v>7147</v>
      </c>
      <c r="I88" s="25" t="s">
        <v>7040</v>
      </c>
      <c r="J88" s="25" t="s">
        <v>7041</v>
      </c>
      <c r="K88" s="25" t="s">
        <v>2435</v>
      </c>
      <c r="L88" s="25" t="s">
        <v>7001</v>
      </c>
      <c r="M88" s="25" t="s">
        <v>7042</v>
      </c>
      <c r="N88" s="25" t="s">
        <v>7043</v>
      </c>
    </row>
    <row r="89" ht="60" customHeight="1">
      <c r="A89" s="25" t="s">
        <v>7148</v>
      </c>
      <c r="B89" s="25" t="s">
        <v>2444</v>
      </c>
      <c r="C89" s="25" t="s">
        <v>78</v>
      </c>
      <c r="D89" s="25" t="s">
        <v>2570</v>
      </c>
      <c r="E89" s="25" t="s">
        <v>1279</v>
      </c>
      <c r="F89" s="25" t="s">
        <v>958</v>
      </c>
      <c r="G89" s="25" t="s">
        <v>1277</v>
      </c>
      <c r="H89" s="25" t="s">
        <v>7149</v>
      </c>
      <c r="I89" s="25" t="s">
        <v>7040</v>
      </c>
      <c r="J89" s="25" t="s">
        <v>7041</v>
      </c>
      <c r="K89" s="25" t="s">
        <v>2435</v>
      </c>
      <c r="L89" s="25" t="s">
        <v>7001</v>
      </c>
      <c r="M89" s="25" t="s">
        <v>7042</v>
      </c>
      <c r="N89" s="25" t="s">
        <v>7140</v>
      </c>
    </row>
    <row r="90" ht="60" customHeight="1">
      <c r="A90" s="25" t="s">
        <v>7150</v>
      </c>
      <c r="B90" s="25" t="s">
        <v>2444</v>
      </c>
      <c r="C90" s="25" t="s">
        <v>78</v>
      </c>
      <c r="D90" s="25" t="s">
        <v>2576</v>
      </c>
      <c r="E90" s="25" t="s">
        <v>1294</v>
      </c>
      <c r="F90" s="25" t="s">
        <v>958</v>
      </c>
      <c r="G90" s="25" t="s">
        <v>1277</v>
      </c>
      <c r="H90" s="25" t="s">
        <v>7151</v>
      </c>
      <c r="I90" s="25" t="s">
        <v>7040</v>
      </c>
      <c r="J90" s="25" t="s">
        <v>7041</v>
      </c>
      <c r="K90" s="25" t="s">
        <v>2435</v>
      </c>
      <c r="L90" s="25" t="s">
        <v>7001</v>
      </c>
      <c r="M90" s="25" t="s">
        <v>7042</v>
      </c>
      <c r="N90" s="25" t="s">
        <v>7049</v>
      </c>
    </row>
    <row r="91" ht="60" customHeight="1">
      <c r="A91" s="25" t="s">
        <v>7152</v>
      </c>
      <c r="B91" s="25" t="s">
        <v>2444</v>
      </c>
      <c r="C91" s="25" t="s">
        <v>78</v>
      </c>
      <c r="D91" s="25" t="s">
        <v>2579</v>
      </c>
      <c r="E91" s="25" t="s">
        <v>1302</v>
      </c>
      <c r="F91" s="25" t="s">
        <v>958</v>
      </c>
      <c r="G91" s="25" t="s">
        <v>1277</v>
      </c>
      <c r="H91" s="25" t="s">
        <v>7084</v>
      </c>
      <c r="I91" s="25" t="s">
        <v>7040</v>
      </c>
      <c r="J91" s="25" t="s">
        <v>7041</v>
      </c>
      <c r="K91" s="25" t="s">
        <v>2435</v>
      </c>
      <c r="L91" s="25" t="s">
        <v>7001</v>
      </c>
      <c r="M91" s="25" t="s">
        <v>7042</v>
      </c>
      <c r="N91" s="25" t="s">
        <v>7049</v>
      </c>
    </row>
    <row r="92" ht="60" customHeight="1">
      <c r="A92" s="25" t="s">
        <v>7153</v>
      </c>
      <c r="B92" s="25" t="s">
        <v>2444</v>
      </c>
      <c r="C92" s="25" t="s">
        <v>78</v>
      </c>
      <c r="D92" s="25" t="s">
        <v>2582</v>
      </c>
      <c r="E92" s="25" t="s">
        <v>1312</v>
      </c>
      <c r="F92" s="25" t="s">
        <v>958</v>
      </c>
      <c r="G92" s="25" t="s">
        <v>1310</v>
      </c>
      <c r="H92" s="25" t="s">
        <v>7154</v>
      </c>
      <c r="I92" s="25" t="s">
        <v>7040</v>
      </c>
      <c r="J92" s="25" t="s">
        <v>7041</v>
      </c>
      <c r="K92" s="25" t="s">
        <v>2435</v>
      </c>
      <c r="L92" s="25" t="s">
        <v>7001</v>
      </c>
      <c r="M92" s="25" t="s">
        <v>7042</v>
      </c>
      <c r="N92" s="25" t="s">
        <v>7054</v>
      </c>
    </row>
    <row r="93" ht="60" customHeight="1">
      <c r="A93" s="25" t="s">
        <v>7155</v>
      </c>
      <c r="B93" s="25" t="s">
        <v>2444</v>
      </c>
      <c r="C93" s="25" t="s">
        <v>78</v>
      </c>
      <c r="D93" s="25" t="s">
        <v>2585</v>
      </c>
      <c r="E93" s="25" t="s">
        <v>1320</v>
      </c>
      <c r="F93" s="25" t="s">
        <v>958</v>
      </c>
      <c r="G93" s="25" t="s">
        <v>1310</v>
      </c>
      <c r="H93" s="25" t="s">
        <v>7156</v>
      </c>
      <c r="I93" s="25" t="s">
        <v>7040</v>
      </c>
      <c r="J93" s="25" t="s">
        <v>7041</v>
      </c>
      <c r="K93" s="25" t="s">
        <v>2435</v>
      </c>
      <c r="L93" s="25" t="s">
        <v>7001</v>
      </c>
      <c r="M93" s="25" t="s">
        <v>7042</v>
      </c>
      <c r="N93" s="25" t="s">
        <v>7049</v>
      </c>
    </row>
    <row r="94" ht="60" customHeight="1">
      <c r="A94" s="25" t="s">
        <v>7157</v>
      </c>
      <c r="B94" s="25" t="s">
        <v>2444</v>
      </c>
      <c r="C94" s="25" t="s">
        <v>78</v>
      </c>
      <c r="D94" s="25" t="s">
        <v>2588</v>
      </c>
      <c r="E94" s="25" t="s">
        <v>1328</v>
      </c>
      <c r="F94" s="25" t="s">
        <v>958</v>
      </c>
      <c r="G94" s="25" t="s">
        <v>1310</v>
      </c>
      <c r="H94" s="25" t="s">
        <v>7156</v>
      </c>
      <c r="I94" s="25" t="s">
        <v>7040</v>
      </c>
      <c r="J94" s="25" t="s">
        <v>7041</v>
      </c>
      <c r="K94" s="25" t="s">
        <v>2435</v>
      </c>
      <c r="L94" s="25" t="s">
        <v>7001</v>
      </c>
      <c r="M94" s="25" t="s">
        <v>7042</v>
      </c>
      <c r="N94" s="25" t="s">
        <v>7049</v>
      </c>
    </row>
    <row r="95" ht="60" customHeight="1">
      <c r="A95" s="25" t="s">
        <v>7158</v>
      </c>
      <c r="B95" s="25" t="s">
        <v>2444</v>
      </c>
      <c r="C95" s="25" t="s">
        <v>78</v>
      </c>
      <c r="D95" s="25" t="s">
        <v>2590</v>
      </c>
      <c r="E95" s="25" t="s">
        <v>1334</v>
      </c>
      <c r="F95" s="25" t="s">
        <v>958</v>
      </c>
      <c r="G95" s="25" t="s">
        <v>1310</v>
      </c>
      <c r="H95" s="25" t="s">
        <v>7159</v>
      </c>
      <c r="I95" s="25" t="s">
        <v>7040</v>
      </c>
      <c r="J95" s="25" t="s">
        <v>7041</v>
      </c>
      <c r="K95" s="25" t="s">
        <v>2435</v>
      </c>
      <c r="L95" s="25" t="s">
        <v>7001</v>
      </c>
      <c r="M95" s="25" t="s">
        <v>7042</v>
      </c>
      <c r="N95" s="25" t="s">
        <v>7049</v>
      </c>
    </row>
    <row r="96" ht="60" customHeight="1">
      <c r="A96" s="25" t="s">
        <v>7160</v>
      </c>
      <c r="B96" s="25" t="s">
        <v>2444</v>
      </c>
      <c r="C96" s="25" t="s">
        <v>78</v>
      </c>
      <c r="D96" s="25" t="s">
        <v>2596</v>
      </c>
      <c r="E96" s="25" t="s">
        <v>1352</v>
      </c>
      <c r="F96" s="25" t="s">
        <v>958</v>
      </c>
      <c r="G96" s="25" t="s">
        <v>1342</v>
      </c>
      <c r="H96" s="25" t="s">
        <v>7161</v>
      </c>
      <c r="I96" s="25" t="s">
        <v>7040</v>
      </c>
      <c r="J96" s="25" t="s">
        <v>7041</v>
      </c>
      <c r="K96" s="25" t="s">
        <v>2435</v>
      </c>
      <c r="L96" s="25" t="s">
        <v>7001</v>
      </c>
      <c r="M96" s="25" t="s">
        <v>7042</v>
      </c>
      <c r="N96" s="25" t="s">
        <v>7054</v>
      </c>
    </row>
    <row r="97" ht="60" customHeight="1">
      <c r="A97" s="25" t="s">
        <v>7162</v>
      </c>
      <c r="B97" s="25" t="s">
        <v>2444</v>
      </c>
      <c r="C97" s="25" t="s">
        <v>78</v>
      </c>
      <c r="D97" s="25" t="s">
        <v>2608</v>
      </c>
      <c r="E97" s="25" t="s">
        <v>1383</v>
      </c>
      <c r="F97" s="25" t="s">
        <v>958</v>
      </c>
      <c r="G97" s="25" t="s">
        <v>1381</v>
      </c>
      <c r="H97" s="25" t="s">
        <v>7070</v>
      </c>
      <c r="I97" s="25" t="s">
        <v>7040</v>
      </c>
      <c r="J97" s="25" t="s">
        <v>7041</v>
      </c>
      <c r="K97" s="25" t="s">
        <v>2435</v>
      </c>
      <c r="L97" s="25" t="s">
        <v>7001</v>
      </c>
      <c r="M97" s="25" t="s">
        <v>7042</v>
      </c>
      <c r="N97" s="25" t="s">
        <v>7054</v>
      </c>
    </row>
    <row r="98" ht="60" customHeight="1">
      <c r="A98" s="25" t="s">
        <v>7163</v>
      </c>
      <c r="B98" s="25" t="s">
        <v>2444</v>
      </c>
      <c r="C98" s="25" t="s">
        <v>78</v>
      </c>
      <c r="D98" s="25" t="s">
        <v>2611</v>
      </c>
      <c r="E98" s="25" t="s">
        <v>1390</v>
      </c>
      <c r="F98" s="25" t="s">
        <v>958</v>
      </c>
      <c r="G98" s="25" t="s">
        <v>1381</v>
      </c>
      <c r="H98" s="25" t="s">
        <v>7164</v>
      </c>
      <c r="I98" s="25" t="s">
        <v>7040</v>
      </c>
      <c r="J98" s="25" t="s">
        <v>7041</v>
      </c>
      <c r="K98" s="25" t="s">
        <v>2435</v>
      </c>
      <c r="L98" s="25" t="s">
        <v>7001</v>
      </c>
      <c r="M98" s="25" t="s">
        <v>7042</v>
      </c>
      <c r="N98" s="25" t="s">
        <v>7054</v>
      </c>
    </row>
    <row r="99" ht="60" customHeight="1">
      <c r="A99" s="25" t="s">
        <v>7165</v>
      </c>
      <c r="B99" s="25" t="s">
        <v>2444</v>
      </c>
      <c r="C99" s="25" t="s">
        <v>78</v>
      </c>
      <c r="D99" s="25" t="s">
        <v>2614</v>
      </c>
      <c r="E99" s="25" t="s">
        <v>1396</v>
      </c>
      <c r="F99" s="25" t="s">
        <v>958</v>
      </c>
      <c r="G99" s="25" t="s">
        <v>1381</v>
      </c>
      <c r="H99" s="25" t="s">
        <v>7166</v>
      </c>
      <c r="I99" s="25" t="s">
        <v>7040</v>
      </c>
      <c r="J99" s="25" t="s">
        <v>7041</v>
      </c>
      <c r="K99" s="25" t="s">
        <v>2435</v>
      </c>
      <c r="L99" s="25" t="s">
        <v>7001</v>
      </c>
      <c r="M99" s="25" t="s">
        <v>7042</v>
      </c>
      <c r="N99" s="25" t="s">
        <v>7043</v>
      </c>
    </row>
    <row r="100" ht="60" customHeight="1">
      <c r="A100" s="25" t="s">
        <v>7167</v>
      </c>
      <c r="B100" s="25" t="s">
        <v>2444</v>
      </c>
      <c r="C100" s="25" t="s">
        <v>78</v>
      </c>
      <c r="D100" s="25" t="s">
        <v>2617</v>
      </c>
      <c r="E100" s="25" t="s">
        <v>1402</v>
      </c>
      <c r="F100" s="25" t="s">
        <v>958</v>
      </c>
      <c r="G100" s="25" t="s">
        <v>1381</v>
      </c>
      <c r="H100" s="25" t="s">
        <v>7166</v>
      </c>
      <c r="I100" s="25" t="s">
        <v>7040</v>
      </c>
      <c r="J100" s="25" t="s">
        <v>7041</v>
      </c>
      <c r="K100" s="25" t="s">
        <v>2435</v>
      </c>
      <c r="L100" s="25" t="s">
        <v>7001</v>
      </c>
      <c r="M100" s="25" t="s">
        <v>7042</v>
      </c>
      <c r="N100" s="25" t="s">
        <v>7049</v>
      </c>
    </row>
    <row r="101" ht="60" customHeight="1">
      <c r="A101" s="25" t="s">
        <v>7168</v>
      </c>
      <c r="B101" s="25" t="s">
        <v>2444</v>
      </c>
      <c r="C101" s="25" t="s">
        <v>78</v>
      </c>
      <c r="D101" s="25" t="s">
        <v>2620</v>
      </c>
      <c r="E101" s="25" t="s">
        <v>1410</v>
      </c>
      <c r="F101" s="25" t="s">
        <v>958</v>
      </c>
      <c r="G101" s="25" t="s">
        <v>1381</v>
      </c>
      <c r="H101" s="25" t="s">
        <v>7169</v>
      </c>
      <c r="I101" s="25" t="s">
        <v>7040</v>
      </c>
      <c r="J101" s="25" t="s">
        <v>7041</v>
      </c>
      <c r="K101" s="25" t="s">
        <v>2435</v>
      </c>
      <c r="L101" s="25" t="s">
        <v>7001</v>
      </c>
      <c r="M101" s="25" t="s">
        <v>7042</v>
      </c>
      <c r="N101" s="25" t="s">
        <v>7049</v>
      </c>
    </row>
    <row r="102" ht="60" customHeight="1">
      <c r="A102" s="25" t="s">
        <v>7170</v>
      </c>
      <c r="B102" s="25" t="s">
        <v>2444</v>
      </c>
      <c r="C102" s="25" t="s">
        <v>78</v>
      </c>
      <c r="D102" s="25" t="s">
        <v>2634</v>
      </c>
      <c r="E102" s="25" t="s">
        <v>1445</v>
      </c>
      <c r="F102" s="25" t="s">
        <v>958</v>
      </c>
      <c r="G102" s="25" t="s">
        <v>1418</v>
      </c>
      <c r="H102" s="25" t="s">
        <v>7171</v>
      </c>
      <c r="I102" s="25" t="s">
        <v>7040</v>
      </c>
      <c r="J102" s="25" t="s">
        <v>7041</v>
      </c>
      <c r="K102" s="25" t="s">
        <v>2435</v>
      </c>
      <c r="L102" s="25" t="s">
        <v>7001</v>
      </c>
      <c r="M102" s="25" t="s">
        <v>7042</v>
      </c>
      <c r="N102" s="25" t="s">
        <v>7049</v>
      </c>
    </row>
    <row r="103" ht="60" customHeight="1">
      <c r="A103" s="25" t="s">
        <v>7172</v>
      </c>
      <c r="B103" s="25" t="s">
        <v>2444</v>
      </c>
      <c r="C103" s="25" t="s">
        <v>78</v>
      </c>
      <c r="D103" s="25" t="s">
        <v>2637</v>
      </c>
      <c r="E103" s="25" t="s">
        <v>1455</v>
      </c>
      <c r="F103" s="25" t="s">
        <v>958</v>
      </c>
      <c r="G103" s="25" t="s">
        <v>1453</v>
      </c>
      <c r="H103" s="25" t="s">
        <v>7060</v>
      </c>
      <c r="I103" s="25" t="s">
        <v>7040</v>
      </c>
      <c r="J103" s="25" t="s">
        <v>7041</v>
      </c>
      <c r="K103" s="25" t="s">
        <v>2435</v>
      </c>
      <c r="L103" s="25" t="s">
        <v>7001</v>
      </c>
      <c r="M103" s="25" t="s">
        <v>7042</v>
      </c>
      <c r="N103" s="25" t="s">
        <v>7043</v>
      </c>
    </row>
    <row r="104" ht="60" customHeight="1">
      <c r="A104" s="25" t="s">
        <v>7173</v>
      </c>
      <c r="B104" s="25" t="s">
        <v>2444</v>
      </c>
      <c r="C104" s="25" t="s">
        <v>78</v>
      </c>
      <c r="D104" s="25" t="s">
        <v>2652</v>
      </c>
      <c r="E104" s="25" t="s">
        <v>1489</v>
      </c>
      <c r="F104" s="25" t="s">
        <v>958</v>
      </c>
      <c r="G104" s="25" t="s">
        <v>1487</v>
      </c>
      <c r="H104" s="25" t="s">
        <v>7174</v>
      </c>
      <c r="I104" s="25" t="s">
        <v>7040</v>
      </c>
      <c r="J104" s="25" t="s">
        <v>7041</v>
      </c>
      <c r="K104" s="25" t="s">
        <v>2435</v>
      </c>
      <c r="L104" s="25" t="s">
        <v>7001</v>
      </c>
      <c r="M104" s="25" t="s">
        <v>7042</v>
      </c>
      <c r="N104" s="25" t="s">
        <v>7049</v>
      </c>
    </row>
    <row r="105" ht="60" customHeight="1">
      <c r="A105" s="25" t="s">
        <v>7175</v>
      </c>
      <c r="B105" s="25" t="s">
        <v>2444</v>
      </c>
      <c r="C105" s="25" t="s">
        <v>78</v>
      </c>
      <c r="D105" s="25" t="s">
        <v>2661</v>
      </c>
      <c r="E105" s="25" t="s">
        <v>1509</v>
      </c>
      <c r="F105" s="25" t="s">
        <v>958</v>
      </c>
      <c r="G105" s="25" t="s">
        <v>1487</v>
      </c>
      <c r="H105" s="25" t="s">
        <v>7099</v>
      </c>
      <c r="I105" s="25" t="s">
        <v>7040</v>
      </c>
      <c r="J105" s="25" t="s">
        <v>7041</v>
      </c>
      <c r="K105" s="25" t="s">
        <v>2435</v>
      </c>
      <c r="L105" s="25" t="s">
        <v>7001</v>
      </c>
      <c r="M105" s="25" t="s">
        <v>7042</v>
      </c>
      <c r="N105" s="25" t="s">
        <v>7049</v>
      </c>
    </row>
    <row r="106" ht="60" customHeight="1">
      <c r="A106" s="25" t="s">
        <v>7176</v>
      </c>
      <c r="B106" s="25" t="s">
        <v>2444</v>
      </c>
      <c r="C106" s="25" t="s">
        <v>78</v>
      </c>
      <c r="D106" s="25" t="s">
        <v>2664</v>
      </c>
      <c r="E106" s="25" t="s">
        <v>1515</v>
      </c>
      <c r="F106" s="25" t="s">
        <v>958</v>
      </c>
      <c r="G106" s="25" t="s">
        <v>1487</v>
      </c>
      <c r="H106" s="25" t="s">
        <v>7177</v>
      </c>
      <c r="I106" s="25" t="s">
        <v>7040</v>
      </c>
      <c r="J106" s="25" t="s">
        <v>7041</v>
      </c>
      <c r="K106" s="25" t="s">
        <v>2435</v>
      </c>
      <c r="L106" s="25" t="s">
        <v>7001</v>
      </c>
      <c r="M106" s="25" t="s">
        <v>7042</v>
      </c>
      <c r="N106" s="25" t="s">
        <v>7049</v>
      </c>
    </row>
    <row r="107" ht="60" customHeight="1">
      <c r="A107" s="25" t="s">
        <v>7178</v>
      </c>
      <c r="B107" s="25" t="s">
        <v>2444</v>
      </c>
      <c r="C107" s="25" t="s">
        <v>78</v>
      </c>
      <c r="D107" s="25" t="s">
        <v>2677</v>
      </c>
      <c r="E107" s="25" t="s">
        <v>1547</v>
      </c>
      <c r="F107" s="25" t="s">
        <v>958</v>
      </c>
      <c r="G107" s="25" t="s">
        <v>1522</v>
      </c>
      <c r="H107" s="25" t="s">
        <v>7179</v>
      </c>
      <c r="I107" s="25" t="s">
        <v>7040</v>
      </c>
      <c r="J107" s="25" t="s">
        <v>7041</v>
      </c>
      <c r="K107" s="25" t="s">
        <v>2435</v>
      </c>
      <c r="L107" s="25" t="s">
        <v>7001</v>
      </c>
      <c r="M107" s="25" t="s">
        <v>7042</v>
      </c>
      <c r="N107" s="25" t="s">
        <v>7049</v>
      </c>
    </row>
    <row r="108" ht="60" customHeight="1">
      <c r="A108" s="25" t="s">
        <v>7180</v>
      </c>
      <c r="B108" s="25" t="s">
        <v>2444</v>
      </c>
      <c r="C108" s="25" t="s">
        <v>78</v>
      </c>
      <c r="D108" s="25" t="s">
        <v>2680</v>
      </c>
      <c r="E108" s="25" t="s">
        <v>1555</v>
      </c>
      <c r="F108" s="25" t="s">
        <v>958</v>
      </c>
      <c r="G108" s="25" t="s">
        <v>1522</v>
      </c>
      <c r="H108" s="25" t="s">
        <v>7133</v>
      </c>
      <c r="I108" s="25" t="s">
        <v>7040</v>
      </c>
      <c r="J108" s="25" t="s">
        <v>7041</v>
      </c>
      <c r="K108" s="25" t="s">
        <v>2435</v>
      </c>
      <c r="L108" s="25" t="s">
        <v>7001</v>
      </c>
      <c r="M108" s="25" t="s">
        <v>7042</v>
      </c>
      <c r="N108" s="25" t="s">
        <v>7049</v>
      </c>
    </row>
    <row r="109" ht="60" customHeight="1">
      <c r="A109" s="25" t="s">
        <v>7181</v>
      </c>
      <c r="B109" s="25" t="s">
        <v>2444</v>
      </c>
      <c r="C109" s="25" t="s">
        <v>78</v>
      </c>
      <c r="D109" s="25" t="s">
        <v>2683</v>
      </c>
      <c r="E109" s="25" t="s">
        <v>1566</v>
      </c>
      <c r="F109" s="25" t="s">
        <v>958</v>
      </c>
      <c r="G109" s="25" t="s">
        <v>1564</v>
      </c>
      <c r="H109" s="25" t="s">
        <v>7182</v>
      </c>
      <c r="I109" s="25" t="s">
        <v>7040</v>
      </c>
      <c r="J109" s="25" t="s">
        <v>7041</v>
      </c>
      <c r="K109" s="25" t="s">
        <v>2435</v>
      </c>
      <c r="L109" s="25" t="s">
        <v>7001</v>
      </c>
      <c r="M109" s="25" t="s">
        <v>7042</v>
      </c>
      <c r="N109" s="25" t="s">
        <v>7049</v>
      </c>
    </row>
    <row r="110" ht="60" customHeight="1">
      <c r="A110" s="25" t="s">
        <v>7183</v>
      </c>
      <c r="B110" s="25" t="s">
        <v>2444</v>
      </c>
      <c r="C110" s="25" t="s">
        <v>78</v>
      </c>
      <c r="D110" s="25" t="s">
        <v>2686</v>
      </c>
      <c r="E110" s="25" t="s">
        <v>1532</v>
      </c>
      <c r="F110" s="25" t="s">
        <v>958</v>
      </c>
      <c r="G110" s="25" t="s">
        <v>1564</v>
      </c>
      <c r="H110" s="25" t="s">
        <v>7182</v>
      </c>
      <c r="I110" s="25" t="s">
        <v>7040</v>
      </c>
      <c r="J110" s="25" t="s">
        <v>7041</v>
      </c>
      <c r="K110" s="25" t="s">
        <v>2435</v>
      </c>
      <c r="L110" s="25" t="s">
        <v>7001</v>
      </c>
      <c r="M110" s="25" t="s">
        <v>7042</v>
      </c>
      <c r="N110" s="25" t="s">
        <v>7049</v>
      </c>
    </row>
    <row r="111" ht="60" customHeight="1">
      <c r="A111" s="25" t="s">
        <v>7184</v>
      </c>
      <c r="B111" s="25" t="s">
        <v>2444</v>
      </c>
      <c r="C111" s="25" t="s">
        <v>78</v>
      </c>
      <c r="D111" s="25" t="s">
        <v>2689</v>
      </c>
      <c r="E111" s="25" t="s">
        <v>1578</v>
      </c>
      <c r="F111" s="25" t="s">
        <v>958</v>
      </c>
      <c r="G111" s="25" t="s">
        <v>1564</v>
      </c>
      <c r="H111" s="25" t="s">
        <v>7185</v>
      </c>
      <c r="I111" s="25" t="s">
        <v>7040</v>
      </c>
      <c r="J111" s="25" t="s">
        <v>7041</v>
      </c>
      <c r="K111" s="25" t="s">
        <v>2435</v>
      </c>
      <c r="L111" s="25" t="s">
        <v>7001</v>
      </c>
      <c r="M111" s="25" t="s">
        <v>7042</v>
      </c>
      <c r="N111" s="25" t="s">
        <v>7049</v>
      </c>
    </row>
    <row r="112" ht="60" customHeight="1">
      <c r="A112" s="25" t="s">
        <v>7186</v>
      </c>
      <c r="B112" s="25" t="s">
        <v>2444</v>
      </c>
      <c r="C112" s="25" t="s">
        <v>78</v>
      </c>
      <c r="D112" s="25" t="s">
        <v>2698</v>
      </c>
      <c r="E112" s="25" t="s">
        <v>1604</v>
      </c>
      <c r="F112" s="25" t="s">
        <v>958</v>
      </c>
      <c r="G112" s="25" t="s">
        <v>1594</v>
      </c>
      <c r="H112" s="25" t="s">
        <v>7119</v>
      </c>
      <c r="I112" s="25" t="s">
        <v>7040</v>
      </c>
      <c r="J112" s="25" t="s">
        <v>7041</v>
      </c>
      <c r="K112" s="25" t="s">
        <v>2435</v>
      </c>
      <c r="L112" s="25" t="s">
        <v>7001</v>
      </c>
      <c r="M112" s="25" t="s">
        <v>7042</v>
      </c>
      <c r="N112" s="25" t="s">
        <v>7049</v>
      </c>
    </row>
    <row r="113" ht="60" customHeight="1">
      <c r="A113" s="25" t="s">
        <v>7187</v>
      </c>
      <c r="B113" s="25" t="s">
        <v>2444</v>
      </c>
      <c r="C113" s="25" t="s">
        <v>78</v>
      </c>
      <c r="D113" s="25" t="s">
        <v>2701</v>
      </c>
      <c r="E113" s="25" t="s">
        <v>1612</v>
      </c>
      <c r="F113" s="25" t="s">
        <v>958</v>
      </c>
      <c r="G113" s="25" t="s">
        <v>1594</v>
      </c>
      <c r="H113" s="25" t="s">
        <v>7174</v>
      </c>
      <c r="I113" s="25" t="s">
        <v>7040</v>
      </c>
      <c r="J113" s="25" t="s">
        <v>7041</v>
      </c>
      <c r="K113" s="25" t="s">
        <v>2435</v>
      </c>
      <c r="L113" s="25" t="s">
        <v>7001</v>
      </c>
      <c r="M113" s="25" t="s">
        <v>7042</v>
      </c>
      <c r="N113" s="25" t="s">
        <v>7049</v>
      </c>
    </row>
    <row r="114" ht="60" customHeight="1">
      <c r="A114" s="25" t="s">
        <v>7188</v>
      </c>
      <c r="B114" s="25" t="s">
        <v>2444</v>
      </c>
      <c r="C114" s="25" t="s">
        <v>78</v>
      </c>
      <c r="D114" s="25" t="s">
        <v>2704</v>
      </c>
      <c r="E114" s="25" t="s">
        <v>1620</v>
      </c>
      <c r="F114" s="25" t="s">
        <v>958</v>
      </c>
      <c r="G114" s="25" t="s">
        <v>1594</v>
      </c>
      <c r="H114" s="25" t="s">
        <v>7174</v>
      </c>
      <c r="I114" s="25" t="s">
        <v>7040</v>
      </c>
      <c r="J114" s="25" t="s">
        <v>7041</v>
      </c>
      <c r="K114" s="25" t="s">
        <v>2435</v>
      </c>
      <c r="L114" s="25" t="s">
        <v>7001</v>
      </c>
      <c r="M114" s="25" t="s">
        <v>7042</v>
      </c>
      <c r="N114" s="25" t="s">
        <v>7049</v>
      </c>
    </row>
    <row r="115" ht="60" customHeight="1">
      <c r="A115" s="25" t="s">
        <v>7189</v>
      </c>
      <c r="B115" s="25" t="s">
        <v>2444</v>
      </c>
      <c r="C115" s="25" t="s">
        <v>78</v>
      </c>
      <c r="D115" s="25" t="s">
        <v>2707</v>
      </c>
      <c r="E115" s="25" t="s">
        <v>1632</v>
      </c>
      <c r="F115" s="25" t="s">
        <v>1628</v>
      </c>
      <c r="G115" s="25" t="s">
        <v>1630</v>
      </c>
      <c r="H115" s="25" t="s">
        <v>7047</v>
      </c>
      <c r="I115" s="25" t="s">
        <v>7040</v>
      </c>
      <c r="J115" s="25" t="s">
        <v>7041</v>
      </c>
      <c r="K115" s="25" t="s">
        <v>2435</v>
      </c>
      <c r="L115" s="25" t="s">
        <v>7001</v>
      </c>
      <c r="M115" s="25" t="s">
        <v>7042</v>
      </c>
      <c r="N115" s="25" t="s">
        <v>7140</v>
      </c>
    </row>
    <row r="116" ht="60" customHeight="1">
      <c r="A116" s="25" t="s">
        <v>7190</v>
      </c>
      <c r="B116" s="25" t="s">
        <v>2444</v>
      </c>
      <c r="C116" s="25" t="s">
        <v>78</v>
      </c>
      <c r="D116" s="25" t="s">
        <v>2721</v>
      </c>
      <c r="E116" s="25" t="s">
        <v>1657</v>
      </c>
      <c r="F116" s="25" t="s">
        <v>1628</v>
      </c>
      <c r="G116" s="25" t="s">
        <v>1630</v>
      </c>
      <c r="H116" s="25" t="s">
        <v>7133</v>
      </c>
      <c r="I116" s="25" t="s">
        <v>7040</v>
      </c>
      <c r="J116" s="25" t="s">
        <v>7041</v>
      </c>
      <c r="K116" s="25" t="s">
        <v>2435</v>
      </c>
      <c r="L116" s="25" t="s">
        <v>7001</v>
      </c>
      <c r="M116" s="25" t="s">
        <v>7042</v>
      </c>
      <c r="N116" s="25" t="s">
        <v>7043</v>
      </c>
    </row>
    <row r="117" ht="60" customHeight="1">
      <c r="A117" s="25" t="s">
        <v>7191</v>
      </c>
      <c r="B117" s="25" t="s">
        <v>2444</v>
      </c>
      <c r="C117" s="25" t="s">
        <v>78</v>
      </c>
      <c r="D117" s="25" t="s">
        <v>2733</v>
      </c>
      <c r="E117" s="25" t="s">
        <v>1684</v>
      </c>
      <c r="F117" s="25" t="s">
        <v>1628</v>
      </c>
      <c r="G117" s="25" t="s">
        <v>1669</v>
      </c>
      <c r="H117" s="25" t="s">
        <v>7106</v>
      </c>
      <c r="I117" s="25" t="s">
        <v>7040</v>
      </c>
      <c r="J117" s="25" t="s">
        <v>7041</v>
      </c>
      <c r="K117" s="25" t="s">
        <v>2435</v>
      </c>
      <c r="L117" s="25" t="s">
        <v>7001</v>
      </c>
      <c r="M117" s="25" t="s">
        <v>7042</v>
      </c>
      <c r="N117" s="25" t="s">
        <v>7043</v>
      </c>
    </row>
    <row r="118" ht="60" customHeight="1">
      <c r="A118" s="25" t="s">
        <v>7192</v>
      </c>
      <c r="B118" s="25" t="s">
        <v>2444</v>
      </c>
      <c r="C118" s="25" t="s">
        <v>78</v>
      </c>
      <c r="D118" s="25" t="s">
        <v>2739</v>
      </c>
      <c r="E118" s="25" t="s">
        <v>1696</v>
      </c>
      <c r="F118" s="25" t="s">
        <v>1628</v>
      </c>
      <c r="G118" s="25" t="s">
        <v>1669</v>
      </c>
      <c r="H118" s="25" t="s">
        <v>7193</v>
      </c>
      <c r="I118" s="25" t="s">
        <v>7040</v>
      </c>
      <c r="J118" s="25" t="s">
        <v>7041</v>
      </c>
      <c r="K118" s="25" t="s">
        <v>2435</v>
      </c>
      <c r="L118" s="25" t="s">
        <v>7001</v>
      </c>
      <c r="M118" s="25" t="s">
        <v>7042</v>
      </c>
      <c r="N118" s="25" t="s">
        <v>7043</v>
      </c>
    </row>
    <row r="119" ht="60" customHeight="1">
      <c r="A119" s="25" t="s">
        <v>7194</v>
      </c>
      <c r="B119" s="25" t="s">
        <v>2444</v>
      </c>
      <c r="C119" s="25" t="s">
        <v>78</v>
      </c>
      <c r="D119" s="25" t="s">
        <v>2742</v>
      </c>
      <c r="E119" s="25" t="s">
        <v>1706</v>
      </c>
      <c r="F119" s="25" t="s">
        <v>1628</v>
      </c>
      <c r="G119" s="25" t="s">
        <v>1704</v>
      </c>
      <c r="H119" s="25" t="s">
        <v>7047</v>
      </c>
      <c r="I119" s="25" t="s">
        <v>7040</v>
      </c>
      <c r="J119" s="25" t="s">
        <v>7041</v>
      </c>
      <c r="K119" s="25" t="s">
        <v>2435</v>
      </c>
      <c r="L119" s="25" t="s">
        <v>7001</v>
      </c>
      <c r="M119" s="25" t="s">
        <v>7042</v>
      </c>
      <c r="N119" s="25" t="s">
        <v>7043</v>
      </c>
    </row>
    <row r="120" ht="60" customHeight="1">
      <c r="A120" s="25" t="s">
        <v>7195</v>
      </c>
      <c r="B120" s="25" t="s">
        <v>2444</v>
      </c>
      <c r="C120" s="25" t="s">
        <v>78</v>
      </c>
      <c r="D120" s="25" t="s">
        <v>2745</v>
      </c>
      <c r="E120" s="25" t="s">
        <v>1713</v>
      </c>
      <c r="F120" s="25" t="s">
        <v>1628</v>
      </c>
      <c r="G120" s="25" t="s">
        <v>1704</v>
      </c>
      <c r="H120" s="25" t="s">
        <v>7147</v>
      </c>
      <c r="I120" s="25" t="s">
        <v>7040</v>
      </c>
      <c r="J120" s="25" t="s">
        <v>7041</v>
      </c>
      <c r="K120" s="25" t="s">
        <v>2435</v>
      </c>
      <c r="L120" s="25" t="s">
        <v>7001</v>
      </c>
      <c r="M120" s="25" t="s">
        <v>7042</v>
      </c>
      <c r="N120" s="25" t="s">
        <v>7043</v>
      </c>
    </row>
    <row r="121" ht="60" customHeight="1">
      <c r="A121" s="25" t="s">
        <v>7196</v>
      </c>
      <c r="B121" s="25" t="s">
        <v>2444</v>
      </c>
      <c r="C121" s="25" t="s">
        <v>78</v>
      </c>
      <c r="D121" s="25" t="s">
        <v>2748</v>
      </c>
      <c r="E121" s="25" t="s">
        <v>1720</v>
      </c>
      <c r="F121" s="25" t="s">
        <v>1628</v>
      </c>
      <c r="G121" s="25" t="s">
        <v>1704</v>
      </c>
      <c r="H121" s="25" t="s">
        <v>7197</v>
      </c>
      <c r="I121" s="25" t="s">
        <v>7040</v>
      </c>
      <c r="J121" s="25" t="s">
        <v>7041</v>
      </c>
      <c r="K121" s="25" t="s">
        <v>2435</v>
      </c>
      <c r="L121" s="25" t="s">
        <v>7001</v>
      </c>
      <c r="M121" s="25" t="s">
        <v>7042</v>
      </c>
      <c r="N121" s="25" t="s">
        <v>7049</v>
      </c>
    </row>
    <row r="122" ht="60" customHeight="1">
      <c r="A122" s="25" t="s">
        <v>7198</v>
      </c>
      <c r="B122" s="25" t="s">
        <v>2444</v>
      </c>
      <c r="C122" s="25" t="s">
        <v>78</v>
      </c>
      <c r="D122" s="25" t="s">
        <v>2751</v>
      </c>
      <c r="E122" s="25" t="s">
        <v>1726</v>
      </c>
      <c r="F122" s="25" t="s">
        <v>1628</v>
      </c>
      <c r="G122" s="25" t="s">
        <v>1704</v>
      </c>
      <c r="H122" s="25" t="s">
        <v>7051</v>
      </c>
      <c r="I122" s="25" t="s">
        <v>7040</v>
      </c>
      <c r="J122" s="25" t="s">
        <v>7041</v>
      </c>
      <c r="K122" s="25" t="s">
        <v>2435</v>
      </c>
      <c r="L122" s="25" t="s">
        <v>7001</v>
      </c>
      <c r="M122" s="25" t="s">
        <v>7042</v>
      </c>
      <c r="N122" s="25" t="s">
        <v>7049</v>
      </c>
    </row>
    <row r="123" ht="60" customHeight="1">
      <c r="A123" s="25" t="s">
        <v>7199</v>
      </c>
      <c r="B123" s="25" t="s">
        <v>2444</v>
      </c>
      <c r="C123" s="25" t="s">
        <v>78</v>
      </c>
      <c r="D123" s="25" t="s">
        <v>2760</v>
      </c>
      <c r="E123" s="25" t="s">
        <v>1750</v>
      </c>
      <c r="F123" s="25" t="s">
        <v>1628</v>
      </c>
      <c r="G123" s="25" t="s">
        <v>1733</v>
      </c>
      <c r="H123" s="25" t="s">
        <v>7106</v>
      </c>
      <c r="I123" s="25" t="s">
        <v>7040</v>
      </c>
      <c r="J123" s="25" t="s">
        <v>7041</v>
      </c>
      <c r="K123" s="25" t="s">
        <v>2435</v>
      </c>
      <c r="L123" s="25" t="s">
        <v>7001</v>
      </c>
      <c r="M123" s="25" t="s">
        <v>7042</v>
      </c>
      <c r="N123" s="25" t="s">
        <v>7043</v>
      </c>
    </row>
    <row r="124" ht="60" customHeight="1">
      <c r="A124" s="25" t="s">
        <v>7200</v>
      </c>
      <c r="B124" s="25" t="s">
        <v>2444</v>
      </c>
      <c r="C124" s="25" t="s">
        <v>78</v>
      </c>
      <c r="D124" s="25" t="s">
        <v>2769</v>
      </c>
      <c r="E124" s="25" t="s">
        <v>1768</v>
      </c>
      <c r="F124" s="25" t="s">
        <v>1628</v>
      </c>
      <c r="G124" s="25" t="s">
        <v>1733</v>
      </c>
      <c r="H124" s="25" t="s">
        <v>7201</v>
      </c>
      <c r="I124" s="25" t="s">
        <v>7040</v>
      </c>
      <c r="J124" s="25" t="s">
        <v>7041</v>
      </c>
      <c r="K124" s="25" t="s">
        <v>2435</v>
      </c>
      <c r="L124" s="25" t="s">
        <v>7001</v>
      </c>
      <c r="M124" s="25" t="s">
        <v>7042</v>
      </c>
      <c r="N124" s="25" t="s">
        <v>7054</v>
      </c>
    </row>
    <row r="125" ht="60" customHeight="1">
      <c r="A125" s="25" t="s">
        <v>7202</v>
      </c>
      <c r="B125" s="25" t="s">
        <v>2444</v>
      </c>
      <c r="C125" s="25" t="s">
        <v>78</v>
      </c>
      <c r="D125" s="25" t="s">
        <v>2772</v>
      </c>
      <c r="E125" s="25" t="s">
        <v>1777</v>
      </c>
      <c r="F125" s="25" t="s">
        <v>1628</v>
      </c>
      <c r="G125" s="25" t="s">
        <v>1775</v>
      </c>
      <c r="H125" s="25" t="s">
        <v>7203</v>
      </c>
      <c r="I125" s="25" t="s">
        <v>7040</v>
      </c>
      <c r="J125" s="25" t="s">
        <v>7041</v>
      </c>
      <c r="K125" s="25" t="s">
        <v>2220</v>
      </c>
      <c r="L125" s="25" t="s">
        <v>7001</v>
      </c>
      <c r="M125" s="25" t="s">
        <v>7042</v>
      </c>
      <c r="N125" s="25" t="s">
        <v>7140</v>
      </c>
    </row>
    <row r="126" ht="60" customHeight="1">
      <c r="A126" s="25" t="s">
        <v>7204</v>
      </c>
      <c r="B126" s="25" t="s">
        <v>2444</v>
      </c>
      <c r="C126" s="25" t="s">
        <v>78</v>
      </c>
      <c r="D126" s="25" t="s">
        <v>2779</v>
      </c>
      <c r="E126" s="25" t="s">
        <v>1792</v>
      </c>
      <c r="F126" s="25" t="s">
        <v>1628</v>
      </c>
      <c r="G126" s="25" t="s">
        <v>1775</v>
      </c>
      <c r="H126" s="25" t="s">
        <v>7047</v>
      </c>
      <c r="I126" s="25" t="s">
        <v>7040</v>
      </c>
      <c r="J126" s="25" t="s">
        <v>7041</v>
      </c>
      <c r="K126" s="25" t="s">
        <v>2220</v>
      </c>
      <c r="L126" s="25" t="s">
        <v>7001</v>
      </c>
      <c r="M126" s="25" t="s">
        <v>7042</v>
      </c>
      <c r="N126" s="25" t="s">
        <v>7043</v>
      </c>
    </row>
    <row r="127" ht="60" customHeight="1">
      <c r="A127" s="25" t="s">
        <v>7205</v>
      </c>
      <c r="B127" s="25" t="s">
        <v>2444</v>
      </c>
      <c r="C127" s="25" t="s">
        <v>78</v>
      </c>
      <c r="D127" s="25" t="s">
        <v>2785</v>
      </c>
      <c r="E127" s="25" t="s">
        <v>1810</v>
      </c>
      <c r="F127" s="25" t="s">
        <v>1798</v>
      </c>
      <c r="G127" s="25" t="s">
        <v>1800</v>
      </c>
      <c r="H127" s="25" t="s">
        <v>7106</v>
      </c>
      <c r="I127" s="25" t="s">
        <v>7040</v>
      </c>
      <c r="J127" s="25" t="s">
        <v>7041</v>
      </c>
      <c r="K127" s="25" t="s">
        <v>2435</v>
      </c>
      <c r="L127" s="25" t="s">
        <v>7001</v>
      </c>
      <c r="M127" s="25" t="s">
        <v>7042</v>
      </c>
      <c r="N127" s="25" t="s">
        <v>7049</v>
      </c>
    </row>
    <row r="128" ht="60" customHeight="1">
      <c r="A128" s="25" t="s">
        <v>7206</v>
      </c>
      <c r="B128" s="25" t="s">
        <v>2444</v>
      </c>
      <c r="C128" s="25" t="s">
        <v>78</v>
      </c>
      <c r="D128" s="25" t="s">
        <v>2793</v>
      </c>
      <c r="E128" s="25" t="s">
        <v>1829</v>
      </c>
      <c r="F128" s="25" t="s">
        <v>1798</v>
      </c>
      <c r="G128" s="25" t="s">
        <v>1800</v>
      </c>
      <c r="H128" s="25" t="s">
        <v>7082</v>
      </c>
      <c r="I128" s="25" t="s">
        <v>7040</v>
      </c>
      <c r="J128" s="25" t="s">
        <v>7041</v>
      </c>
      <c r="K128" s="25" t="s">
        <v>2435</v>
      </c>
      <c r="L128" s="25" t="s">
        <v>7001</v>
      </c>
      <c r="M128" s="25" t="s">
        <v>7042</v>
      </c>
      <c r="N128" s="25" t="s">
        <v>7049</v>
      </c>
    </row>
    <row r="129" ht="60" customHeight="1">
      <c r="A129" s="25" t="s">
        <v>7207</v>
      </c>
      <c r="B129" s="25" t="s">
        <v>2444</v>
      </c>
      <c r="C129" s="25" t="s">
        <v>78</v>
      </c>
      <c r="D129" s="25" t="s">
        <v>2796</v>
      </c>
      <c r="E129" s="25" t="s">
        <v>1836</v>
      </c>
      <c r="F129" s="25" t="s">
        <v>1798</v>
      </c>
      <c r="G129" s="25" t="s">
        <v>1800</v>
      </c>
      <c r="H129" s="25" t="s">
        <v>7208</v>
      </c>
      <c r="I129" s="25" t="s">
        <v>7040</v>
      </c>
      <c r="J129" s="25" t="s">
        <v>7041</v>
      </c>
      <c r="K129" s="25" t="s">
        <v>2435</v>
      </c>
      <c r="L129" s="25" t="s">
        <v>7001</v>
      </c>
      <c r="M129" s="25" t="s">
        <v>7042</v>
      </c>
      <c r="N129" s="25" t="s">
        <v>7049</v>
      </c>
    </row>
    <row r="130" ht="60" customHeight="1">
      <c r="A130" s="25" t="s">
        <v>7209</v>
      </c>
      <c r="B130" s="25" t="s">
        <v>2444</v>
      </c>
      <c r="C130" s="25" t="s">
        <v>78</v>
      </c>
      <c r="D130" s="25" t="s">
        <v>2799</v>
      </c>
      <c r="E130" s="25" t="s">
        <v>1847</v>
      </c>
      <c r="F130" s="25" t="s">
        <v>1798</v>
      </c>
      <c r="G130" s="25" t="s">
        <v>1845</v>
      </c>
      <c r="H130" s="25" t="s">
        <v>7051</v>
      </c>
      <c r="I130" s="25" t="s">
        <v>7040</v>
      </c>
      <c r="J130" s="25" t="s">
        <v>7041</v>
      </c>
      <c r="K130" s="25" t="s">
        <v>2435</v>
      </c>
      <c r="L130" s="25" t="s">
        <v>7001</v>
      </c>
      <c r="M130" s="25" t="s">
        <v>7042</v>
      </c>
      <c r="N130" s="25" t="s">
        <v>7049</v>
      </c>
    </row>
    <row r="131" ht="60" customHeight="1">
      <c r="A131" s="25" t="s">
        <v>7210</v>
      </c>
      <c r="B131" s="25" t="s">
        <v>2444</v>
      </c>
      <c r="C131" s="25" t="s">
        <v>78</v>
      </c>
      <c r="D131" s="25" t="s">
        <v>2816</v>
      </c>
      <c r="E131" s="25" t="s">
        <v>1897</v>
      </c>
      <c r="F131" s="25" t="s">
        <v>1798</v>
      </c>
      <c r="G131" s="25" t="s">
        <v>1875</v>
      </c>
      <c r="H131" s="25" t="s">
        <v>7211</v>
      </c>
      <c r="I131" s="25" t="s">
        <v>7040</v>
      </c>
      <c r="J131" s="25" t="s">
        <v>7041</v>
      </c>
      <c r="K131" s="25" t="s">
        <v>2435</v>
      </c>
      <c r="L131" s="25" t="s">
        <v>7001</v>
      </c>
      <c r="M131" s="25" t="s">
        <v>7042</v>
      </c>
      <c r="N131" s="25" t="s">
        <v>7049</v>
      </c>
    </row>
    <row r="132" ht="60" customHeight="1">
      <c r="A132" s="25" t="s">
        <v>7212</v>
      </c>
      <c r="B132" s="25" t="s">
        <v>2444</v>
      </c>
      <c r="C132" s="25" t="s">
        <v>78</v>
      </c>
      <c r="D132" s="25" t="s">
        <v>2835</v>
      </c>
      <c r="E132" s="25" t="s">
        <v>1949</v>
      </c>
      <c r="F132" s="25" t="s">
        <v>1798</v>
      </c>
      <c r="G132" s="25" t="s">
        <v>1940</v>
      </c>
      <c r="H132" s="25" t="s">
        <v>7213</v>
      </c>
      <c r="I132" s="25" t="s">
        <v>7040</v>
      </c>
      <c r="J132" s="25" t="s">
        <v>7041</v>
      </c>
      <c r="K132" s="25" t="s">
        <v>2832</v>
      </c>
      <c r="L132" s="25" t="s">
        <v>7001</v>
      </c>
      <c r="M132" s="25" t="s">
        <v>7042</v>
      </c>
      <c r="N132" s="25" t="s">
        <v>7043</v>
      </c>
    </row>
    <row r="133" ht="60" customHeight="1">
      <c r="A133" s="25" t="s">
        <v>7214</v>
      </c>
      <c r="B133" s="25" t="s">
        <v>2444</v>
      </c>
      <c r="C133" s="25" t="s">
        <v>6980</v>
      </c>
      <c r="D133" s="25" t="s">
        <v>2170</v>
      </c>
      <c r="E133" s="25" t="s">
        <v>343</v>
      </c>
      <c r="F133" s="25" t="s">
        <v>160</v>
      </c>
      <c r="G133" s="25" t="s">
        <v>341</v>
      </c>
      <c r="H133" s="25" t="s">
        <v>7215</v>
      </c>
      <c r="I133" s="25" t="s">
        <v>7216</v>
      </c>
      <c r="J133" s="25" t="s">
        <v>7217</v>
      </c>
      <c r="K133" s="25" t="s">
        <v>2074</v>
      </c>
      <c r="L133" s="25" t="s">
        <v>7001</v>
      </c>
      <c r="M133" s="25" t="s">
        <v>7042</v>
      </c>
      <c r="N133" s="25" t="s">
        <v>7140</v>
      </c>
    </row>
    <row r="134" ht="60" customHeight="1">
      <c r="A134" s="25" t="s">
        <v>7218</v>
      </c>
      <c r="B134" s="25" t="s">
        <v>2444</v>
      </c>
      <c r="C134" s="25" t="s">
        <v>6980</v>
      </c>
      <c r="D134" s="25" t="s">
        <v>2510</v>
      </c>
      <c r="E134" s="25" t="s">
        <v>1139</v>
      </c>
      <c r="F134" s="25" t="s">
        <v>958</v>
      </c>
      <c r="G134" s="25" t="s">
        <v>1129</v>
      </c>
      <c r="H134" s="25" t="s">
        <v>7219</v>
      </c>
      <c r="I134" s="25" t="s">
        <v>7216</v>
      </c>
      <c r="J134" s="25" t="s">
        <v>7217</v>
      </c>
      <c r="K134" s="25" t="s">
        <v>2435</v>
      </c>
      <c r="L134" s="25" t="s">
        <v>7001</v>
      </c>
      <c r="M134" s="25" t="s">
        <v>7042</v>
      </c>
      <c r="N134" s="25" t="s">
        <v>7140</v>
      </c>
    </row>
    <row r="135" ht="60" customHeight="1">
      <c r="A135" s="25" t="s">
        <v>7220</v>
      </c>
      <c r="B135" s="25" t="s">
        <v>2444</v>
      </c>
      <c r="C135" s="25" t="s">
        <v>6980</v>
      </c>
      <c r="D135" s="25" t="s">
        <v>2522</v>
      </c>
      <c r="E135" s="25" t="s">
        <v>1160</v>
      </c>
      <c r="F135" s="25" t="s">
        <v>958</v>
      </c>
      <c r="G135" s="25" t="s">
        <v>1129</v>
      </c>
      <c r="H135" s="25" t="s">
        <v>7221</v>
      </c>
      <c r="I135" s="25" t="s">
        <v>7216</v>
      </c>
      <c r="J135" s="25" t="s">
        <v>7217</v>
      </c>
      <c r="K135" s="25" t="s">
        <v>2435</v>
      </c>
      <c r="L135" s="25" t="s">
        <v>7001</v>
      </c>
      <c r="M135" s="25" t="s">
        <v>7042</v>
      </c>
      <c r="N135" s="25" t="s">
        <v>7054</v>
      </c>
    </row>
    <row r="136" ht="60" customHeight="1">
      <c r="A136" s="25" t="s">
        <v>7222</v>
      </c>
      <c r="B136" s="25" t="s">
        <v>2444</v>
      </c>
      <c r="C136" s="25" t="s">
        <v>6980</v>
      </c>
      <c r="D136" s="25" t="s">
        <v>2531</v>
      </c>
      <c r="E136" s="25" t="s">
        <v>1182</v>
      </c>
      <c r="F136" s="25" t="s">
        <v>958</v>
      </c>
      <c r="G136" s="25" t="s">
        <v>1129</v>
      </c>
      <c r="H136" s="25" t="s">
        <v>7223</v>
      </c>
      <c r="I136" s="25" t="s">
        <v>7216</v>
      </c>
      <c r="J136" s="25" t="s">
        <v>7217</v>
      </c>
      <c r="K136" s="25" t="s">
        <v>2435</v>
      </c>
      <c r="L136" s="25" t="s">
        <v>7001</v>
      </c>
      <c r="M136" s="25" t="s">
        <v>7042</v>
      </c>
      <c r="N136" s="25" t="s">
        <v>7043</v>
      </c>
    </row>
    <row r="137" ht="60" customHeight="1">
      <c r="A137" s="25" t="s">
        <v>7224</v>
      </c>
      <c r="B137" s="25" t="s">
        <v>2444</v>
      </c>
      <c r="C137" s="25" t="s">
        <v>6980</v>
      </c>
      <c r="D137" s="25" t="s">
        <v>2537</v>
      </c>
      <c r="E137" s="25" t="s">
        <v>1201</v>
      </c>
      <c r="F137" s="25" t="s">
        <v>958</v>
      </c>
      <c r="G137" s="25" t="s">
        <v>1199</v>
      </c>
      <c r="H137" s="25" t="s">
        <v>7219</v>
      </c>
      <c r="I137" s="25" t="s">
        <v>7216</v>
      </c>
      <c r="J137" s="25" t="s">
        <v>7217</v>
      </c>
      <c r="K137" s="25" t="s">
        <v>2435</v>
      </c>
      <c r="L137" s="25" t="s">
        <v>7001</v>
      </c>
      <c r="M137" s="25" t="s">
        <v>7042</v>
      </c>
      <c r="N137" s="25" t="s">
        <v>7140</v>
      </c>
    </row>
    <row r="138" ht="60" customHeight="1">
      <c r="A138" s="25" t="s">
        <v>7225</v>
      </c>
      <c r="B138" s="25" t="s">
        <v>2444</v>
      </c>
      <c r="C138" s="25" t="s">
        <v>6980</v>
      </c>
      <c r="D138" s="25" t="s">
        <v>2550</v>
      </c>
      <c r="E138" s="25" t="s">
        <v>1229</v>
      </c>
      <c r="F138" s="25" t="s">
        <v>958</v>
      </c>
      <c r="G138" s="25" t="s">
        <v>1221</v>
      </c>
      <c r="H138" s="25" t="s">
        <v>7223</v>
      </c>
      <c r="I138" s="25" t="s">
        <v>7216</v>
      </c>
      <c r="J138" s="25" t="s">
        <v>7217</v>
      </c>
      <c r="K138" s="25" t="s">
        <v>2435</v>
      </c>
      <c r="L138" s="25" t="s">
        <v>7001</v>
      </c>
      <c r="M138" s="25" t="s">
        <v>7042</v>
      </c>
      <c r="N138" s="25" t="s">
        <v>7043</v>
      </c>
    </row>
    <row r="139" ht="60" customHeight="1">
      <c r="A139" s="25" t="s">
        <v>7226</v>
      </c>
      <c r="B139" s="25" t="s">
        <v>2710</v>
      </c>
      <c r="C139" s="25" t="s">
        <v>69</v>
      </c>
      <c r="D139" s="25" t="s">
        <v>2084</v>
      </c>
      <c r="E139" s="25" t="s">
        <v>119</v>
      </c>
      <c r="F139" s="25" t="s">
        <v>92</v>
      </c>
      <c r="G139" s="25" t="s">
        <v>94</v>
      </c>
      <c r="H139" s="25" t="s">
        <v>7227</v>
      </c>
      <c r="I139" s="25" t="s">
        <v>7228</v>
      </c>
      <c r="J139" s="25" t="s">
        <v>7229</v>
      </c>
      <c r="K139" s="25" t="s">
        <v>7230</v>
      </c>
      <c r="L139" s="25" t="s">
        <v>7001</v>
      </c>
      <c r="M139" s="25" t="s">
        <v>7002</v>
      </c>
      <c r="N139" s="25" t="s">
        <v>7231</v>
      </c>
    </row>
    <row r="140" ht="60" customHeight="1">
      <c r="A140" s="25" t="s">
        <v>7232</v>
      </c>
      <c r="B140" s="25" t="s">
        <v>2710</v>
      </c>
      <c r="C140" s="25" t="s">
        <v>69</v>
      </c>
      <c r="D140" s="25" t="s">
        <v>2263</v>
      </c>
      <c r="E140" s="25" t="s">
        <v>556</v>
      </c>
      <c r="F140" s="25" t="s">
        <v>463</v>
      </c>
      <c r="G140" s="25" t="s">
        <v>546</v>
      </c>
      <c r="H140" s="25" t="s">
        <v>7233</v>
      </c>
      <c r="I140" s="25" t="s">
        <v>7228</v>
      </c>
      <c r="J140" s="25" t="s">
        <v>7229</v>
      </c>
      <c r="K140" s="25" t="s">
        <v>7230</v>
      </c>
      <c r="L140" s="25" t="s">
        <v>7001</v>
      </c>
      <c r="M140" s="25" t="s">
        <v>7002</v>
      </c>
      <c r="N140" s="25" t="s">
        <v>7231</v>
      </c>
    </row>
    <row r="141" ht="60" customHeight="1">
      <c r="A141" s="25" t="s">
        <v>7234</v>
      </c>
      <c r="B141" s="25" t="s">
        <v>2444</v>
      </c>
      <c r="C141" s="25" t="s">
        <v>69</v>
      </c>
      <c r="D141" s="25" t="s">
        <v>2293</v>
      </c>
      <c r="E141" s="25" t="s">
        <v>634</v>
      </c>
      <c r="F141" s="25" t="s">
        <v>463</v>
      </c>
      <c r="G141" s="25" t="s">
        <v>632</v>
      </c>
      <c r="H141" s="25" t="s">
        <v>7235</v>
      </c>
      <c r="I141" s="25" t="s">
        <v>7228</v>
      </c>
      <c r="J141" s="25" t="s">
        <v>7236</v>
      </c>
      <c r="K141" s="25" t="s">
        <v>7230</v>
      </c>
      <c r="L141" s="25" t="s">
        <v>7001</v>
      </c>
      <c r="M141" s="25" t="s">
        <v>7042</v>
      </c>
      <c r="N141" s="25" t="s">
        <v>7237</v>
      </c>
    </row>
    <row r="142" ht="60" customHeight="1">
      <c r="A142" s="25" t="s">
        <v>7238</v>
      </c>
      <c r="B142" s="25" t="s">
        <v>2444</v>
      </c>
      <c r="C142" s="25" t="s">
        <v>69</v>
      </c>
      <c r="D142" s="25" t="s">
        <v>2335</v>
      </c>
      <c r="E142" s="25" t="s">
        <v>736</v>
      </c>
      <c r="F142" s="25" t="s">
        <v>679</v>
      </c>
      <c r="G142" s="25" t="s">
        <v>734</v>
      </c>
      <c r="H142" s="25" t="s">
        <v>7239</v>
      </c>
      <c r="I142" s="25" t="s">
        <v>7228</v>
      </c>
      <c r="J142" s="25" t="s">
        <v>7240</v>
      </c>
      <c r="K142" s="25" t="s">
        <v>7230</v>
      </c>
      <c r="L142" s="25" t="s">
        <v>7001</v>
      </c>
      <c r="M142" s="25" t="s">
        <v>7042</v>
      </c>
      <c r="N142" s="25" t="s">
        <v>7231</v>
      </c>
    </row>
    <row r="143" ht="60" customHeight="1">
      <c r="A143" s="25" t="s">
        <v>7241</v>
      </c>
      <c r="B143" s="25" t="s">
        <v>2444</v>
      </c>
      <c r="C143" s="25" t="s">
        <v>69</v>
      </c>
      <c r="D143" s="25" t="s">
        <v>2338</v>
      </c>
      <c r="E143" s="25" t="s">
        <v>743</v>
      </c>
      <c r="F143" s="25" t="s">
        <v>679</v>
      </c>
      <c r="G143" s="25" t="s">
        <v>734</v>
      </c>
      <c r="H143" s="25" t="s">
        <v>7242</v>
      </c>
      <c r="I143" s="25" t="s">
        <v>7228</v>
      </c>
      <c r="J143" s="25" t="s">
        <v>7240</v>
      </c>
      <c r="K143" s="25" t="s">
        <v>7230</v>
      </c>
      <c r="L143" s="25" t="s">
        <v>7001</v>
      </c>
      <c r="M143" s="25" t="s">
        <v>7042</v>
      </c>
      <c r="N143" s="25" t="s">
        <v>7231</v>
      </c>
    </row>
    <row r="144" ht="60" customHeight="1">
      <c r="A144" s="25" t="s">
        <v>7243</v>
      </c>
      <c r="B144" s="25" t="s">
        <v>2444</v>
      </c>
      <c r="C144" s="25" t="s">
        <v>69</v>
      </c>
      <c r="D144" s="25" t="s">
        <v>2414</v>
      </c>
      <c r="E144" s="25" t="s">
        <v>919</v>
      </c>
      <c r="F144" s="25" t="s">
        <v>679</v>
      </c>
      <c r="G144" s="25" t="s">
        <v>897</v>
      </c>
      <c r="H144" s="25" t="s">
        <v>7244</v>
      </c>
      <c r="I144" s="25" t="s">
        <v>7228</v>
      </c>
      <c r="J144" s="25" t="s">
        <v>7240</v>
      </c>
      <c r="K144" s="25" t="s">
        <v>7230</v>
      </c>
      <c r="L144" s="25" t="s">
        <v>7001</v>
      </c>
      <c r="M144" s="25" t="s">
        <v>7042</v>
      </c>
      <c r="N144" s="25" t="s">
        <v>7231</v>
      </c>
    </row>
    <row r="145" ht="60" customHeight="1">
      <c r="A145" s="25" t="s">
        <v>7245</v>
      </c>
      <c r="B145" s="25" t="s">
        <v>2444</v>
      </c>
      <c r="C145" s="25" t="s">
        <v>69</v>
      </c>
      <c r="D145" s="25" t="s">
        <v>2429</v>
      </c>
      <c r="E145" s="25" t="s">
        <v>953</v>
      </c>
      <c r="F145" s="25" t="s">
        <v>679</v>
      </c>
      <c r="G145" s="25" t="s">
        <v>933</v>
      </c>
      <c r="H145" s="25" t="s">
        <v>7246</v>
      </c>
      <c r="I145" s="25" t="s">
        <v>7228</v>
      </c>
      <c r="J145" s="25" t="s">
        <v>7240</v>
      </c>
      <c r="K145" s="25" t="s">
        <v>7230</v>
      </c>
      <c r="L145" s="25" t="s">
        <v>7001</v>
      </c>
      <c r="M145" s="25" t="s">
        <v>7042</v>
      </c>
      <c r="N145" s="25" t="s">
        <v>7231</v>
      </c>
    </row>
    <row r="146" ht="60" customHeight="1">
      <c r="A146" s="25" t="s">
        <v>7247</v>
      </c>
      <c r="B146" s="25" t="s">
        <v>2444</v>
      </c>
      <c r="C146" s="25" t="s">
        <v>69</v>
      </c>
      <c r="D146" s="25" t="s">
        <v>2446</v>
      </c>
      <c r="E146" s="25" t="s">
        <v>981</v>
      </c>
      <c r="F146" s="25" t="s">
        <v>958</v>
      </c>
      <c r="G146" s="25" t="s">
        <v>971</v>
      </c>
      <c r="H146" s="25" t="s">
        <v>7248</v>
      </c>
      <c r="I146" s="25" t="s">
        <v>7228</v>
      </c>
      <c r="J146" s="25" t="s">
        <v>7249</v>
      </c>
      <c r="K146" s="25" t="s">
        <v>7230</v>
      </c>
      <c r="L146" s="25" t="s">
        <v>7001</v>
      </c>
      <c r="M146" s="25" t="s">
        <v>7042</v>
      </c>
      <c r="N146" s="25" t="s">
        <v>7250</v>
      </c>
    </row>
    <row r="147" ht="60" customHeight="1">
      <c r="A147" s="25" t="s">
        <v>7251</v>
      </c>
      <c r="B147" s="25" t="s">
        <v>2444</v>
      </c>
      <c r="C147" s="25" t="s">
        <v>69</v>
      </c>
      <c r="D147" s="25" t="s">
        <v>2501</v>
      </c>
      <c r="E147" s="25" t="s">
        <v>1109</v>
      </c>
      <c r="F147" s="25" t="s">
        <v>958</v>
      </c>
      <c r="G147" s="25" t="s">
        <v>1099</v>
      </c>
      <c r="H147" s="25" t="s">
        <v>7252</v>
      </c>
      <c r="I147" s="25" t="s">
        <v>7228</v>
      </c>
      <c r="J147" s="25" t="s">
        <v>7253</v>
      </c>
      <c r="K147" s="25" t="s">
        <v>7230</v>
      </c>
      <c r="L147" s="25" t="s">
        <v>7001</v>
      </c>
      <c r="M147" s="25" t="s">
        <v>7042</v>
      </c>
      <c r="N147" s="25" t="s">
        <v>7254</v>
      </c>
    </row>
    <row r="148" ht="60" customHeight="1">
      <c r="A148" s="25" t="s">
        <v>7255</v>
      </c>
      <c r="B148" s="25" t="s">
        <v>2444</v>
      </c>
      <c r="C148" s="25" t="s">
        <v>69</v>
      </c>
      <c r="D148" s="25" t="s">
        <v>2504</v>
      </c>
      <c r="E148" s="25" t="s">
        <v>1114</v>
      </c>
      <c r="F148" s="25" t="s">
        <v>958</v>
      </c>
      <c r="G148" s="25" t="s">
        <v>1099</v>
      </c>
      <c r="H148" s="25" t="s">
        <v>7256</v>
      </c>
      <c r="I148" s="25" t="s">
        <v>7228</v>
      </c>
      <c r="J148" s="25" t="s">
        <v>7236</v>
      </c>
      <c r="K148" s="25" t="s">
        <v>7230</v>
      </c>
      <c r="L148" s="25" t="s">
        <v>7001</v>
      </c>
      <c r="M148" s="25" t="s">
        <v>7042</v>
      </c>
      <c r="N148" s="25" t="s">
        <v>7237</v>
      </c>
    </row>
    <row r="149" ht="60" customHeight="1">
      <c r="A149" s="25" t="s">
        <v>7257</v>
      </c>
      <c r="B149" s="25" t="s">
        <v>2444</v>
      </c>
      <c r="C149" s="25" t="s">
        <v>69</v>
      </c>
      <c r="D149" s="25" t="s">
        <v>2508</v>
      </c>
      <c r="E149" s="25" t="s">
        <v>1131</v>
      </c>
      <c r="F149" s="25" t="s">
        <v>958</v>
      </c>
      <c r="G149" s="25" t="s">
        <v>1129</v>
      </c>
      <c r="H149" s="25" t="s">
        <v>7258</v>
      </c>
      <c r="I149" s="25" t="s">
        <v>7228</v>
      </c>
      <c r="J149" s="25" t="s">
        <v>7249</v>
      </c>
      <c r="K149" s="25" t="s">
        <v>7230</v>
      </c>
      <c r="L149" s="25" t="s">
        <v>7001</v>
      </c>
      <c r="M149" s="25" t="s">
        <v>7042</v>
      </c>
      <c r="N149" s="25" t="s">
        <v>7250</v>
      </c>
    </row>
    <row r="150" ht="60" customHeight="1">
      <c r="A150" s="25" t="s">
        <v>7259</v>
      </c>
      <c r="B150" s="25" t="s">
        <v>2444</v>
      </c>
      <c r="C150" s="25" t="s">
        <v>69</v>
      </c>
      <c r="D150" s="25" t="s">
        <v>2553</v>
      </c>
      <c r="E150" s="25" t="s">
        <v>1235</v>
      </c>
      <c r="F150" s="25" t="s">
        <v>958</v>
      </c>
      <c r="G150" s="25" t="s">
        <v>1221</v>
      </c>
      <c r="H150" s="25" t="s">
        <v>7260</v>
      </c>
      <c r="I150" s="25" t="s">
        <v>7228</v>
      </c>
      <c r="J150" s="25" t="s">
        <v>7253</v>
      </c>
      <c r="K150" s="25" t="s">
        <v>7230</v>
      </c>
      <c r="L150" s="25" t="s">
        <v>7001</v>
      </c>
      <c r="M150" s="25" t="s">
        <v>7042</v>
      </c>
      <c r="N150" s="25" t="s">
        <v>7254</v>
      </c>
    </row>
    <row r="151" ht="60" customHeight="1">
      <c r="A151" s="25" t="s">
        <v>7261</v>
      </c>
      <c r="B151" s="25" t="s">
        <v>2444</v>
      </c>
      <c r="C151" s="25" t="s">
        <v>69</v>
      </c>
      <c r="D151" s="25" t="s">
        <v>2816</v>
      </c>
      <c r="E151" s="25" t="s">
        <v>1897</v>
      </c>
      <c r="F151" s="25" t="s">
        <v>1798</v>
      </c>
      <c r="G151" s="25" t="s">
        <v>1875</v>
      </c>
      <c r="H151" s="25" t="s">
        <v>7262</v>
      </c>
      <c r="I151" s="25" t="s">
        <v>7228</v>
      </c>
      <c r="J151" s="25" t="s">
        <v>7240</v>
      </c>
      <c r="K151" s="25" t="s">
        <v>7230</v>
      </c>
      <c r="L151" s="25" t="s">
        <v>7001</v>
      </c>
      <c r="M151" s="25" t="s">
        <v>7042</v>
      </c>
      <c r="N151" s="25" t="s">
        <v>7231</v>
      </c>
    </row>
    <row r="152" ht="60" customHeight="1">
      <c r="A152" s="25" t="s">
        <v>7263</v>
      </c>
      <c r="B152" s="25" t="s">
        <v>2444</v>
      </c>
      <c r="C152" s="25" t="s">
        <v>69</v>
      </c>
      <c r="D152" s="25" t="s">
        <v>2819</v>
      </c>
      <c r="E152" s="25" t="s">
        <v>1905</v>
      </c>
      <c r="F152" s="25" t="s">
        <v>1798</v>
      </c>
      <c r="G152" s="25" t="s">
        <v>1875</v>
      </c>
      <c r="H152" s="25" t="s">
        <v>7264</v>
      </c>
      <c r="I152" s="25" t="s">
        <v>7228</v>
      </c>
      <c r="J152" s="25" t="s">
        <v>7240</v>
      </c>
      <c r="K152" s="25" t="s">
        <v>7230</v>
      </c>
      <c r="L152" s="25" t="s">
        <v>7001</v>
      </c>
      <c r="M152" s="25" t="s">
        <v>7042</v>
      </c>
      <c r="N152" s="25" t="s">
        <v>7231</v>
      </c>
    </row>
    <row r="153" ht="60" customHeight="1">
      <c r="A153" s="25" t="s">
        <v>7265</v>
      </c>
      <c r="B153" s="25" t="s">
        <v>2444</v>
      </c>
      <c r="C153" s="25" t="s">
        <v>69</v>
      </c>
      <c r="D153" s="25" t="s">
        <v>2821</v>
      </c>
      <c r="E153" s="25" t="s">
        <v>1916</v>
      </c>
      <c r="F153" s="25" t="s">
        <v>1798</v>
      </c>
      <c r="G153" s="25" t="s">
        <v>1914</v>
      </c>
      <c r="H153" s="25" t="s">
        <v>7266</v>
      </c>
      <c r="I153" s="25" t="s">
        <v>7228</v>
      </c>
      <c r="J153" s="25" t="s">
        <v>7240</v>
      </c>
      <c r="K153" s="25" t="s">
        <v>7230</v>
      </c>
      <c r="L153" s="25" t="s">
        <v>7001</v>
      </c>
      <c r="M153" s="25" t="s">
        <v>7042</v>
      </c>
      <c r="N153" s="25" t="s">
        <v>7231</v>
      </c>
    </row>
    <row r="154" ht="60" customHeight="1">
      <c r="A154" s="25" t="s">
        <v>7267</v>
      </c>
      <c r="B154" s="25" t="s">
        <v>2444</v>
      </c>
      <c r="C154" s="25" t="s">
        <v>6978</v>
      </c>
      <c r="D154" s="25" t="s">
        <v>7268</v>
      </c>
      <c r="E154" s="25" t="s">
        <v>7269</v>
      </c>
      <c r="F154" s="25" t="s">
        <v>7270</v>
      </c>
      <c r="G154" s="25" t="s">
        <v>7271</v>
      </c>
      <c r="H154" s="25" t="s">
        <v>7272</v>
      </c>
      <c r="I154" s="25" t="s">
        <v>7273</v>
      </c>
      <c r="J154" s="25" t="s">
        <v>7274</v>
      </c>
      <c r="K154" s="25" t="s">
        <v>7275</v>
      </c>
      <c r="L154" s="25" t="s">
        <v>7001</v>
      </c>
      <c r="M154" s="25" t="s">
        <v>7042</v>
      </c>
      <c r="N154" s="25" t="s">
        <v>7276</v>
      </c>
    </row>
    <row r="155" ht="60" customHeight="1">
      <c r="A155" s="25" t="s">
        <v>7277</v>
      </c>
      <c r="B155" s="25" t="s">
        <v>6976</v>
      </c>
      <c r="C155" s="25" t="s">
        <v>6981</v>
      </c>
      <c r="D155" s="25" t="s">
        <v>3025</v>
      </c>
      <c r="E155" s="25" t="s">
        <v>3028</v>
      </c>
      <c r="F155" s="25" t="s">
        <v>2858</v>
      </c>
      <c r="G155" s="25" t="s">
        <v>1986</v>
      </c>
      <c r="H155" s="25" t="s">
        <v>7278</v>
      </c>
      <c r="I155" s="25" t="s">
        <v>7279</v>
      </c>
      <c r="J155" s="25" t="s">
        <v>7280</v>
      </c>
      <c r="K155" s="25" t="s">
        <v>7281</v>
      </c>
      <c r="L155" s="25" t="s">
        <v>7282</v>
      </c>
      <c r="M155" s="25" t="s">
        <v>7283</v>
      </c>
      <c r="N155" s="25" t="s">
        <v>7284</v>
      </c>
    </row>
    <row r="156" ht="60" customHeight="1">
      <c r="A156" s="25" t="s">
        <v>7285</v>
      </c>
      <c r="B156" s="25" t="s">
        <v>6976</v>
      </c>
      <c r="C156" s="25" t="s">
        <v>6981</v>
      </c>
      <c r="D156" s="25" t="s">
        <v>3042</v>
      </c>
      <c r="E156" s="25" t="s">
        <v>3044</v>
      </c>
      <c r="F156" s="25" t="s">
        <v>2858</v>
      </c>
      <c r="G156" s="25" t="s">
        <v>1987</v>
      </c>
      <c r="H156" s="25" t="s">
        <v>7278</v>
      </c>
      <c r="I156" s="25" t="s">
        <v>7279</v>
      </c>
      <c r="J156" s="25" t="s">
        <v>7280</v>
      </c>
      <c r="K156" s="25" t="s">
        <v>7281</v>
      </c>
      <c r="L156" s="25" t="s">
        <v>7282</v>
      </c>
      <c r="M156" s="25" t="s">
        <v>7283</v>
      </c>
      <c r="N156" s="25" t="s">
        <v>7284</v>
      </c>
    </row>
    <row r="157" ht="58" customHeight="1">
      <c r="A157" s="74" t="str">
        <v>GAP-156</v>
      </c>
      <c r="B157" s="74" t="str">
        <v>High</v>
      </c>
      <c r="C157" s="74" t="str">
        <v>Missing Canonical Capability</v>
      </c>
      <c r="D157" s="74" t="s">
        <v>7286</v>
      </c>
      <c r="E157" s="74" t="s">
        <v>7291</v>
      </c>
      <c r="F157" s="74" t="str">
        <v>8) Management &amp; Governance</v>
      </c>
      <c r="G157" s="74" t="str">
        <v>1.1 Enterprise Strategy &amp; Performance Management</v>
      </c>
      <c r="H157" s="74" t="str">
        <v>Blueprint master 7 contained metrics, KPI, scorecard and reporting support but no explicit strategy/goals/objectives/alignment system of record.</v>
      </c>
      <c r="I157" s="74" t="str">
        <v>Strategy-to-execution ownership and traceability could not be enforced.</v>
      </c>
      <c r="J157" s="74" t="s">
        <v>7384</v>
      </c>
      <c r="K157" s="74" t="str">
        <v>Enterprise Architecture / Strategy Office</v>
      </c>
      <c r="L157" s="74" t="str">
        <v>Resolved</v>
      </c>
      <c r="M157" s="74" t="str">
        <v>Yes</v>
      </c>
      <c r="N157" s="74" t="s">
        <v>7385</v>
      </c>
    </row>
    <row r="158" ht="58" customHeight="1">
      <c r="A158" s="74" t="str">
        <v>GAP-157</v>
      </c>
      <c r="B158" s="74" t="str">
        <v>High</v>
      </c>
      <c r="C158" s="74" t="str">
        <v>Missing Canonical Capability</v>
      </c>
      <c r="D158" s="74" t="str">
        <v>MOD-0354</v>
      </c>
      <c r="E158" s="74" t="str">
        <v>Decomposition &amp; Work Structuring Engine</v>
      </c>
      <c r="F158" s="74" t="str">
        <v>8) Management &amp; Governance</v>
      </c>
      <c r="G158" s="74" t="str">
        <v>1.4 Delivery &amp; Execution Management</v>
      </c>
      <c r="H158" s="74" t="str">
        <v>Blueprint master 7 lacked a reusable structural kernel across project, process, risk, issue, change and remediation plans.</v>
      </c>
      <c r="I158" s="74" t="str">
        <v>Consumer modules risked creating duplicate hierarchy, dependency and baseline engines or overloading MOD-0024 tasks.</v>
      </c>
      <c r="J158" s="74" t="str">
        <v>Added MOD-0354 with strict project/task/workflow/evidence ownership boundaries.</v>
      </c>
      <c r="K158" s="74" t="str">
        <v>Enterprise Architecture / Delivery Management</v>
      </c>
      <c r="L158" s="74" t="str">
        <v>Resolved</v>
      </c>
      <c r="M158" s="74" t="str">
        <v>Yes</v>
      </c>
      <c r="N158" s="74" t="str">
        <v>Resolved in master 8; code authorization remains gated.</v>
      </c>
    </row>
    <row r="159" ht="58" customHeight="1">
      <c r="A159" s="74" t="str">
        <v>GAP-158</v>
      </c>
      <c r="B159" s="74" t="str">
        <v>High</v>
      </c>
      <c r="C159" s="74" t="str">
        <v>Missing Canonical Capability</v>
      </c>
      <c r="D159" s="74" t="s">
        <v>7321</v>
      </c>
      <c r="E159" s="74" t="s">
        <v>7324</v>
      </c>
      <c r="F159" s="74" t="str">
        <v>8) Management &amp; Governance</v>
      </c>
      <c r="G159" s="74" t="str">
        <v>1.6 Business Process &amp; Operational Management</v>
      </c>
      <c r="H159" s="74" t="s">
        <v>7386</v>
      </c>
      <c r="I159" s="74" t="s">
        <v>7387</v>
      </c>
      <c r="J159" s="74" t="s">
        <v>7388</v>
      </c>
      <c r="K159" s="74" t="str">
        <v>Enterprise Architecture / Process Office</v>
      </c>
      <c r="L159" s="74" t="str">
        <v>Resolved</v>
      </c>
      <c r="M159" s="74" t="str">
        <v>Yes</v>
      </c>
      <c r="N159" s="74" t="s">
        <v>7389</v>
      </c>
    </row>
    <row r="160" ht="58" customHeight="1">
      <c r="A160" s="74" t="str">
        <v>GAP-159</v>
      </c>
      <c r="B160" s="74" t="str">
        <v>High</v>
      </c>
      <c r="C160" s="74" t="str">
        <v>Missing Canonical Capability</v>
      </c>
      <c r="D160" s="74" t="str">
        <v>MOD-0357</v>
      </c>
      <c r="E160" s="74" t="s">
        <v>7337</v>
      </c>
      <c r="F160" s="74" t="str">
        <v>8) Management &amp; Governance</v>
      </c>
      <c r="G160" s="74" t="str">
        <v>1.9 Decisioning, Reviews &amp; Management Cadence</v>
      </c>
      <c r="H160" s="74" t="str">
        <v>Scheduler, workflow, decisions and reporting existed but no generic management review-cycle/forum/agenda/pack/outcome SoR.</v>
      </c>
      <c r="I160" s="74" t="str">
        <v>Management cadence would be fragmented across meetings, reports, tasks and domain modules.</v>
      </c>
      <c r="J160" s="74" t="s">
        <v>7390</v>
      </c>
      <c r="K160" s="74" t="str">
        <v>Enterprise Architecture / Corporate Governance</v>
      </c>
      <c r="L160" s="74" t="str">
        <v>Resolved</v>
      </c>
      <c r="M160" s="74" t="str">
        <v>Yes</v>
      </c>
      <c r="N160" s="74" t="s">
        <v>7391</v>
      </c>
    </row>
    <row r="161" ht="58" customHeight="1">
      <c r="A161" s="74" t="str">
        <v>GAP-160</v>
      </c>
      <c r="B161" s="74" t="str">
        <v>High</v>
      </c>
      <c r="C161" s="74" t="str">
        <v>Missing Canonical Capability</v>
      </c>
      <c r="D161" s="74" t="str">
        <v>MOD-0358</v>
      </c>
      <c r="E161" s="74" t="str">
        <v>Delegated Authority &amp; Approval Limits</v>
      </c>
      <c r="F161" s="74" t="str">
        <v>8) Management &amp; Governance</v>
      </c>
      <c r="G161" s="74" t="str">
        <v>1.10 Policy, Authority &amp; Organizational Governance</v>
      </c>
      <c r="H161" s="74" t="str">
        <v>Directory delegation and RBAC existed but did not own approval limits, authority mandates, eligibility or effective-dated authority policy.</v>
      </c>
      <c r="I161" s="74" t="str">
        <v>Approval routing and financial/operational authority could rely on free-text roles or duplicate policy logic.</v>
      </c>
      <c r="J161" s="74" t="str">
        <v>Added MOD-0358 with SoD, workflow, rules and organization-directory contracts.</v>
      </c>
      <c r="K161" s="74" t="str">
        <v>Enterprise Architecture / Corporate Governance / Finance / IAM</v>
      </c>
      <c r="L161" s="74" t="str">
        <v>Resolved</v>
      </c>
      <c r="M161" s="74" t="str">
        <v>Yes</v>
      </c>
      <c r="N161" s="74" t="str">
        <v>Resolved in master 8; MOD-0288 remains identity/binding source.</v>
      </c>
    </row>
    <row r="162" ht="58" customHeight="1">
      <c r="A162" s="74" t="str">
        <v>GAP-161</v>
      </c>
      <c r="B162" s="74" t="str">
        <v>High</v>
      </c>
      <c r="C162" s="74" t="str">
        <v>Missing Canonical Capability</v>
      </c>
      <c r="D162" s="74" t="str">
        <v>MOD-0359</v>
      </c>
      <c r="E162" s="74" t="s">
        <v>7360</v>
      </c>
      <c r="F162" s="74" t="str">
        <v>8) Management &amp; Governance</v>
      </c>
      <c r="G162" s="74" t="str">
        <v>1.10 Policy, Authority &amp; Organizational Governance</v>
      </c>
      <c r="H162" s="74" t="str">
        <v>Legal-entity governance, policy and organization directory existed but enterprise governance bodies, charters, mandates and accountability matrices lacked a canonical SoR.</v>
      </c>
      <c r="I162" s="74" t="str">
        <v>Committee/board mandates, membership and decision rights could be scattered across documents and meetings.</v>
      </c>
      <c r="J162" s="74" t="s">
        <v>7392</v>
      </c>
      <c r="K162" s="74" t="str">
        <v>Enterprise Architecture / Corporate Governance</v>
      </c>
      <c r="L162" s="74" t="str">
        <v>Resolved</v>
      </c>
      <c r="M162" s="74" t="str">
        <v>Yes</v>
      </c>
      <c r="N162" s="74" t="s">
        <v>7393</v>
      </c>
    </row>
    <row r="163" ht="58" customHeight="1">
      <c r="A163" s="74" t="s">
        <v>7394</v>
      </c>
      <c r="B163" s="74" t="s">
        <v>2444</v>
      </c>
      <c r="C163" s="74" t="s">
        <v>7395</v>
      </c>
      <c r="D163" s="74" t="s">
        <v>7396</v>
      </c>
      <c r="E163" s="74" t="s">
        <v>7397</v>
      </c>
      <c r="F163" s="74" t="s">
        <v>7287</v>
      </c>
      <c r="G163" s="74" t="s">
        <v>7398</v>
      </c>
      <c r="H163" s="74" t="s">
        <v>7399</v>
      </c>
      <c r="I163" s="74" t="s">
        <v>7400</v>
      </c>
      <c r="J163" s="74" t="s">
        <v>7401</v>
      </c>
      <c r="K163" s="74" t="s">
        <v>7402</v>
      </c>
      <c r="L163" s="74" t="s">
        <v>7001</v>
      </c>
      <c r="M163" s="74" t="s">
        <v>7283</v>
      </c>
      <c r="N163" s="74" t="s">
        <v>7403</v>
      </c>
    </row>
  </sheetData>
  <conditionalFormatting sqref="B2:B156">
    <cfRule type="expression" dxfId="4" priority="1">
      <formula>$B2="High"</formula>
    </cfRule>
    <cfRule type="expression" dxfId="3" priority="2">
      <formula>$B2="Medium"</formula>
    </cfRule>
    <cfRule type="expression" dxfId="2" priority="3">
      <formula>$B2="Info"</formula>
    </cfRule>
  </conditionalFormatting>
  <conditionalFormatting sqref="L2:L156">
    <cfRule type="expression" dxfId="1" priority="4">
      <formula>$L2="Open"</formula>
    </cfRule>
    <cfRule type="expression" dxfId="0" priority="5">
      <formula>$L2="Confirmed"</formula>
    </cfRule>
  </conditionalFormatting>
  <dataValidations count="3">
    <dataValidation type="list" sqref="B2:B156">
      <formula1>"High,Medium,Low,Info"</formula1>
    </dataValidation>
    <dataValidation type="list" sqref="L2:L156">
      <formula1>"Open,In Review,Blocked,Closed,Confirmed"</formula1>
    </dataValidation>
    <dataValidation type="list" sqref="M2:M156">
      <formula1>"Yes,No,Conditional"</formula1>
    </dataValidation>
  </dataValidations>
  <pageMargins left="0.7" right="0.7" top="0.75" bottom="0.75" header="0.3" footer="0.3"/>
  <tableParts count="1">
    <tablePart r:id="R0a9644f2066947e5"/>
  </tableParts>
</worksheet>
</file>

<file path=xl/worksheets/sheet29.xml><?xml version="1.0" encoding="utf-8"?>
<worksheet xmlns="http://schemas.openxmlformats.org/spreadsheetml/2006/main" xmlns:r="http://schemas.openxmlformats.org/officeDocument/2006/relationships">
  <sheetFormatPr defaultRowHeight="15"/>
  <cols>
    <col min="1" max="1" width="8" hidden="0" customWidth="1"/>
    <col min="2" max="2" width="32" hidden="0" customWidth="1"/>
    <col min="3" max="3" width="12" hidden="0" customWidth="1"/>
    <col min="4" max="4" width="42" hidden="0" customWidth="1"/>
    <col min="5" max="5" width="22" hidden="0" customWidth="1"/>
    <col min="6" max="6" width="28" hidden="0" customWidth="1"/>
    <col min="7" max="7" width="48" hidden="0" customWidth="1"/>
    <col min="8" max="8" width="24" hidden="0" customWidth="1"/>
    <col min="9" max="9" width="52" hidden="0" customWidth="1"/>
    <col min="10" max="10" width="22" hidden="0" customWidth="1"/>
  </cols>
  <sheetData>
    <row r="1">
      <c r="A1" s="79" t="str">
        <v>No.</v>
      </c>
      <c r="B1" s="79" t="str">
        <v>Name</v>
      </c>
      <c r="C1" s="79" t="str">
        <v>Type</v>
      </c>
      <c r="D1" s="79" t="str">
        <v>Purpose</v>
      </c>
      <c r="E1" s="79" t="str">
        <v>Coverage Model</v>
      </c>
      <c r="F1" s="79" t="str">
        <v>Primary SoR Modules</v>
      </c>
      <c r="G1" s="79" t="str">
        <v>Supporting Modules</v>
      </c>
      <c r="H1" s="79" t="str">
        <v>New Modules Added v8</v>
      </c>
      <c r="I1" s="79" t="str">
        <v>Boundary Note</v>
      </c>
      <c r="J1" s="79" t="str">
        <v>Release Scope</v>
      </c>
    </row>
    <row r="2" ht="58" customHeight="1">
      <c r="A2" s="74" t="str">
        <v>1.1</v>
      </c>
      <c r="B2" s="74" t="str">
        <v>Enterprise Strategy &amp; Performance Management</v>
      </c>
      <c r="C2" s="74" t="str">
        <v>Subdomain</v>
      </c>
      <c r="D2" s="74" t="str">
        <v>Goals, objectives, alignment, targets, KPIs, scorecards and strategic performance reviews.</v>
      </c>
      <c r="E2" s="74" t="s">
        <v>7412</v>
      </c>
      <c r="F2" s="74" t="s">
        <v>7286</v>
      </c>
      <c r="G2" s="74" t="str">
        <v>MOD-0004; MOD-0007; MOD-0008; MOD-0059; MOD-0060; MOD-0061; MOD-0072; MOD-0117; MOD-0139</v>
      </c>
      <c r="H2" s="74" t="s">
        <v>7286</v>
      </c>
      <c r="I2" s="74" t="s">
        <v>7413</v>
      </c>
      <c r="J2" s="74" t="s">
        <v>7303</v>
      </c>
    </row>
    <row r="3" ht="58" customHeight="1">
      <c r="A3" s="74" t="str">
        <v>1.2</v>
      </c>
      <c r="B3" s="74" t="str">
        <v>Demand, Ideas &amp; Opportunity Management</v>
      </c>
      <c r="C3" s="74" t="str">
        <v>Subdomain</v>
      </c>
      <c r="D3" s="74" t="str">
        <v>Enterprise demand intake, idea qualification, triage, scoring and early business case.</v>
      </c>
      <c r="E3" s="74" t="str">
        <v>Existing direct coverage</v>
      </c>
      <c r="F3" s="74" t="str">
        <v>MOD-0117</v>
      </c>
      <c r="G3" s="74" t="str">
        <v>MOD-0007; MOD-0023; MOD-0024; MOD-0025; MOD-0028; MOD-0031; MOD-0048; MOD-0057; MOD-0288</v>
      </c>
      <c r="H3" s="74" t="str">
        <v>None</v>
      </c>
      <c r="I3" s="74" t="str">
        <v>MOD-0117 remains demand/idea SoR; CRM commercial opportunities are external context only.</v>
      </c>
      <c r="J3" s="74" t="str">
        <v>R1 - PPM MVP</v>
      </c>
    </row>
    <row r="4" ht="58" customHeight="1">
      <c r="A4" s="74" t="str">
        <v>1.3</v>
      </c>
      <c r="B4" s="74" t="str">
        <v>Portfolio, Investment &amp; Value Management</v>
      </c>
      <c r="C4" s="74" t="str">
        <v>Subdomain</v>
      </c>
      <c r="D4" s="74" t="str">
        <v>Portfolio prioritization, investment decisions, funding alignment, benefits and value realization.</v>
      </c>
      <c r="E4" s="74" t="str">
        <v>Existing composite coverage</v>
      </c>
      <c r="F4" s="74" t="str">
        <v>MOD-0117; MOD-0136; MOD-0138</v>
      </c>
      <c r="G4" s="74" t="str">
        <v>MOD-0007; MOD-0059; MOD-0060; MOD-0061; MOD-0070; MOD-0072; MOD-0139; MOD-0023; MOD-0028; MOD-0031</v>
      </c>
      <c r="H4" s="74" t="str">
        <v>None</v>
      </c>
      <c r="I4" s="74" t="str">
        <v>PPM owns portfolio/benefits; Budgeting owns budget versions; Scenario Planning owns scenarios; Decision Log owns decisions.</v>
      </c>
      <c r="J4" s="74" t="str">
        <v>R1 - PPM MVP / EPM</v>
      </c>
    </row>
    <row r="5" ht="58" customHeight="1">
      <c r="A5" s="74" t="str">
        <v>1.4</v>
      </c>
      <c r="B5" s="74" t="str">
        <v>Delivery &amp; Execution Management</v>
      </c>
      <c r="C5" s="74" t="str">
        <v>Subdomain</v>
      </c>
      <c r="D5" s="74" t="str">
        <v>Initiatives, programs, projects, decomposition, dependencies, milestones and delivery governance.</v>
      </c>
      <c r="E5" s="74" t="str">
        <v>New shared engine + existing PPM</v>
      </c>
      <c r="F5" s="74" t="str">
        <v>MOD-0117; MOD-0354</v>
      </c>
      <c r="G5" s="74" t="str">
        <v>MOD-0023; MOD-0024; MOD-0026; MOD-0027; MOD-0028; MOD-0031; MOD-0040; MOD-0136; MOD-0137; MOD-0288</v>
      </c>
      <c r="H5" s="74" t="str">
        <v>MOD-0354</v>
      </c>
      <c r="I5" s="74" t="str">
        <v>MOD-0117 owns program/project headers; DWS owns structural mechanics; MOD-0024 owns executable tasks.</v>
      </c>
      <c r="J5" s="74" t="str">
        <v>M&amp;G Foundation / R1 - PPM MVP</v>
      </c>
    </row>
    <row r="6" ht="58" customHeight="1">
      <c r="A6" s="74" t="str">
        <v>1.5</v>
      </c>
      <c r="B6" s="74" t="str">
        <v>Resource, Capacity &amp; Allocation Management</v>
      </c>
      <c r="C6" s="74" t="str">
        <v>Subdomain</v>
      </c>
      <c r="D6" s="74" t="str">
        <v>Delivery capacity, workforce demand, assignments, utilization and allocation scenarios.</v>
      </c>
      <c r="E6" s="74" t="str">
        <v>Existing composite coverage</v>
      </c>
      <c r="F6" s="74" t="str">
        <v>MOD-0117; MOD-0310; MOD-0311</v>
      </c>
      <c r="G6" s="74" t="str">
        <v>MOD-0251; MOD-0288; contextual MOD-0192</v>
      </c>
      <c r="H6" s="74" t="str">
        <v>None</v>
      </c>
      <c r="I6" s="74" t="str">
        <v>PPM owns delivery allocation/capacity; HCM owns workforce/headcount plans; MOD-0192 remains planning-domain capacity only.</v>
      </c>
      <c r="J6" s="74" t="str">
        <v>PPM / HCM Foundation</v>
      </c>
    </row>
    <row r="7" ht="58" customHeight="1">
      <c r="A7" s="74" t="str">
        <v>1.6</v>
      </c>
      <c r="B7" s="74" t="str">
        <v>Business Process &amp; Operational Management</v>
      </c>
      <c r="C7" s="74" t="str">
        <v>Subdomain</v>
      </c>
      <c r="D7" s="74" t="str">
        <v>Process architecture, design, operating structures, process performance and improvement.</v>
      </c>
      <c r="E7" s="74" t="s">
        <v>7414</v>
      </c>
      <c r="F7" s="74" t="s">
        <v>7321</v>
      </c>
      <c r="G7" s="74" t="str">
        <v>MOD-0354; MOD-0023; MOD-0024; MOD-0025; MOD-0026; MOD-0027; MOD-0029; MOD-0031; MOD-0048; MOD-0057; MOD-0059; MOD-0060; MOD-0061; MOD-0062; MOD-0074; MOD-0075; MOD-0288</v>
      </c>
      <c r="H7" s="74" t="s">
        <v>7321</v>
      </c>
      <c r="I7" s="74" t="s">
        <v>7415</v>
      </c>
      <c r="J7" s="74" t="s">
        <v>7303</v>
      </c>
    </row>
    <row r="8" ht="58" customHeight="1">
      <c r="A8" s="74" t="str">
        <v>1.7</v>
      </c>
      <c r="B8" s="74" t="str">
        <v>Change, Transformation &amp; Adoption Management</v>
      </c>
      <c r="C8" s="74" t="str">
        <v>Subdomain</v>
      </c>
      <c r="D8" s="74" t="str">
        <v>Transformation roadmaps, change impact, readiness, communications, training and adoption.</v>
      </c>
      <c r="E8" s="74" t="str">
        <v>Existing composite coverage</v>
      </c>
      <c r="F8" s="74" t="str">
        <v>MOD-0093; MOD-0103; MOD-0104; MOD-0105; MOD-0106; MOD-0107; MOD-0117</v>
      </c>
      <c r="G8" s="74" t="str">
        <v>MOD-0091; MOD-0092; MOD-0023; MOD-0024; MOD-0026; MOD-0027; MOD-0028; MOD-0031; MOD-0059; MOD-0060; MOD-0061</v>
      </c>
      <c r="H8" s="74" t="str">
        <v>None</v>
      </c>
      <c r="I8" s="74" t="str">
        <v>PPM owns transformation delivery structures; SSM modules own change/adoption semantics.</v>
      </c>
      <c r="J8" s="74" t="str">
        <v>SSM / PPM</v>
      </c>
    </row>
    <row r="9" ht="58" customHeight="1">
      <c r="A9" s="74" t="str">
        <v>1.8</v>
      </c>
      <c r="B9" s="74" t="str">
        <v>Governance, Risk, Compliance &amp; Assurance</v>
      </c>
      <c r="C9" s="74" t="str">
        <v>Subdomain</v>
      </c>
      <c r="D9" s="74" t="str">
        <v>Risk, controls, policy compliance, audit, findings, remediation, CAPA and assurance.</v>
      </c>
      <c r="E9" s="74" t="str">
        <v>Existing direct/composite coverage</v>
      </c>
      <c r="F9" s="74" t="str">
        <v>MOD-0212; MOD-0213; MOD-0214; MOD-0215; MOD-0216</v>
      </c>
      <c r="G9" s="74" t="str">
        <v>MOD-0207; MOD-0208; MOD-0209; MOD-0219; MOD-0227; MOD-0228; MOD-0229; MOD-0005; MOD-0006; MOD-0023; MOD-0024; MOD-0028; MOD-0029; MOD-0030; MOD-0031</v>
      </c>
      <c r="H9" s="74" t="str">
        <v>None</v>
      </c>
      <c r="I9" s="74" t="str">
        <v>GRC owns enterprise risk/control/audit/remediation; QMS owns regulated deviation/CAPA/change; evidence stays shared.</v>
      </c>
      <c r="J9" s="74" t="str">
        <v>GRC / QMS</v>
      </c>
    </row>
    <row r="10" ht="58" customHeight="1">
      <c r="A10" s="74" t="str">
        <v>1.9</v>
      </c>
      <c r="B10" s="74" t="str">
        <v>Decisioning, Reviews &amp; Management Cadence</v>
      </c>
      <c r="C10" s="74" t="str">
        <v>Subdomain</v>
      </c>
      <c r="D10" s="74" t="str">
        <v>Review cycles, stage gates, governance forums, decisions, actions and closure.</v>
      </c>
      <c r="E10" s="74" t="s">
        <v>7416</v>
      </c>
      <c r="F10" s="74" t="str">
        <v>MOD-0357; MOD-0007; MOD-0072; MOD-0139</v>
      </c>
      <c r="G10" s="74" t="str">
        <v>MOD-0359; MOD-0102; MOD-0023; MOD-0024; MOD-0026; MOD-0028; MOD-0031; MOD-0061; MOD-0288</v>
      </c>
      <c r="H10" s="74" t="str">
        <v>MOD-0357</v>
      </c>
      <c r="I10" s="74" t="str">
        <v>Cadence owns review/agenda/pack/outcome records; decisions and tasks remain in shared canonical modules.</v>
      </c>
      <c r="J10" s="74" t="str">
        <v>M&amp;G Core</v>
      </c>
    </row>
    <row r="11" ht="58" customHeight="1">
      <c r="A11" s="74" t="str">
        <v>1.10​</v>
      </c>
      <c r="B11" s="74" t="str">
        <v>Policy, Authority &amp; Organizational Governance</v>
      </c>
      <c r="C11" s="74" t="str">
        <v>Subdomain</v>
      </c>
      <c r="D11" s="74" t="str">
        <v>Policy, delegated authority, charters, ownership, responsibility and organizational governance.</v>
      </c>
      <c r="E11" s="74" t="s">
        <v>7417</v>
      </c>
      <c r="F11" s="74" t="str">
        <v>MOD-0358; MOD-0359; MOD-0212; MOD-0220; MOD-0288</v>
      </c>
      <c r="G11" s="74" t="str">
        <v>MOD-0001; MOD-0005; MOD-0006; MOD-0007; MOD-0018; MOD-0020; MOD-0021; MOD-0022; MOD-0023; MOD-0028; MOD-0030</v>
      </c>
      <c r="H11" s="74" t="str">
        <v>MOD-0358; MOD-0359</v>
      </c>
      <c r="I11" s="74" t="str">
        <v>Authority/charter modules own policies/limits/bodies/charters/accountability; directory and statutory entity actions remain external SoRs.</v>
      </c>
      <c r="J11" s="74" t="str">
        <v>M&amp;G Foundation / Core</v>
      </c>
    </row>
  </sheetData>
  <conditionalFormatting sqref="E2:E11">
    <cfRule type="expression" dxfId="5" priority="1">
      <formula>ISNUMBER(SEARCH("New",E2))</formula>
    </cfRule>
    <cfRule type="expression" dxfId="6" priority="2">
      <formula>ISNUMBER(SEARCH("Existing",E2))</formula>
    </cfRule>
  </conditionalFormatting>
  <pageMargins left="0.7" right="0.7" top="0.75" bottom="0.75" header="0.3" footer="0.3"/>
  <tableParts count="1">
    <tablePart r:id="R243bb57dde5546b5"/>
  </tableParts>
</worksheet>
</file>

<file path=xl/worksheets/sheet30.xml><?xml version="1.0" encoding="utf-8"?>
<worksheet xmlns="http://schemas.openxmlformats.org/spreadsheetml/2006/main" xmlns:r="http://schemas.openxmlformats.org/officeDocument/2006/relationships">
  <sheetFormatPr defaultRowHeight="15"/>
  <cols>
    <col min="1" max="1" width="24" hidden="0" customWidth="1"/>
    <col min="2" max="2" width="52" hidden="0" customWidth="1"/>
    <col min="3" max="3" width="48" hidden="0" customWidth="1"/>
    <col min="4" max="4" width="10" hidden="0" customWidth="1"/>
    <col min="5" max="5" width="20" hidden="0" customWidth="1"/>
    <col min="6" max="6" width="48" hidden="0" customWidth="1"/>
    <col min="7" max="7" width="58" hidden="0" customWidth="1"/>
    <col min="8" max="8" width="12" hidden="0" customWidth="1"/>
  </cols>
  <sheetData>
    <row r="1" ht="28" customHeight="1">
      <c r="A1" s="87" t="s">
        <v>7418</v>
      </c>
      <c r="B1" s="87"/>
      <c r="C1" s="87"/>
      <c r="D1" s="87"/>
      <c r="E1" s="87"/>
      <c r="F1" s="87"/>
      <c r="G1" s="87"/>
      <c r="H1" s="87"/>
    </row>
    <row r="2" ht="32" customHeight="1">
      <c r="A2" s="93" t="s">
        <v>7419</v>
      </c>
      <c r="B2" s="93"/>
      <c r="C2" s="93"/>
      <c r="D2" s="93"/>
      <c r="E2" s="93"/>
      <c r="F2" s="93"/>
      <c r="G2" s="93"/>
      <c r="H2" s="93"/>
    </row>
    <row r="3">
      <c r="J3" s="79" t="str">
        <v>Subdomain</v>
      </c>
      <c r="K3" s="79" t="str">
        <v>New modules</v>
      </c>
    </row>
    <row r="4" ht="28" customHeight="1">
      <c r="A4" s="79" t="str">
        <v>Metric</v>
      </c>
      <c r="B4" s="79" t="str">
        <v>Value</v>
      </c>
      <c r="C4" s="79" t="str">
        <v>Governance note</v>
      </c>
      <c r="J4" s="74" t="str">
        <v>1.1</v>
      </c>
      <c r="K4" s="74">
        <v>1</v>
      </c>
    </row>
    <row r="5" ht="28" customHeight="1">
      <c r="A5" s="74" t="str">
        <v>Canonical domain subdomains</v>
      </c>
      <c r="B5" s="74" t="n">
        <v>10</v>
      </c>
      <c r="C5" s="74" t="str">
        <v>All ten subdomains mapped</v>
      </c>
      <c r="J5" s="74" t="str">
        <v>1.4</v>
      </c>
      <c r="K5" s="74">
        <v>1</v>
      </c>
    </row>
    <row r="6" ht="28" customHeight="1">
      <c r="A6" s="74" t="str">
        <v>Existing modules reused</v>
      </c>
      <c r="B6" s="74" t="n">
        <v>62</v>
      </c>
      <c r="C6" s="74" t="str">
        <v>Logical reuse; no ownership duplication</v>
      </c>
      <c r="J6" s="74" t="str">
        <v>1.6</v>
      </c>
      <c r="K6" s="74">
        <v>1</v>
      </c>
    </row>
    <row r="7" ht="28" customHeight="1">
      <c r="A7" s="74" t="str">
        <v>New canonical modules</v>
      </c>
      <c r="B7" s="74">
        <v>6</v>
      </c>
      <c r="C7" s="74" t="s">
        <v>7407</v>
      </c>
      <c r="J7" s="74" t="str">
        <v>1.9</v>
      </c>
      <c r="K7" s="74">
        <v>1</v>
      </c>
    </row>
    <row r="8" ht="28" customHeight="1">
      <c r="A8" s="74" t="str">
        <v>New module pages</v>
      </c>
      <c r="B8" s="74">
        <v>60</v>
      </c>
      <c r="C8" s="74" t="s">
        <v>7420</v>
      </c>
      <c r="J8" s="74" t="str">
        <v>1.10​</v>
      </c>
      <c r="K8" s="74">
        <v>2</v>
      </c>
    </row>
    <row r="9" ht="28" customHeight="1">
      <c r="A9" s="74" t="str">
        <v>New enterprise objects</v>
      </c>
      <c r="B9" s="74">
        <v>30</v>
      </c>
      <c r="C9" s="74" t="s">
        <v>7421</v>
      </c>
    </row>
    <row r="10" ht="28" customHeight="1">
      <c r="A10" s="74" t="str">
        <v>Resolved capability gaps</v>
      </c>
      <c r="B10" s="74" t="n">
        <v>6</v>
      </c>
      <c r="C10" s="74" t="str">
        <v>Strategy, DWS, BPM, cadence, authority and charters</v>
      </c>
    </row>
    <row r="11" ht="28" customHeight="1">
      <c r="A11" s="74" t="str">
        <v>Development authorization</v>
      </c>
      <c r="B11" s="74" t="str">
        <v>Not granted</v>
      </c>
      <c r="C11" s="74" t="str">
        <v>Approved DCP and module packs remain mandatory</v>
      </c>
    </row>
    <row r="14">
      <c r="A14" s="79" t="str">
        <v>Module ID</v>
      </c>
      <c r="B14" s="79" t="str">
        <v>Module Name</v>
      </c>
      <c r="C14" s="79" t="str">
        <v>Subdomain</v>
      </c>
      <c r="D14" s="79" t="str">
        <v>Wave</v>
      </c>
      <c r="E14" s="79" t="str">
        <v>Release Scope</v>
      </c>
      <c r="F14" s="79" t="str">
        <v>Primary SoR Object Family</v>
      </c>
      <c r="G14" s="79" t="str">
        <v>Boundary</v>
      </c>
      <c r="H14" s="79" t="str">
        <v>Page Count</v>
      </c>
    </row>
    <row r="15" ht="52" customHeight="1">
      <c r="A15" s="74" t="s">
        <v>7286</v>
      </c>
      <c r="B15" s="74" t="s">
        <v>7291</v>
      </c>
      <c r="C15" s="74" t="s">
        <v>7422</v>
      </c>
      <c r="D15" s="74" t="s">
        <v>120</v>
      </c>
      <c r="E15" s="74" t="s">
        <v>7303</v>
      </c>
      <c r="F15" s="74" t="s">
        <v>7302</v>
      </c>
      <c r="G15" s="74" t="s">
        <v>7307</v>
      </c>
      <c r="H15" s="74">
        <v>14</v>
      </c>
    </row>
    <row r="16" ht="52" customHeight="1">
      <c r="A16" s="74" t="s">
        <v>7308</v>
      </c>
      <c r="B16" s="74" t="s">
        <v>7311</v>
      </c>
      <c r="C16" s="74" t="s">
        <v>7423</v>
      </c>
      <c r="D16" s="74" t="s">
        <v>154</v>
      </c>
      <c r="E16" s="74" t="s">
        <v>7318</v>
      </c>
      <c r="F16" s="74" t="s">
        <v>7317</v>
      </c>
      <c r="G16" s="74" t="s">
        <v>7320</v>
      </c>
      <c r="H16" s="74">
        <v>8</v>
      </c>
    </row>
    <row r="17" ht="52" customHeight="1">
      <c r="A17" s="74" t="s">
        <v>7321</v>
      </c>
      <c r="B17" s="74" t="s">
        <v>7324</v>
      </c>
      <c r="C17" s="74" t="s">
        <v>7424</v>
      </c>
      <c r="D17" s="74" t="s">
        <v>120</v>
      </c>
      <c r="E17" s="74" t="s">
        <v>7303</v>
      </c>
      <c r="F17" s="74" t="s">
        <v>7330</v>
      </c>
      <c r="G17" s="74" t="s">
        <v>7331</v>
      </c>
      <c r="H17" s="74">
        <v>12</v>
      </c>
    </row>
    <row r="18" ht="52" customHeight="1">
      <c r="A18" s="74" t="s">
        <v>7334</v>
      </c>
      <c r="B18" s="74" t="s">
        <v>7337</v>
      </c>
      <c r="C18" s="74" t="s">
        <v>7425</v>
      </c>
      <c r="D18" s="74" t="s">
        <v>3783</v>
      </c>
      <c r="E18" s="74" t="s">
        <v>7303</v>
      </c>
      <c r="F18" s="74" t="s">
        <v>7343</v>
      </c>
      <c r="G18" s="74" t="s">
        <v>7344</v>
      </c>
      <c r="H18" s="74">
        <v>9</v>
      </c>
    </row>
    <row r="19" ht="52" customHeight="1">
      <c r="A19" s="74" t="s">
        <v>7346</v>
      </c>
      <c r="B19" s="74" t="s">
        <v>7349</v>
      </c>
      <c r="C19" s="74" t="s">
        <v>7426</v>
      </c>
      <c r="D19" s="74" t="s">
        <v>154</v>
      </c>
      <c r="E19" s="74" t="s">
        <v>7318</v>
      </c>
      <c r="F19" s="74" t="s">
        <v>7355</v>
      </c>
      <c r="G19" s="74" t="s">
        <v>7356</v>
      </c>
      <c r="H19" s="74">
        <v>8</v>
      </c>
    </row>
    <row r="20" ht="52" customHeight="1">
      <c r="A20" s="74" t="s">
        <v>7358</v>
      </c>
      <c r="B20" s="74" t="s">
        <v>7360</v>
      </c>
      <c r="C20" s="74" t="s">
        <v>7426</v>
      </c>
      <c r="D20" s="74" t="s">
        <v>154</v>
      </c>
      <c r="E20" s="74" t="s">
        <v>7303</v>
      </c>
      <c r="F20" s="74" t="s">
        <v>7366</v>
      </c>
      <c r="G20" s="74" t="s">
        <v>7367</v>
      </c>
      <c r="H20" s="74">
        <v>9</v>
      </c>
    </row>
    <row r="21" ht="52" customHeight="1"/>
    <row r="22" ht="52" customHeight="1"/>
    <row r="25">
      <c r="A25" s="79" t="str">
        <v>Source baseline</v>
      </c>
      <c r="B25" s="79" t="str">
        <v>File / decision</v>
      </c>
      <c r="C25" s="79" t="str">
        <v>Use</v>
      </c>
    </row>
    <row r="26" ht="36" customHeight="1">
      <c r="A26" s="74" t="str">
        <v>Canonical blueprint</v>
      </c>
      <c r="B26" s="74" t="str">
        <v>System Capability &amp; Implementation Blueprint - master 7.xlsx</v>
      </c>
      <c r="C26" s="74" t="str">
        <v>Existing module inventory and canonical ownership</v>
      </c>
    </row>
    <row r="27" ht="36" customHeight="1">
      <c r="A27" s="74" t="str">
        <v>Domain structure</v>
      </c>
      <c r="B27" s="74" t="str">
        <v>Management_Governance_Domain_Structure_v2_1_Audited.docx</v>
      </c>
      <c r="C27" s="74" t="str">
        <v>Ten-subdomain hierarchy and boundary decisions</v>
      </c>
    </row>
    <row r="28" ht="36" customHeight="1">
      <c r="A28" s="74" t="str">
        <v>DWS architecture</v>
      </c>
      <c r="B28" s="74" t="str">
        <v>Decomposition_Work_Structuring_Engine_Spec_v2_0_Audited.docx</v>
      </c>
      <c r="C28" s="74" t="str">
        <v>DWS ownership and runtime boundary</v>
      </c>
    </row>
    <row r="29" ht="36" customHeight="1">
      <c r="A29" s="74" t="str">
        <v>Runtime rules</v>
      </c>
      <c r="B29" s="74" t="str">
        <v>RUNTIME VERTICAL-SLICE DEVELOPMENT RULES — MANDATORY.md</v>
      </c>
      <c r="C29" s="74" t="str">
        <v>Persistence, security, audit, concurrency and idempotency gates</v>
      </c>
    </row>
    <row r="30" ht="36" customHeight="1">
      <c r="A30" s="74" t="s">
        <v>7427</v>
      </c>
      <c r="B30" s="74" t="s">
        <v>7428</v>
      </c>
      <c r="C30" s="74" t="s">
        <v>7429</v>
      </c>
    </row>
    <row r="32" ht="36" customHeight="1">
      <c r="A32" s="74" t="s">
        <v>7430</v>
      </c>
      <c r="B32" s="74" t="s">
        <v>7431</v>
      </c>
      <c r="C32" s="74" t="s">
        <v>7432</v>
      </c>
    </row>
    <row r="33" ht="36" customHeight="1">
      <c r="A33" s="74" t="s">
        <v>7430</v>
      </c>
      <c r="B33" s="74" t="s">
        <v>7433</v>
      </c>
      <c r="C33" s="74" t="s">
        <v>7434</v>
      </c>
    </row>
    <row r="34" ht="36" customHeight="1">
      <c r="A34" s="74" t="s">
        <v>7435</v>
      </c>
      <c r="B34" s="74" t="s">
        <v>7397</v>
      </c>
      <c r="C34" s="74" t="s">
        <v>7436</v>
      </c>
    </row>
  </sheetData>
  <mergeCells>
    <mergeCell ref="A1:H1"/>
    <mergeCell ref="A2:H2"/>
  </mergeCells>
  <pageMargins left="0.7" right="0.7" top="0.75" bottom="0.75" header="0.3" footer="0.3"/>
  <drawing r:id="Re5a6fcc3c046496e"/>
  <tableParts count="1">
    <tablePart r:id="R897cfa5927814fe8"/>
  </tableParts>
</worksheet>
</file>

<file path=xl/worksheets/sheet31.xml><?xml version="1.0" encoding="utf-8"?>
<worksheet xmlns="http://schemas.openxmlformats.org/spreadsheetml/2006/main">
  <sheetFormatPr defaultRowHeight="15"/>
  <cols>
    <col min="1" max="1" width="42" hidden="0" customWidth="1"/>
    <col min="2" max="2" width="18" hidden="0" customWidth="1"/>
    <col min="3" max="3" width="18" hidden="0" customWidth="1"/>
    <col min="4" max="4" width="52" hidden="0" customWidth="1"/>
  </cols>
  <sheetData>
    <row r="1">
      <c r="A1" s="87" t="s">
        <v>7437</v>
      </c>
      <c r="B1" s="87"/>
      <c r="C1" s="87"/>
      <c r="D1" s="87"/>
    </row>
    <row r="2">
      <c r="A2" s="79" t="str">
        <v>Gate Metric</v>
      </c>
      <c r="B2" s="79" t="str">
        <v>Current Value</v>
      </c>
      <c r="C2" s="79" t="str">
        <v>Pass Criteria</v>
      </c>
      <c r="D2" s="79" t="str">
        <v>Status</v>
      </c>
    </row>
    <row r="3" ht="28" customHeight="1">
      <c r="A3" s="74" t="str">
        <v>Canonical modules in domain scope</v>
      </c>
      <c r="B3" s="74">
        <v>6</v>
      </c>
      <c r="C3" s="74" t="s">
        <v>7438</v>
      </c>
      <c r="D3" s="74" t="str">
        <v>PASS</v>
      </c>
    </row>
    <row r="4" ht="28" customHeight="1">
      <c r="A4" s="74" t="str">
        <v>Subdomains mapped</v>
      </c>
      <c r="B4" s="74" t="n">
        <v>10</v>
      </c>
      <c r="C4" s="74" t="n">
        <v>10</v>
      </c>
      <c r="D4" s="74" t="str">
        <v>PASS</v>
      </c>
    </row>
    <row r="5" ht="28" customHeight="1">
      <c r="A5" s="74" t="str">
        <v>Missing dependency references</v>
      </c>
      <c r="B5" s="74" t="n">
        <v>0</v>
      </c>
      <c r="C5" s="74" t="n">
        <v>0</v>
      </c>
      <c r="D5" s="74" t="str">
        <v>PASS</v>
      </c>
    </row>
    <row r="6" ht="28" customHeight="1">
      <c r="A6" s="74" t="str">
        <v>Out-of-sequence hard dependencies</v>
      </c>
      <c r="B6" s="74" t="n">
        <v>0</v>
      </c>
      <c r="C6" s="74" t="n">
        <v>0</v>
      </c>
      <c r="D6" s="74" t="str">
        <v>PASS</v>
      </c>
    </row>
    <row r="7" ht="28" customHeight="1">
      <c r="A7" s="74" t="str">
        <v>SoR collisions in new modules</v>
      </c>
      <c r="B7" s="74" t="n">
        <v>0</v>
      </c>
      <c r="C7" s="74" t="n">
        <v>0</v>
      </c>
      <c r="D7" s="74" t="str">
        <v>PASS</v>
      </c>
    </row>
    <row r="8" ht="28" customHeight="1">
      <c r="A8" s="74" t="str">
        <v>Missing module pages</v>
      </c>
      <c r="B8" s="74" t="n">
        <v>0</v>
      </c>
      <c r="C8" s="74" t="n">
        <v>0</v>
      </c>
      <c r="D8" s="74" t="str">
        <v>PASS</v>
      </c>
    </row>
    <row r="9" ht="28" customHeight="1">
      <c r="A9" s="74" t="str">
        <v>Missing object-catalog entries</v>
      </c>
      <c r="B9" s="74" t="n">
        <v>0</v>
      </c>
      <c r="C9" s="74" t="n">
        <v>0</v>
      </c>
      <c r="D9" s="74" t="str">
        <v>PASS</v>
      </c>
    </row>
    <row r="10" ht="28" customHeight="1">
      <c r="A10" s="74" t="str">
        <v>Contract bundles registered</v>
      </c>
      <c r="B10" s="74">
        <v>6</v>
      </c>
      <c r="C10" s="74" t="s">
        <v>7438</v>
      </c>
      <c r="D10" s="74" t="str">
        <v>PASS</v>
      </c>
    </row>
    <row r="11" ht="28" customHeight="1">
      <c r="A11" s="74" t="str">
        <v>Delivery Capability Pack approved</v>
      </c>
      <c r="B11" s="74" t="str">
        <v>NO</v>
      </c>
      <c r="C11" s="74" t="str">
        <v>YES</v>
      </c>
      <c r="D11" s="74" t="str">
        <v>BLOCKED</v>
      </c>
    </row>
    <row r="12" ht="28" customHeight="1">
      <c r="A12" s="74" t="str">
        <v>Approved / ready-for-dev module packs</v>
      </c>
      <c r="B12" s="74" t="s">
        <v>7439</v>
      </c>
      <c r="C12" s="74" t="s">
        <v>7440</v>
      </c>
      <c r="D12" s="74" t="str">
        <v>BLOCKED</v>
      </c>
    </row>
    <row r="13" ht="28" customHeight="1">
      <c r="A13" s="74" t="str">
        <v>Runtime vertical-slice evidence</v>
      </c>
      <c r="B13" s="74" t="s">
        <v>7439</v>
      </c>
      <c r="C13" s="74" t="s">
        <v>7440</v>
      </c>
      <c r="D13" s="74" t="str">
        <v>BLOCKED</v>
      </c>
    </row>
    <row r="15">
      <c r="A15" s="101" t="str">
        <v>Overall Development Decision</v>
      </c>
      <c r="B15" s="101" t="str">
        <v>NO-GO</v>
      </c>
      <c r="C15" s="101"/>
      <c r="D15" s="101" t="s">
        <v>7441</v>
      </c>
    </row>
  </sheetData>
  <mergeCells>
    <mergeCell ref="A1:D1"/>
  </mergeCells>
  <conditionalFormatting sqref="D3:D13">
    <cfRule type="expression" dxfId="7" priority="1">
      <formula>D3="PASS"</formula>
    </cfRule>
    <cfRule type="expression" dxfId="8" priority="2">
      <formula>D3="BLOCKED"</formula>
    </cfRule>
  </conditionalFormatting>
  <pageMargins left="0.7" right="0.7" top="0.75" bottom="0.75" header="0.3" footer="0.3"/>
</worksheet>
</file>