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atig/Downloads/"/>
    </mc:Choice>
  </mc:AlternateContent>
  <xr:revisionPtr revIDLastSave="0" documentId="8_{6A6743A8-A05D-5F46-AA6E-C981E76E4302}" xr6:coauthVersionLast="47" xr6:coauthVersionMax="47" xr10:uidLastSave="{00000000-0000-0000-0000-000000000000}"/>
  <bookViews>
    <workbookView xWindow="0" yWindow="600" windowWidth="33600" windowHeight="19360" activeTab="6" xr2:uid="{00000000-000D-0000-FFFF-FFFF00000000}"/>
  </bookViews>
  <sheets>
    <sheet name="Development Governance Matrix" sheetId="1" r:id="rId1"/>
    <sheet name="Treasury Core Capability Stack" sheetId="2" r:id="rId2"/>
    <sheet name="RA DLE" sheetId="3" r:id="rId3"/>
    <sheet name="HR &amp; TEP" sheetId="4" r:id="rId4"/>
    <sheet name="Sheet1" sheetId="6" r:id="rId5"/>
    <sheet name="Supply Chain-Qulaity Cap Block" sheetId="5" r:id="rId6"/>
    <sheet name="Integrated R&amp;D–RA Lifecycle Man" sheetId="7" r:id="rId7"/>
    <sheet name="Software Capability Matrix" sheetId="8" r:id="rId8"/>
    <sheet name="Interface Registry" sheetId="9" r:id="rId9"/>
    <sheet name="Shared Evidence Matrix" sheetId="10" r:id="rId10"/>
    <sheet name="Optimized Master Plan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7" l="1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O7" i="7"/>
  <c r="M7" i="7"/>
  <c r="K7" i="7"/>
  <c r="O5" i="7"/>
  <c r="M5" i="7"/>
  <c r="K5" i="7"/>
</calcChain>
</file>

<file path=xl/sharedStrings.xml><?xml version="1.0" encoding="utf-8"?>
<sst xmlns="http://schemas.openxmlformats.org/spreadsheetml/2006/main" count="4047" uniqueCount="2498">
  <si>
    <t>Level</t>
  </si>
  <si>
    <t>Mandatory Document</t>
  </si>
  <si>
    <t>Description</t>
  </si>
  <si>
    <t>AI Governance Assets Required</t>
  </si>
  <si>
    <t>Portfolio</t>
  </si>
  <si>
    <t>Enterprise Blueprint</t>
  </si>
  <si>
    <t>Defines domains, capability areas, capability blocks, modules, ownership boundaries, and target architecture.</t>
  </si>
  <si>
    <t>Enterprise Architecture Prompt, Capability Taxonomy Rules, Naming Rules</t>
  </si>
  <si>
    <t>Master Development Plan</t>
  </si>
  <si>
    <t>Defines development standards, module statuses, execution waves, architecture rules, coding rules, and AI development rules.</t>
  </si>
  <si>
    <t>Core Development Prompt, Clean Architecture Rules, CQRS Rules, Validation Rules</t>
  </si>
  <si>
    <t>Blueprint - Master Plan Reconciliation Matrix</t>
  </si>
  <si>
    <t>Maps Blueprint domains/modules to Master Plan implementation modules, priorities, dependencies, and execution ownership.</t>
  </si>
  <si>
    <t>Mapping Rules, Dependency Rules, Traceability Rules</t>
  </si>
  <si>
    <t>AI Prompt &amp; Skill Governance Registry</t>
  </si>
  <si>
    <t>Defines approved system prompts, master prompts, review prompts, skill packs, rule packs, and validation prompts.</t>
  </si>
  <si>
    <t>Prompt Governance Rules, Skill Pack Registry, AI Output Validation Rules</t>
  </si>
  <si>
    <t>Block</t>
  </si>
  <si>
    <t>Capability Block Documentation</t>
  </si>
  <si>
    <t>Defines the block scope, purpose, included modules, architecture boundaries, business value, ownership, and governance rules.</t>
  </si>
  <si>
    <t>Capability Block Prompt, Boundary Rules, Capability Modeling Rules</t>
  </si>
  <si>
    <t>Capability Block Execution Plan</t>
  </si>
  <si>
    <t>Defines module sequencing, parallel workstreams, delivery phases, milestones, blockers, and rollout approach.</t>
  </si>
  <si>
    <t>Execution Planning Prompt, Sequencing Rules, Parallelization Rules</t>
  </si>
  <si>
    <t>Capability Block Dependency &amp; Integration Map</t>
  </si>
  <si>
    <t>Defines module dependencies, APIs, events, shared services, infrastructure dependencies, and external integrations.</t>
  </si>
  <si>
    <t>Dependency Analysis Skill, API/Event Rules, Integration Rules</t>
  </si>
  <si>
    <t>Capability Block Acceptance &amp; Risk Register</t>
  </si>
  <si>
    <t>Defines block-level readiness criteria, risks, blockers, compliance risks, integration risks, and release conditions.</t>
  </si>
  <si>
    <t>Risk Analysis Prompt, Block Acceptance Rules</t>
  </si>
  <si>
    <t>Module</t>
  </si>
  <si>
    <t>Module Specification</t>
  </si>
  <si>
    <t>Defines module scope, objectives, business logic, domain boundaries, lifecycle states, permissions, integrations, and exclusions.</t>
  </si>
  <si>
    <t>Module System Prompt, Domain Modeling Rules, Business Logic Rules</t>
  </si>
  <si>
    <t>Module Development Plan</t>
  </si>
  <si>
    <t>Defines step-by-step implementation order for backend, frontend, persistence, integration, testing, migration, and deployment.</t>
  </si>
  <si>
    <t>AI Development Workflow Prompt, Backend Rules, Frontend Rules, Migration Rules</t>
  </si>
  <si>
    <t>Module API / UI / Data / Integration Specification</t>
  </si>
  <si>
    <t>Defines endpoints, request/response models, UI screens, database design, events, DTOs, validations, localization, and persistence rules.</t>
  </si>
  <si>
    <t>API Design Rules, UI Rules, Database Rules, Event Contract Rules</t>
  </si>
  <si>
    <t>Module Security &amp; Permission Matrix</t>
  </si>
  <si>
    <t>Defines roles, permissions, actor types, RBAC/ABAC rules, entitlement checks, tenant isolation, and restricted actions.</t>
  </si>
  <si>
    <t>Security Rules, Permission Matrix Prompt, Tenant Isolation Rules</t>
  </si>
  <si>
    <t>Module Test Plan &amp; Definition of Done</t>
  </si>
  <si>
    <t>Defines test coverage, acceptance criteria, gateway smoke tests, browser smoke tests, security checks, and completion criteria.</t>
  </si>
  <si>
    <t>QA Prompt, Testing Rules, Smoke Test Rules, DoD Rules</t>
  </si>
  <si>
    <t>Delivery</t>
  </si>
  <si>
    <t>Work Package Checklist</t>
  </si>
  <si>
    <t>Tracks concrete execution tasks, coding, validation, review, documentation, localization, testing, and completion status.</t>
  </si>
  <si>
    <t>Delivery Checklist Rules, Completion Validation Rules</t>
  </si>
  <si>
    <t>Code Review Checklist</t>
  </si>
  <si>
    <t>Verifies architecture compliance, naming, CQRS, DDD, security, tenancy, audit, localization, and test coverage.</t>
  </si>
  <si>
    <t>Code Review Prompt, Quality Gate Rules</t>
  </si>
  <si>
    <t>QA / Acceptance Report</t>
  </si>
  <si>
    <t>Records test evidence, acceptance status, defects, unresolved risks, production readiness, and approval decision.</t>
  </si>
  <si>
    <t>QA Review Prompt, Acceptance Rules, Audit Rules</t>
  </si>
  <si>
    <t>Deployment Checklist &amp; Release Notes</t>
  </si>
  <si>
    <t>Confirms environment readiness, secrets, gateway routes, migrations, smoke tests, rollback, delivered scope, and known limitations.</t>
  </si>
  <si>
    <t>Deployment Rules, Release Notes Prompt, Rollback Rules</t>
  </si>
  <si>
    <t>#</t>
  </si>
  <si>
    <t>Module ID</t>
  </si>
  <si>
    <t>Module / Capability</t>
  </si>
  <si>
    <t>Readiness %</t>
  </si>
  <si>
    <t>Key Evidence</t>
  </si>
  <si>
    <t>Notes</t>
  </si>
  <si>
    <t>MOD-0002</t>
  </si>
  <si>
    <t>Interface Registry</t>
  </si>
  <si>
    <t>Not in repo</t>
  </si>
  <si>
    <t>—</t>
  </si>
  <si>
    <t>MOD-0003</t>
  </si>
  <si>
    <t>Data Contract Registry</t>
  </si>
  <si>
    <t>AuthService admin routes functional</t>
  </si>
  <si>
    <t>11 commits + 35 reports incl. release-readiness + production-cutover-readiness</t>
  </si>
  <si>
    <t>MOD-0004</t>
  </si>
  <si>
    <t xml:space="preserve"> Metric &amp; Semantic Registry</t>
  </si>
  <si>
    <t>Browser CORS preflight gap</t>
  </si>
  <si>
    <t>7 commits incl. contract-alignment-v1-surface + canonical-tree workspace + baseline catalog UI + governance ops; 8 reports</t>
  </si>
  <si>
    <t>MOD-0008</t>
  </si>
  <si>
    <t>Module Catalog Assignable Expose</t>
  </si>
  <si>
    <t>Planning docs only</t>
  </si>
  <si>
    <t>Catalog alignment proven</t>
  </si>
  <si>
    <t>Only 1 commit on this branch but 82 reports (ranges batch-00..batch-10+) — work is on another branch; consistent with "ready" status</t>
  </si>
  <si>
    <t>MOD-0009</t>
  </si>
  <si>
    <t>Tenant Registry Lifecycle Events</t>
  </si>
  <si>
    <t>Partial domain modeling</t>
  </si>
  <si>
    <t>Foundation closure PASS</t>
  </si>
  <si>
    <t>NY</t>
  </si>
  <si>
    <t>MOD-0018</t>
  </si>
  <si>
    <t>Authorization / RBAC</t>
  </si>
  <si>
    <t>MOD-0018-authorization-readiness-audit-v4.md verdict Partial; routes + tests present</t>
  </si>
  <si>
    <t>MOD-0021</t>
  </si>
  <si>
    <t>Audit Explorer / Trail</t>
  </si>
  <si>
    <t>MOD-0021-audit_trail-readiness-audit-v4.md; Mongo persist + 20 tests pass</t>
  </si>
  <si>
    <t>Reference only</t>
  </si>
  <si>
    <t>MOD-0023</t>
  </si>
  <si>
    <t>Workflow Designer</t>
  </si>
  <si>
    <t>mod0023-workflow-readiness-inspection.md BLOCKED; 6 routes, Save Draft is stub</t>
  </si>
  <si>
    <t>MOD-0026</t>
  </si>
  <si>
    <t>Background Job Scheduler</t>
  </si>
  <si>
    <t>MOD-0027</t>
  </si>
  <si>
    <t>Notification / Email Service</t>
  </si>
  <si>
    <t>Worker tenancy context issue; no impl</t>
  </si>
  <si>
    <t>No backend</t>
  </si>
  <si>
    <t>MOD-0028</t>
  </si>
  <si>
    <t>Document / Evidence Metadata</t>
  </si>
  <si>
    <r>
      <rPr>
        <sz val="409.55"/>
        <color rgb="FF002060"/>
        <rFont val="Play"/>
      </rPr>
      <t>services/Diten.Platform/.../Mod0028/</t>
    </r>
    <r>
      <rPr>
        <sz val="409.55"/>
        <color rgb="FF002060"/>
        <rFont val="Play Regular"/>
      </rPr>
      <t>; collection + API + tests pass</t>
    </r>
  </si>
  <si>
    <t>Contracts incomplete</t>
  </si>
  <si>
    <t>MOD-0031</t>
  </si>
  <si>
    <t>Evidence Linking</t>
  </si>
  <si>
    <t>mod0031-openapi-schema-parity-audit-v5.md; dispatcher + outbox runtime-proven</t>
  </si>
  <si>
    <t>Golden flow not runtime-proven</t>
  </si>
  <si>
    <t>MOD-0032</t>
  </si>
  <si>
    <t>API Gateway Hardening</t>
  </si>
  <si>
    <t>Ocelot config + MOD-0289/0269 live smoke closures</t>
  </si>
  <si>
    <t>Live sink proof blocked</t>
  </si>
  <si>
    <t>MOD-0035</t>
  </si>
  <si>
    <t>Event Bus / Internal Events</t>
  </si>
  <si>
    <t>In-process events only</t>
  </si>
  <si>
    <t>Template persistence missing</t>
  </si>
  <si>
    <t>MOD-0037</t>
  </si>
  <si>
    <t xml:space="preserve"> Integration Monitoring &amp; Reconciliation</t>
  </si>
  <si>
    <t>MOD-0039</t>
  </si>
  <si>
    <t>Schema Compatibility Governance</t>
  </si>
  <si>
    <t>MOD-0041</t>
  </si>
  <si>
    <t>Logging / Monitoring</t>
  </si>
  <si>
    <t>Health + correlation IDs wired</t>
  </si>
  <si>
    <t>Lifecycle partial</t>
  </si>
  <si>
    <t>MOD-0043</t>
  </si>
  <si>
    <t>Tenant Architecture Foundation</t>
  </si>
  <si>
    <t>Multi-tenancy proven in MOD-0289 live smoke</t>
  </si>
  <si>
    <t>Contract closure done</t>
  </si>
  <si>
    <t>MOD-0044</t>
  </si>
  <si>
    <t>Tenant Manager</t>
  </si>
  <si>
    <t>Wired + isolation proven</t>
  </si>
  <si>
    <t>CORS/login plumbing gaps</t>
  </si>
  <si>
    <t>MOD-0046</t>
  </si>
  <si>
    <t>Tenant Core UI</t>
  </si>
  <si>
    <t>Frontend layout + authenticated routes work</t>
  </si>
  <si>
    <t>No external broker</t>
  </si>
  <si>
    <t>MOD-0046+</t>
  </si>
  <si>
    <t>Tenant Core UI Extensions</t>
  </si>
  <si>
    <t>Partial menu/page wiring</t>
  </si>
  <si>
    <t>MOD-0048</t>
  </si>
  <si>
    <t>Reference Data / Lookups</t>
  </si>
  <si>
    <t>mod0048-final-readiness-after-governance-v5.md READY w/ waivers; gateway routes live</t>
  </si>
  <si>
    <t>MOD-0057</t>
  </si>
  <si>
    <t>Taxonomy / Semantic Tagging</t>
  </si>
  <si>
    <t>mod0057 B5 residual closure rerun; 72/72 DataTable pass</t>
  </si>
  <si>
    <t>No dashboards</t>
  </si>
  <si>
    <t>not started</t>
  </si>
  <si>
    <t xml:space="preserve">MOD-0118 </t>
  </si>
  <si>
    <t>General Ledger</t>
  </si>
  <si>
    <t>Runtime-proven</t>
  </si>
  <si>
    <t>MOD-0119</t>
  </si>
  <si>
    <t>Accounts Payable Source Schedule</t>
  </si>
  <si>
    <t>MOD0119-FOUNDATION-CLOSURE-M1-report.md PASS 2026-05-12; 14 routes, 493 LOC</t>
  </si>
  <si>
    <t>Live gateway smoke PASS</t>
  </si>
  <si>
    <t>MOD-0120</t>
  </si>
  <si>
    <t>Accounts Receivable Source Schedule</t>
  </si>
  <si>
    <t>MOD0120-SPEC-INSPECTION-M1-report.md Mockup PASS, Production BLOCKED</t>
  </si>
  <si>
    <t>MOD-0121</t>
  </si>
  <si>
    <t>Bank Reconciliation</t>
  </si>
  <si>
    <t>Some flags missing</t>
  </si>
  <si>
    <t>MOD-0122</t>
  </si>
  <si>
    <t>Bank Statement Actuals / Thin Actuals</t>
  </si>
  <si>
    <t>Partial treasury refs; no closure</t>
  </si>
  <si>
    <t>Catalog alignment fixed</t>
  </si>
  <si>
    <t>MOD-0124</t>
  </si>
  <si>
    <t>Cash Positioning</t>
  </si>
  <si>
    <t>MOD0124-PATH-GATE-M1-readiness-remediation.md BLOCKED; controller + threshold tests pass</t>
  </si>
  <si>
    <t>Immutability/idempotency proven</t>
  </si>
  <si>
    <t>MOD-0125</t>
  </si>
  <si>
    <t>Cash Forecasting / 13-week</t>
  </si>
  <si>
    <t>Refs only, no impl</t>
  </si>
  <si>
    <t>Treasury suite green</t>
  </si>
  <si>
    <t>MOD-0126</t>
  </si>
  <si>
    <t>Payment Proposals / Approvals</t>
  </si>
  <si>
    <t>MOD0126-EVIDENCE-AUDIT-M1-report.md CONDITIONAL PASS; MOD-0031 evidence integrated</t>
  </si>
  <si>
    <t>Frontend prototype only</t>
  </si>
  <si>
    <t>MOD-0127</t>
  </si>
  <si>
    <t>FX Exposure Management</t>
  </si>
  <si>
    <t>MOD-0128</t>
  </si>
  <si>
    <t>Tax / VAT / Withholding</t>
  </si>
  <si>
    <t>Placeholder scope</t>
  </si>
  <si>
    <t>MOD-0140</t>
  </si>
  <si>
    <t>Supplier Onboarding / Master</t>
  </si>
  <si>
    <t>foundation-proof-closure-summary-v5 CONDITIONAL GO; pass-ready proof</t>
  </si>
  <si>
    <t>Service placement decision open</t>
  </si>
  <si>
    <t>MOD-0141</t>
  </si>
  <si>
    <t>Procurement commitment source</t>
  </si>
  <si>
    <t>MOD-0142</t>
  </si>
  <si>
    <t>Receiving / GRN control sourc</t>
  </si>
  <si>
    <t xml:space="preserve">MOD-0143 </t>
  </si>
  <si>
    <t>Invoice Capture &amp; 3-Way Match</t>
  </si>
  <si>
    <t>MOD-0146</t>
  </si>
  <si>
    <t>Payment Run Support</t>
  </si>
  <si>
    <t>Minimal refs</t>
  </si>
  <si>
    <t>MOD-0149</t>
  </si>
  <si>
    <t>Customer 360 / Account Hierarchy</t>
  </si>
  <si>
    <t>Compile blocker resolved</t>
  </si>
  <si>
    <t>MOD-0168</t>
  </si>
  <si>
    <t>Order Capture</t>
  </si>
  <si>
    <t>MOD-0169</t>
  </si>
  <si>
    <t>Billing &amp; Invoicing</t>
  </si>
  <si>
    <t>MOD-0171</t>
  </si>
  <si>
    <t>Disputes / Claims</t>
  </si>
  <si>
    <t>MOD-0217</t>
  </si>
  <si>
    <t>Contract Lifecycle</t>
  </si>
  <si>
    <t>foundation-proof-closure-summary-v5 CONDITIONAL GO; preflight runtime proof</t>
  </si>
  <si>
    <t>Δ</t>
  </si>
  <si>
    <t>MOD-0220</t>
  </si>
  <si>
    <t>Legal Entities</t>
  </si>
  <si>
    <t>mod0220-final-readiness-v5.md READY w/ 3 P3 waivers; create golden flow live</t>
  </si>
  <si>
    <t>MOD-0266</t>
  </si>
  <si>
    <t>Blob / File Storage Provider</t>
  </si>
  <si>
    <t>MOD-0048 catalog aligned</t>
  </si>
  <si>
    <t>MOD-0269</t>
  </si>
  <si>
    <t>Banks / SWIFT / Payments Gateway</t>
  </si>
  <si>
    <t>mod0289-mod0269-release-packaging-manifest live gateway smoke PASS</t>
  </si>
  <si>
    <t>Browser flow PASS</t>
  </si>
  <si>
    <t>MOD-0289</t>
  </si>
  <si>
    <t>Bank Master &amp; Account Registry</t>
  </si>
  <si>
    <t>MOD-0289 batch-99 closure FULL GO w/ formal waivers; 75+ batches</t>
  </si>
  <si>
    <t>MOD-0291</t>
  </si>
  <si>
    <t>Financial Dimensions</t>
  </si>
  <si>
    <t>Protected reference contract closed</t>
  </si>
  <si>
    <t>MOD-0297</t>
  </si>
  <si>
    <t>Tenant Subscription Lifecycle</t>
  </si>
  <si>
    <t>Proven in multi-tenant closures</t>
  </si>
  <si>
    <t>API/release/Ocelot all PASS</t>
  </si>
  <si>
    <t>MOD-0298</t>
  </si>
  <si>
    <t>Tenant Module Entitlement</t>
  </si>
  <si>
    <t>Entitlement enforced at gateway/platform</t>
  </si>
  <si>
    <t>NEW-001</t>
  </si>
  <si>
    <t>Secrets Management</t>
  </si>
  <si>
    <t>NEW-002</t>
  </si>
  <si>
    <t>Platform Administrators Mgmt</t>
  </si>
  <si>
    <t>Admin seeding + RBAC proven</t>
  </si>
  <si>
    <t>Runtime-tested</t>
  </si>
  <si>
    <t>Evidence</t>
  </si>
  <si>
    <t>PSS-004</t>
  </si>
  <si>
    <t>Tenant Login &amp; Security</t>
  </si>
  <si>
    <t>Auth service login + gateway path live</t>
  </si>
  <si>
    <t>3 commits + 9 reports incl. default-taxonomy-register-seed (re-run 2026-05-24)</t>
  </si>
  <si>
    <t>PSS-005</t>
  </si>
  <si>
    <t>Module Catalog</t>
  </si>
  <si>
    <t>MOD-0048 catalog seed + 72/72 contract</t>
  </si>
  <si>
    <t>1 commit on branch + 6 reports; status unchanged from foundation audit</t>
  </si>
  <si>
    <t>PSS-006</t>
  </si>
  <si>
    <t>Subscription Plan Catalog</t>
  </si>
  <si>
    <t>Plan provisioning wiring proven</t>
  </si>
  <si>
    <t>1 commit on branch + 3 reports</t>
  </si>
  <si>
    <t>PSS-007</t>
  </si>
  <si>
    <t>Subscription Feature Management</t>
  </si>
  <si>
    <t>Feature flags + MOD-0298 gates enforced</t>
  </si>
  <si>
    <t>0 commits on branch + 3 reports</t>
  </si>
  <si>
    <r>
      <rPr>
        <sz val="409.55"/>
        <color rgb="FFCCCCCC"/>
        <rFont val="Play"/>
      </rPr>
      <t>1 commit on branch (the MOD-0266 auth-seed catalog extension at </t>
    </r>
    <r>
      <rPr>
        <sz val="409.55"/>
        <color rgb="FFCCCCCC"/>
        <rFont val="Courier New"/>
        <family val="1"/>
      </rPr>
      <t>d9f0cd23</t>
    </r>
    <r>
      <rPr>
        <sz val="409.55"/>
        <color rgb="FFCCCCCC"/>
        <rFont val="Arial"/>
        <family val="2"/>
      </rPr>
      <t> added 21 keys) + 4 reports</t>
    </r>
  </si>
  <si>
    <t>2 commits + 3 reports</t>
  </si>
  <si>
    <t>1 commit + 1 report</t>
  </si>
  <si>
    <t>0 commits + 1 report (only the foundation pack); still essentially un-started</t>
  </si>
  <si>
    <t>0 commits + 0 reports + no module-pack file located</t>
  </si>
  <si>
    <t>0 commits on branch + 3 reports (foundation audit only); no module-pack file located</t>
  </si>
  <si>
    <t>Wave</t>
  </si>
  <si>
    <t>Modules that can be developed in parallel</t>
  </si>
  <si>
    <t>Wave 1</t>
  </si>
  <si>
    <r>
      <rPr>
        <b/>
        <sz val="409.55"/>
        <color rgb="FFFF0000"/>
        <rFont val="Play"/>
      </rPr>
      <t>MOD-0149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MOD-0128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MOD-0291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MOD-0122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MOD-0146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MOD-0127</t>
    </r>
  </si>
  <si>
    <t>Wave 2</t>
  </si>
  <si>
    <r>
      <rPr>
        <b/>
        <sz val="409.55"/>
        <color rgb="FFFF0000"/>
        <rFont val="Play"/>
      </rPr>
      <t>MOD-0168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MOD-0143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MOD-0122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MOD-0146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MOD-0127</t>
    </r>
  </si>
  <si>
    <t>Wave 3</t>
  </si>
  <si>
    <r>
      <rPr>
        <b/>
        <sz val="409.55"/>
        <color rgb="FFFF0000"/>
        <rFont val="Play"/>
      </rPr>
      <t>MOD-0169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MOD-0121</t>
    </r>
    <r>
      <rPr>
        <sz val="409.55"/>
        <color rgb="FFFF0000"/>
        <rFont val="Play"/>
        <family val="2"/>
      </rPr>
      <t xml:space="preserve">, </t>
    </r>
    <r>
      <rPr>
        <b/>
        <sz val="409.55"/>
        <color rgb="FFFF0000"/>
        <rFont val="Play"/>
        <family val="2"/>
      </rPr>
      <t>MOD-0125-M0</t>
    </r>
  </si>
  <si>
    <t>Wave 4</t>
  </si>
  <si>
    <t>MOD-0125 full build</t>
  </si>
  <si>
    <t>Wave 5</t>
  </si>
  <si>
    <t>Cross-module hardening: MOD-0121, MOD-0122, MOD-0125, MOD-0146, MOD-0127</t>
  </si>
  <si>
    <t>Release</t>
  </si>
  <si>
    <t>Capability Block</t>
  </si>
  <si>
    <t>Lane</t>
  </si>
  <si>
    <t>Module Code</t>
  </si>
  <si>
    <t>Module Name</t>
  </si>
  <si>
    <t>Type</t>
  </si>
  <si>
    <t>Output / Role</t>
  </si>
  <si>
    <t>Done</t>
  </si>
  <si>
    <t>R0</t>
  </si>
  <si>
    <t>Platform Backbone + HR Source Readiness</t>
  </si>
  <si>
    <t>R0-A</t>
  </si>
  <si>
    <t>RBAC / Authorization</t>
  </si>
  <si>
    <t>Backbone readiness</t>
  </si>
  <si>
    <t>HR and TEP permission control</t>
  </si>
  <si>
    <t>Audit Trail</t>
  </si>
  <si>
    <t>Access, change, export, approval audit</t>
  </si>
  <si>
    <t>MOD-0030</t>
  </si>
  <si>
    <t>Records Management / Retention / Legal Hold</t>
  </si>
  <si>
    <t>HR/TEP retention and legal hold</t>
  </si>
  <si>
    <t>R0-B</t>
  </si>
  <si>
    <t>Workflow</t>
  </si>
  <si>
    <t>Approval, dispute, review workflows</t>
  </si>
  <si>
    <t>Documentation &amp; Evidence Management</t>
  </si>
  <si>
    <t>Internal evidence/document storage</t>
  </si>
  <si>
    <t>Evidence Linking Service</t>
  </si>
  <si>
    <t>Link evidence to HR/TEP objects</t>
  </si>
  <si>
    <t>R0-C</t>
  </si>
  <si>
    <t>HR/TEP controlled values</t>
  </si>
  <si>
    <t>Skills, roles, categories, tags</t>
  </si>
  <si>
    <t>R0-D</t>
  </si>
  <si>
    <t>MOD-0251</t>
  </si>
  <si>
    <t>Core HR / Employee Master</t>
  </si>
  <si>
    <t>Native HCM master readiness</t>
  </si>
  <si>
    <t>Employee legal profile, employment status, job/employment record</t>
  </si>
  <si>
    <t>MOD-0279</t>
  </si>
  <si>
    <t>Native Payroll Engine</t>
  </si>
  <si>
    <t>Native HCM payroll readiness</t>
  </si>
  <si>
    <t>Payroll calculation, payroll runs, payroll results</t>
  </si>
  <si>
    <t>MOD-0280</t>
  </si>
  <si>
    <t>Time, Attendance &amp; Leave Management</t>
  </si>
  <si>
    <t>Native HCM time/leave readiness</t>
  </si>
  <si>
    <t>Time entries, attendance, leave balances, schedules</t>
  </si>
  <si>
    <t>MOD-0281</t>
  </si>
  <si>
    <t>Payroll Governance &amp; Payroll Controls</t>
  </si>
  <si>
    <t>Native HCM payroll governance readiness</t>
  </si>
  <si>
    <t>Payroll controls, approvals, exceptions, governance</t>
  </si>
  <si>
    <t>Ali</t>
  </si>
  <si>
    <t>MOD-0288</t>
  </si>
  <si>
    <t>Organization, Person &amp; Position Directory</t>
  </si>
  <si>
    <t>Native HCM / platform directory readiness</t>
  </si>
  <si>
    <t>Internal person/org/position foundation</t>
  </si>
  <si>
    <t>R1</t>
  </si>
  <si>
    <t>Human Capital Management Foundation MVP</t>
  </si>
  <si>
    <t>R1-A</t>
  </si>
  <si>
    <t>HR Capability Block Shell</t>
  </si>
  <si>
    <t>Native HCM MVP</t>
  </si>
  <si>
    <t>HR workspace shell</t>
  </si>
  <si>
    <t>Employee Profile Workspace</t>
  </si>
  <si>
    <t>Employee profile workspace over internal employee master</t>
  </si>
  <si>
    <t>R1-B</t>
  </si>
  <si>
    <t>MOD-0299</t>
  </si>
  <si>
    <t>Position &amp; Organization Assignment</t>
  </si>
  <si>
    <t>Employee-position-org-manager assignment</t>
  </si>
  <si>
    <t>R1-C</t>
  </si>
  <si>
    <t>MOD-0314</t>
  </si>
  <si>
    <t>HR Governance &amp; Sensitive Access Controls</t>
  </si>
  <si>
    <t>Native HCM governance</t>
  </si>
  <si>
    <t>HR-sensitive visibility and access rules</t>
  </si>
  <si>
    <t>R1-D</t>
  </si>
  <si>
    <t>MOD-0305</t>
  </si>
  <si>
    <t>Offboarding &amp; Exit Management</t>
  </si>
  <si>
    <t>Governed offboarding + TEP handoff payload</t>
  </si>
  <si>
    <t>R2</t>
  </si>
  <si>
    <t>Industry Talent Ecosystem Platform — Reference Network MVP</t>
  </si>
  <si>
    <t>R2-A</t>
  </si>
  <si>
    <t>MOD-0321</t>
  </si>
  <si>
    <t>Talent Ecosystem Platform Shell</t>
  </si>
  <si>
    <t>TEP MVP</t>
  </si>
  <si>
    <t>TEP workspace shell</t>
  </si>
  <si>
    <t>MOD-0323</t>
  </si>
  <si>
    <t>Association Membership &amp; Member Company Registry</t>
  </si>
  <si>
    <t>Association/company membership registry</t>
  </si>
  <si>
    <t>MOD-0324</t>
  </si>
  <si>
    <t>Verified HR Participant &amp; Company Access</t>
  </si>
  <si>
    <t>Verified HR/company access</t>
  </si>
  <si>
    <t>R2-B</t>
  </si>
  <si>
    <t>MOD-0325</t>
  </si>
  <si>
    <t>Consent, Visibility &amp; Access Policy</t>
  </si>
  <si>
    <t>Consent and visibility rules</t>
  </si>
  <si>
    <t>MOD-0326</t>
  </si>
  <si>
    <t>Talent Ecosystem Governance &amp; Review Board</t>
  </si>
  <si>
    <t>Review board workflow</t>
  </si>
  <si>
    <t>MOD-0330</t>
  </si>
  <si>
    <t>Trust Level &amp; Multi-Signature Engine</t>
  </si>
  <si>
    <t>Trust level validation</t>
  </si>
  <si>
    <t>R2-C</t>
  </si>
  <si>
    <t>MOD-0322</t>
  </si>
  <si>
    <t>Industry Candidate Identity &amp; Talent Profile</t>
  </si>
  <si>
    <t>Sector candidate identity</t>
  </si>
  <si>
    <t>R2-D</t>
  </si>
  <si>
    <t>MOD-0327</t>
  </si>
  <si>
    <t>Industry Exit Reference Record Registry</t>
  </si>
  <si>
    <t>Cross-company exit reference records</t>
  </si>
  <si>
    <t>MOD-0328</t>
  </si>
  <si>
    <t>Reference Exchange Marketplace</t>
  </si>
  <si>
    <t>HR-to-HR reference exchange</t>
  </si>
  <si>
    <t>MOD-0329</t>
  </si>
  <si>
    <t>Rehire Recommendation Network</t>
  </si>
  <si>
    <t>Rehire recommendation</t>
  </si>
  <si>
    <t>MOD-0331</t>
  </si>
  <si>
    <t>Candidate Response &amp; Dispute Management</t>
  </si>
  <si>
    <t>Candidate response/dispute flow</t>
  </si>
  <si>
    <t>R2-E</t>
  </si>
  <si>
    <t>Notification</t>
  </si>
  <si>
    <t>Backbone extension</t>
  </si>
  <si>
    <t>HR/candidate/reference notifications</t>
  </si>
  <si>
    <t>MOD-0263</t>
  </si>
  <si>
    <t>Notification Delivery Service</t>
  </si>
  <si>
    <t>Internal notification delivery channel</t>
  </si>
  <si>
    <t>MOD-0029</t>
  </si>
  <si>
    <t>Controlled Documents</t>
  </si>
  <si>
    <t>Reference templates and controlled policies</t>
  </si>
  <si>
    <t>MOD-0262</t>
  </si>
  <si>
    <t>Internal Document Repository Service</t>
  </si>
  <si>
    <t>Internal document repository support for evidence/reference packages</t>
  </si>
  <si>
    <t>R3</t>
  </si>
  <si>
    <t>Human Capital Management Foundation Completion</t>
  </si>
  <si>
    <t>R3-A</t>
  </si>
  <si>
    <t>MOD-0300</t>
  </si>
  <si>
    <t>Recruitment / Applicant Intake</t>
  </si>
  <si>
    <t>HCM completion</t>
  </si>
  <si>
    <t>Applicant intake</t>
  </si>
  <si>
    <t>MOD-0301</t>
  </si>
  <si>
    <t>Candidate Pipeline &amp; Interview Management</t>
  </si>
  <si>
    <t>Recruiting pipeline and interviews</t>
  </si>
  <si>
    <t>MOD-0302</t>
  </si>
  <si>
    <t>Offer Management</t>
  </si>
  <si>
    <t>Offer workflow</t>
  </si>
  <si>
    <t>MOD-0303</t>
  </si>
  <si>
    <t>Employee Onboarding</t>
  </si>
  <si>
    <t>Onboarding lifecycle</t>
  </si>
  <si>
    <t>R3-B</t>
  </si>
  <si>
    <t>MOD-0304</t>
  </si>
  <si>
    <t>Employment Change / Transfer / Promotion</t>
  </si>
  <si>
    <t>Internal role-change workflow</t>
  </si>
  <si>
    <t>R3-C</t>
  </si>
  <si>
    <t>MOD-0306</t>
  </si>
  <si>
    <t>Performance Review Management</t>
  </si>
  <si>
    <t>Performance reviews</t>
  </si>
  <si>
    <t>MOD-0307</t>
  </si>
  <si>
    <t>Competency &amp; Skills Assessment</t>
  </si>
  <si>
    <t>Skills/competency assessments</t>
  </si>
  <si>
    <t>MOD-0308</t>
  </si>
  <si>
    <t>Development Plan Management</t>
  </si>
  <si>
    <t>Development plans</t>
  </si>
  <si>
    <t>MOD-0309</t>
  </si>
  <si>
    <t>Learning / Training Records</t>
  </si>
  <si>
    <t>Employee training records</t>
  </si>
  <si>
    <t>MOD-0320</t>
  </si>
  <si>
    <t>Succession &amp; High-Potential Tracking</t>
  </si>
  <si>
    <t>Succession and HiPo tracking</t>
  </si>
  <si>
    <t>R3-D</t>
  </si>
  <si>
    <t>MOD-0310</t>
  </si>
  <si>
    <t>Workforce Planning</t>
  </si>
  <si>
    <t>Workforce planning</t>
  </si>
  <si>
    <t>MOD-0311</t>
  </si>
  <si>
    <t>Headcount &amp; Position Budget Planning</t>
  </si>
  <si>
    <t>Headcount and position budget</t>
  </si>
  <si>
    <t>R3-E</t>
  </si>
  <si>
    <t>MOD-0312</t>
  </si>
  <si>
    <t>HR KPI &amp; Analytics Facade</t>
  </si>
  <si>
    <t>HR KPI facade over shared analytics</t>
  </si>
  <si>
    <t>MOD-0313</t>
  </si>
  <si>
    <t>HR Documentation &amp; Evidence Workspace</t>
  </si>
  <si>
    <t>HR workspace over shared docs/evidence</t>
  </si>
  <si>
    <t>MOD-0315</t>
  </si>
  <si>
    <t>Time, Attendance &amp; Leave Workspace</t>
  </si>
  <si>
    <t>HR/manager workspace over internal time, attendance, and leave records</t>
  </si>
  <si>
    <t>MOD-0316</t>
  </si>
  <si>
    <t>Compensation &amp; Benefits Management</t>
  </si>
  <si>
    <t>Native HCM compensation</t>
  </si>
  <si>
    <t>Compensation packages, benefits assignments, compensation reference data</t>
  </si>
  <si>
    <t>MOD-0319</t>
  </si>
  <si>
    <t>Employee / Manager Self-Service Channel</t>
  </si>
  <si>
    <t>Employee/manager interaction channel</t>
  </si>
  <si>
    <t>R3-F</t>
  </si>
  <si>
    <t>MOD-0317</t>
  </si>
  <si>
    <t>Employee Relations &amp; HR Case Management</t>
  </si>
  <si>
    <t>Grievance, disciplinary, investigation cases</t>
  </si>
  <si>
    <t>MOD-0318</t>
  </si>
  <si>
    <t>HR Compliance &amp; Statutory Reporting</t>
  </si>
  <si>
    <t>HR compliance reporting</t>
  </si>
  <si>
    <t>R3-G</t>
  </si>
  <si>
    <t>Metric &amp; Semantic Registry</t>
  </si>
  <si>
    <t>Analytics backbone</t>
  </si>
  <si>
    <t>Metric semantic governance</t>
  </si>
  <si>
    <t>MOD-0059</t>
  </si>
  <si>
    <t>KPI Catalog</t>
  </si>
  <si>
    <t>KPI catalog</t>
  </si>
  <si>
    <t>MOD-0060</t>
  </si>
  <si>
    <t>Metric Definitions &amp; Ownership</t>
  </si>
  <si>
    <t>Metric definitions and ownership</t>
  </si>
  <si>
    <t>MOD-0061</t>
  </si>
  <si>
    <t>Scorecards / Dashboards</t>
  </si>
  <si>
    <t>HR/TEP dashboard layer</t>
  </si>
  <si>
    <t>MOD-0062</t>
  </si>
  <si>
    <t>Baseline &amp; Experiment Measurement</t>
  </si>
  <si>
    <t>Program impact measurement</t>
  </si>
  <si>
    <t>MOD-0063</t>
  </si>
  <si>
    <t>Data Warehouse / Lakehouse</t>
  </si>
  <si>
    <t>Data foundation</t>
  </si>
  <si>
    <t>MOD-0064</t>
  </si>
  <si>
    <t>ETL / ELT Pipelines</t>
  </si>
  <si>
    <t>Data pipeline foundation</t>
  </si>
  <si>
    <t>R4</t>
  </si>
  <si>
    <t>Industry Talent Ecosystem Platform Completion</t>
  </si>
  <si>
    <t>R4-A</t>
  </si>
  <si>
    <t>MOD-0332</t>
  </si>
  <si>
    <t>Hiring Risk Indicators</t>
  </si>
  <si>
    <t>TEP completion</t>
  </si>
  <si>
    <t>Rule-based hiring risk signals</t>
  </si>
  <si>
    <t>MOD-0333</t>
  </si>
  <si>
    <t>Early Warning Signals</t>
  </si>
  <si>
    <t>Cross-company pattern detection</t>
  </si>
  <si>
    <t>MOD-0334</t>
  </si>
  <si>
    <t>Restricted Integrity Registry</t>
  </si>
  <si>
    <t>Serious restricted integrity cases</t>
  </si>
  <si>
    <t>R4-B</t>
  </si>
  <si>
    <t>MOD-0335</t>
  </si>
  <si>
    <t>Professional Reputation Ledger</t>
  </si>
  <si>
    <t>Positive professional reputation signals</t>
  </si>
  <si>
    <t>MOD-0336</t>
  </si>
  <si>
    <t>Talent Data Foundation</t>
  </si>
  <si>
    <t>Talent data foundation</t>
  </si>
  <si>
    <t>R4-C</t>
  </si>
  <si>
    <t>MOD-0337</t>
  </si>
  <si>
    <t>Industry Talent Pool</t>
  </si>
  <si>
    <t>Trusted talent pool</t>
  </si>
  <si>
    <t>MOD-0338</t>
  </si>
  <si>
    <t>Industry Skill Passport</t>
  </si>
  <si>
    <t>Verified skill passport</t>
  </si>
  <si>
    <t>MOD-0339</t>
  </si>
  <si>
    <t>Candidate Career Passport</t>
  </si>
  <si>
    <t>Career passport</t>
  </si>
  <si>
    <t>MOD-0340</t>
  </si>
  <si>
    <t>Talent Development Network</t>
  </si>
  <si>
    <t>Talent development pathways</t>
  </si>
  <si>
    <t>MOD-0341</t>
  </si>
  <si>
    <t>Industry Succession Pool</t>
  </si>
  <si>
    <t>Sector succession pool</t>
  </si>
  <si>
    <t>MOD-0342</t>
  </si>
  <si>
    <t>Verified Certification Registry</t>
  </si>
  <si>
    <t>Verified certifications</t>
  </si>
  <si>
    <t>MOD-0343</t>
  </si>
  <si>
    <t>Mentorship &amp; Recommendation Network</t>
  </si>
  <si>
    <t>Mentorship/recommendation network</t>
  </si>
  <si>
    <t>R4-D</t>
  </si>
  <si>
    <t>MOD-0344</t>
  </si>
  <si>
    <t>Shared Salary Benchmarking</t>
  </si>
  <si>
    <t>Sector salary benchmarking from internal payroll/compensation data</t>
  </si>
  <si>
    <t>MOD-0345</t>
  </si>
  <si>
    <t>Workforce Analytics</t>
  </si>
  <si>
    <t>Workforce analytics</t>
  </si>
  <si>
    <t>MOD-0346</t>
  </si>
  <si>
    <t>Sector Talent Trends</t>
  </si>
  <si>
    <t>Sector talent trends</t>
  </si>
  <si>
    <t>MOD-0347</t>
  </si>
  <si>
    <t>Talent Supply &amp; Demand Forecasting</t>
  </si>
  <si>
    <t>Talent supply/demand forecasting</t>
  </si>
  <si>
    <t>MOD-0348</t>
  </si>
  <si>
    <t>Skills Gap Heatmap</t>
  </si>
  <si>
    <t>Skills gap intelligence</t>
  </si>
  <si>
    <t>MOD-0349</t>
  </si>
  <si>
    <t>Sector Mobility Intelligence</t>
  </si>
  <si>
    <t>Talent mobility intelligence</t>
  </si>
  <si>
    <t>R4-E</t>
  </si>
  <si>
    <t>MOD-0350</t>
  </si>
  <si>
    <t>Association Operations</t>
  </si>
  <si>
    <t>Association operating workflows</t>
  </si>
  <si>
    <t>MOD-0351</t>
  </si>
  <si>
    <t>Industry Knowledge Network</t>
  </si>
  <si>
    <t>Knowledge library/community layer</t>
  </si>
  <si>
    <t>Capability Group</t>
  </si>
  <si>
    <t>Wave 0</t>
  </si>
  <si>
    <t>MOD-0040</t>
  </si>
  <si>
    <t>Canonical ID &amp; Correlation Standard</t>
  </si>
  <si>
    <t>Backbone / Traceability</t>
  </si>
  <si>
    <t>SCQ-CB-DOC-001 Capability Block Overview / Charter</t>
  </si>
  <si>
    <t>Defines block purpose, business value, included modules, excluded modules, MVP vs full scope, sponsors, and success definition.</t>
  </si>
  <si>
    <t>Capability Block Prompt, Scope Rules, MVP Boundary Rules</t>
  </si>
  <si>
    <t>MOD-0022</t>
  </si>
  <si>
    <t>e-Signature Service</t>
  </si>
  <si>
    <t>Backbone / Approval Control</t>
  </si>
  <si>
    <t>SCQ-CB-DOC-002 Target Operating Model</t>
  </si>
  <si>
    <t>Defines how Procurement, Inventory, Warehouse, QA, QC, Supplier Quality, and TPRM operate together; includes roles, responsibilities, approval points, and escalation model.</t>
  </si>
  <si>
    <t>Operating Model Prompt, RACI Rules, Approval Governance Rules</t>
  </si>
  <si>
    <t>Backbone / Controlled Document Lifecycle</t>
  </si>
  <si>
    <t>SCQ-CB-DOC-003 System Architecture &amp; Boundary Design</t>
  </si>
  <si>
    <t>Defines technical architecture, module boundaries, consumed backbone services, APIs/events, storage, workflow, audit, document, and evidence architecture.</t>
  </si>
  <si>
    <t>Architecture Prompt, Boundary Rules, Shared Service Reuse Rules</t>
  </si>
  <si>
    <t>Backbone / Records Governance</t>
  </si>
  <si>
    <t>SCQ-CB-DOC-004 Module Scope &amp; Ownership Map</t>
  </si>
  <si>
    <t>Lists all 16 business MVP modules + 4 backbone dependencies; defines SoR ownership, consumed services, duplicate-ownership exclusions, and module handoff rules.</t>
  </si>
  <si>
    <t>SoR Mapping Rules, Ownership Rules, Capability Taxonomy Rules</t>
  </si>
  <si>
    <t>MOD-0290</t>
  </si>
  <si>
    <t>Product / Item / SKU Master</t>
  </si>
  <si>
    <t>Master Data / Product Foundation</t>
  </si>
  <si>
    <t>SCQ-CB-DOC-005 End-to-End Workflow</t>
  </si>
  <si>
    <t>Defines full operational flow: supplier approval → item/SKU → inventory/lot → quarantine → sample → test result/CoA → release/reject → deviation/CAPA/change → warehouse execution.</t>
  </si>
  <si>
    <t>Workflow Prompt, State Machine Rules, Golden Flow Rules</t>
  </si>
  <si>
    <t>MOD-0173</t>
  </si>
  <si>
    <t>Inventory Ledger &amp; Valuation</t>
  </si>
  <si>
    <t>Inventory</t>
  </si>
  <si>
    <t>SCQ-CB-DOC-006 Data Model &amp; Object Registry</t>
  </si>
  <si>
    <t>Defines core objects: item, SKU, lot, inventory movement, quarantine hold, sample, test result, CoA, deviation, CAPA, change request, supplier quality approval, TPRM risk record.</t>
  </si>
  <si>
    <t>Data Modeling Rules, Object Registry Rules, Data Contract Rules</t>
  </si>
  <si>
    <t>MOD-0174</t>
  </si>
  <si>
    <t>Lot / Batch / Serial Tracking</t>
  </si>
  <si>
    <t>Inventory / Traceability</t>
  </si>
  <si>
    <t>SCQ-CB-DOC-007 Dependency &amp; Integration Map</t>
  </si>
  <si>
    <t>Defines cross-module dependencies, API/event contracts, consumed Treasury/backbone modules, upstream/downstream systems, and integration constraints.</t>
  </si>
  <si>
    <t>Interface Contract Prompt, Dependency Analysis Skill, Event/API Rules</t>
  </si>
  <si>
    <t>MOD-0206</t>
  </si>
  <si>
    <t>Document Control</t>
  </si>
  <si>
    <t>Quality Assurance / QMS</t>
  </si>
  <si>
    <t>SCQ-CB-DOC-008 Security, RBAC &amp; Segregation of Duties Matrix</t>
  </si>
  <si>
    <t>Defines role permissions for procurement, warehouse, QC analyst, QA reviewer, supplier quality, TPRM, admin, approver, and viewer roles.</t>
  </si>
  <si>
    <t>RBAC Matrix Prompt, SoD Rules, Tenant Isolation Rules</t>
  </si>
  <si>
    <t>MOD-0207</t>
  </si>
  <si>
    <t>Deviations / Nonconformances</t>
  </si>
  <si>
    <t>SCQ-CB-DOC-009 Audit, Evidence &amp; Records Policy</t>
  </si>
  <si>
    <t>Defines audit events, evidence links, CoA evidence, QC release records, CAPA evidence, change-control evidence, and retention/legal-hold requirements.</t>
  </si>
  <si>
    <t>Audit Rules, Evidence Linking Rules, Records Governance Rules</t>
  </si>
  <si>
    <t>MOD-0208</t>
  </si>
  <si>
    <t>CAPA</t>
  </si>
  <si>
    <t>SCQ-CB-DOC-010 Document Control &amp; Versioning Policy</t>
  </si>
  <si>
    <t>Defines controlled specs, SOPs, test methods, sampling plans, stability protocols, approval states, effective dates, supersession, and change history.</t>
  </si>
  <si>
    <t>Versioning Rules, Controlled Document Rules, Changelog Rules</t>
  </si>
  <si>
    <t>MOD-0175</t>
  </si>
  <si>
    <t>Quarantine / Blocked Stock</t>
  </si>
  <si>
    <t>Inventory / Quality Control</t>
  </si>
  <si>
    <t>SCQ-CB-DOC-011 Quality Review &amp; Approval Policy</t>
  </si>
  <si>
    <t>Defines review/approval rules for QC results, CoA, quarantine release, supplier quality approval, CAPA closure, change approval, and stability conclusions.</t>
  </si>
  <si>
    <t>Human Review Prompt, Approval Rules, e-Signature Compatibility Rules</t>
  </si>
  <si>
    <t>MOD-0176</t>
  </si>
  <si>
    <t>Expiry / FEFO Management</t>
  </si>
  <si>
    <t>SCQ-CB-DOC-012 Task / Exception / Escalation Policy</t>
  </si>
  <si>
    <t>Defines how quality findings, failed QC, OOS/OOT, supplier issues, overdue CAPA, blocked stock, and missing evidence create tasks and escalations.</t>
  </si>
  <si>
    <t>Task Generation Rules, Exception Handling Rules, SLA Rules</t>
  </si>
  <si>
    <t>MOD-0202</t>
  </si>
  <si>
    <t>Sample Management</t>
  </si>
  <si>
    <t>Quality Control / LIMS</t>
  </si>
  <si>
    <t>SCQ-CB-DOC-013 UI / Page-Level Specification</t>
  </si>
  <si>
    <t>Defines dashboards and pages: item master, inventory ledger, lot detail, quarantine board, sample register, CoA view, deviation register, CAPA board, change register, supplier quality profile.</t>
  </si>
  <si>
    <t>Page Spec Prompt, UI Rules, UX Acceptance Rules</t>
  </si>
  <si>
    <t>MOD-0203</t>
  </si>
  <si>
    <t>Test Results &amp; CoA</t>
  </si>
  <si>
    <t>SCQ-CB-DOC-014 Reporting / Export / Release Package Policy</t>
  </si>
  <si>
    <t>Defines controlled exports: CoA, QC release package, supplier approval package, CAPA summary, change-control package, audit extracts, and inventory/quality reports.</t>
  </si>
  <si>
    <t>Export Rules, Report Rules, Evidence Package Rules</t>
  </si>
  <si>
    <t>MOD-0210</t>
  </si>
  <si>
    <t>Supplier Quality</t>
  </si>
  <si>
    <t>Quality Assurance / Supplier Quality</t>
  </si>
  <si>
    <t>SCQ-CB-DOC-015 Validation &amp; Test Strategy</t>
  </si>
  <si>
    <t>Defines scripted testing, negative testing, requirements-to-test traceability, UAT, release evidence, regression testing, and MVP acceptance criteria.</t>
  </si>
  <si>
    <t>QA Prompt, Test Strategy Rules, Traceability Matrix Rules</t>
  </si>
  <si>
    <t>MOD-0216</t>
  </si>
  <si>
    <t>Third-Party Risk Management</t>
  </si>
  <si>
    <t>Procurement / Supplier Risk</t>
  </si>
  <si>
    <t>SCQ-CB-DOC-016 Execution Plan / Wave Plan</t>
  </si>
  <si>
    <t>Defines build waves, parallel lanes, sequencing, blockers, readiness gates, module-by-module implementation order, and hardening wave.</t>
  </si>
  <si>
    <t>MOD-0188</t>
  </si>
  <si>
    <t>Demand Planning / Sales Forecast</t>
  </si>
  <si>
    <t>Planning / Demand Forecasting</t>
  </si>
  <si>
    <t>SCQ-CB-DOC-017 Acceptance &amp; Risk Register</t>
  </si>
  <si>
    <t>Defines block-level acceptance criteria, open risks, dependency blockers, compliance risks, integration risks, and release/no-release decision criteria.</t>
  </si>
  <si>
    <t>Risk Analysis Prompt, Acceptance Rules, Release Gate Rules</t>
  </si>
  <si>
    <t>MOD-0204</t>
  </si>
  <si>
    <t>Stability Studies</t>
  </si>
  <si>
    <t>Quality Control / Stability</t>
  </si>
  <si>
    <t>SCQ-CB-DOC-018 Deployment Checklist &amp; Release Notes</t>
  </si>
  <si>
    <t>Confirms migrations, routes, feature flags, seed/reference data, smoke tests, rollback, known limitations, and release scope.</t>
  </si>
  <si>
    <t>Deployment Rules, Rollback Rules, Release Notes Prompt</t>
  </si>
  <si>
    <t>MOD-0209</t>
  </si>
  <si>
    <t>Change Control</t>
  </si>
  <si>
    <t>MOD-0147</t>
  </si>
  <si>
    <t>Supplier Performance &amp; Risk</t>
  </si>
  <si>
    <t>Procurement / Supplier Governance</t>
  </si>
  <si>
    <t>MOD-0189</t>
  </si>
  <si>
    <t>MRP &amp; Replenishment</t>
  </si>
  <si>
    <t>Planning / Procurement Planning</t>
  </si>
  <si>
    <t>MOD-0178</t>
  </si>
  <si>
    <t>Putaway / Picking / Packing</t>
  </si>
  <si>
    <t>Warehouse Operations</t>
  </si>
  <si>
    <t>All 22 relevant modules</t>
  </si>
  <si>
    <t>Cross-module hardening</t>
  </si>
  <si>
    <t>Integrated MVP Acceptance</t>
  </si>
  <si>
    <t>Development theme</t>
  </si>
  <si>
    <t>MOD-0040, MOD-0022, MOD-0029, MOD-0030</t>
  </si>
  <si>
    <t>Backbone foundation: canonical traceability, e-signature, controlled document lifecycle, records retention / legal hold</t>
  </si>
  <si>
    <t>MOD-0290, MOD-0173, MOD-0174, MOD-0206, MOD-0207, MOD-0208</t>
  </si>
  <si>
    <t>Product/SKU, inventory ledger, lot/batch/serial, QMS document control, deviation/NC, CAPA</t>
  </si>
  <si>
    <t>MOD-0175, MOD-0176, MOD-0202, MOD-0203, MOD-0210, MOD-0216, MOD-0188</t>
  </si>
  <si>
    <t>Quarantine, expiry/FEFO, QC sample/result, supplier quality approval, third-party risk, demand forecast foundation</t>
  </si>
  <si>
    <t>MOD-0204, MOD-0209, MOD-0147, MOD-0189</t>
  </si>
  <si>
    <t>Stability studies, change control, supplier performance/risk, MRP and replenishment planning</t>
  </si>
  <si>
    <t>Warehouse execution: putaway, picking, packing</t>
  </si>
  <si>
    <t>Cross-module hardening: MOD-0040, MOD-0022, MOD-0029, MOD-0030, MOD-0147, MOD-0173, MOD-0174, MOD-0175, MOD-0176, MOD-0178, MOD-0188, MOD-0189, MOD-0202, MOD-0203, MOD-0204, MOD-0206, MOD-0207, MOD-0208, MOD-0209, MOD-0210, MOD-0216, MOD-0290</t>
  </si>
  <si>
    <t>End-to-end MVP hardening across traceability, approvals, records, controlled documents, supplier quality, TPRM, QC release, stability, QA cases, inventory, demand planning, replenishment, and warehouse execution</t>
  </si>
  <si>
    <t>Required block-level documents</t>
  </si>
  <si>
    <t>For Supply Chain–Quality Block, this must define</t>
  </si>
  <si>
    <t>Scope, purpose, business value, MVP modules, excluded modules, boundaries, ownership, governance rules</t>
  </si>
  <si>
    <t>Waves, module sequencing, parallel-safe workstreams, blockers, milestones, rollout approach</t>
  </si>
  <si>
    <t>Module dependencies, consumed Treasury/backbone services, APIs, events, external integrations, shared services</t>
  </si>
  <si>
    <t>Block readiness criteria, compliance risks, integration risks, open blockers, release conditions</t>
  </si>
  <si>
    <r>
      <t xml:space="preserve">So for this block, you do </t>
    </r>
    <r>
      <rPr>
        <b/>
        <sz val="10"/>
        <color theme="1"/>
        <rFont val="Play"/>
        <family val="2"/>
      </rPr>
      <t>not</t>
    </r>
    <r>
      <rPr>
        <sz val="10"/>
        <color theme="1"/>
        <rFont val="Play"/>
        <family val="2"/>
      </rPr>
      <t xml:space="preserve"> need 18 mandatory block documents.</t>
    </r>
  </si>
  <si>
    <r>
      <t xml:space="preserve">You need </t>
    </r>
    <r>
      <rPr>
        <b/>
        <sz val="10"/>
        <color theme="1"/>
        <rFont val="Play"/>
        <family val="2"/>
      </rPr>
      <t>4 block-level governance documents</t>
    </r>
    <r>
      <rPr>
        <sz val="10"/>
        <color theme="1"/>
        <rFont val="Play"/>
        <family val="2"/>
      </rPr>
      <t>.</t>
    </r>
  </si>
  <si>
    <t>1. Capability Block Documentation</t>
  </si>
  <si>
    <t>Document purpose</t>
  </si>
  <si>
    <r>
      <t xml:space="preserve">This is the </t>
    </r>
    <r>
      <rPr>
        <b/>
        <sz val="10"/>
        <color theme="1"/>
        <rFont val="Play"/>
        <family val="2"/>
      </rPr>
      <t>main block definition document</t>
    </r>
    <r>
      <rPr>
        <sz val="10"/>
        <color theme="1"/>
        <rFont val="Play"/>
        <family val="2"/>
      </rPr>
      <t>.</t>
    </r>
  </si>
  <si>
    <t>Section</t>
  </si>
  <si>
    <t>Must include</t>
  </si>
  <si>
    <t>Block name</t>
  </si>
  <si>
    <t>Supply Chain–Quality Capability Block</t>
  </si>
  <si>
    <t>Block purpose</t>
  </si>
  <si>
    <t>Inventory, warehouse, supplier quality, QC/LIMS, QA/QMS, TPRM, release governance</t>
  </si>
  <si>
    <t>Business value</t>
  </si>
  <si>
    <t>Controlled supplier approval, raw material QC, finished product release, traceable inventory, quality governance</t>
  </si>
  <si>
    <t>MVP module list</t>
  </si>
  <si>
    <t>The 16 business modules</t>
  </si>
  <si>
    <t>Backbone dependencies</t>
  </si>
  <si>
    <t>The 4 minimized backbone modules</t>
  </si>
  <si>
    <t>Excluded modules</t>
  </si>
  <si>
    <t>Treasury, finance, platform backbone, P2P modules already developed or in process</t>
  </si>
  <si>
    <t>Architecture boundary</t>
  </si>
  <si>
    <t>What this block owns vs consumes</t>
  </si>
  <si>
    <t>System-of-record ownership</t>
  </si>
  <si>
    <t>Object → owner module</t>
  </si>
  <si>
    <t>Governance rules</t>
  </si>
  <si>
    <t>Audit, evidence, RBAC, SoD, controlled release, document control, retention</t>
  </si>
  <si>
    <t>MVP success definition</t>
  </si>
  <si>
    <t>End-to-end controlled flow works and is tested</t>
  </si>
  <si>
    <t>Output of this document</t>
  </si>
  <si>
    <r>
      <t xml:space="preserve">It becomes the </t>
    </r>
    <r>
      <rPr>
        <b/>
        <sz val="10"/>
        <color theme="1"/>
        <rFont val="Play"/>
        <family val="2"/>
      </rPr>
      <t>source of truth for module scope</t>
    </r>
    <r>
      <rPr>
        <sz val="10"/>
        <color theme="1"/>
        <rFont val="Play"/>
        <family val="2"/>
      </rPr>
      <t>.</t>
    </r>
  </si>
  <si>
    <t>2. Capability Block Execution Plan</t>
  </si>
  <si>
    <r>
      <t xml:space="preserve">This is the </t>
    </r>
    <r>
      <rPr>
        <b/>
        <sz val="10"/>
        <color theme="1"/>
        <rFont val="Play"/>
        <family val="2"/>
      </rPr>
      <t>development sequencing document</t>
    </r>
    <r>
      <rPr>
        <sz val="10"/>
        <color theme="1"/>
        <rFont val="Play"/>
        <family val="2"/>
      </rPr>
      <t>.</t>
    </r>
  </si>
  <si>
    <t>Backbone dependency enablement</t>
  </si>
  <si>
    <t>Product/SKU, inventory ledger, lot/batch/serial, QMS foundation</t>
  </si>
  <si>
    <t>Quarantine, FEFO, sample/result, supplier quality, TPRM</t>
  </si>
  <si>
    <t>Stability, change control, supplier performance</t>
  </si>
  <si>
    <t>Warehouse execution</t>
  </si>
  <si>
    <t>Parallel-safe lanes</t>
  </si>
  <si>
    <t>Which modules can be developed at the same time</t>
  </si>
  <si>
    <t>Dependencies</t>
  </si>
  <si>
    <t>What must be completed before each wave</t>
  </si>
  <si>
    <t>Blockers</t>
  </si>
  <si>
    <t>Missing contracts, missing backbone capability, unclear ownership</t>
  </si>
  <si>
    <t>Milestones</t>
  </si>
  <si>
    <t>Inspection, implementation, integration, hardening, release</t>
  </si>
  <si>
    <t>Rollout approach</t>
  </si>
  <si>
    <t>MVP first, full version later</t>
  </si>
  <si>
    <r>
      <t xml:space="preserve">It tells developers </t>
    </r>
    <r>
      <rPr>
        <b/>
        <sz val="10"/>
        <color theme="1"/>
        <rFont val="Play"/>
        <family val="2"/>
      </rPr>
      <t>what to build first, what can run in parallel, and what must wait</t>
    </r>
    <r>
      <rPr>
        <sz val="10"/>
        <color theme="1"/>
        <rFont val="Play"/>
        <family val="2"/>
      </rPr>
      <t>.</t>
    </r>
  </si>
  <si>
    <t>3. Capability Block Dependency &amp; Integration Map</t>
  </si>
  <si>
    <r>
      <t xml:space="preserve">This is the </t>
    </r>
    <r>
      <rPr>
        <b/>
        <sz val="10"/>
        <color theme="1"/>
        <rFont val="Play"/>
        <family val="2"/>
      </rPr>
      <t>cross-module contract map</t>
    </r>
    <r>
      <rPr>
        <sz val="10"/>
        <color theme="1"/>
        <rFont val="Play"/>
        <family val="2"/>
      </rPr>
      <t>.</t>
    </r>
  </si>
  <si>
    <t>Internal dependencies</t>
  </si>
  <si>
    <t>MOD-0290 → MOD-0173 → MOD-0174 → MOD-0175 → MOD-0202 → MOD-0203 etc.</t>
  </si>
  <si>
    <t>Consumed Treasury/P2P modules</t>
  </si>
  <si>
    <t>Supplier master, procurement commitment, receiving/GRN, invoice match, payment, AP, GL, bank master, legal entity</t>
  </si>
  <si>
    <t>Consumed backbone modules</t>
  </si>
  <si>
    <t>RBAC, audit, workflow, docs/evidence, event bus, gateway, logging, reference data, taxonomy</t>
  </si>
  <si>
    <t>Additional backbone modules</t>
  </si>
  <si>
    <t>API contracts</t>
  </si>
  <si>
    <t>Command/query APIs between modules</t>
  </si>
  <si>
    <t>Event contracts</t>
  </si>
  <si>
    <t>State-change events such as lot quarantined, sample created, test approved, stock released</t>
  </si>
  <si>
    <t>Integration risks</t>
  </si>
  <si>
    <t>Missing contract, schema mismatch, event ownership ambiguity</t>
  </si>
  <si>
    <t>External systems</t>
  </si>
  <si>
    <t>LIMS, 3PL, barcode/RFID, ERP, QMS, supplier portal if later in scope</t>
  </si>
  <si>
    <t>It prevents teams from inventing contracts or duplicating ownership.</t>
  </si>
  <si>
    <t>4. Capability Block Acceptance &amp; Risk Register</t>
  </si>
  <si>
    <r>
      <t xml:space="preserve">This is the </t>
    </r>
    <r>
      <rPr>
        <b/>
        <sz val="10"/>
        <color theme="1"/>
        <rFont val="Play"/>
        <family val="2"/>
      </rPr>
      <t>readiness and go/no-go control document</t>
    </r>
    <r>
      <rPr>
        <sz val="10"/>
        <color theme="1"/>
        <rFont val="Play"/>
        <family val="2"/>
      </rPr>
      <t>.</t>
    </r>
  </si>
  <si>
    <t>Block acceptance criteria</t>
  </si>
  <si>
    <t>What must be true for MVP to be accepted</t>
  </si>
  <si>
    <t>Golden flow acceptance</t>
  </si>
  <si>
    <t>Supplier approval → item/SKU → inventory/lot → quarantine → sample → result/CoA → release/reject → deviation/CAPA/change → WMS</t>
  </si>
  <si>
    <t>Risk register</t>
  </si>
  <si>
    <t>Compliance, integration, data, workflow, security, audit, release risks</t>
  </si>
  <si>
    <t>Known limitations</t>
  </si>
  <si>
    <t>What is accepted for MVP and what is deferred</t>
  </si>
  <si>
    <t>Open issues preventing development or release</t>
  </si>
  <si>
    <t>Release conditions</t>
  </si>
  <si>
    <t>Minimum smoke tests, browser tests, API tests, audit checks, RBAC checks</t>
  </si>
  <si>
    <t>Negative tests</t>
  </si>
  <si>
    <t>Permission denial, failed QC, missing evidence, rejected approval, blocked release</t>
  </si>
  <si>
    <t>Final verdict model</t>
  </si>
  <si>
    <t>PASS / CONDITIONAL PASS / PARTIAL / BLOCKED / FAIL</t>
  </si>
  <si>
    <r>
      <t xml:space="preserve">It is used to decide whether the block is </t>
    </r>
    <r>
      <rPr>
        <b/>
        <sz val="10"/>
        <color theme="1"/>
        <rFont val="Play"/>
        <family val="2"/>
      </rPr>
      <t>ready to build, ready to integrate, and ready to release</t>
    </r>
    <r>
      <rPr>
        <sz val="10"/>
        <color theme="1"/>
        <rFont val="Play"/>
        <family val="2"/>
      </rPr>
      <t>.</t>
    </r>
  </si>
  <si>
    <t>Minimum block-level document set</t>
  </si>
  <si>
    <t>Document Code</t>
  </si>
  <si>
    <t>Mandatory Block Document</t>
  </si>
  <si>
    <t>Required before module specs?</t>
  </si>
  <si>
    <t>SCQ-CB-BLK-001</t>
  </si>
  <si>
    <t>Yes</t>
  </si>
  <si>
    <t>SCQ-CB-BLK-002</t>
  </si>
  <si>
    <t>SCQ-CB-BLK-003</t>
  </si>
  <si>
    <t>SCQ-CB-BLK-004</t>
  </si>
  <si>
    <t>What must be developed from these block documents?</t>
  </si>
  <si>
    <t>These 4 block documents must produce the following development inputs:</t>
  </si>
  <si>
    <t>Development input</t>
  </si>
  <si>
    <t>Comes from block document</t>
  </si>
  <si>
    <t>Final MVP module list</t>
  </si>
  <si>
    <t>Final excluded module list</t>
  </si>
  <si>
    <t>System-of-record ownership map</t>
  </si>
  <si>
    <t>Development waves</t>
  </si>
  <si>
    <t>Execution Plan</t>
  </si>
  <si>
    <t>Module dependency order</t>
  </si>
  <si>
    <t>Execution Plan + Dependency Map</t>
  </si>
  <si>
    <t>API/event contract stubs</t>
  </si>
  <si>
    <t>Dependency &amp; Integration Map</t>
  </si>
  <si>
    <t>Consumed backbone/Treasury services</t>
  </si>
  <si>
    <t>Block-level acceptance criteria</t>
  </si>
  <si>
    <t>Acceptance &amp; Risk Register</t>
  </si>
  <si>
    <t>Block-level test scope</t>
  </si>
  <si>
    <t>Release/no-release decision rules</t>
  </si>
  <si>
    <t>Then module-level specs are developed from them</t>
  </si>
  <si>
    <t>After the 4 block documents are done, you can generate module-level documents.</t>
  </si>
  <si>
    <t>For each module, you then create:</t>
  </si>
  <si>
    <t>Module-level document</t>
  </si>
  <si>
    <t>Source from block documents</t>
  </si>
  <si>
    <t>Scope, ownership, workflow, dependencies</t>
  </si>
  <si>
    <t>Execution wave and build sequence</t>
  </si>
  <si>
    <t>Dependency map and data ownership</t>
  </si>
  <si>
    <t>Block RBAC / SoD rules</t>
  </si>
  <si>
    <t>Block acceptance and risk criteria</t>
  </si>
  <si>
    <t>Seq</t>
  </si>
  <si>
    <t>Priority</t>
  </si>
  <si>
    <t>Capability Area</t>
  </si>
  <si>
    <t>P0</t>
  </si>
  <si>
    <t>Platform Backbone + SCQ Source Readiness</t>
  </si>
  <si>
    <t>Platform Backbone / Security</t>
  </si>
  <si>
    <t>RBAC / ABAC Authorization</t>
  </si>
  <si>
    <t>Required Dependency</t>
  </si>
  <si>
    <t>Platform Backbone / Audit</t>
  </si>
  <si>
    <t>Audit Trail Service</t>
  </si>
  <si>
    <t>Platform Backbone / Workflow</t>
  </si>
  <si>
    <t>Platform Backbone / Approval Control</t>
  </si>
  <si>
    <t>Platform Backbone / Evidence</t>
  </si>
  <si>
    <t>Platform Backbone / Controlled Docs</t>
  </si>
  <si>
    <t>Platform Backbone / Records</t>
  </si>
  <si>
    <t>Records Management</t>
  </si>
  <si>
    <t>Platform Backbone / Evidence Linking</t>
  </si>
  <si>
    <t>Platform Backbone / Traceability</t>
  </si>
  <si>
    <t>Data Backbone / Reference Data</t>
  </si>
  <si>
    <t>Reference Data Management</t>
  </si>
  <si>
    <t>Data Backbone / Taxonomy</t>
  </si>
  <si>
    <t>Semantic Tagging &amp; Taxonomy Management</t>
  </si>
  <si>
    <t>Master Data Backbone</t>
  </si>
  <si>
    <t>Master Readiness</t>
  </si>
  <si>
    <t>Procurement / Supplier Master</t>
  </si>
  <si>
    <t>Supplier Onboarding</t>
  </si>
  <si>
    <t>P1</t>
  </si>
  <si>
    <t>Procurement / Purchasing / P2P Foundation MVP</t>
  </si>
  <si>
    <t>Procurement / Sourcing</t>
  </si>
  <si>
    <t>MOD-0145</t>
  </si>
  <si>
    <t>Sourcing / RFQ / RFP</t>
  </si>
  <si>
    <t>Core MVP</t>
  </si>
  <si>
    <t>Procurement / Purchasing</t>
  </si>
  <si>
    <t>Requisition &amp; Purchase Orders</t>
  </si>
  <si>
    <t>P2</t>
  </si>
  <si>
    <t>Procurement / Contracts</t>
  </si>
  <si>
    <t>MOD-0144</t>
  </si>
  <si>
    <t>Contracting &amp; Clause Library</t>
  </si>
  <si>
    <t>Core / Legal Bridge</t>
  </si>
  <si>
    <t>Procurement / Receiving</t>
  </si>
  <si>
    <t>Receiving / GRN</t>
  </si>
  <si>
    <t>Procurement / Invoice Control</t>
  </si>
  <si>
    <t>MOD-0143</t>
  </si>
  <si>
    <t>Procurement / Payment Bridge</t>
  </si>
  <si>
    <t>Conditional Bridge</t>
  </si>
  <si>
    <t>Core Completion</t>
  </si>
  <si>
    <t>Procurement / Supplier Collaboration</t>
  </si>
  <si>
    <t>MOD-0148</t>
  </si>
  <si>
    <t>Supplier Portal</t>
  </si>
  <si>
    <t>Optional Extension</t>
  </si>
  <si>
    <t>Inventory / Warehouse / Traceability MVP</t>
  </si>
  <si>
    <t>Inventory / Ledger</t>
  </si>
  <si>
    <t>Inventory / Quality Hold</t>
  </si>
  <si>
    <t>Inventory / FEFO</t>
  </si>
  <si>
    <t>Inventory / Recall</t>
  </si>
  <si>
    <t>MOD-0177</t>
  </si>
  <si>
    <t>Recall Readiness</t>
  </si>
  <si>
    <t>Warehouse / Execution</t>
  </si>
  <si>
    <t>Warehouse / Control</t>
  </si>
  <si>
    <t>MOD-0181</t>
  </si>
  <si>
    <t>Cycle Counting</t>
  </si>
  <si>
    <t>Warehouse / Scanning</t>
  </si>
  <si>
    <t>MOD-0182</t>
  </si>
  <si>
    <t>Barcode / RFID</t>
  </si>
  <si>
    <t>Warehouse / External Integration</t>
  </si>
  <si>
    <t>MOD-0179</t>
  </si>
  <si>
    <t>3PL Integration</t>
  </si>
  <si>
    <t>Integration Bridge</t>
  </si>
  <si>
    <t>Warehouse / Planning</t>
  </si>
  <si>
    <t>MOD-0180</t>
  </si>
  <si>
    <t>Wave Planning</t>
  </si>
  <si>
    <t>QC / LIMS / QMS Release Governance MVP</t>
  </si>
  <si>
    <t>QMS / Document Control</t>
  </si>
  <si>
    <t>QMS / Change Control</t>
  </si>
  <si>
    <t>QMS / Nonconformance</t>
  </si>
  <si>
    <t>QMS / CAPA</t>
  </si>
  <si>
    <t>QC / LIMS</t>
  </si>
  <si>
    <t>QC / Stability</t>
  </si>
  <si>
    <t>QC / Analytics</t>
  </si>
  <si>
    <t>MOD-0205</t>
  </si>
  <si>
    <t>Trend Analysis</t>
  </si>
  <si>
    <t>Quality / Complaints</t>
  </si>
  <si>
    <t>MOD-0211</t>
  </si>
  <si>
    <t>Complaints &amp; Investigations</t>
  </si>
  <si>
    <t>Optional Core</t>
  </si>
  <si>
    <t>Supply Chain Planning / Logistics Completion</t>
  </si>
  <si>
    <t>Planning / Demand</t>
  </si>
  <si>
    <t>Demand Planning</t>
  </si>
  <si>
    <t>Planning / Replenishment</t>
  </si>
  <si>
    <t>Planning / Inventory Policy</t>
  </si>
  <si>
    <t>MOD-0191</t>
  </si>
  <si>
    <t>Safety Stock Optimization</t>
  </si>
  <si>
    <t>Planning / Governance</t>
  </si>
  <si>
    <t>MOD-0190</t>
  </si>
  <si>
    <t>S&amp;OP Workflow &amp; Sign-offs</t>
  </si>
  <si>
    <t>Planning / Capacity</t>
  </si>
  <si>
    <t>MOD-0192</t>
  </si>
  <si>
    <t>Capacity Planning</t>
  </si>
  <si>
    <t>Logistics / Shipment Visibility</t>
  </si>
  <si>
    <t>MOD-0183</t>
  </si>
  <si>
    <t>Shipment Tracking &amp; POD</t>
  </si>
  <si>
    <t>Logistics / Carrier</t>
  </si>
  <si>
    <t>MOD-0184</t>
  </si>
  <si>
    <t>Carrier Management</t>
  </si>
  <si>
    <t>Logistics / Routing</t>
  </si>
  <si>
    <t>MOD-0185</t>
  </si>
  <si>
    <t>Routing &amp; Load Planning</t>
  </si>
  <si>
    <t>Logistics / Returns</t>
  </si>
  <si>
    <t>MOD-0186</t>
  </si>
  <si>
    <t>Reverse Logistics</t>
  </si>
  <si>
    <t>Logistics / Claims</t>
  </si>
  <si>
    <t>MOD-0187</t>
  </si>
  <si>
    <t>Claims Management</t>
  </si>
  <si>
    <t>P3</t>
  </si>
  <si>
    <t>R5</t>
  </si>
  <si>
    <t>Adjacent / Conditional Bridges</t>
  </si>
  <si>
    <t>R5-A</t>
  </si>
  <si>
    <t>Supplier / Risk Bridge</t>
  </si>
  <si>
    <t>Legal / Contract Bridge</t>
  </si>
  <si>
    <t>Contract Lifecycle Management</t>
  </si>
  <si>
    <t>Legal / Clause Bridge</t>
  </si>
  <si>
    <t>MOD-0218</t>
  </si>
  <si>
    <t>Clause Library</t>
  </si>
  <si>
    <t>R5-B</t>
  </si>
  <si>
    <t>Maintenance / Spare Parts</t>
  </si>
  <si>
    <t>MOD-0201</t>
  </si>
  <si>
    <t>Spare Parts Management</t>
  </si>
  <si>
    <t>Manufacturing Dependency</t>
  </si>
  <si>
    <t>MOD-0193</t>
  </si>
  <si>
    <t>BOM &amp; Routings</t>
  </si>
  <si>
    <t>MOD-0194</t>
  </si>
  <si>
    <t>Work Orders</t>
  </si>
  <si>
    <t>MOD-0195</t>
  </si>
  <si>
    <t>Batch Execution / eBR</t>
  </si>
  <si>
    <t>MOD-0197</t>
  </si>
  <si>
    <t>Co-Manufacturer Management</t>
  </si>
  <si>
    <t>RA DLE SCOPE — MERGED INTO INTEGRATED R&amp;D–RA LIFECYCLE MANAGEMENT BLOCK</t>
  </si>
  <si>
    <t>All required RA development capabilities are governed through the Integrated R&amp;D–RA Lifecycle Management Block.
Primary management sheet: Optimized Master Plan
Detailed technical backlog: R&amp;D-RA Dev Requirements
Architecture registers: Software Capability Matrix, Interface Registry, Shared Evidence Matrix</t>
  </si>
  <si>
    <t>Integrated R&amp;D–RA Lifecycle Management Block — Detailed Development Backlog</t>
  </si>
  <si>
    <t>Authoritative development block. Readiness source hierarchy: 1) repository code-reality audit, 2) module readiness evidence in this workbook, 3) architecture estimate where no runtime evidence exists. Conflicting readiness evidence is explicitly flagged and must be reverified before baselining.</t>
  </si>
  <si>
    <t>Portfolio Development Indicators</t>
  </si>
  <si>
    <t>Core backlog items</t>
  </si>
  <si>
    <t>P0 critical items</t>
  </si>
  <si>
    <t>Conditional AI/agent items</t>
  </si>
  <si>
    <t>Packs at 0%</t>
  </si>
  <si>
    <t>Highest pack readiness</t>
  </si>
  <si>
    <t>Low-confidence readiness flags</t>
  </si>
  <si>
    <t>Pack</t>
  </si>
  <si>
    <t>Capability Pack</t>
  </si>
  <si>
    <t>Readiness</t>
  </si>
  <si>
    <t>Current State</t>
  </si>
  <si>
    <t>Critical Blocker</t>
  </si>
  <si>
    <t>Next Gate</t>
  </si>
  <si>
    <t>Primary Owner</t>
  </si>
  <si>
    <t>Project Route &amp; Planner Configuration</t>
  </si>
  <si>
    <t>Not started</t>
  </si>
  <si>
    <t>MOD-0117 / MOD-0290 / MOD-0239 / MOD-0025 absent</t>
  </si>
  <si>
    <t>Build product master and PPM planner foundation</t>
  </si>
  <si>
    <t>PPM / Product Master</t>
  </si>
  <si>
    <t>Finite Project</t>
  </si>
  <si>
    <t>MOD-0117 absent</t>
  </si>
  <si>
    <t>Implement finite-project MVP</t>
  </si>
  <si>
    <t>PPM</t>
  </si>
  <si>
    <t>Development &amp; Technology Transfer</t>
  </si>
  <si>
    <t>MOD-0117 / MOD-0240 / MOD-0193 / MOD-0195 absent</t>
  </si>
  <si>
    <t>Implement study, BOM/routing and batch execution foundation</t>
  </si>
  <si>
    <t>PPM / R&amp;D / Manufacturing</t>
  </si>
  <si>
    <t>Stage-Gate Decision</t>
  </si>
  <si>
    <t>Infrastructure only</t>
  </si>
  <si>
    <t>PPM stage-gate and rules engine absent; workflow not runtime-active</t>
  </si>
  <si>
    <t>Activate MOD-0023 and implement MOD-0025</t>
  </si>
  <si>
    <t>PPM / Workflow</t>
  </si>
  <si>
    <t>Source-Document Requirement Engine</t>
  </si>
  <si>
    <t>MOD-0236 / MOD-0031 / MOD-0025 runtime absent</t>
  </si>
  <si>
    <t>Build rules, evidence linking and requirement runtime</t>
  </si>
  <si>
    <t>RIM / Evidence</t>
  </si>
  <si>
    <t>Work Package / Task / Process Instance</t>
  </si>
  <si>
    <t>MOD-0024 backend absent; task UI remains an in-memory mock</t>
  </si>
  <si>
    <t>Build persistent task engine and integrate workflow/scheduler</t>
  </si>
  <si>
    <t>Task / Workflow</t>
  </si>
  <si>
    <t>Controlled Source-Document Version</t>
  </si>
  <si>
    <t>Partial — blocked</t>
  </si>
  <si>
    <t>Runtime failures plus missing workflow, retention and e-signature integration</t>
  </si>
  <si>
    <t>Stabilize runtime and close controlled-approval controls</t>
  </si>
  <si>
    <t>CTD Readiness &amp; RA Tasks</t>
  </si>
  <si>
    <t>MOD-0236 / MOD-0025 / MOD-0031 absent</t>
  </si>
  <si>
    <t>Implement dossier foundation after backbone completion</t>
  </si>
  <si>
    <t>RIM</t>
  </si>
  <si>
    <t>CTD Section &amp; Dossier Version</t>
  </si>
  <si>
    <t>MOD-0236 / MOD-0239 / MOD-0237 / MOD-0238 absent</t>
  </si>
  <si>
    <t>Build dossier, market, labeling and variation capabilities</t>
  </si>
  <si>
    <t>Lifecycle Trigger &amp; Work Order</t>
  </si>
  <si>
    <t>MOD-0237 / MOD-0219 absent; MOD-0024 backend absent</t>
  </si>
  <si>
    <t>Build obligation tracking and trigger-to-work-order flow</t>
  </si>
  <si>
    <t>RIM / Obligations</t>
  </si>
  <si>
    <t>Development interpretation: Wave 0 establishes architecture and compliance controls. Waves A+B+C deliver the product-specific Source-Document Requirement Engine and task-generation MVP. Wave D executes Development and Technology Transfer. Wave E delivers CTD readiness, dossier and submission. Wave F completes post-approval regulatory and product lifecycle management. Wave G is conditional AI/agent scope.</t>
  </si>
  <si>
    <t>Layer</t>
  </si>
  <si>
    <t>Primary Module</t>
  </si>
  <si>
    <t>Related Modules</t>
  </si>
  <si>
    <t>Capability / Development Part</t>
  </si>
  <si>
    <t>Required Development Scope</t>
  </si>
  <si>
    <t>Packs</t>
  </si>
  <si>
    <t>Scope Class</t>
  </si>
  <si>
    <t>Confidence</t>
  </si>
  <si>
    <t>Evidence / Data Quality Note</t>
  </si>
  <si>
    <t>Completion / Dependency Gate</t>
  </si>
  <si>
    <t>Security &amp; Access</t>
  </si>
  <si>
    <t>RBAC / Authorization for R&amp;D–RA</t>
  </si>
  <si>
    <t>Implement product-, project-, document-, dossier- and market-scoped permissions for RA, QA, QC, R&amp;D, Manufacturing, PM and administrators; enforce server-side authorization and tenant isolation.</t>
  </si>
  <si>
    <t>1–10</t>
  </si>
  <si>
    <t>P0 Critical</t>
  </si>
  <si>
    <t>Core</t>
  </si>
  <si>
    <t>High</t>
  </si>
  <si>
    <t>Treasury readiness evidence reports 67%; DLE-specific permission binding remains missing.</t>
  </si>
  <si>
    <t>Required before production approval and controlled access.</t>
  </si>
  <si>
    <t>Compliance Control</t>
  </si>
  <si>
    <t>Immutable Audit Trail integration</t>
  </si>
  <si>
    <t>Record creation, evaluation, assignment, approval, override, version, lock, submission, trigger and lifecycle events with correlation IDs and actor context.</t>
  </si>
  <si>
    <t>Treasury readiness evidence reports 40%; DLE event taxonomy and bindings remain to be implemented.</t>
  </si>
  <si>
    <t>Every regulated state change must produce audit evidence.</t>
  </si>
  <si>
    <t>Records Governance</t>
  </si>
  <si>
    <t>Records retention, legal hold and archive</t>
  </si>
  <si>
    <t>Define retention classes for source evidence, controlled documents, CTD sections, locked dossiers, submissions and authority correspondence; implement retention, legal hold, disposition and archive retrieval.</t>
  </si>
  <si>
    <t>7, 9, 10</t>
  </si>
  <si>
    <t>Medium</t>
  </si>
  <si>
    <t>Required by RA DLE; no DLE runtime readiness evidence was provided.</t>
  </si>
  <si>
    <t>Required for locked submission and lifecycle-record governance.</t>
  </si>
  <si>
    <t>Reference Data</t>
  </si>
  <si>
    <t>R&amp;D–RA controlled reference data</t>
  </si>
  <si>
    <t>Provide controlled lists for product routes, dossier types, section statuses, market procedures, legal bases, risk classes, gate decisions, lifecycle triggers and evidence classifications.</t>
  </si>
  <si>
    <t>Treasury readiness evidence reports approximately 80%; DLE values and effective-dated bindings remain.</t>
  </si>
  <si>
    <t>Expose governed values through APIs and effective-dated versions.</t>
  </si>
  <si>
    <t>Metadata</t>
  </si>
  <si>
    <t>MOD-0052</t>
  </si>
  <si>
    <t>Product, evidence and dossier metadata catalog</t>
  </si>
  <si>
    <t>Govern metadata definitions, ownership, lineage and discoverability for product, requirement, task, document version, CTD section, dossier and submission package objects.</t>
  </si>
  <si>
    <t>5, 7, 8, 9</t>
  </si>
  <si>
    <t>P1 High</t>
  </si>
  <si>
    <t>Required for traceability, reporting and controlled search.</t>
  </si>
  <si>
    <t>Resilience</t>
  </si>
  <si>
    <t>Backup and restore for regulated records</t>
  </si>
  <si>
    <t>Implement backup, restore validation and recovery evidence for product plans, tasks, evidence, controlled documents, dossiers, submissions and audit records.</t>
  </si>
  <si>
    <t>Required by RA DLE; backup existence does not replace restore verification.</t>
  </si>
  <si>
    <t>Restore procedures must be runtime-tested before production release.</t>
  </si>
  <si>
    <t>Electronic Approval</t>
  </si>
  <si>
    <t>e-Signature / electronic approval</t>
  </si>
  <si>
    <t>Bind identity, intent, meaning, timestamp and signed record version to controlled document, gate and dossier approvals; support production non-repudiation and signature verification.</t>
  </si>
  <si>
    <t>4, 7, 9</t>
  </si>
  <si>
    <t>Production control. A signed-PDF substitute may be used only under an approved Phase 0 control.</t>
  </si>
  <si>
    <t>Implement before production electronic approval.</t>
  </si>
  <si>
    <t>Wave A</t>
  </si>
  <si>
    <t>Runtime Stabilization</t>
  </si>
  <si>
    <t>Activate Workflow Designer runtime</t>
  </si>
  <si>
    <t>Add Ocelot routes and permission seeds; verify API proxy; activate template/version/instance/approval-task flows; publish consumption contracts; add runtime smoke coverage.</t>
  </si>
  <si>
    <t>4, 6, 7, 8, 9</t>
  </si>
  <si>
    <t>Code-reality audit estimates ~60%; Treasury sheet reports 55%. Difference is immaterial but final runtime recheck is required.</t>
  </si>
  <si>
    <t>Required before workflow-dependent pack acceptance.</t>
  </si>
  <si>
    <t>Stabilize Documentation &amp; Evidence runtime</t>
  </si>
  <si>
    <t>Resolve list, language and evidence runtime failures; verify persistence, tenant isolation, permissions and regression coverage.</t>
  </si>
  <si>
    <t>Code-reality audit estimates ~88%; Treasury sheet reports 82%. Runtime failures remain the deciding blocker.</t>
  </si>
  <si>
    <t>Pack 7 cannot close while runtime failures remain.</t>
  </si>
  <si>
    <t>Stabilize Controlled Documents runtime</t>
  </si>
  <si>
    <t>Resolve list and retention failures; validate registration/version APIs; verify effective dates, supersession, retention and cold-start persistence.</t>
  </si>
  <si>
    <t>7, 9</t>
  </si>
  <si>
    <t>Code-reality audit estimates ~90%; approval remains disconnected from MOD-0023 and runtime failures remain.</t>
  </si>
  <si>
    <t>Required for controlled-document release readiness.</t>
  </si>
  <si>
    <t>Cross-module Integration</t>
  </si>
  <si>
    <t>Controlled-document approval workflow</t>
  </si>
  <si>
    <t>Start workflow on submission; synchronize review, approve, reject, return and cancel states; enforce idempotency, audit and permission checks.</t>
  </si>
  <si>
    <t>Audit explicitly states approval is not integrated with the workflow engine.</t>
  </si>
  <si>
    <t>Moves Pack 7 from blocked partial to operational.</t>
  </si>
  <si>
    <t>Scheduler</t>
  </si>
  <si>
    <t>Scheduler operational completion</t>
  </si>
  <si>
    <t>Add job management, retry/cancel, execution history, failure visibility, trigger monitoring and idempotent retry controls.</t>
  </si>
  <si>
    <t>6, 10</t>
  </si>
  <si>
    <t>Low</t>
  </si>
  <si>
    <t>Source conflict: code-reality audit reports backend ~70%, while Treasury sheet says not in repo. Mandatory repository reinspection.</t>
  </si>
  <si>
    <t>Reverify first; then complete UI and operational controls.</t>
  </si>
  <si>
    <t>Architecture Decision</t>
  </si>
  <si>
    <t>MOD-0028; MOD-0029</t>
  </si>
  <si>
    <t>Document Control ownership decision</t>
  </si>
  <si>
    <t>Choose one system of record; define whether MOD-0206 remains separate or is implemented as governed functionality of MOD-0028/0029; prevent duplicate document-control services.</t>
  </si>
  <si>
    <t>7</t>
  </si>
  <si>
    <t>Architecture ownership is unresolved; readiness cannot be baselined until the SoR decision is approved.</t>
  </si>
  <si>
    <t>Approve ownership before further Pack 7 expansion.</t>
  </si>
  <si>
    <t>Wave B</t>
  </si>
  <si>
    <t>Backbone</t>
  </si>
  <si>
    <t>MOD-0024</t>
  </si>
  <si>
    <t>Persistent Task &amp; Checklist Engine</t>
  </si>
  <si>
    <t>Implement task, checklist, work package, work order, assignment, dependency, milestone, deliverable, status history, planned/actual hours, closure evidence, APIs, persistence, UI, RBAC, audit and runtime tests.</t>
  </si>
  <si>
    <t>4, 5, 6, 8, 10</t>
  </si>
  <si>
    <t>Audit found only an in-memory frontend mock and no persistent backend.</t>
  </si>
  <si>
    <t>Replace the mock with a persistent runtime engine.</t>
  </si>
  <si>
    <t>MOD-0025</t>
  </si>
  <si>
    <t>Business Rules Engine</t>
  </si>
  <si>
    <t>Implement versioned rule sets, effective dates, condition groups, simulation, evaluation API, conflict resolution, explanation trace, approval/publication and applicability/readiness/trigger rule families.</t>
  </si>
  <si>
    <t>1, 4, 5, 8</t>
  </si>
  <si>
    <t>Code-reality audit found no implementation.</t>
  </si>
  <si>
    <t>Common critical-path dependency.</t>
  </si>
  <si>
    <t>Implement version-specific object-to-evidence links, product/shared-scope links, requirement-to-document and document-to-CTD links, adoption/supersession impact, integrity validation, coverage queries and audit.</t>
  </si>
  <si>
    <t>Major source conflict: code-reality audit says no implementation; Treasury sheet reports 78%. Do not baseline until repository reinspection resolves the contradiction.</t>
  </si>
  <si>
    <t>Reinspect code and runtime before planning remaining work.</t>
  </si>
  <si>
    <t>Wave C</t>
  </si>
  <si>
    <t>Master Data</t>
  </si>
  <si>
    <t>Implement product family and presentation, dosage form, strength, pack, route, formulation, status, market/substance/material/supplier/site relationships, lifecycle identity and reference APIs.</t>
  </si>
  <si>
    <t>Code-reality audit found no product/SKU system of record.</t>
  </si>
  <si>
    <t>Product Presentation identity is required for all product-scoped records.</t>
  </si>
  <si>
    <t>Project &amp; Portfolio</t>
  </si>
  <si>
    <t>MOD-0117</t>
  </si>
  <si>
    <t>PPM and product-planner MVP</t>
  </si>
  <si>
    <t>Implement route selection, planning intake, finite project, S0–S9 stage instances, WBS, schedule, milestones, resources, budget, equipment/procurement demand, stage gates, closure and lifecycle handover.</t>
  </si>
  <si>
    <t>1, 2, 3, 4</t>
  </si>
  <si>
    <t>Code-reality audit found no PPM implementation.</t>
  </si>
  <si>
    <t>Largest shared domain blocker.</t>
  </si>
  <si>
    <t>Wave D</t>
  </si>
  <si>
    <t>R&amp;D Studies</t>
  </si>
  <si>
    <t>MOD-0240</t>
  </si>
  <si>
    <t>Study Setup &amp; Oversight</t>
  </si>
  <si>
    <t>Implement study identity, objectives, protocol, milestones, site, sample, batch, method, ownership, status, deviation and final-report linkage.</t>
  </si>
  <si>
    <t>3, 5, 7</t>
  </si>
  <si>
    <t>Required for controlled study execution and evidence traceability.</t>
  </si>
  <si>
    <t>Manufacturing Master</t>
  </si>
  <si>
    <t>Implement development formula, material quantities, manufacturing steps, routing versions, site applicability and approved baseline.</t>
  </si>
  <si>
    <t>Required for scale-up and technology-transfer planning.</t>
  </si>
  <si>
    <t>Manufacturing Execution</t>
  </si>
  <si>
    <t>Implement pilot, engineering, validation and registration batch execution, actual materials, process parameters, deviations and batch evidence.</t>
  </si>
  <si>
    <t>Required for registration-batch evidence.</t>
  </si>
  <si>
    <t>Capacity</t>
  </si>
  <si>
    <t>Resource and capacity integration</t>
  </si>
  <si>
    <t>Provide department, laboratory and manufacturing capacity; detect schedule conflicts and return confirmed availability to PPM.</t>
  </si>
  <si>
    <t>1, 2, 3, 6</t>
  </si>
  <si>
    <t>Necessary architecture dependency; no DLE-specific readiness was provided.</t>
  </si>
  <si>
    <t>Required for resource-loaded scheduling.</t>
  </si>
  <si>
    <t>Assets</t>
  </si>
  <si>
    <t>MOD-0199</t>
  </si>
  <si>
    <t>Equipment reservation integration</t>
  </si>
  <si>
    <t>Expose equipment qualification, availability, reservation, conflict resolution, usage and cost references to project tasks.</t>
  </si>
  <si>
    <t>3, 6</t>
  </si>
  <si>
    <t>Task start may be blocked until equipment is confirmed.</t>
  </si>
  <si>
    <t>Procurement</t>
  </si>
  <si>
    <t>Procurement demand integration</t>
  </si>
  <si>
    <t>Create material/service demand, requisition links, required dates, expected delivery, receipts and task-blocking status.</t>
  </si>
  <si>
    <t>2, 3, 6</t>
  </si>
  <si>
    <t>Required for material and external-service readiness.</t>
  </si>
  <si>
    <t>Wave E</t>
  </si>
  <si>
    <t>Pack 5 Runtime</t>
  </si>
  <si>
    <t>Composite</t>
  </si>
  <si>
    <t>MOD-0024; MOD-0025; MOD-0031; MOD-0028; MOD-0029; MOD-0117; MOD-0290</t>
  </si>
  <si>
    <t>Source-Document Requirement Engine runtime</t>
  </si>
  <si>
    <t>Import and version the 237-row catalogue; evaluate applicability; resolve scope/reuse/bridging/N-A; generate Product Evidence Register, shared dependencies, gaps, tasks, gate bindings, effort defaults and CTD mappings.</t>
  </si>
  <si>
    <t>5, 8</t>
  </si>
  <si>
    <t>Pack estimate based on backbone readiness; end-to-end requirement runtime is not implemented.</t>
  </si>
  <si>
    <t>Complete shared backbone and product/PPM foundations first.</t>
  </si>
  <si>
    <t>Regulatory Dossier</t>
  </si>
  <si>
    <t>MOD-0236</t>
  </si>
  <si>
    <t>Dossier / Submissions Management</t>
  </si>
  <si>
    <t>Implement dossier cycles, CTD hierarchy and 58 section instances, evidence mappings, readiness, RA tasks, section versions, quality gates, traceability, manifests, approval, lock and submission package versions.</t>
  </si>
  <si>
    <t>5, 8, 9</t>
  </si>
  <si>
    <t>Principal regulatory system of record.</t>
  </si>
  <si>
    <t>Regulatory Master</t>
  </si>
  <si>
    <t>MOD-0239</t>
  </si>
  <si>
    <t>Country / Market Requirements Matrix</t>
  </si>
  <si>
    <t>Implement authority, procedure, legal basis, submission type, Module 1/local requirements, language, validation rules, effective dates and regional differences.</t>
  </si>
  <si>
    <t>1, 9</t>
  </si>
  <si>
    <t>Required for multi-market dossier configuration.</t>
  </si>
  <si>
    <t>Labeling</t>
  </si>
  <si>
    <t>MOD-0238</t>
  </si>
  <si>
    <t>Labeling Lifecycle</t>
  </si>
  <si>
    <t>Implement core and regional product-information versions, SmPC/PIL/label relationships, harmonisation, review, approval, market status, effective dates and dossier/variation links.</t>
  </si>
  <si>
    <t>9, 10</t>
  </si>
  <si>
    <t>Valid canonical module added from RA DLE; no implementation evidence was found.</t>
  </si>
  <si>
    <t>Required for regulator-facing product-information governance.</t>
  </si>
  <si>
    <t>CTD Readiness</t>
  </si>
  <si>
    <t>MOD-0236; MOD-0025; MOD-0031; MOD-0024</t>
  </si>
  <si>
    <t>CTD readiness and RA task orchestration</t>
  </si>
  <si>
    <t>Implement section readiness thresholds, missing/expired evidence, readiness exceptions, authoring-wave release, one task per section, review/approval assignment, recalculation, dashboard and audit explanation.</t>
  </si>
  <si>
    <t>8</t>
  </si>
  <si>
    <t>Pack estimate; underlying dossier, rules, evidence-linking and persistent-task capabilities are absent.</t>
  </si>
  <si>
    <t>Complete dossier, rules, evidence linking and task backbone.</t>
  </si>
  <si>
    <t>Authority Interaction</t>
  </si>
  <si>
    <t>MOD-0237</t>
  </si>
  <si>
    <t>Authority response and deficiency management</t>
  </si>
  <si>
    <t>Implement authority question intake, due dates, ownership, impact assessment, response work packages, evidence links, review/approval, package version, submission and closure.</t>
  </si>
  <si>
    <t>8, 9, 10</t>
  </si>
  <si>
    <t>Corrected mapping: master 7 has no dedicated Authority Response module; MOD-0247 is unrelated.</t>
  </si>
  <si>
    <t>Implement as a governed RIM vertical slice.</t>
  </si>
  <si>
    <t>Submission Archive</t>
  </si>
  <si>
    <t>Locked submission archive</t>
  </si>
  <si>
    <t>Archive approved submission package, manifest, technical validation, authority receipt and correspondence with immutable version and retention controls.</t>
  </si>
  <si>
    <t>Corrected mapping: MOD-0248 is Validation Plans / Protocols, not Submission Archive.</t>
  </si>
  <si>
    <t>Implement through dossier and records-management capabilities.</t>
  </si>
  <si>
    <t>Wave F</t>
  </si>
  <si>
    <t>Regulatory Lifecycle</t>
  </si>
  <si>
    <t>Variations &amp; Renewals</t>
  </si>
  <si>
    <t>Implement variation classification, affected products/markets/sections, evidence requirements, implementation dates, renewal cycle, package and authority correspondence.</t>
  </si>
  <si>
    <t>Required for formal post-approval change.</t>
  </si>
  <si>
    <t>Obligation Management</t>
  </si>
  <si>
    <t>MOD-0219</t>
  </si>
  <si>
    <t>Obligations &amp; Renewal Tracking</t>
  </si>
  <si>
    <t>Implement obligation source, product/market scope, owner, due date, recurrence, lead time, status, evidence, escalation, fulfilment and work-order generation.</t>
  </si>
  <si>
    <t>10</t>
  </si>
  <si>
    <t>Principal source for lifecycle commitments.</t>
  </si>
  <si>
    <t>Lifecycle Automation</t>
  </si>
  <si>
    <t>MOD-0237; MOD-0219; MOD-0026; MOD-0024</t>
  </si>
  <si>
    <t>Lifecycle trigger-to-work-order engine</t>
  </si>
  <si>
    <t>Implement expiry, periodic review, stability, certificate, supplier, commitment, variation, authority-question and shared-evidence triggers; deduplicate; generate a new task/work order/project; retain execution history.</t>
  </si>
  <si>
    <t>Pack estimate based mainly on scheduler readiness; task, obligation and variation capabilities are absent.</t>
  </si>
  <si>
    <t>Completed historical tasks must never be reopened.</t>
  </si>
  <si>
    <t>Wave G</t>
  </si>
  <si>
    <t>AI Governance</t>
  </si>
  <si>
    <t>MOD-0068</t>
  </si>
  <si>
    <t>Prompt Registry &amp; Approval Workflow</t>
  </si>
  <si>
    <t>Version and approve prompts used for extraction, classification, drafting and review assistance; record owners, intended use, risk tier and change history.</t>
  </si>
  <si>
    <t>Conditional</t>
  </si>
  <si>
    <t>Required only when AI-generated or AI-assisted outputs are approved and enabled.</t>
  </si>
  <si>
    <t>Activate after an approved AI intended-use decision.</t>
  </si>
  <si>
    <t>AI Assurance</t>
  </si>
  <si>
    <t>MOD-0069</t>
  </si>
  <si>
    <t>Human-in-the-Loop Verification</t>
  </si>
  <si>
    <t>Provide reviewer assignment, verification, override, rejection, acceptance and evidence for AI/OCR outputs before they influence controlled records.</t>
  </si>
  <si>
    <t>AI/OCR outputs cannot auto-approve regulated content.</t>
  </si>
  <si>
    <t>Activate with any AI/OCR production workflow.</t>
  </si>
  <si>
    <t>MOD-0066</t>
  </si>
  <si>
    <t>Model Registry &amp; Versioning</t>
  </si>
  <si>
    <t>Record provider, model/version, approved use, validation evidence, deployment context and retirement state for models used by DLE.</t>
  </si>
  <si>
    <t>Required before controlled use of external or internal models.</t>
  </si>
  <si>
    <t>Activate before production model use.</t>
  </si>
  <si>
    <t>Agent Governance</t>
  </si>
  <si>
    <t>MOD-0292</t>
  </si>
  <si>
    <t>MOD-0293</t>
  </si>
  <si>
    <t>Agent registry and execution ledger</t>
  </si>
  <si>
    <t>Register operational agents and persist complete run, step, checkpoint, trace, failure and human-approval history.</t>
  </si>
  <si>
    <t>5, 8, 9, 10</t>
  </si>
  <si>
    <t>Canonical modules exist in master 7; no implementation evidence was provided.</t>
  </si>
  <si>
    <t>Required only when governed agents execute DLE work.</t>
  </si>
  <si>
    <t>Agent Tooling</t>
  </si>
  <si>
    <t>MOD-0294</t>
  </si>
  <si>
    <t>MOD-0295</t>
  </si>
  <si>
    <t>Agent tool gateway and operational workspace</t>
  </si>
  <si>
    <t>Control tool/API access, scopes and health; provide recommendation inbox, pending approvals, run review and exception handling.</t>
  </si>
  <si>
    <t>Agents must use approved adapters and scopes.</t>
  </si>
  <si>
    <t>AI Monitoring</t>
  </si>
  <si>
    <t>MOD-0067</t>
  </si>
  <si>
    <t>MOD-0110</t>
  </si>
  <si>
    <t>Evaluation, drift and AI ethics controls</t>
  </si>
  <si>
    <t>Run regression/evaluation checks, monitor output quality and drift, and govern ethical, bias and responsible-use reviews for AI-enabled workflows.</t>
  </si>
  <si>
    <t>P2 Later</t>
  </si>
  <si>
    <t>Required for production-scale AI operation, not for manual Phase 0.</t>
  </si>
  <si>
    <t>Activate after AI production scope is approved.</t>
  </si>
  <si>
    <t>Notification and escalation service</t>
  </si>
  <si>
    <t>Implement event-driven alerts, reminders, overdue escalation, approval notifications, delivery channels, delivery status, retry, tenant context and audit linkage.</t>
  </si>
  <si>
    <t>4, 5, 6, 7, 8, 9, 10</t>
  </si>
  <si>
    <t>The code-reality audit found no usable backend; this capability was missing from the unified block.</t>
  </si>
  <si>
    <t>Required for operational ownership, overdue escalation and lifecycle reminders.</t>
  </si>
  <si>
    <t>Product Lifecycle</t>
  </si>
  <si>
    <t>MOD-0290; MOD-0117; MOD-0237; MOD-0219</t>
  </si>
  <si>
    <t>Product Lifecycle Record ownership and runtime</t>
  </si>
  <si>
    <t>Define the permanent Product Lifecycle Record, product-presentation link, lifecycle phase, active projects, registrations, dossier history, obligations, variations, lifecycle decisions and archive state.</t>
  </si>
  <si>
    <t>No single canonical module currently owns the complete lifecycle record; an approved SoR decision is required.</t>
  </si>
  <si>
    <t>Approve ownership and implement lifecycle query, update and event contracts.</t>
  </si>
  <si>
    <t>Shared Evidence</t>
  </si>
  <si>
    <t>MOD-0028; MOD-0031; MOD-0025; MOD-0140; MOD-0220; MOD-0290</t>
  </si>
  <si>
    <t>Shared Evidence Management</t>
  </si>
  <si>
    <t>Implement shared-scope evidence for substance source, manufacturing site, supplier, material and company/legal entity; support reuse keys, approved version, product dependencies, adoption, supersession impact and one central remediation task.</t>
  </si>
  <si>
    <t>5, 7, 8, 9, 10</t>
  </si>
  <si>
    <t>Document services partly exist, but the shared-evidence ownership and runtime model are not implemented end to end.</t>
  </si>
  <si>
    <t>Approve shared-scope ownership and complete resolution/adoption APIs.</t>
  </si>
  <si>
    <t>Finance</t>
  </si>
  <si>
    <t>MOD-0136</t>
  </si>
  <si>
    <t>Budget and rate integration</t>
  </si>
  <si>
    <t>Implement project/product cost objects, approved planning rates, labour-cost calculation, non-labour cost drivers, budget baseline, commitments and actual-cost references.</t>
  </si>
  <si>
    <t>1, 2, 3, 5, 6, 10</t>
  </si>
  <si>
    <t>Required by the canonical planner but not explicitly represented in the prior backlog.</t>
  </si>
  <si>
    <t>Provide rate query, budget baseline and cost-posting contracts.</t>
  </si>
  <si>
    <t>MOD-0137</t>
  </si>
  <si>
    <t>MOD-0117; MOD-0291</t>
  </si>
  <si>
    <t>Rolling forecast integration</t>
  </si>
  <si>
    <t>Implement forecast-at-completion, remaining effort/cost, variance, change impact and effective-dated forecast snapshots for finite projects and lifecycle work.</t>
  </si>
  <si>
    <t>2, 3, 6, 10</t>
  </si>
  <si>
    <t>Forecasting was present in the architecture mapping but absent from the unified development list.</t>
  </si>
  <si>
    <t>Integrate forecast snapshots with project baseline and actual-cost events.</t>
  </si>
  <si>
    <t>Resource Management</t>
  </si>
  <si>
    <t>Resource skills and working-calendar integration</t>
  </si>
  <si>
    <t>Implement roles, skills, organization/position binding, working calendars, availability, capacity, allocation and assignment validation for R&amp;D, QA, QC, RA, Manufacturing and project teams.</t>
  </si>
  <si>
    <t>1, 2, 3, 6, 8</t>
  </si>
  <si>
    <t>Capacity was listed, but people, skills and calendar ownership were incomplete.</t>
  </si>
  <si>
    <t>Provide capacity and qualified-resource query contracts.</t>
  </si>
  <si>
    <t>Scientific Data</t>
  </si>
  <si>
    <t>MOD-0203; MOD-0240; MOD-0195</t>
  </si>
  <si>
    <t>Sample and scientific-data integration</t>
  </si>
  <si>
    <t>Implement sample identity, chain of custody, study/batch/task links, method/specification references, test results, CoA status and approved scientific-object queries.</t>
  </si>
  <si>
    <t>3, 5, 7, 8</t>
  </si>
  <si>
    <t>Study and batch capabilities were listed, but sample, method, result and CoA interfaces were incomplete.</t>
  </si>
  <si>
    <t>Provide scientific-object queries and evidence-ready result events.</t>
  </si>
  <si>
    <t>Stability Lifecycle</t>
  </si>
  <si>
    <t>MOD-0219; MOD-0026; MOD-0024</t>
  </si>
  <si>
    <t>Stability-to-lifecycle integration</t>
  </si>
  <si>
    <t>Create stability plans and time points, link results, generate lifecycle obligations and new work orders, escalate overdue time points and preserve completed historical tasks.</t>
  </si>
  <si>
    <t>3, 5, 7, 8, 10</t>
  </si>
  <si>
    <t>Stability was referenced but the lifecycle-trigger integration was not explicit.</t>
  </si>
  <si>
    <t>Implement time-point event, obligation and work-order contracts.</t>
  </si>
  <si>
    <t>MOD-0237; MOD-0236; MOD-0031</t>
  </si>
  <si>
    <t>Change-control impact integration</t>
  </si>
  <si>
    <t>Evaluate product, evidence, document, dossier, labeling, market and variation impacts from an approved change; generate dependent tasks and readiness-recalculation events.</t>
  </si>
  <si>
    <t>3, 5, 7, 8, 9, 10</t>
  </si>
  <si>
    <t>Change control was referenced but lacked an explicit cross-module impact contract.</t>
  </si>
  <si>
    <t>Implement impact query, decision and affected-object event contracts.</t>
  </si>
  <si>
    <t>Architecture &amp; Integration</t>
  </si>
  <si>
    <t>All Pack 5 dependencies</t>
  </si>
  <si>
    <t>Pack 5 Software Capability Matrix</t>
  </si>
  <si>
    <t>Maintain the authoritative capability-to-module crosswalk, SoR owner, owned objects, Pack 5 role, consuming packs, readiness, build wave, Phase 0 alternative and acceptance criteria.</t>
  </si>
  <si>
    <t>5</t>
  </si>
  <si>
    <t>The initial matrix is included as a dedicated workbook sheet; owner approval and ongoing maintenance remain.</t>
  </si>
  <si>
    <t>Approve the matrix as DLE-SW-CAP-001 and use it as the capability baseline.</t>
  </si>
  <si>
    <t>All Pack 5 interfaces</t>
  </si>
  <si>
    <t>Pack 5 Interface / API / Event Matrix</t>
  </si>
  <si>
    <t>Maintain commands, queries, produced and consumed events, direction, blocking rules, retry/idempotency, security, audit and Phase 0 fallback for every Pack 5 dependency.</t>
  </si>
  <si>
    <t>The initial interface registry is included; payload schemas and module-owner approval remain.</t>
  </si>
  <si>
    <t>Approve interface ownership and create versioned API/event contracts.</t>
  </si>
  <si>
    <t>Build-Wave Summary</t>
  </si>
  <si>
    <t>Total Items</t>
  </si>
  <si>
    <t>Assessed Items</t>
  </si>
  <si>
    <t>P0 Items</t>
  </si>
  <si>
    <t>Average Assessed Readiness</t>
  </si>
  <si>
    <t>Primary Outcome</t>
  </si>
  <si>
    <t>Architecture, capability/interface matrices, security, audit, records, reference data, metadata, resilience and electronic approval.</t>
  </si>
  <si>
    <t>Stabilize existing workflow, document/evidence, controlled-document and scheduler services.</t>
  </si>
  <si>
    <t>Build persistent task, rules, notification, evidence-linking and shared-evidence backbone.</t>
  </si>
  <si>
    <t>Establish Product Master, Product Lifecycle, PPM, budgeting and forecast foundations.</t>
  </si>
  <si>
    <t>Enable studies, manufacturing, capacity, skills/calendars, equipment, procurement and scientific data.</t>
  </si>
  <si>
    <t>Implement source-requirement, dossier, market, labeling, CTD-readiness, authority-response and submission-archive capabilities.</t>
  </si>
  <si>
    <t>Implement variations, obligations, stability, change-control impacts and lifecycle work-order automation.</t>
  </si>
  <si>
    <t>Conditional AI/agent governance, assurance, runtime, tooling and monitoring.</t>
  </si>
  <si>
    <t>Mandatory Module Completion Criteria</t>
  </si>
  <si>
    <t>Completion Criterion</t>
  </si>
  <si>
    <t>Required Evidence</t>
  </si>
  <si>
    <t>Gate</t>
  </si>
  <si>
    <t>Mandatory</t>
  </si>
  <si>
    <t>Approved module pack and system-of-record boundary</t>
  </si>
  <si>
    <t>Approved specification and ownership decision</t>
  </si>
  <si>
    <t>Design</t>
  </si>
  <si>
    <t>Persistent domain model, migration and rollback</t>
  </si>
  <si>
    <t>Entities, repositories, migration and rollback evidence</t>
  </si>
  <si>
    <t>Backend</t>
  </si>
  <si>
    <t>Application commands, queries and validation</t>
  </si>
  <si>
    <t>Implemented use cases and passing validation tests</t>
  </si>
  <si>
    <t>Application</t>
  </si>
  <si>
    <t>API endpoints and gateway routing</t>
  </si>
  <si>
    <t>OpenAPI/API tests and live gateway smoke evidence</t>
  </si>
  <si>
    <t>Integration</t>
  </si>
  <si>
    <t>Permissions, tenant isolation and segregation of duties</t>
  </si>
  <si>
    <t>Positive/negative authorization and cross-tenant tests</t>
  </si>
  <si>
    <t>Security</t>
  </si>
  <si>
    <t>Immutable audit events and correlation</t>
  </si>
  <si>
    <t>Audit evidence for all critical regulated actions</t>
  </si>
  <si>
    <t>Compliance</t>
  </si>
  <si>
    <t>Frontend runtime flows, empty states and failure handling</t>
  </si>
  <si>
    <t>Browser evidence for list/detail/create/edit/error states</t>
  </si>
  <si>
    <t>Frontend</t>
  </si>
  <si>
    <t>Where UI applies</t>
  </si>
  <si>
    <t>Cross-module API and event contracts</t>
  </si>
  <si>
    <t>Versioned contracts and consumer tests</t>
  </si>
  <si>
    <t>Idempotency, retry, deduplication and concurrency</t>
  </si>
  <si>
    <t>Duplicate/retry/concurrency test evidence</t>
  </si>
  <si>
    <t>Reliability</t>
  </si>
  <si>
    <t>Unit, integration, golden-flow and failure-path tests</t>
  </si>
  <si>
    <t>Passing automated suites and runtime smoke reports</t>
  </si>
  <si>
    <t>QA</t>
  </si>
  <si>
    <t>Cold-start persistence, backup and restore verification</t>
  </si>
  <si>
    <t>Restart, data retention and restore evidence</t>
  </si>
  <si>
    <t>Persistence</t>
  </si>
  <si>
    <t>Retention, e-signature and locked-version controls</t>
  </si>
  <si>
    <t>Records, signature and package-lock evidence</t>
  </si>
  <si>
    <t>GxP</t>
  </si>
  <si>
    <t>Where regulated</t>
  </si>
  <si>
    <t>Release, rollback, monitoring and operational evidence</t>
  </si>
  <si>
    <t>Deployment, rollback, monitoring and release report</t>
  </si>
  <si>
    <t>Unified Critical Path</t>
  </si>
  <si>
    <t>Order</t>
  </si>
  <si>
    <t>Critical Path Capability</t>
  </si>
  <si>
    <t>Required Exit</t>
  </si>
  <si>
    <t>Unlocks</t>
  </si>
  <si>
    <t>Decision Type</t>
  </si>
  <si>
    <t>Owner</t>
  </si>
  <si>
    <t>Capability matrix, interface registry and SoR decisions</t>
  </si>
  <si>
    <t>Draft matrices created; module-owner approval remains</t>
  </si>
  <si>
    <t>Approved capability, object ownership and contract baseline</t>
  </si>
  <si>
    <t>All packs</t>
  </si>
  <si>
    <t>Architecture</t>
  </si>
  <si>
    <t>Enterprise Architecture</t>
  </si>
  <si>
    <t>RBAC, audit, records, reference data, metadata, backup, notification and electronic approval</t>
  </si>
  <si>
    <t>Partial or missing DLE bindings</t>
  </si>
  <si>
    <t>Cross-cutting controls runtime-proven</t>
  </si>
  <si>
    <t>Wave 0/B</t>
  </si>
  <si>
    <t>Development</t>
  </si>
  <si>
    <t>Platform / Compliance</t>
  </si>
  <si>
    <t>MOD-0023 runtime plus MOD-0028 / MOD-0029 stabilization</t>
  </si>
  <si>
    <t>Partially implemented and blocked</t>
  </si>
  <si>
    <t>Workflow active; no runtime failures; document approvals integrated</t>
  </si>
  <si>
    <t>Packs 4–9</t>
  </si>
  <si>
    <t>Platform / Document</t>
  </si>
  <si>
    <t>MOD-0024 / MOD-0025 / MOD-0031 plus Shared Evidence</t>
  </si>
  <si>
    <t>Missing, mocked or conflicting</t>
  </si>
  <si>
    <t>Persistent task, rules, evidence and reuse backbone</t>
  </si>
  <si>
    <t>Packs 1,4,5,6,8,10</t>
  </si>
  <si>
    <t>Development + reinspection</t>
  </si>
  <si>
    <t>Platform</t>
  </si>
  <si>
    <t>MOD-0290 / MOD-0117 plus Product Lifecycle and Finance</t>
  </si>
  <si>
    <t>Not implemented or not assessed</t>
  </si>
  <si>
    <t>Product master, lifecycle record, PPM, budget and forecast</t>
  </si>
  <si>
    <t>Packs 1–4</t>
  </si>
  <si>
    <t>MDM / PPM / Finance</t>
  </si>
  <si>
    <t>Studies, manufacturing, resources, equipment, procurement and scientific data</t>
  </si>
  <si>
    <t>Development and technology-transfer execution foundation</t>
  </si>
  <si>
    <t>Pack 3</t>
  </si>
  <si>
    <t>R&amp;D / Manufacturing</t>
  </si>
  <si>
    <t>MOD-0236 / MOD-0239 / MOD-0238</t>
  </si>
  <si>
    <t>Not implemented</t>
  </si>
  <si>
    <t>Dossier, market-requirement and labeling foundation</t>
  </si>
  <si>
    <t>Packs 5,8,9</t>
  </si>
  <si>
    <t>RA / RIM</t>
  </si>
  <si>
    <t>Authority response, submission archive, variation, obligations, stability and change impacts</t>
  </si>
  <si>
    <t>Complete post-approval and lifecycle management</t>
  </si>
  <si>
    <t>Packs 8–10</t>
  </si>
  <si>
    <t>Wave E/F</t>
  </si>
  <si>
    <t>RA / Records / Quality</t>
  </si>
  <si>
    <t>AI and agent governance</t>
  </si>
  <si>
    <t>Approved intended use and controlled runtime</t>
  </si>
  <si>
    <t>AI-enabled packs</t>
  </si>
  <si>
    <t>Integrated R&amp;D–RA Lifecycle Management Block — Software Capability Matrix (DLE-SW-CAP-001)</t>
  </si>
  <si>
    <t>Defines system-of-record ownership, owned objects, Pack 5 responsibilities, required interfaces, readiness and acceptance boundaries for the full DLE + R&amp;D + RA operating model. Composite capabilities orchestrate approved canonical modules and do not create a new MOD code.</t>
  </si>
  <si>
    <t>Capability ID</t>
  </si>
  <si>
    <t>Capability / Module</t>
  </si>
  <si>
    <t>Canonical Module ID(s)</t>
  </si>
  <si>
    <t>Capability Type</t>
  </si>
  <si>
    <t>System-of-Record Owner</t>
  </si>
  <si>
    <t>Owned Objects</t>
  </si>
  <si>
    <t>Pack 5 Role</t>
  </si>
  <si>
    <t>Consuming Packs</t>
  </si>
  <si>
    <t>Required Query</t>
  </si>
  <si>
    <t>Required Command</t>
  </si>
  <si>
    <t>Produced Events</t>
  </si>
  <si>
    <t>Consumed Events</t>
  </si>
  <si>
    <t>Direction</t>
  </si>
  <si>
    <t>Blocking Rule</t>
  </si>
  <si>
    <t>Build Wave</t>
  </si>
  <si>
    <t>Phase 0 Alternative</t>
  </si>
  <si>
    <t>Acceptance Criteria</t>
  </si>
  <si>
    <t>CAP-001</t>
  </si>
  <si>
    <t>Domain SoR</t>
  </si>
  <si>
    <t>Product Family; Product Presentation; SKU; strength; dosage form; pack; identifiers</t>
  </si>
  <si>
    <t>Supplies product identity and product-scope keys</t>
  </si>
  <si>
    <t>Product presentation query</t>
  </si>
  <si>
    <t>Create/update product presentation</t>
  </si>
  <si>
    <t>ProductPresentationChanged</t>
  </si>
  <si>
    <t>ReferenceDataChanged</t>
  </si>
  <si>
    <t>Both</t>
  </si>
  <si>
    <t>No Pack 5 generation without a valid Product Presentation</t>
  </si>
  <si>
    <t>Controlled spreadsheet product register</t>
  </si>
  <si>
    <t>Persistent product master and scope query runtime-proven</t>
  </si>
  <si>
    <t>CAP-002</t>
  </si>
  <si>
    <t>Product Lifecycle Management</t>
  </si>
  <si>
    <t>Composite: MOD-0290 + MOD-0117 + MOD-0237 + MOD-0219</t>
  </si>
  <si>
    <t>Composite domain capability</t>
  </si>
  <si>
    <t>Approved SoR decision required</t>
  </si>
  <si>
    <t>Product Lifecycle Record; lifecycle phase; project/dossier/registration history; obligations</t>
  </si>
  <si>
    <t>Supplies permanent lifecycle container and scope links</t>
  </si>
  <si>
    <t>Lifecycle record query</t>
  </si>
  <si>
    <t>Create/update lifecycle record</t>
  </si>
  <si>
    <t>LifecyclePhaseChanged; LifecycleRecordUpdated</t>
  </si>
  <si>
    <t>ProjectClosed; VariationApproved; ObligationChanged</t>
  </si>
  <si>
    <t>Product-specific planning cannot baseline without a lifecycle identity</t>
  </si>
  <si>
    <t>Controlled lifecycle register</t>
  </si>
  <si>
    <t>SoR approved; lifecycle record persists and survives project closure</t>
  </si>
  <si>
    <t>CAP-003</t>
  </si>
  <si>
    <t>Product Planner</t>
  </si>
  <si>
    <t>Domain application</t>
  </si>
  <si>
    <t>Project &amp; Portfolio Management</t>
  </si>
  <si>
    <t>Plan configuration; route; stage selection; assumptions; baseline</t>
  </si>
  <si>
    <t>Applies applicability and selection rules</t>
  </si>
  <si>
    <t>1–5</t>
  </si>
  <si>
    <t>Planner configuration query</t>
  </si>
  <si>
    <t>Generate evidence requirements</t>
  </si>
  <si>
    <t>ProductPlanBaselined</t>
  </si>
  <si>
    <t>ProductPresentationChanged; RuleSetPublished</t>
  </si>
  <si>
    <t>Pack 5 cannot generate product requirements before planner baseline</t>
  </si>
  <si>
    <t>Approved planner workbook</t>
  </si>
  <si>
    <t>Route selection and baseline generation runtime-proven</t>
  </si>
  <si>
    <t>CAP-004</t>
  </si>
  <si>
    <t>Project / Task Management</t>
  </si>
  <si>
    <t>MOD-0117 + MOD-0024</t>
  </si>
  <si>
    <t>Domain + shared execution</t>
  </si>
  <si>
    <t>PPM and Task Engine</t>
  </si>
  <si>
    <t>Project; stage; work package; task; checklist; work order; dependency</t>
  </si>
  <si>
    <t>Creates execution work from requirements</t>
  </si>
  <si>
    <t>Task/work-order query</t>
  </si>
  <si>
    <t>Create task/work order</t>
  </si>
  <si>
    <t>TaskCreated; TaskCompleted; WorkOrderCreated</t>
  </si>
  <si>
    <t>EvidenceGapDetected; TriggerFired</t>
  </si>
  <si>
    <t>Applicable gaps must have one accountable execution object</t>
  </si>
  <si>
    <t>Wave B/C</t>
  </si>
  <si>
    <t>Controlled task register</t>
  </si>
  <si>
    <t>Persistent task and project objects with audit and cold-start proof</t>
  </si>
  <si>
    <t>CAP-005</t>
  </si>
  <si>
    <t>Workflow Engine</t>
  </si>
  <si>
    <t>Shared backbone</t>
  </si>
  <si>
    <t>Workflow Service</t>
  </si>
  <si>
    <t>Process definition; version; instance; approval task; transition log</t>
  </si>
  <si>
    <t>Executes approval, request and escalation flows</t>
  </si>
  <si>
    <t>4, 6–10</t>
  </si>
  <si>
    <t>Workflow instance query</t>
  </si>
  <si>
    <t>Start process</t>
  </si>
  <si>
    <t>WorkflowStarted; WorkflowTransitioned; WorkflowCompleted</t>
  </si>
  <si>
    <t>DocumentSubmitted; GateSubmitted; SectionReady</t>
  </si>
  <si>
    <t>Approval-dependent transitions block when workflow is unavailable</t>
  </si>
  <si>
    <t>Manual signed routing sheet</t>
  </si>
  <si>
    <t>Gateway, permissions and runtime workflow proven</t>
  </si>
  <si>
    <t>CAP-006</t>
  </si>
  <si>
    <t>Document / Evidence Management</t>
  </si>
  <si>
    <t>MOD-0028 + MOD-0029 + MOD-0206 decision</t>
  </si>
  <si>
    <t>Shared backbone + QMS</t>
  </si>
  <si>
    <t>Document/Evidence and Document Control</t>
  </si>
  <si>
    <t>Controlled document; version; metadata; approval state; effective/expiry dates</t>
  </si>
  <si>
    <t>Resolves and stores satisfying evidence</t>
  </si>
  <si>
    <t>5, 7–10</t>
  </si>
  <si>
    <t>Document/version query</t>
  </si>
  <si>
    <t>Register/version/submit document</t>
  </si>
  <si>
    <t>DocumentApproved; DocumentSuperseded; DocumentExpired</t>
  </si>
  <si>
    <t>WorkflowCompleted; RetentionRuleChanged</t>
  </si>
  <si>
    <t>Evidence is not accepted without an approved controlled version</t>
  </si>
  <si>
    <t>Controlled repository with signed approval sheet</t>
  </si>
  <si>
    <t>No runtime failures; workflow, retention and SoR boundary approved</t>
  </si>
  <si>
    <t>CAP-007</t>
  </si>
  <si>
    <t>Composite: MOD-0028 + MOD-0031 + MOD-0025 + masters</t>
  </si>
  <si>
    <t>Owning master scope plus Evidence Services</t>
  </si>
  <si>
    <t>Shared evidence record; reuse key; product dependency; adoption decision</t>
  </si>
  <si>
    <t>Resolves reusable substance/site/supplier/material/company evidence</t>
  </si>
  <si>
    <t>Resolve shared evidence</t>
  </si>
  <si>
    <t>Adopt shared evidence version</t>
  </si>
  <si>
    <t>SharedEvidenceResolved; SharedEvidenceSuperseded</t>
  </si>
  <si>
    <t>DocumentApproved; MasterScopeChanged</t>
  </si>
  <si>
    <t>Missing or expired shared evidence creates one central remediation item</t>
  </si>
  <si>
    <t>Shared evidence register and manual dependency matrix</t>
  </si>
  <si>
    <t>One owning record, version-specific links and impact propagation proven</t>
  </si>
  <si>
    <t>CAP-008</t>
  </si>
  <si>
    <t>Regulatory Dossier Management</t>
  </si>
  <si>
    <t>Regulatory Information Management</t>
  </si>
  <si>
    <t>Dossier cycle; CTD Section Instance; section version; submission package</t>
  </si>
  <si>
    <t>Calculates section readiness and owns dossier output</t>
  </si>
  <si>
    <t>Section/dossier query</t>
  </si>
  <si>
    <t>Create dossier cycle / recalculate readiness</t>
  </si>
  <si>
    <t>SectionReady; DossierLocked; SubmissionPackaged</t>
  </si>
  <si>
    <t>EvidenceCoverageChanged; MarketRequirementChanged</t>
  </si>
  <si>
    <t>Pack 8/9 cannot operate without section instances</t>
  </si>
  <si>
    <t>Controlled CTD readiness workbook</t>
  </si>
  <si>
    <t>58-section runtime, versioning, lock and traceability proven</t>
  </si>
  <si>
    <t>CAP-009</t>
  </si>
  <si>
    <t>Lifecycle Trigger Engine</t>
  </si>
  <si>
    <t>Composite: MOD-0026 + MOD-0219 + MOD-0024</t>
  </si>
  <si>
    <t>Composite shared capability</t>
  </si>
  <si>
    <t>Scheduler + Obligation + Task Services</t>
  </si>
  <si>
    <t>Trigger rule; trigger occurrence; obligation; generated work order</t>
  </si>
  <si>
    <t>Creates review, expiry, stability and commitment work</t>
  </si>
  <si>
    <t>5, 10</t>
  </si>
  <si>
    <t>Trigger schedule query</t>
  </si>
  <si>
    <t>Schedule/cancel trigger</t>
  </si>
  <si>
    <t>TriggerFired; WorkOrderGenerated</t>
  </si>
  <si>
    <t>DocumentExpiryChanged; StabilityTimePointDue; ObligationChanged</t>
  </si>
  <si>
    <t>Due obligations must generate new work without reopening completed tasks</t>
  </si>
  <si>
    <t>Manual lifecycle calendar</t>
  </si>
  <si>
    <t>Deduplication, idempotency and generated-work lineage proven</t>
  </si>
  <si>
    <t>CAP-010</t>
  </si>
  <si>
    <t>Equipment Management</t>
  </si>
  <si>
    <t>Operational SoR</t>
  </si>
  <si>
    <t>Asset &amp; Maintenance</t>
  </si>
  <si>
    <t>Equipment; qualification status; reservation; usage</t>
  </si>
  <si>
    <t>Supports equipment-dependent evidence tasks</t>
  </si>
  <si>
    <t>Equipment availability query</t>
  </si>
  <si>
    <t>Reserve/release equipment</t>
  </si>
  <si>
    <t>ReservationConfirmed; ReservationCancelled</t>
  </si>
  <si>
    <t>TaskScheduled</t>
  </si>
  <si>
    <t>Task start may block until qualified equipment is reserved</t>
  </si>
  <si>
    <t>Controlled reservation calendar</t>
  </si>
  <si>
    <t>Qualification and reservation status integrated with tasks</t>
  </si>
  <si>
    <t>CAP-011</t>
  </si>
  <si>
    <t>Requisition; purchase order; receipt; external service request</t>
  </si>
  <si>
    <t>Supports materials and external services</t>
  </si>
  <si>
    <t>Procurement status query</t>
  </si>
  <si>
    <t>Create purchase request</t>
  </si>
  <si>
    <t>PurchaseOrderIssued; ReceiptPosted</t>
  </si>
  <si>
    <t>MaterialDemandCreated</t>
  </si>
  <si>
    <t>Material/service-dependent tasks may block until confirmed</t>
  </si>
  <si>
    <t>Manual requisition tracker</t>
  </si>
  <si>
    <t>Demand-to-receipt traceability and task-blocking state proven</t>
  </si>
  <si>
    <t>CAP-012</t>
  </si>
  <si>
    <t>MOD-0192 + MOD-0288</t>
  </si>
  <si>
    <t>Shared planning capability</t>
  </si>
  <si>
    <t>Capacity Planning + Directory</t>
  </si>
  <si>
    <t>Person; position; organization; skill; calendar; capacity; allocation</t>
  </si>
  <si>
    <t>Resolves qualified resource capacity</t>
  </si>
  <si>
    <t>Capacity and qualified-resource query</t>
  </si>
  <si>
    <t>Reserve/assign resource</t>
  </si>
  <si>
    <t>ResourceAllocated; CapacityChanged</t>
  </si>
  <si>
    <t>ProjectPlanBaselined</t>
  </si>
  <si>
    <t>Baseline must identify feasible resource capacity</t>
  </si>
  <si>
    <t>Department capacity spreadsheet</t>
  </si>
  <si>
    <t>Skills, calendars, allocation and conflict checks integrated</t>
  </si>
  <si>
    <t>CAP-013</t>
  </si>
  <si>
    <t>Finance / Budgeting</t>
  </si>
  <si>
    <t>MOD-0136 + MOD-0291 + MOD-0137</t>
  </si>
  <si>
    <t>Finance SoR + planning</t>
  </si>
  <si>
    <t>Budgeting / Financial Dimensions / Forecast</t>
  </si>
  <si>
    <t>Rate; cost object; budget; commitment; actual; forecast</t>
  </si>
  <si>
    <t>Values generated work and project baseline</t>
  </si>
  <si>
    <t>Rate/budget/forecast query</t>
  </si>
  <si>
    <t>Create baseline / update forecast</t>
  </si>
  <si>
    <t>BudgetBaselined; ActualCostPosted; ForecastUpdated</t>
  </si>
  <si>
    <t>TaskPlanned; PurchaseCommitted</t>
  </si>
  <si>
    <t>Costed baseline requires approved rate and cost object</t>
  </si>
  <si>
    <t>Approved rate and budget catalogues</t>
  </si>
  <si>
    <t>Effective-dated rates and budget/actual/forecast reconciliation proven</t>
  </si>
  <si>
    <t>CAP-014</t>
  </si>
  <si>
    <t>Scientific Data Services</t>
  </si>
  <si>
    <t>MOD-0240 + MOD-0202 + MOD-0203 + MOD-0195</t>
  </si>
  <si>
    <t>Scientific domain services</t>
  </si>
  <si>
    <t>Study / Sample / QC / Manufacturing</t>
  </si>
  <si>
    <t>Study; batch; sample; method; specification; test result; CoA</t>
  </si>
  <si>
    <t>Provides scientific traceability</t>
  </si>
  <si>
    <t>Scientific-object query</t>
  </si>
  <si>
    <t>Register study/sample/result</t>
  </si>
  <si>
    <t>ResultApproved; CoAIssued; BatchCompleted</t>
  </si>
  <si>
    <t>TaskCreated; SampleRequested</t>
  </si>
  <si>
    <t>Scientific evidence cannot close without object-level traceability</t>
  </si>
  <si>
    <t>Controlled study/sample/result registers</t>
  </si>
  <si>
    <t>Versioned links from source evidence to scientific objects proven</t>
  </si>
  <si>
    <t>CAP-015</t>
  </si>
  <si>
    <t>IAM / RBAC</t>
  </si>
  <si>
    <t>Shared security</t>
  </si>
  <si>
    <t>Authorization Service</t>
  </si>
  <si>
    <t>User; role; permission; resource scope; policy decision</t>
  </si>
  <si>
    <t>Enforces access and approval rights</t>
  </si>
  <si>
    <t>Authorization decision</t>
  </si>
  <si>
    <t>Assign role/permission</t>
  </si>
  <si>
    <t>PermissionChanged</t>
  </si>
  <si>
    <t>OrganizationAssignmentChanged</t>
  </si>
  <si>
    <t>All commands deny by default without permission</t>
  </si>
  <si>
    <t>Controlled access matrix</t>
  </si>
  <si>
    <t>Server-side authorization and cross-tenant negative tests pass</t>
  </si>
  <si>
    <t>CAP-016</t>
  </si>
  <si>
    <t>Audit Service</t>
  </si>
  <si>
    <t>Shared compliance</t>
  </si>
  <si>
    <t>Immutable audit event; actor; correlation; before/after state</t>
  </si>
  <si>
    <t>Records generation, decisions, overrides and lifecycle actions</t>
  </si>
  <si>
    <t>Audit query</t>
  </si>
  <si>
    <t>Append audit event</t>
  </si>
  <si>
    <t>AuditEventRecorded</t>
  </si>
  <si>
    <t>All critical commands/events</t>
  </si>
  <si>
    <t>Inbound</t>
  </si>
  <si>
    <t>Regulated state changes fail or quarantine if audit cannot be recorded</t>
  </si>
  <si>
    <t>Signed audit log export</t>
  </si>
  <si>
    <t>Complete event catalogue and immutable persistence proven</t>
  </si>
  <si>
    <t>CAP-017</t>
  </si>
  <si>
    <t>Notification Service</t>
  </si>
  <si>
    <t>Notification; template; channel; delivery attempt; escalation</t>
  </si>
  <si>
    <t>Notifies owners and escalates overdue work</t>
  </si>
  <si>
    <t>4–10</t>
  </si>
  <si>
    <t>Delivery-status query</t>
  </si>
  <si>
    <t>Send notification</t>
  </si>
  <si>
    <t>NotificationDelivered; NotificationFailed</t>
  </si>
  <si>
    <t>TaskOverdue; WorkflowAssigned; TriggerFired</t>
  </si>
  <si>
    <t>Escalations cannot be considered complete without delivery state</t>
  </si>
  <si>
    <t>Manual email and escalation log</t>
  </si>
  <si>
    <t>Tenant-safe delivery, retries and audit linkage proven</t>
  </si>
  <si>
    <t>CAP-018</t>
  </si>
  <si>
    <t>Rules Service</t>
  </si>
  <si>
    <t>Rule set; version; effective date; input/output schema; decision trace</t>
  </si>
  <si>
    <t>Evaluates applicability, readiness, reuse and trigger rules</t>
  </si>
  <si>
    <t>1, 4, 5, 8, 10</t>
  </si>
  <si>
    <t>Rule-set query / simulation</t>
  </si>
  <si>
    <t>Evaluate rule set</t>
  </si>
  <si>
    <t>RuleEvaluated; RuleSetPublished</t>
  </si>
  <si>
    <t>PlannerInputChanged; EvidenceCoverageChanged</t>
  </si>
  <si>
    <t>Pack 5 cannot calculate applicability without an approved rule version</t>
  </si>
  <si>
    <t>Controlled decision tables</t>
  </si>
  <si>
    <t>Versioned evaluation and explanation trace proven</t>
  </si>
  <si>
    <t>CAP-019</t>
  </si>
  <si>
    <t>Shared data backbone</t>
  </si>
  <si>
    <t>Reference Data Service</t>
  </si>
  <si>
    <t>Controlled list; code; effective date; locale</t>
  </si>
  <si>
    <t>Supplies classifications, statuses and route/legal-basis values</t>
  </si>
  <si>
    <t>Reference-data query</t>
  </si>
  <si>
    <t>Publish reference-data version</t>
  </si>
  <si>
    <t>Outbound</t>
  </si>
  <si>
    <t>Unknown/unapproved codes are rejected</t>
  </si>
  <si>
    <t>Controlled lists workbook</t>
  </si>
  <si>
    <t>Effective-dated APIs and validation bindings proven</t>
  </si>
  <si>
    <t>CAP-020</t>
  </si>
  <si>
    <t>Metadata Catalog</t>
  </si>
  <si>
    <t>Shared data governance</t>
  </si>
  <si>
    <t>Metadata Service</t>
  </si>
  <si>
    <t>Object type; attribute definition; owner; lineage; classification</t>
  </si>
  <si>
    <t>Supports discoverability and semantic consistency</t>
  </si>
  <si>
    <t>Metadata query</t>
  </si>
  <si>
    <t>Publish metadata definition</t>
  </si>
  <si>
    <t>MetadataChanged</t>
  </si>
  <si>
    <t>ObjectSchemaChanged</t>
  </si>
  <si>
    <t>Published interfaces require governed metadata definitions</t>
  </si>
  <si>
    <t>Controlled data dictionary</t>
  </si>
  <si>
    <t>Object/field ownership and lineage are queryable</t>
  </si>
  <si>
    <t>CAP-021</t>
  </si>
  <si>
    <t>Records Service</t>
  </si>
  <si>
    <t>Retention class; legal hold; disposition; archive record</t>
  </si>
  <si>
    <t>Retains locked evidence, dossier and submission records</t>
  </si>
  <si>
    <t>Retention/hold query</t>
  </si>
  <si>
    <t>Apply hold / archive / dispose</t>
  </si>
  <si>
    <t>RecordArchived; HoldApplied</t>
  </si>
  <si>
    <t>DossierLocked; DocumentSuperseded</t>
  </si>
  <si>
    <t>Locked submission records cannot be deleted outside retention policy</t>
  </si>
  <si>
    <t>Controlled archive index</t>
  </si>
  <si>
    <t>Retention, legal hold and retrieval runtime-proven</t>
  </si>
  <si>
    <t>CAP-022</t>
  </si>
  <si>
    <t>e-Signature</t>
  </si>
  <si>
    <t>Signature request; signer; intent; meaning; signed object version</t>
  </si>
  <si>
    <t>Provides non-repudiation for approvals</t>
  </si>
  <si>
    <t>Signature-status query</t>
  </si>
  <si>
    <t>Request signature</t>
  </si>
  <si>
    <t>SignatureCompleted; SignatureRejected</t>
  </si>
  <si>
    <t>WorkflowApprovalRequested</t>
  </si>
  <si>
    <t>Production electronic approval requires a valid signature</t>
  </si>
  <si>
    <t>Signed PDF under approved control</t>
  </si>
  <si>
    <t>Identity, intent, meaning and signed-version binding proven</t>
  </si>
  <si>
    <t>CAP-023</t>
  </si>
  <si>
    <t>Regulatory domain</t>
  </si>
  <si>
    <t>Core/regional product information; label version; market status</t>
  </si>
  <si>
    <t>Provides product-information content and variation impact</t>
  </si>
  <si>
    <t>Labeling-version query</t>
  </si>
  <si>
    <t>Create/approve labeling version</t>
  </si>
  <si>
    <t>LabelingApproved; LabelingSuperseded</t>
  </si>
  <si>
    <t>VariationApproved; DossierSectionChanged</t>
  </si>
  <si>
    <t>Submission/variation may block until required labeling is approved</t>
  </si>
  <si>
    <t>Controlled labeling register</t>
  </si>
  <si>
    <t>Core/regional versioning and dossier links proven</t>
  </si>
  <si>
    <t>CAP-024</t>
  </si>
  <si>
    <t>Variation; renewal; affected market/section; implementation status</t>
  </si>
  <si>
    <t>Controls post-approval changes</t>
  </si>
  <si>
    <t>Variation/renewal query</t>
  </si>
  <si>
    <t>Create variation/renewal</t>
  </si>
  <si>
    <t>VariationApproved; RenewalDue</t>
  </si>
  <si>
    <t>ChangeApproved; ObligationDue</t>
  </si>
  <si>
    <t>Material lifecycle changes require an approved variation path</t>
  </si>
  <si>
    <t>Controlled variation tracker</t>
  </si>
  <si>
    <t>Classification, evidence and authority lifecycle proven</t>
  </si>
  <si>
    <t>CAP-025</t>
  </si>
  <si>
    <t>Country Requirements Matrix</t>
  </si>
  <si>
    <t>Regulatory master</t>
  </si>
  <si>
    <t>Country; authority; procedure; legal basis; local requirement; language</t>
  </si>
  <si>
    <t>Determines market-specific applicability</t>
  </si>
  <si>
    <t>Market requirement query</t>
  </si>
  <si>
    <t>Publish market-requirement version</t>
  </si>
  <si>
    <t>MarketRequirementChanged</t>
  </si>
  <si>
    <t>AuthorityRuleChanged</t>
  </si>
  <si>
    <t>Dossier scope cannot baseline without applicable market requirements</t>
  </si>
  <si>
    <t>Controlled country matrix</t>
  </si>
  <si>
    <t>Effective-dated market rules integrated with planner/dossier</t>
  </si>
  <si>
    <t>CAP-026</t>
  </si>
  <si>
    <t>Compliance/Legal domain</t>
  </si>
  <si>
    <t>Obligation Service</t>
  </si>
  <si>
    <t>Obligation; source; due date; recurrence; owner; fulfilment</t>
  </si>
  <si>
    <t>Supplies lifecycle commitments and renewal clocks</t>
  </si>
  <si>
    <t>Obligation query</t>
  </si>
  <si>
    <t>Create/update obligation</t>
  </si>
  <si>
    <t>ObligationDue; ObligationFulfilled</t>
  </si>
  <si>
    <t>AuthorityCommitmentCreated; VariationApproved</t>
  </si>
  <si>
    <t>Due commitments must generate governed work</t>
  </si>
  <si>
    <t>Controlled obligation register</t>
  </si>
  <si>
    <t>Recurrence, escalation and fulfilment evidence proven</t>
  </si>
  <si>
    <t>CAP-027</t>
  </si>
  <si>
    <t>Quality domain</t>
  </si>
  <si>
    <t>Stability Service</t>
  </si>
  <si>
    <t>Stability plan; protocol; time point; result; trend</t>
  </si>
  <si>
    <t>Provides evidence and lifecycle triggers</t>
  </si>
  <si>
    <t>Stability/time-point query</t>
  </si>
  <si>
    <t>Create plan / record result</t>
  </si>
  <si>
    <t>StabilityTimePointDue; StabilityResultApproved</t>
  </si>
  <si>
    <t>BatchCompleted</t>
  </si>
  <si>
    <t>Required time points block commitments when overdue</t>
  </si>
  <si>
    <t>Controlled stability schedule</t>
  </si>
  <si>
    <t>Time-point, result and lifecycle work generation proven</t>
  </si>
  <si>
    <t>CAP-028</t>
  </si>
  <si>
    <t>QMS</t>
  </si>
  <si>
    <t>Change request; impact assessment; approval; affected object</t>
  </si>
  <si>
    <t>Propagates product/evidence/dossier impact</t>
  </si>
  <si>
    <t>3, 5, 7–10</t>
  </si>
  <si>
    <t>Change/impact query</t>
  </si>
  <si>
    <t>Submit/approve change</t>
  </si>
  <si>
    <t>ChangeApproved; ChangeImpactIdentified</t>
  </si>
  <si>
    <t>DocumentChanged; SupplierChanged</t>
  </si>
  <si>
    <t>Affected readiness must recalculate before implementation</t>
  </si>
  <si>
    <t>Controlled change register</t>
  </si>
  <si>
    <t>Affected-object links and downstream task generation proven</t>
  </si>
  <si>
    <t>CAP-029</t>
  </si>
  <si>
    <t>Backup &amp; Restore</t>
  </si>
  <si>
    <t>Shared resilience</t>
  </si>
  <si>
    <t>Platform Operations</t>
  </si>
  <si>
    <t>Backup set; restore point; restore test; recovery evidence</t>
  </si>
  <si>
    <t>Protects regulated records and audit history</t>
  </si>
  <si>
    <t>Backup/restore status query</t>
  </si>
  <si>
    <t>Execute restore test</t>
  </si>
  <si>
    <t>RestoreVerified; BackupFailed</t>
  </si>
  <si>
    <t>ReleaseCompleted</t>
  </si>
  <si>
    <t>Production release requires verified recoverability</t>
  </si>
  <si>
    <t>Manual backup evidence</t>
  </si>
  <si>
    <t>Scheduled backup and runtime restore verification pass</t>
  </si>
  <si>
    <t>Integrated R&amp;D–RA Lifecycle Management Block — Interface, API and Event Registry (DLE-INT-001)</t>
  </si>
  <si>
    <t>Initial contract register for the full DLE + R&amp;D + RA operating model. Payload schemas, authentication scopes and event versions remain subject to module-owner approval.</t>
  </si>
  <si>
    <t>Interface ID</t>
  </si>
  <si>
    <t>Interface Name</t>
  </si>
  <si>
    <t>Producer / Owner</t>
  </si>
  <si>
    <t>Consumer</t>
  </si>
  <si>
    <t>Trigger</t>
  </si>
  <si>
    <t>Request / Input</t>
  </si>
  <si>
    <t>Response / Event</t>
  </si>
  <si>
    <t>Retry / Idempotency</t>
  </si>
  <si>
    <t>Security Scope</t>
  </si>
  <si>
    <t>Audit Requirement</t>
  </si>
  <si>
    <t>INT-001</t>
  </si>
  <si>
    <t>Product Presentation Query</t>
  </si>
  <si>
    <t>MOD-0117 / Pack 5</t>
  </si>
  <si>
    <t>Query</t>
  </si>
  <si>
    <t>Planner opens or validates product scope</t>
  </si>
  <si>
    <t>ProductPresentationId</t>
  </si>
  <si>
    <t>Product identity, attributes and scope relationships</t>
  </si>
  <si>
    <t>Block baseline if product is missing/inactive</t>
  </si>
  <si>
    <t>Read-only; cache by version</t>
  </si>
  <si>
    <t>product.read</t>
  </si>
  <si>
    <t>Query correlation and caller</t>
  </si>
  <si>
    <t>Controlled product register</t>
  </si>
  <si>
    <t>Returns canonical product scope and version</t>
  </si>
  <si>
    <t>INT-002</t>
  </si>
  <si>
    <t>Product Lifecycle Record Query</t>
  </si>
  <si>
    <t>Composite lifecycle capability</t>
  </si>
  <si>
    <t>Planner / RIM / Trigger Engine</t>
  </si>
  <si>
    <t>Project, dossier or lifecycle work is created</t>
  </si>
  <si>
    <t>Lifecycle phase, active projects, obligations, registrations and dossier history</t>
  </si>
  <si>
    <t>Block product-scoped runtime if lifecycle identity is absent</t>
  </si>
  <si>
    <t>Read-only and versioned</t>
  </si>
  <si>
    <t>product_lifecycle.read</t>
  </si>
  <si>
    <t>Caller and lifecycle version</t>
  </si>
  <si>
    <t>Consistent lifecycle view across modules</t>
  </si>
  <si>
    <t>INT-003</t>
  </si>
  <si>
    <t>Generate Evidence Requirements</t>
  </si>
  <si>
    <t>MOD-0117 / Pack 5 Runtime</t>
  </si>
  <si>
    <t>MOD-0024 / MOD-0236</t>
  </si>
  <si>
    <t>Command</t>
  </si>
  <si>
    <t>Product plan baseline is approved</t>
  </si>
  <si>
    <t>PlanBaselineId; catalogue version; market/legal basis</t>
  </si>
  <si>
    <t>Requirement-generation manifest</t>
  </si>
  <si>
    <t>Block project execution until generation succeeds</t>
  </si>
  <si>
    <t>Idempotency key = baseline + catalogue version</t>
  </si>
  <si>
    <t>pack5.generate</t>
  </si>
  <si>
    <t>Inputs, rule versions and output counts</t>
  </si>
  <si>
    <t>Manual evidence register</t>
  </si>
  <si>
    <t>One deterministic generation per baseline</t>
  </si>
  <si>
    <t>INT-004</t>
  </si>
  <si>
    <t>Create Task / Work Order</t>
  </si>
  <si>
    <t>Pack 5 / Trigger Engine</t>
  </si>
  <si>
    <t>Evidence gap, CTD task or lifecycle trigger requires work</t>
  </si>
  <si>
    <t>TemplateId; owner role; dates; output requirement</t>
  </si>
  <si>
    <t>TaskId / WorkOrderId</t>
  </si>
  <si>
    <t>Block accountable work creation on failure</t>
  </si>
  <si>
    <t>Idempotency key from source requirement/trigger</t>
  </si>
  <si>
    <t>task.create</t>
  </si>
  <si>
    <t>Source object and generated task</t>
  </si>
  <si>
    <t>Manual task register</t>
  </si>
  <si>
    <t>No duplicate task for the same source and baseline</t>
  </si>
  <si>
    <t>INT-005</t>
  </si>
  <si>
    <t>Start Workflow</t>
  </si>
  <si>
    <t>Business module</t>
  </si>
  <si>
    <t>Document, gate, section or dossier enters approval</t>
  </si>
  <si>
    <t>WorkflowTemplateVersion; object/version; actors</t>
  </si>
  <si>
    <t>WorkflowInstanceId</t>
  </si>
  <si>
    <t>Block governed transition on failure</t>
  </si>
  <si>
    <t>Idempotent by object version + workflow</t>
  </si>
  <si>
    <t>workflow.start</t>
  </si>
  <si>
    <t>Template/version/object/actors</t>
  </si>
  <si>
    <t>Signed routing sheet</t>
  </si>
  <si>
    <t>Correct version starts with assigned actors</t>
  </si>
  <si>
    <t>INT-006</t>
  </si>
  <si>
    <t>Workflow Outcome Event</t>
  </si>
  <si>
    <t>Document / PPM / RIM modules</t>
  </si>
  <si>
    <t>Event</t>
  </si>
  <si>
    <t>Approval, rejection, return, cancellation or completion</t>
  </si>
  <si>
    <t>WorkflowInstanceId; transition</t>
  </si>
  <si>
    <t>WorkflowCompleted/Rejected/Returned</t>
  </si>
  <si>
    <t>Object state must not diverge from workflow state</t>
  </si>
  <si>
    <t>At-least-once; consumer dedupe by event ID</t>
  </si>
  <si>
    <t>workflow.event.consume</t>
  </si>
  <si>
    <t>Event and resulting object transition</t>
  </si>
  <si>
    <t>Manual status reconciliation</t>
  </si>
  <si>
    <t>Consumers update idempotently</t>
  </si>
  <si>
    <t>INT-007</t>
  </si>
  <si>
    <t>Controlled Document Query</t>
  </si>
  <si>
    <t>MOD-0028 / MOD-0029</t>
  </si>
  <si>
    <t>Pack 5 / RIM</t>
  </si>
  <si>
    <t>Requirement coverage or CTD readiness is calculated</t>
  </si>
  <si>
    <t>Requirement/scope/reuse key</t>
  </si>
  <si>
    <t>Matching document versions and approval status</t>
  </si>
  <si>
    <t>Unapproved/expired versions cannot satisfy coverage</t>
  </si>
  <si>
    <t>Read-only; version-specific</t>
  </si>
  <si>
    <t>document.read</t>
  </si>
  <si>
    <t>Search parameters and selected version</t>
  </si>
  <si>
    <t>Controlled document index</t>
  </si>
  <si>
    <t>Returns version-specific approved evidence</t>
  </si>
  <si>
    <t>INT-008</t>
  </si>
  <si>
    <t>Document Approval Event</t>
  </si>
  <si>
    <t>MOD-0031 / Pack 5 / MOD-0236</t>
  </si>
  <si>
    <t>Document version is approved, superseded, expired or withdrawn</t>
  </si>
  <si>
    <t>DocumentVersionId; state</t>
  </si>
  <si>
    <t>DocumentApproved/Superseded/Expired</t>
  </si>
  <si>
    <t>Coverage/readiness must recalculate</t>
  </si>
  <si>
    <t>At-least-once; dedupe by version/state</t>
  </si>
  <si>
    <t>document.event.consume</t>
  </si>
  <si>
    <t>Before/after state and workflow link</t>
  </si>
  <si>
    <t>Manual readiness refresh</t>
  </si>
  <si>
    <t>All dependent products and sections recalculate</t>
  </si>
  <si>
    <t>INT-009</t>
  </si>
  <si>
    <t>Resolve Shared Evidence</t>
  </si>
  <si>
    <t>Shared Evidence capability</t>
  </si>
  <si>
    <t>Pack 5 / Product Planner</t>
  </si>
  <si>
    <t>Applicable shared requirement is evaluated</t>
  </si>
  <si>
    <t>ScopeType; ScopeId; ReuseKey; date</t>
  </si>
  <si>
    <t>Current approved version and dependencies</t>
  </si>
  <si>
    <t>Missing/expired result creates central remediation dependency</t>
  </si>
  <si>
    <t>shared_evidence.read</t>
  </si>
  <si>
    <t>Resolution and selected version</t>
  </si>
  <si>
    <t>Shared evidence spreadsheet</t>
  </si>
  <si>
    <t>Deterministic resolution for the same inputs</t>
  </si>
  <si>
    <t>INT-010</t>
  </si>
  <si>
    <t>Adopt Shared Evidence Version</t>
  </si>
  <si>
    <t>Product Lifecycle / Pack 5</t>
  </si>
  <si>
    <t>New shared version becomes available</t>
  </si>
  <si>
    <t>ProductId; requirement; shared version; impact decision</t>
  </si>
  <si>
    <t>Adoption record</t>
  </si>
  <si>
    <t>Product cannot claim coverage until adoption is approved</t>
  </si>
  <si>
    <t>Idempotent by product/requirement/version</t>
  </si>
  <si>
    <t>shared_evidence.adopt</t>
  </si>
  <si>
    <t>Decision, rationale and approver</t>
  </si>
  <si>
    <t>Manual adoption form</t>
  </si>
  <si>
    <t>Product dependency points to approved version</t>
  </si>
  <si>
    <t>INT-011</t>
  </si>
  <si>
    <t>Evidence Coverage Event</t>
  </si>
  <si>
    <t>Pack 5 / MOD-0031</t>
  </si>
  <si>
    <t>MOD-0236 / MOD-0117</t>
  </si>
  <si>
    <t>Requirement coverage changes</t>
  </si>
  <si>
    <t>ProductId; requirement; coverage state; version</t>
  </si>
  <si>
    <t>EvidenceCoverageChanged</t>
  </si>
  <si>
    <t>Critical gaps block gates and section readiness</t>
  </si>
  <si>
    <t>At-least-once; dedupe by coverage revision</t>
  </si>
  <si>
    <t>evidence.event.consume</t>
  </si>
  <si>
    <t>Coverage calculation inputs and output</t>
  </si>
  <si>
    <t>Manual readiness matrix</t>
  </si>
  <si>
    <t>Gate and CTD readiness recalculate</t>
  </si>
  <si>
    <t>INT-012</t>
  </si>
  <si>
    <t>CTD Section Readiness Recalculation</t>
  </si>
  <si>
    <t>MOD-0025 / MOD-0024</t>
  </si>
  <si>
    <t>Evidence coverage or market rule changes</t>
  </si>
  <si>
    <t>SectionInstanceId; evidence revision</t>
  </si>
  <si>
    <t>Readiness status and missing items</t>
  </si>
  <si>
    <t>Authoring/review tasks release only at configured threshold</t>
  </si>
  <si>
    <t>Idempotent by section/revision</t>
  </si>
  <si>
    <t>ctd.readiness.evaluate</t>
  </si>
  <si>
    <t>Inputs, rule version and decision trace</t>
  </si>
  <si>
    <t>One explainable status per revision</t>
  </si>
  <si>
    <t>INT-013</t>
  </si>
  <si>
    <t>Trigger Schedule Contract</t>
  </si>
  <si>
    <t>MOD-0219 / lifecycle modules</t>
  </si>
  <si>
    <t>Obligation, expiry, review or stability date is created/changed</t>
  </si>
  <si>
    <t>Trigger type; due date; lead time; source object</t>
  </si>
  <si>
    <t>ScheduledJobId</t>
  </si>
  <si>
    <t>No silent loss of regulated due dates</t>
  </si>
  <si>
    <t>Idempotent by source/trigger/version</t>
  </si>
  <si>
    <t>trigger.schedule</t>
  </si>
  <si>
    <t>Schedule and source correlation</t>
  </si>
  <si>
    <t>Manual calendar</t>
  </si>
  <si>
    <t>Trigger is visible, retryable and cancellable</t>
  </si>
  <si>
    <t>INT-014</t>
  </si>
  <si>
    <t>Trigger Fired Event</t>
  </si>
  <si>
    <t>MOD-0024 / MOD-0219</t>
  </si>
  <si>
    <t>Scheduled due/lead date is reached</t>
  </si>
  <si>
    <t>ScheduledJobId; source</t>
  </si>
  <si>
    <t>TriggerFired</t>
  </si>
  <si>
    <t>Must create or correlate governed work</t>
  </si>
  <si>
    <t>At-least-once; dedupe by occurrence ID</t>
  </si>
  <si>
    <t>trigger.event.consume</t>
  </si>
  <si>
    <t>Execution, retry and generated object</t>
  </si>
  <si>
    <t>Manual reminder</t>
  </si>
  <si>
    <t>Exactly one effective work object per occurrence</t>
  </si>
  <si>
    <t>INT-015</t>
  </si>
  <si>
    <t>Equipment Reservation</t>
  </si>
  <si>
    <t>MOD-0024 / MOD-0117</t>
  </si>
  <si>
    <t>Command + Query</t>
  </si>
  <si>
    <t>Equipment-dependent task is planned</t>
  </si>
  <si>
    <t>Equipment class/id; period; task</t>
  </si>
  <si>
    <t>Reservation status and conflict</t>
  </si>
  <si>
    <t>Task may block until qualified reservation is confirmed</t>
  </si>
  <si>
    <t>Idempotent by task/equipment/period</t>
  </si>
  <si>
    <t>equipment.reserve</t>
  </si>
  <si>
    <t>Request, qualification and outcome</t>
  </si>
  <si>
    <t>Reservation calendar</t>
  </si>
  <si>
    <t>Qualification and reservation status are traceable</t>
  </si>
  <si>
    <t>INT-016</t>
  </si>
  <si>
    <t>Procurement Request / Status</t>
  </si>
  <si>
    <t>Material or external service demand is approved</t>
  </si>
  <si>
    <t>Demand, required date, cost object</t>
  </si>
  <si>
    <t>Requisition/PO/receipt status</t>
  </si>
  <si>
    <t>Dependent task may block until delivery/receipt</t>
  </si>
  <si>
    <t>Idempotent by demand line</t>
  </si>
  <si>
    <t>procurement.request</t>
  </si>
  <si>
    <t>Demand, approvals and transaction references</t>
  </si>
  <si>
    <t>Task shows live procurement state</t>
  </si>
  <si>
    <t>INT-017</t>
  </si>
  <si>
    <t>Resource Capacity Query</t>
  </si>
  <si>
    <t>MOD-0192 / MOD-0288</t>
  </si>
  <si>
    <t>MOD-0117 / MOD-0024</t>
  </si>
  <si>
    <t>Plan baseline or assignment is evaluated</t>
  </si>
  <si>
    <t>Role/skill; calendar period; organization</t>
  </si>
  <si>
    <t>Available capacity and qualified candidates</t>
  </si>
  <si>
    <t>Baseline warns or blocks on unresolved capacity</t>
  </si>
  <si>
    <t>Read-only by capacity snapshot</t>
  </si>
  <si>
    <t>resource.capacity.read</t>
  </si>
  <si>
    <t>Query, snapshot and selection</t>
  </si>
  <si>
    <t>Capacity spreadsheet</t>
  </si>
  <si>
    <t>Returns skills, calendar and allocation context</t>
  </si>
  <si>
    <t>INT-018</t>
  </si>
  <si>
    <t>Rate and Budget Contract</t>
  </si>
  <si>
    <t>MOD-0136 / MOD-0291</t>
  </si>
  <si>
    <t>Query + Command</t>
  </si>
  <si>
    <t>Plan/task cost is calculated or baselined</t>
  </si>
  <si>
    <t>Role/department/date/cost object; plan lines</t>
  </si>
  <si>
    <t>Rate, budget and baseline ID</t>
  </si>
  <si>
    <t>Cost baseline requires approved effective rate</t>
  </si>
  <si>
    <t>Idempotent baseline version</t>
  </si>
  <si>
    <t>budget.manage</t>
  </si>
  <si>
    <t>Rate version and baseline values</t>
  </si>
  <si>
    <t>Approved rate workbook</t>
  </si>
  <si>
    <t>Labour and non-labour plan is reproducible</t>
  </si>
  <si>
    <t>INT-019</t>
  </si>
  <si>
    <t>Forecast Update Event</t>
  </si>
  <si>
    <t>MOD-0117 / reporting</t>
  </si>
  <si>
    <t>Actuals, scope or remaining effort change</t>
  </si>
  <si>
    <t>ProjectId; forecast revision</t>
  </si>
  <si>
    <t>ForecastUpdated</t>
  </si>
  <si>
    <t>Material variance triggers review/change control</t>
  </si>
  <si>
    <t>Revision-based dedupe</t>
  </si>
  <si>
    <t>forecast.event.consume</t>
  </si>
  <si>
    <t>Inputs, revision and variance</t>
  </si>
  <si>
    <t>Manual forecast sheet</t>
  </si>
  <si>
    <t>Forecast reconciles baseline, actual and remaining</t>
  </si>
  <si>
    <t>INT-020</t>
  </si>
  <si>
    <t>Study / Scientific Object Query</t>
  </si>
  <si>
    <t>MOD-0240 / MOD-0202 / MOD-0203 / MOD-0195</t>
  </si>
  <si>
    <t>MOD-0031 / Pack 5</t>
  </si>
  <si>
    <t>Evidence traceability or acceptance is evaluated</t>
  </si>
  <si>
    <t>Study/batch/sample/method/result IDs</t>
  </si>
  <si>
    <t>Scientific objects, status and approved versions</t>
  </si>
  <si>
    <t>Evidence cannot close when mandatory scientific links are missing</t>
  </si>
  <si>
    <t>scientific.read</t>
  </si>
  <si>
    <t>Query and selected object/version</t>
  </si>
  <si>
    <t>Controlled scientific registers</t>
  </si>
  <si>
    <t>All scientific evidence links resolve</t>
  </si>
  <si>
    <t>INT-021</t>
  </si>
  <si>
    <t>Stability Time-Point Event</t>
  </si>
  <si>
    <t>MOD-0219 / MOD-0026 / Pack 5</t>
  </si>
  <si>
    <t>Time point is due, completed or overdue</t>
  </si>
  <si>
    <t>Study/time point/status</t>
  </si>
  <si>
    <t>StabilityTimePointDue/Completed/Overdue</t>
  </si>
  <si>
    <t>Overdue critical time points create or escalate work</t>
  </si>
  <si>
    <t>Occurrence-based dedupe</t>
  </si>
  <si>
    <t>stability.event.consume</t>
  </si>
  <si>
    <t>Time point, result and generated obligation</t>
  </si>
  <si>
    <t>Manual stability calendar</t>
  </si>
  <si>
    <t>Lifecycle work and evidence update occur</t>
  </si>
  <si>
    <t>INT-022</t>
  </si>
  <si>
    <t>Change-Control Impact Event</t>
  </si>
  <si>
    <t>MOD-0237 / MOD-0236 / Pack 5</t>
  </si>
  <si>
    <t>Change is approved or impact assessment changes</t>
  </si>
  <si>
    <t>ChangeId; affected objects/markets</t>
  </si>
  <si>
    <t>ChangeApproved/ImpactChanged</t>
  </si>
  <si>
    <t>Affected readiness and variation path must recalculate</t>
  </si>
  <si>
    <t>change.event.consume</t>
  </si>
  <si>
    <t>Impact assessment and downstream actions</t>
  </si>
  <si>
    <t>Manual impact matrix</t>
  </si>
  <si>
    <t>All affected objects receive deterministic impact</t>
  </si>
  <si>
    <t>INT-023</t>
  </si>
  <si>
    <t>Authorization Contract</t>
  </si>
  <si>
    <t>All modules</t>
  </si>
  <si>
    <t>Every protected command/query</t>
  </si>
  <si>
    <t>Actor; permission; resource scope; tenant</t>
  </si>
  <si>
    <t>Allow/Deny decision</t>
  </si>
  <si>
    <t>Deny by default</t>
  </si>
  <si>
    <t>No retry required; decision trace</t>
  </si>
  <si>
    <t>authorization.evaluate</t>
  </si>
  <si>
    <t>Actor, policy and decision</t>
  </si>
  <si>
    <t>Positive, negative and cross-tenant tests pass</t>
  </si>
  <si>
    <t>INT-024</t>
  </si>
  <si>
    <t>Audit Event Command</t>
  </si>
  <si>
    <t>Critical business or security action</t>
  </si>
  <si>
    <t>Actor; action; object; before/after; correlation</t>
  </si>
  <si>
    <t>AuditEventId</t>
  </si>
  <si>
    <t>Regulated actions fail or quarantine if audit is unavailable</t>
  </si>
  <si>
    <t>Idempotent by source event/action</t>
  </si>
  <si>
    <t>audit.append</t>
  </si>
  <si>
    <t>Complete event payload and persistence</t>
  </si>
  <si>
    <t>Signed audit export</t>
  </si>
  <si>
    <t>Immutable correlated event is retrievable</t>
  </si>
  <si>
    <t>INT-025</t>
  </si>
  <si>
    <t>Notification Command / Delivery Event</t>
  </si>
  <si>
    <t>Business modules</t>
  </si>
  <si>
    <t>Command + Event</t>
  </si>
  <si>
    <t>Assignment, due date, escalation, approval or failure</t>
  </si>
  <si>
    <t>Template; recipients; channels; context</t>
  </si>
  <si>
    <t>NotificationId; delivery events</t>
  </si>
  <si>
    <t>Critical escalation requires delivery visibility</t>
  </si>
  <si>
    <t>Retry with delivery-attempt ID</t>
  </si>
  <si>
    <t>notification.send</t>
  </si>
  <si>
    <t>Request, attempts and final state</t>
  </si>
  <si>
    <t>Manual email log</t>
  </si>
  <si>
    <t>Tenant-safe delivery and retry evidence</t>
  </si>
  <si>
    <t>INT-026</t>
  </si>
  <si>
    <t>Reference Data Query</t>
  </si>
  <si>
    <t>Code/status/classification is validated</t>
  </si>
  <si>
    <t>List/key/effective date/locale</t>
  </si>
  <si>
    <t>Approved value/version</t>
  </si>
  <si>
    <t>Reject unknown or inactive values</t>
  </si>
  <si>
    <t>Cache by version</t>
  </si>
  <si>
    <t>reference_data.read</t>
  </si>
  <si>
    <t>Caller and version used</t>
  </si>
  <si>
    <t>Effective-dated validation is consistent</t>
  </si>
  <si>
    <t>INT-027</t>
  </si>
  <si>
    <t>Submission Archive Command</t>
  </si>
  <si>
    <t>Dossier version is approved and locked</t>
  </si>
  <si>
    <t>DossierVersionId; manifest; receipts; validation report</t>
  </si>
  <si>
    <t>ArchiveRecordId</t>
  </si>
  <si>
    <t>Submission cannot be marked archived without immutable package</t>
  </si>
  <si>
    <t>Idempotent by locked dossier version</t>
  </si>
  <si>
    <t>submission.archive</t>
  </si>
  <si>
    <t>Package hash, manifest and retention class</t>
  </si>
  <si>
    <t>Controlled archive folder</t>
  </si>
  <si>
    <t>Locked package is retrievable and hash-verifiable</t>
  </si>
  <si>
    <t>INT-028</t>
  </si>
  <si>
    <t>Authority Response Work Package</t>
  </si>
  <si>
    <t>MOD-0236 / MOD-0237</t>
  </si>
  <si>
    <t>MOD-0024 / MOD-0023</t>
  </si>
  <si>
    <t>Authority question/deficiency is registered</t>
  </si>
  <si>
    <t>Question; due date; affected sections; owner</t>
  </si>
  <si>
    <t>ResponseWorkPackageId / WorkflowInstanceId</t>
  </si>
  <si>
    <t>Due authority response must have accountable work</t>
  </si>
  <si>
    <t>Idempotent by authority item/version</t>
  </si>
  <si>
    <t>authority_response.create</t>
  </si>
  <si>
    <t>Question, tasks, approvals and submission</t>
  </si>
  <si>
    <t>Manual response tracker</t>
  </si>
  <si>
    <t>Question-to-response-to-submission traceability proven</t>
  </si>
  <si>
    <t>Integrated R&amp;D–RA Lifecycle Management Block — Shared Evidence Ownership and Reuse Matrix</t>
  </si>
  <si>
    <t>Shared evidence is centrally owned and versioned once. Products reference the approved version and maintain dependency/adoption records; evidence is not copied into each product workspace.</t>
  </si>
  <si>
    <t>Scope Type</t>
  </si>
  <si>
    <t>Owning Master / SoR</t>
  </si>
  <si>
    <t>Evidence Repository</t>
  </si>
  <si>
    <t>Link Service</t>
  </si>
  <si>
    <t>Rule Owner</t>
  </si>
  <si>
    <t>Reuse Key</t>
  </si>
  <si>
    <t>Typical Evidence</t>
  </si>
  <si>
    <t>Product Dependency Behavior</t>
  </si>
  <si>
    <t>Change / Expiry Trigger</t>
  </si>
  <si>
    <t>Central Remediation Work</t>
  </si>
  <si>
    <t>Phase 0 Control</t>
  </si>
  <si>
    <t>Substance Source</t>
  </si>
  <si>
    <t>Architecture decision; product/material master boundary</t>
  </si>
  <si>
    <t>Substance + source/manufacturer + grade + specification</t>
  </si>
  <si>
    <t>ASMF/DMF references; substance specifications; manufacturer certificates; source qualification</t>
  </si>
  <si>
    <t>Each Product Evidence Register references one approved shared version and records adoption/bridging status</t>
  </si>
  <si>
    <t>Version supersession; manufacturer change; specification change; expiry/review</t>
  </si>
  <si>
    <t>One central remediation task; all affected products receive dependency state</t>
  </si>
  <si>
    <t>Controlled substance-source register and shared folder</t>
  </si>
  <si>
    <t>Affected products remain blocked until current evidence or approved bridging exists</t>
  </si>
  <si>
    <t>One owning record, approved version, reuse key and product-impact propagation are runtime-proven</t>
  </si>
  <si>
    <t>Manufacturing Site</t>
  </si>
  <si>
    <t>MOD-0220 for legal entity; site master boundary requires SoR decision</t>
  </si>
  <si>
    <t>Site + legal entity + activity + authority/region</t>
  </si>
  <si>
    <t>GMP certificate; manufacturing authorization; site master file; inspection evidence</t>
  </si>
  <si>
    <t>Products reference site evidence according to manufacturing/testing activity</t>
  </si>
  <si>
    <t>Certificate expiry; inspection outcome; address/activity change; suspension</t>
  </si>
  <si>
    <t>One site-level renewal/remediation work item with product dependencies</t>
  </si>
  <si>
    <t>Controlled site evidence register</t>
  </si>
  <si>
    <t>Market/product readiness blocks when mandatory site evidence is invalid</t>
  </si>
  <si>
    <t>Site identity, activity scope and evidence version resolve consistently</t>
  </si>
  <si>
    <t>Supplier</t>
  </si>
  <si>
    <t>MOD-0140 Supplier Onboarding</t>
  </si>
  <si>
    <t>Supplier + supplied material/service + qualification scope</t>
  </si>
  <si>
    <t>Qualification package; quality agreement; audit; compliance declarations</t>
  </si>
  <si>
    <t>Products/materials reference supplier evidence; no product copy is created</t>
  </si>
  <si>
    <t>Requalification due; audit finding; agreement expiry; risk/status change</t>
  </si>
  <si>
    <t>One supplier-level qualification/remediation task</t>
  </si>
  <si>
    <t>Supplier qualification spreadsheet and controlled documents</t>
  </si>
  <si>
    <t>Dependent material/product is blocked where supplier status is unacceptable</t>
  </si>
  <si>
    <t>Supplier status, evidence and affected-product propagation are runtime-proven</t>
  </si>
  <si>
    <t>Material / Excipient</t>
  </si>
  <si>
    <t>MOD-0290 Product / Item / SKU Master</t>
  </si>
  <si>
    <t>Material/item + grade + specification + supplier/source</t>
  </si>
  <si>
    <t>Material specification; compendial evidence; CoA template; declaration; safety evidence</t>
  </si>
  <si>
    <t>Each product links the approved material evidence and records product-specific bridging where required</t>
  </si>
  <si>
    <t>Specification/source/supplier change; compendial update; review expiry</t>
  </si>
  <si>
    <t>One material-level update task plus product impact decisions</t>
  </si>
  <si>
    <t>Controlled material evidence matrix</t>
  </si>
  <si>
    <t>Product coverage is blocked when material evidence is missing or incompatible</t>
  </si>
  <si>
    <t>Material identity, source, version and product adoption are traceable</t>
  </si>
  <si>
    <t>Company / Legal Entity</t>
  </si>
  <si>
    <t>MOD-0220 Corporate Secretarial / Entity Management</t>
  </si>
  <si>
    <t>Legal entity + role + jurisdiction + registration</t>
  </si>
  <si>
    <t>Company certificates; licenses; powers of attorney; declarations; statutory evidence</t>
  </si>
  <si>
    <t>Products, dossiers and submissions reference the legal-entity evidence version</t>
  </si>
  <si>
    <t>License/certificate expiry; corporate action; role or jurisdiction change</t>
  </si>
  <si>
    <t>One entity-level renewal/update work item</t>
  </si>
  <si>
    <t>Controlled legal-entity register</t>
  </si>
  <si>
    <t>Submission/package blocks when required legal-entity evidence is invalid</t>
  </si>
  <si>
    <t>Legal entity, role, evidence version and dossier dependencies are runtime-proven</t>
  </si>
  <si>
    <t>Integrated R&amp;D–RA Lifecycle Management Block — Optimized Master Development Plan</t>
  </si>
  <si>
    <t>Management view: 8 phases and 14 workstreams. The detailed 51-row backlog remains in 'R&amp;D-RA Dev Requirements'. This page controls sequence, parallel lanes, gates and release outcomes.</t>
  </si>
  <si>
    <t>Delivery Model</t>
  </si>
  <si>
    <t>14</t>
  </si>
  <si>
    <t>A+B+C</t>
  </si>
  <si>
    <t>D</t>
  </si>
  <si>
    <t>E</t>
  </si>
  <si>
    <t>Phases</t>
  </si>
  <si>
    <t>Master workstreams</t>
  </si>
  <si>
    <t>Source-document task MVP</t>
  </si>
  <si>
    <t>Development &amp; TT execution</t>
  </si>
  <si>
    <t>CTD and dossier</t>
  </si>
  <si>
    <t>Phase</t>
  </si>
  <si>
    <t>Workstream ID</t>
  </si>
  <si>
    <t>Master Workstream</t>
  </si>
  <si>
    <t>Modules / Capabilities</t>
  </si>
  <si>
    <t>Primary Objective</t>
  </si>
  <si>
    <t>Main Deliverables</t>
  </si>
  <si>
    <t>Parallel Lane</t>
  </si>
  <si>
    <t>Detailed Backlog Seq</t>
  </si>
  <si>
    <t>Exit Gate</t>
  </si>
  <si>
    <t>Release Outcome</t>
  </si>
  <si>
    <t>Status</t>
  </si>
  <si>
    <t>Accountable Owner</t>
  </si>
  <si>
    <t>Workstreams</t>
  </si>
  <si>
    <t>WS-00A</t>
  </si>
  <si>
    <t>Architecture and ownership baseline</t>
  </si>
  <si>
    <t>Capability Matrix; Interface Registry; SoR decisions; MOD-0206 ownership</t>
  </si>
  <si>
    <t>Approve object ownership, module boundaries and integration contracts before coding.</t>
  </si>
  <si>
    <t>Approved capability matrix; approved interface registry; SoR decisions; exception log</t>
  </si>
  <si>
    <t>Canonical architecture and Blueprint module registry</t>
  </si>
  <si>
    <t>Lane 0A — Architecture</t>
  </si>
  <si>
    <t>13, 50, 51</t>
  </si>
  <si>
    <t>G0 — Architecture Baseline</t>
  </si>
  <si>
    <t>Approved development baseline</t>
  </si>
  <si>
    <t>Draft</t>
  </si>
  <si>
    <t>WS-00B</t>
  </si>
  <si>
    <t>Cross-cutting compliance controls</t>
  </si>
  <si>
    <t>MOD-0018; MOD-0021; MOD-0030; MOD-0044; MOD-0048; MOD-0052; MOD-0022</t>
  </si>
  <si>
    <t>Provide security, audit, records, recovery, reference data, metadata and electronic approval controls.</t>
  </si>
  <si>
    <t>DLE permission model; audit catalogue; retention classes; restore proof; controlled lists; e-signature control</t>
  </si>
  <si>
    <t>WS-00A ownership baseline</t>
  </si>
  <si>
    <t>Lane 0B — Platform Controls</t>
  </si>
  <si>
    <t>1–7</t>
  </si>
  <si>
    <t>G1 — Platform Controls Ready</t>
  </si>
  <si>
    <t>Regulated platform controls available</t>
  </si>
  <si>
    <t>Planned</t>
  </si>
  <si>
    <t>WS-A1</t>
  </si>
  <si>
    <t>Workflow and controlled-document runtime closure</t>
  </si>
  <si>
    <t>MOD-0023; MOD-0028; MOD-0029; MOD-0206 decision</t>
  </si>
  <si>
    <t>Stabilize document/evidence runtime and connect controlled-document approval to workflow.</t>
  </si>
  <si>
    <t>Gateway and permissions; no runtime failures; document approval vertical slice; persistence and retention proof</t>
  </si>
  <si>
    <t>WS-00A; WS-00B</t>
  </si>
  <si>
    <t>Lane A1 — Workflow &amp; Documents</t>
  </si>
  <si>
    <t>8–11, 13</t>
  </si>
  <si>
    <t>G1 — Platform Runtime Ready</t>
  </si>
  <si>
    <t>Controlled-document approval operational</t>
  </si>
  <si>
    <t>Platform / Document Control</t>
  </si>
  <si>
    <t>WS-A2</t>
  </si>
  <si>
    <t>Scheduling, notification and escalation services</t>
  </si>
  <si>
    <t>MOD-0026; MOD-0027</t>
  </si>
  <si>
    <t>Provide retryable scheduling, reminders, delivery status and escalation.</t>
  </si>
  <si>
    <t>Job history; retry/cancel; notification templates; delivery events; overdue escalation</t>
  </si>
  <si>
    <t>WS-00B audit and RBAC</t>
  </si>
  <si>
    <t>Lane A2 — Jobs &amp; Notifications</t>
  </si>
  <si>
    <t>12, 41</t>
  </si>
  <si>
    <t>Operational reminders and recurring jobs</t>
  </si>
  <si>
    <t>WS-B1</t>
  </si>
  <si>
    <t>Execution, rules and evidence backbone</t>
  </si>
  <si>
    <t>MOD-0024; MOD-0025; MOD-0031</t>
  </si>
  <si>
    <t>Build persistent tasks, versioned rules and evidence-linking services.</t>
  </si>
  <si>
    <t>Task/work-order runtime; rule evaluation trace; evidence links; API/events; tests</t>
  </si>
  <si>
    <t>Wave A runtime services</t>
  </si>
  <si>
    <t>Lanes B1/B2/B3 in parallel; converge at integration gate</t>
  </si>
  <si>
    <t>14–16</t>
  </si>
  <si>
    <t>G2 — Execution Backbone Ready</t>
  </si>
  <si>
    <t>Reusable execution backbone</t>
  </si>
  <si>
    <t>Platform Engineering</t>
  </si>
  <si>
    <t>WS-B2</t>
  </si>
  <si>
    <t>Shared evidence capability</t>
  </si>
  <si>
    <t>Resolve reusable substance, site, supplier, material and legal-entity evidence without duplication.</t>
  </si>
  <si>
    <t>Shared evidence records; reuse keys; product dependencies; adoption; supersession impact; central remediation</t>
  </si>
  <si>
    <t>Basic MOD-0031 contract and master-scope decisions</t>
  </si>
  <si>
    <t>Lane B4 — Shared Evidence</t>
  </si>
  <si>
    <t>43</t>
  </si>
  <si>
    <t>Shared evidence resolution operational</t>
  </si>
  <si>
    <t>Evidence Governance</t>
  </si>
  <si>
    <t>WS-C1</t>
  </si>
  <si>
    <t>Product, lifecycle and planner foundation</t>
  </si>
  <si>
    <t>Create Product Presentation, permanent Product Lifecycle Record and approved planner baseline.</t>
  </si>
  <si>
    <t>Product master; lifecycle identity; route/market/legal-basis selections; stage/gate selections; plan baseline</t>
  </si>
  <si>
    <t>Wave B task/rules/evidence services</t>
  </si>
  <si>
    <t>Lane C1 — Product &amp; Planner</t>
  </si>
  <si>
    <t>17, 18, 42</t>
  </si>
  <si>
    <t>G3 — Source-Document Task MVP</t>
  </si>
  <si>
    <t>Valid product-specific source-document task generation</t>
  </si>
  <si>
    <t>Product / PPM</t>
  </si>
  <si>
    <t>WS-C2</t>
  </si>
  <si>
    <t>Project, financial and resource planning</t>
  </si>
  <si>
    <t>MOD-0117; MOD-0136; MOD-0137; MOD-0291; MOD-0192; MOD-0288</t>
  </si>
  <si>
    <t>Create finite project, schedule, budget, forecast, skills, calendars and capacity baseline.</t>
  </si>
  <si>
    <t>Project charter; WBS; schedule; budget/rates; forecast; resource allocation; capacity validation</t>
  </si>
  <si>
    <t>WS-C1 product and lifecycle identity</t>
  </si>
  <si>
    <t>Lanes C2A Finance and C2B Resources in parallel</t>
  </si>
  <si>
    <t>22, 44–46</t>
  </si>
  <si>
    <t>Costed and resource-aware project baseline</t>
  </si>
  <si>
    <t>PPM / Finance / Resource</t>
  </si>
  <si>
    <t>WS-D1</t>
  </si>
  <si>
    <t>Development and Technology Transfer core execution</t>
  </si>
  <si>
    <t>MOD-0240; MOD-0193; MOD-0195</t>
  </si>
  <si>
    <t>Execute studies, formulation/process records, BOM/routings, pilot/engineering/validation batches and TT work.</t>
  </si>
  <si>
    <t>Study runtime; approved BOM/routing; batch/eBR execution; TT evidence and traceability</t>
  </si>
  <si>
    <t>G3 product/project baseline</t>
  </si>
  <si>
    <t>Lanes D1A Studies, D1B BOM/Routing, D1C Batch in parallel</t>
  </si>
  <si>
    <t>19–21</t>
  </si>
  <si>
    <t>G4 — Development &amp; TT Ready</t>
  </si>
  <si>
    <t>Development and Technology Transfer execution operational</t>
  </si>
  <si>
    <t>WS-D2</t>
  </si>
  <si>
    <t>Scientific and operational integrations</t>
  </si>
  <si>
    <t>MOD-0202; MOD-0203; MOD-0199; MOD-0141; MOD-0192; MOD-0288</t>
  </si>
  <si>
    <t>Integrate samples, results, equipment, procurement and qualified-resource capacity with development tasks.</t>
  </si>
  <si>
    <t>Sample chain of custody; test results/CoA; equipment reservations; procurement status; qualified-resource queries</t>
  </si>
  <si>
    <t>Approved interface contracts and WS-D1 object model</t>
  </si>
  <si>
    <t>Lanes D2A Scientific and D2B Operations in parallel</t>
  </si>
  <si>
    <t>23, 24, 47</t>
  </si>
  <si>
    <t>Evidence-producing operational integrations</t>
  </si>
  <si>
    <t>QC / Assets / Procurement</t>
  </si>
  <si>
    <t>WS-E1</t>
  </si>
  <si>
    <t>Source-evidence requirement and CTD-readiness runtime</t>
  </si>
  <si>
    <t>Pack 5 runtime; MOD-0236; MOD-0025; MOD-0031; MOD-0024</t>
  </si>
  <si>
    <t>Apply the 237-row catalogue to products and calculate evidence and CTD-section readiness.</t>
  </si>
  <si>
    <t>Product Evidence Register; Evidence Gap Report; shared dependencies; 58 CTD sections; RA task generation</t>
  </si>
  <si>
    <t>G2 backbone and G3 product/planner baseline; Wave D evidence can arrive progressively</t>
  </si>
  <si>
    <t>Lane E1 — Evidence &amp; Readiness</t>
  </si>
  <si>
    <t>25, 29</t>
  </si>
  <si>
    <t>G5 — CTD Ready</t>
  </si>
  <si>
    <t>CTD readiness and RA tasks operational</t>
  </si>
  <si>
    <t>RA / Evidence</t>
  </si>
  <si>
    <t>WS-E2</t>
  </si>
  <si>
    <t>Dossier, regulatory content and submission</t>
  </si>
  <si>
    <t>MOD-0236; MOD-0239; MOD-0238; MOD-0237; MOD-0030</t>
  </si>
  <si>
    <t>Create dossier versions, market variants, labeling, authority responses, quality gates, lock and archive.</t>
  </si>
  <si>
    <t>Dossier cycle; CTD versions; country matrix; labeling; authority response; submission manifest; locked archive</t>
  </si>
  <si>
    <t>WS-E1 section/readiness foundation</t>
  </si>
  <si>
    <t>Lanes E2A Dossier, E2B Labeling, E2C Submission in parallel</t>
  </si>
  <si>
    <t>26–28, 30, 31</t>
  </si>
  <si>
    <t>G6 — Submission Ready</t>
  </si>
  <si>
    <t>Submission-ready dossier and controlled archive</t>
  </si>
  <si>
    <t>WS-F1</t>
  </si>
  <si>
    <t>Post-approval regulatory and product lifecycle</t>
  </si>
  <si>
    <t>MOD-0237; MOD-0219; MOD-0204; MOD-0209; MOD-0026; MOD-0024</t>
  </si>
  <si>
    <t>Manage variations, renewals, obligations, stability, changes and future lifecycle work.</t>
  </si>
  <si>
    <t>Variation/renewal; obligation register; stability time points; impact propagation; trigger-to-work-order runtime</t>
  </si>
  <si>
    <t>G5/G6 dossier and submission foundation</t>
  </si>
  <si>
    <t>Lanes F1A Regulatory, F1B Stability, F1C Change Control</t>
  </si>
  <si>
    <t>32–34, 48, 49</t>
  </si>
  <si>
    <t>G7 — Lifecycle Ready</t>
  </si>
  <si>
    <t>Full post-approval lifecycle management</t>
  </si>
  <si>
    <t>RA / Quality / Compliance</t>
  </si>
  <si>
    <t>WS-G1</t>
  </si>
  <si>
    <t>Conditional AI and agent governance</t>
  </si>
  <si>
    <t>MOD-0066–0069; MOD-0292–0295; MOD-0110</t>
  </si>
  <si>
    <t>Enable controlled AI/OCR/agent assistance only after intended-use approval.</t>
  </si>
  <si>
    <t>Prompt/model registries; HITL; agent ledger; tool gateway; evaluation/drift and ethics controls</t>
  </si>
  <si>
    <t>Approved AI intended use and validated core workflows</t>
  </si>
  <si>
    <t>Conditional lane — not on core release critical path</t>
  </si>
  <si>
    <t>35–40</t>
  </si>
  <si>
    <t>G8 — AI Use Approved</t>
  </si>
  <si>
    <t>Governed AI-assisted operation</t>
  </si>
  <si>
    <t>Release Roadmap and Wave Meaning</t>
  </si>
  <si>
    <t>Required Waves</t>
  </si>
  <si>
    <t>Business Result</t>
  </si>
  <si>
    <t>Included Scope</t>
  </si>
  <si>
    <t>Not Yet Included</t>
  </si>
  <si>
    <t>Approval Gate</t>
  </si>
  <si>
    <t>Recommended Use</t>
  </si>
  <si>
    <t>Gate Name</t>
  </si>
  <si>
    <t>Required Result</t>
  </si>
  <si>
    <t>Main Evidence</t>
  </si>
  <si>
    <t>Release 0 — Governance Baseline</t>
  </si>
  <si>
    <t>Approved architecture and regulated platform controls</t>
  </si>
  <si>
    <t>Capability/SoR/interface baseline; RBAC; audit; records; reference data; backup; e-signature controls</t>
  </si>
  <si>
    <t>Product-specific task generation</t>
  </si>
  <si>
    <t>G0/G1</t>
  </si>
  <si>
    <t>Precondition for controlled development</t>
  </si>
  <si>
    <t>G0</t>
  </si>
  <si>
    <t>Architecture Baseline</t>
  </si>
  <si>
    <t>Capability, SoR and interfaces approved</t>
  </si>
  <si>
    <t>Approved matrices and decisions</t>
  </si>
  <si>
    <t>Controlled build start</t>
  </si>
  <si>
    <t>Release 1 — Source-Document Task MVP</t>
  </si>
  <si>
    <t>Wave 0 + A + B + C</t>
  </si>
  <si>
    <t>Generate valid product-specific tasks from Full_list_of_CTD_source_documents</t>
  </si>
  <si>
    <t>Product identity; planner baseline; applicability; shared evidence; gaps; persistent tasks; workflow; notifications</t>
  </si>
  <si>
    <t>Scientific/TT execution and CTD dossier runtime</t>
  </si>
  <si>
    <t>G3</t>
  </si>
  <si>
    <t>First usable product-planning release</t>
  </si>
  <si>
    <t>G1</t>
  </si>
  <si>
    <t>Platform Runtime Ready</t>
  </si>
  <si>
    <t>Workflow, documents, scheduler, notifications and controls operational</t>
  </si>
  <si>
    <t>Runtime smoke and failure-path evidence</t>
  </si>
  <si>
    <t>Wave B/C integration</t>
  </si>
  <si>
    <t>Release 2 — Development &amp; TT</t>
  </si>
  <si>
    <t>Release 1 + Wave D</t>
  </si>
  <si>
    <t>Execute Development and Technology Transfer in software</t>
  </si>
  <si>
    <t>Studies; BOM/routings; pilot/validation batches; samples; results; equipment; procurement; resources</t>
  </si>
  <si>
    <t>CTD authoring, dossier lock and submission</t>
  </si>
  <si>
    <t>G4</t>
  </si>
  <si>
    <t>Operational R&amp;D and TT release</t>
  </si>
  <si>
    <t>G2</t>
  </si>
  <si>
    <t>Execution Backbone Ready</t>
  </si>
  <si>
    <t>Tasks, rules, evidence links and shared evidence integrated</t>
  </si>
  <si>
    <t>Golden flow and persistence proof</t>
  </si>
  <si>
    <t>Pack 5 runtime</t>
  </si>
  <si>
    <t>Release 3 — CTD and Submission</t>
  </si>
  <si>
    <t>Release 2 + Wave E</t>
  </si>
  <si>
    <t>Calculate CTD readiness and manage dossier/submission lifecycle</t>
  </si>
  <si>
    <t>58 CTD sections; RA tasks; dossier versions; market rules; labeling; authority responses; submission archive</t>
  </si>
  <si>
    <t>Post-approval lifecycle automation</t>
  </si>
  <si>
    <t>G5/G6</t>
  </si>
  <si>
    <t>Registration and submission release</t>
  </si>
  <si>
    <t>Source-Document Task MVP</t>
  </si>
  <si>
    <t>A+B+C generate valid product tasks</t>
  </si>
  <si>
    <t>Product baseline, requirements, gaps and tasks</t>
  </si>
  <si>
    <t>Wave D and initial Pack 5 usage</t>
  </si>
  <si>
    <t>Release 4 — Regulatory Lifecycle</t>
  </si>
  <si>
    <t>Release 3 + Wave F</t>
  </si>
  <si>
    <t>Manage post-approval regulatory and product lifecycle</t>
  </si>
  <si>
    <t>Variations; renewals; obligations; stability; change impact; future work orders</t>
  </si>
  <si>
    <t>Conditional AI/agent automation</t>
  </si>
  <si>
    <t>G7</t>
  </si>
  <si>
    <t>Full core lifecycle release</t>
  </si>
  <si>
    <t>Development &amp; TT Ready</t>
  </si>
  <si>
    <t>Scientific and manufacturing execution operational</t>
  </si>
  <si>
    <t>Study/batch/sample/equipment/procurement evidence</t>
  </si>
  <si>
    <t>Full evidence production</t>
  </si>
  <si>
    <t>Optional Release 5 — AI/Agents</t>
  </si>
  <si>
    <t>Wave G after intended-use approval</t>
  </si>
  <si>
    <t>Governed AI/OCR/agent-assisted operation</t>
  </si>
  <si>
    <t>Prompt/model governance; HITL; agent runtime; tool controls; monitoring</t>
  </si>
  <si>
    <t>Any unapproved autonomous regulated decision</t>
  </si>
  <si>
    <t>G8</t>
  </si>
  <si>
    <t>Optional controlled enhancement</t>
  </si>
  <si>
    <t>G5</t>
  </si>
  <si>
    <t>CTD Ready</t>
  </si>
  <si>
    <t>Section readiness and RA tasks operational</t>
  </si>
  <si>
    <t>58-section readiness and traceability</t>
  </si>
  <si>
    <t>Dossier authoring</t>
  </si>
  <si>
    <t>RA</t>
  </si>
  <si>
    <t>G6</t>
  </si>
  <si>
    <t>Submission Ready</t>
  </si>
  <si>
    <t>Dossier approved, locked, packaged and archived</t>
  </si>
  <si>
    <t>Quality gate, manifest, lock and archive</t>
  </si>
  <si>
    <t>Submission/authority use</t>
  </si>
  <si>
    <t>RA / Records</t>
  </si>
  <si>
    <t>Lifecycle Ready</t>
  </si>
  <si>
    <t>Variations, obligations, stability and work orders operational</t>
  </si>
  <si>
    <t>Lifecycle golden flows</t>
  </si>
  <si>
    <t>Full core block</t>
  </si>
  <si>
    <t>RA / Quality</t>
  </si>
  <si>
    <t>AI Use Approved</t>
  </si>
  <si>
    <t>AI intended use, controls and validation approved</t>
  </si>
  <si>
    <t>AI validation and HITL evidence</t>
  </si>
  <si>
    <t>Conditional AI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</si>
</sst>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theme="1"/>
      <name val="Play"/>
    </font>
    <font>
      <sz val="10"/>
      <color theme="1"/>
      <name val="Play"/>
      <family val="2"/>
    </font>
    <font>
      <b/>
      <sz val="10"/>
      <color theme="1"/>
      <name val="Play"/>
    </font>
    <font>
      <sz val="10"/>
      <color theme="10"/>
      <name val="Play"/>
    </font>
    <font>
      <sz val="10"/>
      <color rgb="FF002060"/>
      <name val="Play Regular"/>
    </font>
    <font>
      <sz val="13"/>
      <color rgb="FF002060"/>
      <name val="Play Regular"/>
    </font>
    <font>
      <sz val="10"/>
      <color rgb="FF002060"/>
      <name val="Play Regular"/>
    </font>
    <font>
      <sz val="9"/>
      <color rgb="FF002060"/>
      <name val="Play Regular"/>
    </font>
    <font>
      <sz val="8"/>
      <color theme="1"/>
      <name val="Play"/>
    </font>
    <font>
      <sz val="10"/>
      <color theme="0"/>
      <name val="Play Regular"/>
    </font>
    <font>
      <b/>
      <sz val="13"/>
      <color theme="0"/>
      <name val="Play Regular"/>
    </font>
    <font>
      <b/>
      <sz val="11"/>
      <color theme="0"/>
      <name val="Play"/>
    </font>
    <font>
      <b/>
      <sz val="13"/>
      <color rgb="FFCCCCCC"/>
      <name val="Arial"/>
      <family val="2"/>
    </font>
    <font>
      <sz val="13"/>
      <color rgb="FFCCCCCC"/>
      <name val="Arial"/>
      <family val="2"/>
    </font>
    <font>
      <b/>
      <sz val="10"/>
      <color rgb="FFFF0000"/>
      <name val="Play"/>
    </font>
    <font>
      <b/>
      <sz val="24"/>
      <color theme="1"/>
      <name val="Play"/>
    </font>
    <font>
      <b/>
      <sz val="18"/>
      <color theme="1"/>
      <name val="Play"/>
    </font>
    <font>
      <sz val="8"/>
      <color theme="0"/>
      <name val="Play Regular"/>
    </font>
    <font>
      <b/>
      <sz val="8"/>
      <color theme="0"/>
      <name val="Play Regular"/>
    </font>
    <font>
      <sz val="8"/>
      <color rgb="FF002060"/>
      <name val="Play Regular"/>
    </font>
    <font>
      <sz val="8"/>
      <color rgb="FFFF0000"/>
      <name val="Play Regular"/>
    </font>
    <font>
      <sz val="10"/>
      <color rgb="FF1F1F1F"/>
      <name val="Play"/>
    </font>
    <font>
      <b/>
      <sz val="10"/>
      <color rgb="FF1F1F1F"/>
      <name val="Play"/>
    </font>
    <font>
      <i/>
      <sz val="10"/>
      <color rgb="FF1F1F1F"/>
      <name val="Play"/>
    </font>
    <font>
      <b/>
      <sz val="16"/>
      <color rgb="FFFFFFFF"/>
      <name val="Play"/>
    </font>
    <font>
      <i/>
      <sz val="9"/>
      <color rgb="FF1F1F1F"/>
      <name val="Play"/>
    </font>
    <font>
      <b/>
      <i/>
      <sz val="9"/>
      <color rgb="FF1F1F1F"/>
      <name val="Play"/>
    </font>
    <font>
      <b/>
      <sz val="10"/>
      <color rgb="FFFFFFFF"/>
      <name val="Play"/>
    </font>
    <font>
      <sz val="9"/>
      <color rgb="FF1F1F1F"/>
      <name val="Play"/>
    </font>
    <font>
      <b/>
      <i/>
      <sz val="11"/>
      <color rgb="FF1F1F1F"/>
      <name val="Play"/>
    </font>
    <font>
      <b/>
      <sz val="11"/>
      <color rgb="FF1F1F1F"/>
      <name val="Play"/>
    </font>
    <font>
      <b/>
      <sz val="9"/>
      <color rgb="FF1F1F1F"/>
      <name val="Play"/>
    </font>
    <font>
      <b/>
      <sz val="16"/>
      <color rgb="FF1F4E78"/>
      <name val="Play"/>
    </font>
    <font>
      <b/>
      <sz val="12"/>
      <color rgb="FFFFFFFF"/>
      <name val="Play"/>
    </font>
    <font>
      <b/>
      <sz val="14"/>
      <color rgb="FFFFFFFF"/>
      <name val="Play"/>
    </font>
    <font>
      <sz val="11"/>
      <color rgb="FF1F1F1F"/>
      <name val="Play"/>
    </font>
    <font>
      <b/>
      <sz val="15"/>
      <color rgb="FFFFFFFF"/>
      <name val="Play"/>
    </font>
    <font>
      <sz val="409.55"/>
      <color rgb="FF002060"/>
      <name val="Play"/>
    </font>
    <font>
      <sz val="409.55"/>
      <color rgb="FF002060"/>
      <name val="Play Regular"/>
    </font>
    <font>
      <sz val="409.55"/>
      <color rgb="FFCCCCCC"/>
      <name val="Play"/>
    </font>
    <font>
      <sz val="409.55"/>
      <color rgb="FFCCCCCC"/>
      <name val="Courier New"/>
      <family val="1"/>
    </font>
    <font>
      <sz val="409.55"/>
      <color rgb="FFCCCCCC"/>
      <name val="Arial"/>
      <family val="2"/>
    </font>
    <font>
      <b/>
      <sz val="409.55"/>
      <color rgb="FFFF0000"/>
      <name val="Play"/>
    </font>
    <font>
      <sz val="409.55"/>
      <color rgb="FFFF0000"/>
      <name val="Play"/>
      <family val="2"/>
    </font>
    <font>
      <b/>
      <sz val="409.55"/>
      <color rgb="FFFF0000"/>
      <name val="Play"/>
      <family val="2"/>
    </font>
    <font>
      <b/>
      <sz val="10"/>
      <color theme="1"/>
      <name val="Play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7030A0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7FAF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E7E6E6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theme="8" tint="-0.49995422223578601"/>
      </left>
      <right style="thin">
        <color theme="8" tint="-0.49995422223578601"/>
      </right>
      <top style="thin">
        <color theme="8" tint="-0.49995422223578601"/>
      </top>
      <bottom style="thin">
        <color theme="8" tint="-0.499954222235786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/>
    <xf numFmtId="0" fontId="9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5" fillId="0" borderId="1" xfId="0" applyFont="1" applyBorder="1"/>
    <xf numFmtId="9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9" fontId="5" fillId="3" borderId="1" xfId="0" applyNumberFormat="1" applyFont="1" applyFill="1" applyBorder="1" applyAlignment="1">
      <alignment horizontal="center"/>
    </xf>
    <xf numFmtId="0" fontId="6" fillId="3" borderId="1" xfId="1" applyFont="1" applyFill="1" applyBorder="1"/>
    <xf numFmtId="0" fontId="7" fillId="3" borderId="1" xfId="0" applyFont="1" applyFill="1" applyBorder="1"/>
    <xf numFmtId="0" fontId="6" fillId="0" borderId="1" xfId="1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9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9" fontId="5" fillId="5" borderId="1" xfId="0" applyNumberFormat="1" applyFont="1" applyFill="1" applyBorder="1" applyAlignment="1">
      <alignment horizontal="center"/>
    </xf>
    <xf numFmtId="0" fontId="6" fillId="5" borderId="1" xfId="1" applyFont="1" applyFill="1" applyBorder="1"/>
    <xf numFmtId="0" fontId="12" fillId="0" borderId="0" xfId="0" applyFont="1"/>
    <xf numFmtId="0" fontId="13" fillId="0" borderId="0" xfId="0" applyFont="1"/>
    <xf numFmtId="9" fontId="13" fillId="0" borderId="0" xfId="0" applyNumberFormat="1" applyFont="1"/>
    <xf numFmtId="9" fontId="12" fillId="0" borderId="0" xfId="0" applyNumberFormat="1" applyFont="1"/>
    <xf numFmtId="9" fontId="12" fillId="0" borderId="1" xfId="0" applyNumberFormat="1" applyFont="1" applyBorder="1"/>
    <xf numFmtId="0" fontId="5" fillId="0" borderId="0" xfId="0" applyFont="1"/>
    <xf numFmtId="0" fontId="12" fillId="0" borderId="1" xfId="0" applyFont="1" applyBorder="1"/>
    <xf numFmtId="0" fontId="13" fillId="0" borderId="1" xfId="0" applyFont="1" applyBorder="1"/>
    <xf numFmtId="0" fontId="5" fillId="5" borderId="0" xfId="0" applyFont="1" applyFill="1"/>
    <xf numFmtId="0" fontId="6" fillId="3" borderId="0" xfId="1" applyFont="1" applyFill="1" applyBorder="1"/>
    <xf numFmtId="0" fontId="14" fillId="0" borderId="0" xfId="0" applyFont="1"/>
    <xf numFmtId="0" fontId="0" fillId="0" borderId="0" xfId="0" applyAlignment="1">
      <alignment vertical="center" wrapText="1"/>
    </xf>
    <xf numFmtId="0" fontId="15" fillId="0" borderId="0" xfId="0" applyFont="1"/>
    <xf numFmtId="0" fontId="16" fillId="0" borderId="0" xfId="0" applyFont="1"/>
    <xf numFmtId="0" fontId="2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9" fontId="5" fillId="5" borderId="1" xfId="0" applyNumberFormat="1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19" fillId="0" borderId="3" xfId="0" applyFont="1" applyBorder="1"/>
    <xf numFmtId="0" fontId="19" fillId="0" borderId="3" xfId="0" applyFont="1" applyBorder="1" applyAlignment="1">
      <alignment horizontal="left"/>
    </xf>
    <xf numFmtId="9" fontId="19" fillId="0" borderId="3" xfId="0" applyNumberFormat="1" applyFont="1" applyBorder="1" applyAlignment="1">
      <alignment horizontal="left"/>
    </xf>
    <xf numFmtId="0" fontId="17" fillId="6" borderId="3" xfId="0" applyFont="1" applyFill="1" applyBorder="1"/>
    <xf numFmtId="0" fontId="17" fillId="6" borderId="3" xfId="0" applyFont="1" applyFill="1" applyBorder="1" applyAlignment="1">
      <alignment horizontal="left"/>
    </xf>
    <xf numFmtId="9" fontId="17" fillId="6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3" xfId="0" applyFont="1" applyFill="1" applyBorder="1"/>
    <xf numFmtId="0" fontId="19" fillId="7" borderId="3" xfId="0" applyFont="1" applyFill="1" applyBorder="1" applyAlignment="1">
      <alignment horizontal="left"/>
    </xf>
    <xf numFmtId="9" fontId="19" fillId="7" borderId="3" xfId="0" applyNumberFormat="1" applyFont="1" applyFill="1" applyBorder="1" applyAlignment="1">
      <alignment horizontal="left"/>
    </xf>
    <xf numFmtId="0" fontId="20" fillId="7" borderId="3" xfId="0" applyFont="1" applyFill="1" applyBorder="1"/>
    <xf numFmtId="0" fontId="20" fillId="7" borderId="3" xfId="0" applyFont="1" applyFill="1" applyBorder="1" applyAlignment="1">
      <alignment horizontal="left"/>
    </xf>
    <xf numFmtId="9" fontId="20" fillId="7" borderId="3" xfId="0" applyNumberFormat="1" applyFont="1" applyFill="1" applyBorder="1" applyAlignment="1">
      <alignment horizontal="left"/>
    </xf>
    <xf numFmtId="0" fontId="3" fillId="0" borderId="0" xfId="1"/>
    <xf numFmtId="0" fontId="21" fillId="8" borderId="0" xfId="0" applyFont="1" applyFill="1"/>
    <xf numFmtId="0" fontId="22" fillId="8" borderId="0" xfId="0" applyFont="1" applyFill="1"/>
    <xf numFmtId="0" fontId="2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 wrapText="1"/>
    </xf>
    <xf numFmtId="0" fontId="28" fillId="14" borderId="0" xfId="0" applyFont="1" applyFill="1" applyAlignment="1">
      <alignment vertical="top" wrapText="1"/>
    </xf>
    <xf numFmtId="0" fontId="28" fillId="14" borderId="0" xfId="0" applyFont="1" applyFill="1"/>
    <xf numFmtId="0" fontId="31" fillId="14" borderId="0" xfId="0" applyFont="1" applyFill="1" applyAlignment="1">
      <alignment horizontal="left" vertical="center" wrapText="1"/>
    </xf>
    <xf numFmtId="9" fontId="28" fillId="14" borderId="0" xfId="0" applyNumberFormat="1" applyFont="1" applyFill="1" applyAlignment="1">
      <alignment vertical="top" wrapText="1"/>
    </xf>
    <xf numFmtId="0" fontId="27" fillId="16" borderId="0" xfId="0" applyFont="1" applyFill="1" applyAlignment="1">
      <alignment horizontal="left" vertical="center" wrapText="1"/>
    </xf>
    <xf numFmtId="0" fontId="27" fillId="16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left" vertical="center" wrapText="1"/>
    </xf>
    <xf numFmtId="0" fontId="24" fillId="18" borderId="0" xfId="0" applyFont="1" applyFill="1" applyAlignment="1">
      <alignment horizontal="left" vertical="center"/>
    </xf>
    <xf numFmtId="0" fontId="28" fillId="20" borderId="0" xfId="0" applyFont="1" applyFill="1"/>
    <xf numFmtId="0" fontId="27" fillId="23" borderId="0" xfId="0" applyFont="1" applyFill="1" applyAlignment="1">
      <alignment horizontal="center" vertical="center" wrapText="1"/>
    </xf>
    <xf numFmtId="0" fontId="28" fillId="20" borderId="0" xfId="0" applyFont="1" applyFill="1" applyAlignment="1">
      <alignment vertical="top" wrapText="1"/>
    </xf>
    <xf numFmtId="0" fontId="22" fillId="20" borderId="0" xfId="0" applyFont="1" applyFill="1" applyAlignment="1">
      <alignment horizontal="left" vertical="center" wrapText="1"/>
    </xf>
    <xf numFmtId="0" fontId="34" fillId="9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35" fillId="13" borderId="0" xfId="0" applyFont="1" applyFill="1" applyAlignment="1">
      <alignment horizontal="left" vertical="center" wrapText="1"/>
    </xf>
    <xf numFmtId="0" fontId="24" fillId="18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center" wrapText="1"/>
    </xf>
    <xf numFmtId="0" fontId="33" fillId="15" borderId="0" xfId="0" applyFont="1" applyFill="1" applyAlignment="1">
      <alignment horizontal="left" vertical="center"/>
    </xf>
    <xf numFmtId="0" fontId="31" fillId="14" borderId="0" xfId="0" applyFont="1" applyFill="1" applyAlignment="1">
      <alignment horizontal="left" vertical="center" wrapText="1"/>
    </xf>
    <xf numFmtId="0" fontId="22" fillId="19" borderId="0" xfId="0" applyFont="1" applyFill="1" applyAlignment="1">
      <alignment horizontal="left" vertical="center" wrapText="1"/>
    </xf>
    <xf numFmtId="0" fontId="36" fillId="15" borderId="0" xfId="0" applyFont="1" applyFill="1" applyAlignment="1">
      <alignment horizontal="left" vertical="center"/>
    </xf>
    <xf numFmtId="0" fontId="25" fillId="17" borderId="0" xfId="0" applyFont="1" applyFill="1" applyAlignment="1">
      <alignment vertical="center" wrapText="1"/>
    </xf>
    <xf numFmtId="0" fontId="25" fillId="21" borderId="0" xfId="0" applyFont="1" applyFill="1" applyAlignment="1">
      <alignment vertical="center" wrapText="1"/>
    </xf>
    <xf numFmtId="0" fontId="30" fillId="22" borderId="0" xfId="0" applyFont="1" applyFill="1" applyAlignment="1">
      <alignment horizontal="center" vertical="center"/>
    </xf>
    <xf numFmtId="0" fontId="32" fillId="21" borderId="0" xfId="0" applyFont="1" applyFill="1" applyAlignment="1">
      <alignment horizontal="center" vertical="center" wrapText="1"/>
    </xf>
    <xf numFmtId="0" fontId="31" fillId="21" borderId="0" xfId="0" applyFont="1" applyFill="1" applyAlignment="1">
      <alignment horizontal="center" vertical="center" wrapText="1"/>
    </xf>
    <xf numFmtId="0" fontId="33" fillId="18" borderId="0" xfId="0" applyFont="1" applyFill="1" applyAlignment="1">
      <alignment horizontal="left" vertical="center"/>
    </xf>
    <xf numFmtId="0" fontId="25" fillId="10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 wrapText="1"/>
    </xf>
    <xf numFmtId="0" fontId="29" fillId="12" borderId="0" xfId="0" applyFont="1" applyFill="1" applyAlignment="1">
      <alignment horizontal="left" vertical="center" wrapText="1"/>
    </xf>
    <xf numFmtId="0" fontId="29" fillId="12" borderId="0" xfId="0" applyFont="1" applyFill="1" applyAlignment="1">
      <alignment horizontal="left" vertical="center" wrapText="1"/>
    </xf>
    <xf numFmtId="0" fontId="30" fillId="12" borderId="0" xfId="0" applyFont="1" applyFill="1" applyAlignment="1">
      <alignment horizontal="left" vertical="center"/>
    </xf>
    <xf numFmtId="0" fontId="25" fillId="10" borderId="0" xfId="0" applyFont="1" applyFill="1" applyAlignment="1">
      <alignment horizontal="left" vertical="center" wrapText="1"/>
    </xf>
    <xf numFmtId="0" fontId="31" fillId="10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 wrapText="1"/>
    </xf>
    <xf numFmtId="0" fontId="32" fillId="10" borderId="0" xfId="0" applyFont="1" applyFill="1" applyAlignment="1">
      <alignment horizontal="left" vertical="center"/>
    </xf>
    <xf numFmtId="9" fontId="27" fillId="11" borderId="0" xfId="0" applyNumberFormat="1" applyFont="1" applyFill="1" applyAlignment="1">
      <alignment horizontal="left" vertical="center" wrapText="1"/>
    </xf>
    <xf numFmtId="9" fontId="32" fillId="10" borderId="0" xfId="0" applyNumberFormat="1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 wrapText="1"/>
    </xf>
    <xf numFmtId="1" fontId="28" fillId="14" borderId="0" xfId="0" applyNumberFormat="1" applyFont="1" applyFill="1" applyAlignment="1">
      <alignment horizontal="left" vertical="center" wrapText="1"/>
    </xf>
    <xf numFmtId="9" fontId="28" fillId="14" borderId="0" xfId="0" applyNumberFormat="1" applyFont="1" applyFill="1" applyAlignment="1">
      <alignment horizontal="left" vertical="center" wrapText="1"/>
    </xf>
    <xf numFmtId="0" fontId="27" fillId="16" borderId="0" xfId="0" applyFont="1" applyFill="1" applyAlignment="1">
      <alignment horizontal="left" vertical="center" wrapText="1"/>
    </xf>
    <xf numFmtId="1" fontId="31" fillId="14" borderId="0" xfId="0" applyNumberFormat="1" applyFont="1" applyFill="1" applyAlignment="1">
      <alignment horizontal="left" vertical="center" wrapText="1"/>
    </xf>
    <xf numFmtId="9" fontId="31" fillId="14" borderId="0" xfId="0" applyNumberFormat="1" applyFont="1" applyFill="1" applyAlignment="1">
      <alignment horizontal="left" vertical="center" wrapText="1"/>
    </xf>
    <xf numFmtId="0" fontId="28" fillId="14" borderId="0" xfId="0" applyFont="1" applyFill="1" applyAlignment="1">
      <alignment horizontal="left" vertical="center" wrapText="1"/>
    </xf>
    <xf numFmtId="0" fontId="21" fillId="8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9" fontId="21" fillId="8" borderId="0" xfId="0" applyNumberFormat="1" applyFont="1" applyFill="1" applyAlignment="1">
      <alignment horizontal="left" vertical="center" wrapText="1"/>
    </xf>
    <xf numFmtId="0" fontId="28" fillId="8" borderId="0" xfId="0" applyFont="1" applyFill="1" applyAlignment="1">
      <alignment horizontal="left" vertical="center" wrapText="1"/>
    </xf>
    <xf numFmtId="9" fontId="28" fillId="8" borderId="0" xfId="0" applyNumberFormat="1" applyFont="1" applyFill="1" applyAlignment="1">
      <alignment horizontal="left" vertical="center" wrapText="1"/>
    </xf>
    <xf numFmtId="9" fontId="31" fillId="8" borderId="0" xfId="0" applyNumberFormat="1" applyFont="1" applyFill="1" applyAlignment="1">
      <alignment horizontal="left" vertical="center" wrapText="1"/>
    </xf>
    <xf numFmtId="0" fontId="28" fillId="14" borderId="0" xfId="0" applyFont="1" applyFill="1" applyAlignment="1">
      <alignment horizontal="left" vertical="center"/>
    </xf>
  </cellXfs>
  <cellStyles count="2">
    <cellStyle name="Hyperlink" xfId="1" xr:uid="{00000000-0005-0000-0000-000000000000}"/>
    <cellStyle name="Normal" xfId="0" builtinId="0"/>
  </cellStyles>
  <dxfs count="75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D9EAF7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CE5CD"/>
        </patternFill>
      </fill>
    </dxf>
    <dxf>
      <font>
        <b/>
      </font>
      <fill>
        <patternFill>
          <bgColor rgb="FFE7E6E6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7E6E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Pack Readiness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Readiness</c:v>
          </c:tx>
          <c:invertIfNegative val="1"/>
          <c:cat>
            <c:strRef>
              <c:f>'Integrated R&amp;D–RA Lifecycle Man'!$D$8:$D$17</c:f>
              <c:strCache>
                <c:ptCount val="10"/>
                <c:pt idx="0">
                  <c:v>Project Route &amp; Planner Configuration</c:v>
                </c:pt>
                <c:pt idx="1">
                  <c:v>Finite Project</c:v>
                </c:pt>
                <c:pt idx="2">
                  <c:v>Development &amp; Technology Transfer</c:v>
                </c:pt>
                <c:pt idx="3">
                  <c:v>Stage-Gate Decision</c:v>
                </c:pt>
                <c:pt idx="4">
                  <c:v>Source-Document Requirement Engine</c:v>
                </c:pt>
                <c:pt idx="5">
                  <c:v>Work Package / Task / Process Instance</c:v>
                </c:pt>
                <c:pt idx="6">
                  <c:v>Controlled Source-Document Version</c:v>
                </c:pt>
                <c:pt idx="7">
                  <c:v>CTD Readiness &amp; RA Tasks</c:v>
                </c:pt>
                <c:pt idx="8">
                  <c:v>CTD Section &amp; Dossier Version</c:v>
                </c:pt>
                <c:pt idx="9">
                  <c:v>Lifecycle Trigger &amp; Work Order</c:v>
                </c:pt>
              </c:strCache>
            </c:strRef>
          </c:cat>
          <c:val>
            <c:numRef>
              <c:f>'Integrated R&amp;D–RA Lifecycle Man'!$E$8:$E$17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0.25</c:v>
                </c:pt>
                <c:pt idx="6">
                  <c:v>0.62</c:v>
                </c:pt>
                <c:pt idx="7">
                  <c:v>0.05</c:v>
                </c:pt>
                <c:pt idx="8">
                  <c:v>0</c:v>
                </c:pt>
                <c:pt idx="9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D-254C-B09B-D57943D2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Master Workstreams by Phase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Workstreams</c:v>
          </c:tx>
          <c:invertIfNegative val="1"/>
          <c:cat>
            <c:strRef>
              <c:f>'Optimized Master Plan'!$P$11:$P$18</c:f>
              <c:strCache>
                <c:ptCount val="8"/>
                <c:pt idx="0">
                  <c:v>Wave 0</c:v>
                </c:pt>
                <c:pt idx="1">
                  <c:v>Wave A</c:v>
                </c:pt>
                <c:pt idx="2">
                  <c:v>Wave B</c:v>
                </c:pt>
                <c:pt idx="3">
                  <c:v>Wave C</c:v>
                </c:pt>
                <c:pt idx="4">
                  <c:v>Wave D</c:v>
                </c:pt>
                <c:pt idx="5">
                  <c:v>Wave E</c:v>
                </c:pt>
                <c:pt idx="6">
                  <c:v>Wave F</c:v>
                </c:pt>
                <c:pt idx="7">
                  <c:v>Wave G</c:v>
                </c:pt>
              </c:strCache>
            </c:strRef>
          </c:cat>
          <c:val>
            <c:numRef>
              <c:f>'Optimized Master Plan'!$Q$11:$Q$18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5-2941-9428-814E16DE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38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nDRAPackReadiness" displayName="RnDRAPackReadiness" ref="C7:I17" headerRowDxfId="19" dataDxfId="17" totalsRowDxfId="18">
  <tableColumns count="7">
    <tableColumn id="1" xr3:uid="{00000000-0010-0000-0000-000001000000}" name="Pack" dataDxfId="26"/>
    <tableColumn id="2" xr3:uid="{00000000-0010-0000-0000-000002000000}" name="Capability Pack" dataDxfId="25"/>
    <tableColumn id="3" xr3:uid="{00000000-0010-0000-0000-000003000000}" name="Readiness" dataDxfId="24"/>
    <tableColumn id="4" xr3:uid="{00000000-0010-0000-0000-000004000000}" name="Current State" dataDxfId="23"/>
    <tableColumn id="5" xr3:uid="{00000000-0010-0000-0000-000005000000}" name="Critical Blocker" dataDxfId="22"/>
    <tableColumn id="6" xr3:uid="{00000000-0010-0000-0000-000006000000}" name="Next Gate" dataDxfId="21"/>
    <tableColumn id="7" xr3:uid="{00000000-0010-0000-0000-000007000000}" name="Primary Owne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nDRADevelopmentBacklog" displayName="RnDRADevelopmentBacklog" ref="C21:P72" headerRowDxfId="2" dataDxfId="0" totalsRowDxfId="1">
  <sortState xmlns:xlrd2="http://schemas.microsoft.com/office/spreadsheetml/2017/richdata2" ref="C22:P72">
    <sortCondition ref="D22:D72"/>
  </sortState>
  <tableColumns count="14">
    <tableColumn id="1" xr3:uid="{00000000-0010-0000-0100-000001000000}" name="Seq" dataDxfId="16"/>
    <tableColumn id="2" xr3:uid="{00000000-0010-0000-0100-000002000000}" name="Wave" dataDxfId="15"/>
    <tableColumn id="3" xr3:uid="{00000000-0010-0000-0100-000003000000}" name="Layer" dataDxfId="14"/>
    <tableColumn id="4" xr3:uid="{00000000-0010-0000-0100-000004000000}" name="Primary Module" dataDxfId="13"/>
    <tableColumn id="5" xr3:uid="{00000000-0010-0000-0100-000005000000}" name="Related Modules" dataDxfId="12"/>
    <tableColumn id="6" xr3:uid="{00000000-0010-0000-0100-000006000000}" name="Capability / Development Part" dataDxfId="11"/>
    <tableColumn id="7" xr3:uid="{00000000-0010-0000-0100-000007000000}" name="Required Development Scope" dataDxfId="10"/>
    <tableColumn id="8" xr3:uid="{00000000-0010-0000-0100-000008000000}" name="Packs" dataDxfId="9"/>
    <tableColumn id="9" xr3:uid="{00000000-0010-0000-0100-000009000000}" name="Priority" dataDxfId="8"/>
    <tableColumn id="10" xr3:uid="{00000000-0010-0000-0100-00000A000000}" name="Scope Class" dataDxfId="7"/>
    <tableColumn id="11" xr3:uid="{00000000-0010-0000-0100-00000B000000}" name="Readiness" dataDxfId="6"/>
    <tableColumn id="12" xr3:uid="{00000000-0010-0000-0100-00000C000000}" name="Confidence" dataDxfId="5"/>
    <tableColumn id="13" xr3:uid="{00000000-0010-0000-0100-00000D000000}" name="Evidence / Data Quality Note" dataDxfId="4"/>
    <tableColumn id="14" xr3:uid="{00000000-0010-0000-0100-00000E000000}" name="Completion / Dependency Ga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ftwareCapabilityMatrix" displayName="SoftwareCapabilityMatrix" ref="A5:S34">
  <tableColumns count="19">
    <tableColumn id="1" xr3:uid="{00000000-0010-0000-0200-000001000000}" name="Capability ID"/>
    <tableColumn id="2" xr3:uid="{00000000-0010-0000-0200-000002000000}" name="Capability / Module"/>
    <tableColumn id="3" xr3:uid="{00000000-0010-0000-0200-000003000000}" name="Canonical Module ID(s)"/>
    <tableColumn id="4" xr3:uid="{00000000-0010-0000-0200-000004000000}" name="Capability Type"/>
    <tableColumn id="5" xr3:uid="{00000000-0010-0000-0200-000005000000}" name="System-of-Record Owner"/>
    <tableColumn id="6" xr3:uid="{00000000-0010-0000-0200-000006000000}" name="Owned Objects"/>
    <tableColumn id="7" xr3:uid="{00000000-0010-0000-0200-000007000000}" name="Pack 5 Role"/>
    <tableColumn id="8" xr3:uid="{00000000-0010-0000-0200-000008000000}" name="Consuming Packs"/>
    <tableColumn id="9" xr3:uid="{00000000-0010-0000-0200-000009000000}" name="Required Query"/>
    <tableColumn id="10" xr3:uid="{00000000-0010-0000-0200-00000A000000}" name="Required Command"/>
    <tableColumn id="11" xr3:uid="{00000000-0010-0000-0200-00000B000000}" name="Produced Events"/>
    <tableColumn id="12" xr3:uid="{00000000-0010-0000-0200-00000C000000}" name="Consumed Events"/>
    <tableColumn id="13" xr3:uid="{00000000-0010-0000-0200-00000D000000}" name="Direction"/>
    <tableColumn id="14" xr3:uid="{00000000-0010-0000-0200-00000E000000}" name="Blocking Rule"/>
    <tableColumn id="15" xr3:uid="{00000000-0010-0000-0200-00000F000000}" name="Readiness"/>
    <tableColumn id="16" xr3:uid="{00000000-0010-0000-0200-000010000000}" name="Confidence"/>
    <tableColumn id="17" xr3:uid="{00000000-0010-0000-0200-000011000000}" name="Build Wave"/>
    <tableColumn id="18" xr3:uid="{00000000-0010-0000-0200-000012000000}" name="Phase 0 Alternative"/>
    <tableColumn id="19" xr3:uid="{00000000-0010-0000-0200-000013000000}" name="Acceptance Crite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NDRAInterfaceRegistry" displayName="RNDRAInterfaceRegistry" ref="A5:N33">
  <tableColumns count="14">
    <tableColumn id="1" xr3:uid="{00000000-0010-0000-0300-000001000000}" name="Interface ID"/>
    <tableColumn id="2" xr3:uid="{00000000-0010-0000-0300-000002000000}" name="Interface Name"/>
    <tableColumn id="3" xr3:uid="{00000000-0010-0000-0300-000003000000}" name="Producer / Owner"/>
    <tableColumn id="4" xr3:uid="{00000000-0010-0000-0300-000004000000}" name="Consumer"/>
    <tableColumn id="5" xr3:uid="{00000000-0010-0000-0300-000005000000}" name="Type"/>
    <tableColumn id="6" xr3:uid="{00000000-0010-0000-0300-000006000000}" name="Trigger"/>
    <tableColumn id="7" xr3:uid="{00000000-0010-0000-0300-000007000000}" name="Request / Input"/>
    <tableColumn id="8" xr3:uid="{00000000-0010-0000-0300-000008000000}" name="Response / Event"/>
    <tableColumn id="9" xr3:uid="{00000000-0010-0000-0300-000009000000}" name="Blocking Rule"/>
    <tableColumn id="10" xr3:uid="{00000000-0010-0000-0300-00000A000000}" name="Retry / Idempotency"/>
    <tableColumn id="11" xr3:uid="{00000000-0010-0000-0300-00000B000000}" name="Security Scope"/>
    <tableColumn id="12" xr3:uid="{00000000-0010-0000-0300-00000C000000}" name="Audit Requirement"/>
    <tableColumn id="13" xr3:uid="{00000000-0010-0000-0300-00000D000000}" name="Phase 0 Alternative"/>
    <tableColumn id="14" xr3:uid="{00000000-0010-0000-0300-00000E000000}" name="Acceptance Crite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haredEvidenceMatrix" displayName="SharedEvidenceMatrix" ref="A5:M10">
  <tableColumns count="13">
    <tableColumn id="1" xr3:uid="{00000000-0010-0000-0400-000001000000}" name="Scope Type"/>
    <tableColumn id="2" xr3:uid="{00000000-0010-0000-0400-000002000000}" name="Owning Master / SoR"/>
    <tableColumn id="3" xr3:uid="{00000000-0010-0000-0400-000003000000}" name="Evidence Repository"/>
    <tableColumn id="4" xr3:uid="{00000000-0010-0000-0400-000004000000}" name="Link Service"/>
    <tableColumn id="5" xr3:uid="{00000000-0010-0000-0400-000005000000}" name="Rule Owner"/>
    <tableColumn id="6" xr3:uid="{00000000-0010-0000-0400-000006000000}" name="Reuse Key"/>
    <tableColumn id="7" xr3:uid="{00000000-0010-0000-0400-000007000000}" name="Typical Evidence"/>
    <tableColumn id="8" xr3:uid="{00000000-0010-0000-0400-000008000000}" name="Product Dependency Behavior"/>
    <tableColumn id="9" xr3:uid="{00000000-0010-0000-0400-000009000000}" name="Change / Expiry Trigger"/>
    <tableColumn id="10" xr3:uid="{00000000-0010-0000-0400-00000A000000}" name="Central Remediation Work"/>
    <tableColumn id="11" xr3:uid="{00000000-0010-0000-0400-00000B000000}" name="Phase 0 Control"/>
    <tableColumn id="12" xr3:uid="{00000000-0010-0000-0400-00000C000000}" name="Blocking Rule"/>
    <tableColumn id="13" xr3:uid="{00000000-0010-0000-0400-00000D000000}" name="Acceptance Criter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ptimizedMasterWorkstreams" displayName="OptimizedMasterWorkstreams" ref="A10:N24">
  <tableColumns count="14">
    <tableColumn id="1" xr3:uid="{00000000-0010-0000-0500-000001000000}" name="Phase"/>
    <tableColumn id="2" xr3:uid="{00000000-0010-0000-0500-000002000000}" name="Workstream ID"/>
    <tableColumn id="3" xr3:uid="{00000000-0010-0000-0500-000003000000}" name="Master Workstream"/>
    <tableColumn id="4" xr3:uid="{00000000-0010-0000-0500-000004000000}" name="Modules / Capabilities"/>
    <tableColumn id="5" xr3:uid="{00000000-0010-0000-0500-000005000000}" name="Primary Objective"/>
    <tableColumn id="6" xr3:uid="{00000000-0010-0000-0500-000006000000}" name="Main Deliverables"/>
    <tableColumn id="7" xr3:uid="{00000000-0010-0000-0500-000007000000}" name="Dependencies"/>
    <tableColumn id="8" xr3:uid="{00000000-0010-0000-0500-000008000000}" name="Parallel Lane"/>
    <tableColumn id="9" xr3:uid="{00000000-0010-0000-0500-000009000000}" name="Detailed Backlog Seq"/>
    <tableColumn id="10" xr3:uid="{00000000-0010-0000-0500-00000A000000}" name="Exit Gate"/>
    <tableColumn id="11" xr3:uid="{00000000-0010-0000-0500-00000B000000}" name="Release Outcome"/>
    <tableColumn id="12" xr3:uid="{00000000-0010-0000-0500-00000C000000}" name="Priority"/>
    <tableColumn id="13" xr3:uid="{00000000-0010-0000-0500-00000D000000}" name="Status"/>
    <tableColumn id="14" xr3:uid="{00000000-0010-0000-0500-00000E000000}" name="Accountabl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C2:F19"/>
  <sheetViews>
    <sheetView workbookViewId="0"/>
  </sheetViews>
  <sheetFormatPr baseColWidth="10" defaultColWidth="36.83203125" defaultRowHeight="13"/>
  <cols>
    <col min="1" max="2" width="3" customWidth="1"/>
    <col min="3" max="3" width="10.1640625" customWidth="1"/>
    <col min="4" max="4" width="29.6640625" customWidth="1"/>
    <col min="5" max="5" width="77.1640625" customWidth="1"/>
    <col min="6" max="6" width="52.1640625" customWidth="1"/>
  </cols>
  <sheetData>
    <row r="2" spans="3:6" ht="38.75" customHeight="1">
      <c r="C2" s="24" t="s">
        <v>0</v>
      </c>
      <c r="D2" s="24" t="s">
        <v>1</v>
      </c>
      <c r="E2" s="24" t="s">
        <v>2</v>
      </c>
      <c r="F2" s="24" t="s">
        <v>3</v>
      </c>
    </row>
    <row r="3" spans="3:6" ht="32" customHeight="1">
      <c r="C3" s="5" t="s">
        <v>4</v>
      </c>
      <c r="D3" s="5" t="s">
        <v>5</v>
      </c>
      <c r="E3" s="5" t="s">
        <v>6</v>
      </c>
      <c r="F3" s="5" t="s">
        <v>7</v>
      </c>
    </row>
    <row r="4" spans="3:6" ht="32" customHeight="1">
      <c r="C4" s="5" t="s">
        <v>4</v>
      </c>
      <c r="D4" s="5" t="s">
        <v>8</v>
      </c>
      <c r="E4" s="5" t="s">
        <v>9</v>
      </c>
      <c r="F4" s="5" t="s">
        <v>10</v>
      </c>
    </row>
    <row r="5" spans="3:6" ht="32" customHeight="1">
      <c r="C5" s="5" t="s">
        <v>4</v>
      </c>
      <c r="D5" s="5" t="s">
        <v>11</v>
      </c>
      <c r="E5" s="5" t="s">
        <v>12</v>
      </c>
      <c r="F5" s="5" t="s">
        <v>13</v>
      </c>
    </row>
    <row r="6" spans="3:6" ht="32" customHeight="1">
      <c r="C6" s="5" t="s">
        <v>4</v>
      </c>
      <c r="D6" s="5" t="s">
        <v>14</v>
      </c>
      <c r="E6" s="5" t="s">
        <v>15</v>
      </c>
      <c r="F6" s="5" t="s">
        <v>16</v>
      </c>
    </row>
    <row r="7" spans="3:6" ht="32" customHeight="1">
      <c r="C7" s="5" t="s">
        <v>17</v>
      </c>
      <c r="D7" s="5" t="s">
        <v>18</v>
      </c>
      <c r="E7" s="5" t="s">
        <v>19</v>
      </c>
      <c r="F7" s="5" t="s">
        <v>20</v>
      </c>
    </row>
    <row r="8" spans="3:6" ht="32" customHeight="1">
      <c r="C8" s="5" t="s">
        <v>17</v>
      </c>
      <c r="D8" s="5" t="s">
        <v>21</v>
      </c>
      <c r="E8" s="5" t="s">
        <v>22</v>
      </c>
      <c r="F8" s="5" t="s">
        <v>23</v>
      </c>
    </row>
    <row r="9" spans="3:6" ht="32" customHeight="1">
      <c r="C9" s="5" t="s">
        <v>17</v>
      </c>
      <c r="D9" s="5" t="s">
        <v>24</v>
      </c>
      <c r="E9" s="5" t="s">
        <v>25</v>
      </c>
      <c r="F9" s="5" t="s">
        <v>26</v>
      </c>
    </row>
    <row r="10" spans="3:6" ht="32" customHeight="1">
      <c r="C10" s="5" t="s">
        <v>17</v>
      </c>
      <c r="D10" s="5" t="s">
        <v>27</v>
      </c>
      <c r="E10" s="5" t="s">
        <v>28</v>
      </c>
      <c r="F10" s="5" t="s">
        <v>29</v>
      </c>
    </row>
    <row r="11" spans="3:6" ht="32" customHeight="1">
      <c r="C11" s="5" t="s">
        <v>30</v>
      </c>
      <c r="D11" s="5" t="s">
        <v>31</v>
      </c>
      <c r="E11" s="5" t="s">
        <v>32</v>
      </c>
      <c r="F11" s="5" t="s">
        <v>33</v>
      </c>
    </row>
    <row r="12" spans="3:6" ht="32" customHeight="1">
      <c r="C12" s="5" t="s">
        <v>30</v>
      </c>
      <c r="D12" s="5" t="s">
        <v>34</v>
      </c>
      <c r="E12" s="5" t="s">
        <v>35</v>
      </c>
      <c r="F12" s="5" t="s">
        <v>36</v>
      </c>
    </row>
    <row r="13" spans="3:6" ht="32" customHeight="1">
      <c r="C13" s="5" t="s">
        <v>30</v>
      </c>
      <c r="D13" s="5" t="s">
        <v>37</v>
      </c>
      <c r="E13" s="5" t="s">
        <v>38</v>
      </c>
      <c r="F13" s="5" t="s">
        <v>39</v>
      </c>
    </row>
    <row r="14" spans="3:6" ht="32" customHeight="1">
      <c r="C14" s="5" t="s">
        <v>30</v>
      </c>
      <c r="D14" s="5" t="s">
        <v>40</v>
      </c>
      <c r="E14" s="5" t="s">
        <v>41</v>
      </c>
      <c r="F14" s="5" t="s">
        <v>42</v>
      </c>
    </row>
    <row r="15" spans="3:6" ht="32" customHeight="1">
      <c r="C15" s="5" t="s">
        <v>30</v>
      </c>
      <c r="D15" s="5" t="s">
        <v>43</v>
      </c>
      <c r="E15" s="5" t="s">
        <v>44</v>
      </c>
      <c r="F15" s="5" t="s">
        <v>45</v>
      </c>
    </row>
    <row r="16" spans="3:6" ht="32" customHeight="1">
      <c r="C16" s="5" t="s">
        <v>46</v>
      </c>
      <c r="D16" s="5" t="s">
        <v>47</v>
      </c>
      <c r="E16" s="5" t="s">
        <v>48</v>
      </c>
      <c r="F16" s="5" t="s">
        <v>49</v>
      </c>
    </row>
    <row r="17" spans="3:6" ht="32" customHeight="1">
      <c r="C17" s="5" t="s">
        <v>46</v>
      </c>
      <c r="D17" s="5" t="s">
        <v>50</v>
      </c>
      <c r="E17" s="5" t="s">
        <v>51</v>
      </c>
      <c r="F17" s="5" t="s">
        <v>52</v>
      </c>
    </row>
    <row r="18" spans="3:6" ht="32" customHeight="1">
      <c r="C18" s="5" t="s">
        <v>46</v>
      </c>
      <c r="D18" s="5" t="s">
        <v>53</v>
      </c>
      <c r="E18" s="5" t="s">
        <v>54</v>
      </c>
      <c r="F18" s="5" t="s">
        <v>55</v>
      </c>
    </row>
    <row r="19" spans="3:6" ht="32" customHeight="1">
      <c r="C19" s="5" t="s">
        <v>46</v>
      </c>
      <c r="D19" s="5" t="s">
        <v>56</v>
      </c>
      <c r="E19" s="5" t="s">
        <v>57</v>
      </c>
      <c r="F19" s="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80"/>
  <sheetViews>
    <sheetView workbookViewId="0"/>
  </sheetViews>
  <sheetFormatPr baseColWidth="10" defaultRowHeight="13"/>
  <cols>
    <col min="1" max="3" width="10.83203125" style="3"/>
    <col min="4" max="4" width="8.33203125" style="4" hidden="1" customWidth="1"/>
    <col min="5" max="5" width="19.33203125" style="3" customWidth="1"/>
    <col min="6" max="6" width="69.1640625" style="3" customWidth="1"/>
    <col min="7" max="7" width="10.83203125" style="4"/>
    <col min="8" max="8" width="80.83203125" style="3" customWidth="1"/>
    <col min="9" max="9" width="37" style="3" customWidth="1"/>
    <col min="10" max="16384" width="10.83203125" style="3"/>
  </cols>
  <sheetData>
    <row r="4" spans="3:15" ht="17">
      <c r="C4" s="7"/>
      <c r="D4" s="9" t="s">
        <v>59</v>
      </c>
      <c r="E4" s="8" t="s">
        <v>60</v>
      </c>
      <c r="F4" s="8" t="s">
        <v>61</v>
      </c>
      <c r="G4" s="9" t="s">
        <v>62</v>
      </c>
      <c r="H4" s="8" t="s">
        <v>63</v>
      </c>
      <c r="I4" s="8" t="s">
        <v>64</v>
      </c>
    </row>
    <row r="5" spans="3:15" ht="17">
      <c r="C5" s="6"/>
      <c r="D5" s="21">
        <v>1</v>
      </c>
      <c r="E5" s="10" t="s">
        <v>65</v>
      </c>
      <c r="F5" s="10" t="s">
        <v>66</v>
      </c>
      <c r="G5" s="11">
        <v>0</v>
      </c>
      <c r="H5" s="35" t="s">
        <v>67</v>
      </c>
      <c r="I5" s="35" t="s">
        <v>68</v>
      </c>
      <c r="J5" s="31"/>
      <c r="K5" s="4"/>
      <c r="L5" s="4"/>
      <c r="M5" s="4"/>
      <c r="N5" s="4"/>
      <c r="O5" s="4"/>
    </row>
    <row r="6" spans="3:15" ht="17">
      <c r="C6" s="6"/>
      <c r="D6" s="21">
        <v>2</v>
      </c>
      <c r="E6" s="10" t="s">
        <v>69</v>
      </c>
      <c r="F6" s="10" t="s">
        <v>70</v>
      </c>
      <c r="G6" s="11">
        <v>0</v>
      </c>
      <c r="H6" s="35" t="s">
        <v>67</v>
      </c>
      <c r="I6" s="35" t="s">
        <v>71</v>
      </c>
      <c r="J6" s="31" t="s">
        <v>72</v>
      </c>
      <c r="K6" s="4"/>
      <c r="L6" s="4"/>
      <c r="M6" s="4"/>
      <c r="N6" s="4"/>
      <c r="O6" s="4"/>
    </row>
    <row r="7" spans="3:15" ht="17">
      <c r="C7" s="18"/>
      <c r="D7" s="23"/>
      <c r="E7" s="19" t="s">
        <v>73</v>
      </c>
      <c r="F7" s="19" t="s">
        <v>74</v>
      </c>
      <c r="G7" s="20">
        <v>0</v>
      </c>
      <c r="H7" s="33"/>
      <c r="I7" s="35" t="s">
        <v>75</v>
      </c>
      <c r="J7" s="31" t="s">
        <v>76</v>
      </c>
      <c r="K7" s="4"/>
      <c r="L7" s="4"/>
      <c r="M7" s="4"/>
      <c r="N7" s="4"/>
      <c r="O7" s="4"/>
    </row>
    <row r="8" spans="3:15" ht="17">
      <c r="C8" s="6"/>
      <c r="D8" s="21">
        <v>3</v>
      </c>
      <c r="E8" s="10" t="s">
        <v>77</v>
      </c>
      <c r="F8" s="10" t="s">
        <v>78</v>
      </c>
      <c r="G8" s="11">
        <v>0.35</v>
      </c>
      <c r="H8" s="35" t="s">
        <v>79</v>
      </c>
      <c r="I8" s="35" t="s">
        <v>80</v>
      </c>
      <c r="J8" s="31" t="s">
        <v>81</v>
      </c>
      <c r="K8" s="4"/>
      <c r="L8" s="4"/>
      <c r="M8" s="4"/>
      <c r="N8" s="4"/>
      <c r="O8" s="4"/>
    </row>
    <row r="9" spans="3:15" ht="17">
      <c r="C9" s="6"/>
      <c r="D9" s="21">
        <v>4</v>
      </c>
      <c r="E9" s="10" t="s">
        <v>82</v>
      </c>
      <c r="F9" s="10" t="s">
        <v>83</v>
      </c>
      <c r="G9" s="11">
        <v>0.3</v>
      </c>
      <c r="H9" s="35" t="s">
        <v>84</v>
      </c>
      <c r="I9" s="35" t="s">
        <v>85</v>
      </c>
      <c r="J9" s="31"/>
      <c r="K9" s="4"/>
      <c r="L9" s="4"/>
      <c r="M9" s="4"/>
      <c r="N9" s="4"/>
      <c r="O9" s="4"/>
    </row>
    <row r="10" spans="3:15" ht="17">
      <c r="C10" s="12" t="s">
        <v>86</v>
      </c>
      <c r="D10" s="22">
        <v>5</v>
      </c>
      <c r="E10" s="13" t="s">
        <v>87</v>
      </c>
      <c r="F10" s="13" t="s">
        <v>88</v>
      </c>
      <c r="G10" s="14">
        <v>0.67</v>
      </c>
      <c r="H10" s="39" t="s">
        <v>89</v>
      </c>
      <c r="I10" s="35" t="s">
        <v>68</v>
      </c>
      <c r="J10" s="31"/>
      <c r="K10" s="4"/>
      <c r="L10" s="4"/>
      <c r="M10" s="4"/>
      <c r="N10" s="4"/>
      <c r="O10" s="4"/>
    </row>
    <row r="11" spans="3:15" ht="17">
      <c r="C11" s="12" t="s">
        <v>86</v>
      </c>
      <c r="D11" s="22">
        <v>6</v>
      </c>
      <c r="E11" s="13" t="s">
        <v>90</v>
      </c>
      <c r="F11" s="13" t="s">
        <v>91</v>
      </c>
      <c r="G11" s="14">
        <v>0.4</v>
      </c>
      <c r="H11" s="15" t="s">
        <v>92</v>
      </c>
      <c r="I11" s="10" t="s">
        <v>93</v>
      </c>
    </row>
    <row r="12" spans="3:15" ht="17">
      <c r="C12" s="12" t="s">
        <v>86</v>
      </c>
      <c r="D12" s="22">
        <v>7</v>
      </c>
      <c r="E12" s="13" t="s">
        <v>94</v>
      </c>
      <c r="F12" s="13" t="s">
        <v>95</v>
      </c>
      <c r="G12" s="14">
        <v>0.55000000000000004</v>
      </c>
      <c r="H12" s="15" t="s">
        <v>96</v>
      </c>
      <c r="I12" s="10" t="s">
        <v>93</v>
      </c>
    </row>
    <row r="13" spans="3:15" ht="17">
      <c r="C13" s="6"/>
      <c r="D13" s="21">
        <v>8</v>
      </c>
      <c r="E13" s="10" t="s">
        <v>97</v>
      </c>
      <c r="F13" s="10" t="s">
        <v>98</v>
      </c>
      <c r="G13" s="11">
        <v>0</v>
      </c>
      <c r="H13" s="10" t="s">
        <v>67</v>
      </c>
      <c r="I13" s="37"/>
    </row>
    <row r="14" spans="3:15" ht="17">
      <c r="C14" s="6"/>
      <c r="D14" s="21">
        <v>9</v>
      </c>
      <c r="E14" s="10" t="s">
        <v>99</v>
      </c>
      <c r="F14" s="10" t="s">
        <v>100</v>
      </c>
      <c r="G14" s="11">
        <v>0</v>
      </c>
      <c r="H14" s="10" t="s">
        <v>101</v>
      </c>
      <c r="I14" s="10" t="s">
        <v>102</v>
      </c>
    </row>
    <row r="15" spans="3:15" ht="409.6">
      <c r="C15" s="12" t="s">
        <v>86</v>
      </c>
      <c r="D15" s="22">
        <v>10</v>
      </c>
      <c r="E15" s="13" t="s">
        <v>103</v>
      </c>
      <c r="F15" s="13" t="s">
        <v>104</v>
      </c>
      <c r="G15" s="14">
        <v>0.82</v>
      </c>
      <c r="H15" s="16" t="s">
        <v>105</v>
      </c>
      <c r="I15" s="10" t="s">
        <v>106</v>
      </c>
    </row>
    <row r="16" spans="3:15" ht="17">
      <c r="C16" s="12" t="s">
        <v>86</v>
      </c>
      <c r="D16" s="22">
        <v>11</v>
      </c>
      <c r="E16" s="13" t="s">
        <v>107</v>
      </c>
      <c r="F16" s="13" t="s">
        <v>108</v>
      </c>
      <c r="G16" s="14">
        <v>0.78</v>
      </c>
      <c r="H16" s="15" t="s">
        <v>109</v>
      </c>
      <c r="I16" s="13" t="s">
        <v>110</v>
      </c>
    </row>
    <row r="17" spans="2:9" ht="17">
      <c r="C17" s="6"/>
      <c r="D17" s="21">
        <v>12</v>
      </c>
      <c r="E17" s="10" t="s">
        <v>111</v>
      </c>
      <c r="F17" s="10" t="s">
        <v>112</v>
      </c>
      <c r="G17" s="11">
        <v>0.5</v>
      </c>
      <c r="H17" s="10" t="s">
        <v>113</v>
      </c>
      <c r="I17" s="13" t="s">
        <v>114</v>
      </c>
    </row>
    <row r="18" spans="2:9" ht="17">
      <c r="C18" s="6"/>
      <c r="D18" s="21">
        <v>13</v>
      </c>
      <c r="E18" s="10" t="s">
        <v>115</v>
      </c>
      <c r="F18" s="10" t="s">
        <v>116</v>
      </c>
      <c r="G18" s="11">
        <v>0.3</v>
      </c>
      <c r="H18" s="10" t="s">
        <v>117</v>
      </c>
      <c r="I18" s="13" t="s">
        <v>118</v>
      </c>
    </row>
    <row r="19" spans="2:9" ht="17">
      <c r="C19" s="18"/>
      <c r="D19" s="23"/>
      <c r="E19" s="19" t="s">
        <v>119</v>
      </c>
      <c r="F19" s="19" t="s">
        <v>120</v>
      </c>
      <c r="G19" s="20">
        <v>0</v>
      </c>
      <c r="H19" s="34"/>
      <c r="I19" s="10" t="s">
        <v>68</v>
      </c>
    </row>
    <row r="20" spans="2:9" ht="17">
      <c r="C20" s="6"/>
      <c r="D20" s="21">
        <v>14</v>
      </c>
      <c r="E20" s="10" t="s">
        <v>121</v>
      </c>
      <c r="F20" s="10" t="s">
        <v>122</v>
      </c>
      <c r="G20" s="11">
        <v>0</v>
      </c>
      <c r="H20" s="10" t="s">
        <v>67</v>
      </c>
      <c r="I20" s="10" t="s">
        <v>68</v>
      </c>
    </row>
    <row r="21" spans="2:9" ht="17">
      <c r="C21" s="6"/>
      <c r="D21" s="21">
        <v>15</v>
      </c>
      <c r="E21" s="10" t="s">
        <v>123</v>
      </c>
      <c r="F21" s="10" t="s">
        <v>124</v>
      </c>
      <c r="G21" s="11">
        <v>0.35</v>
      </c>
      <c r="H21" s="10" t="s">
        <v>125</v>
      </c>
      <c r="I21" s="13" t="s">
        <v>126</v>
      </c>
    </row>
    <row r="22" spans="2:9" ht="17">
      <c r="C22" s="6"/>
      <c r="D22" s="21">
        <v>16</v>
      </c>
      <c r="E22" s="10" t="s">
        <v>127</v>
      </c>
      <c r="F22" s="10" t="s">
        <v>128</v>
      </c>
      <c r="G22" s="11">
        <v>0.85</v>
      </c>
      <c r="H22" s="10" t="s">
        <v>129</v>
      </c>
      <c r="I22" s="13" t="s">
        <v>130</v>
      </c>
    </row>
    <row r="23" spans="2:9" ht="17">
      <c r="C23" s="6"/>
      <c r="D23" s="21">
        <v>17</v>
      </c>
      <c r="E23" s="10" t="s">
        <v>131</v>
      </c>
      <c r="F23" s="10" t="s">
        <v>132</v>
      </c>
      <c r="G23" s="11">
        <v>0.85</v>
      </c>
      <c r="H23" s="10" t="s">
        <v>133</v>
      </c>
      <c r="I23" s="10" t="s">
        <v>134</v>
      </c>
    </row>
    <row r="24" spans="2:9" ht="17">
      <c r="C24" s="6"/>
      <c r="D24" s="21">
        <v>18</v>
      </c>
      <c r="E24" s="10" t="s">
        <v>135</v>
      </c>
      <c r="F24" s="10" t="s">
        <v>136</v>
      </c>
      <c r="G24" s="11">
        <v>0.85</v>
      </c>
      <c r="H24" s="10" t="s">
        <v>137</v>
      </c>
      <c r="I24" s="10" t="s">
        <v>138</v>
      </c>
    </row>
    <row r="25" spans="2:9" ht="17">
      <c r="C25" s="6"/>
      <c r="D25" s="21">
        <v>19</v>
      </c>
      <c r="E25" s="10" t="s">
        <v>139</v>
      </c>
      <c r="F25" s="10" t="s">
        <v>140</v>
      </c>
      <c r="G25" s="11">
        <v>0.5</v>
      </c>
      <c r="H25" s="10" t="s">
        <v>141</v>
      </c>
      <c r="I25" s="37"/>
    </row>
    <row r="26" spans="2:9" ht="17">
      <c r="C26" s="12" t="s">
        <v>86</v>
      </c>
      <c r="D26" s="22">
        <v>20</v>
      </c>
      <c r="E26" s="13" t="s">
        <v>142</v>
      </c>
      <c r="F26" s="13" t="s">
        <v>143</v>
      </c>
      <c r="G26" s="14">
        <v>0.8</v>
      </c>
      <c r="H26" s="15" t="s">
        <v>144</v>
      </c>
      <c r="I26" s="10" t="s">
        <v>68</v>
      </c>
    </row>
    <row r="27" spans="2:9" ht="17">
      <c r="C27" s="12" t="s">
        <v>86</v>
      </c>
      <c r="D27" s="22">
        <v>21</v>
      </c>
      <c r="E27" s="13" t="s">
        <v>145</v>
      </c>
      <c r="F27" s="13" t="s">
        <v>146</v>
      </c>
      <c r="G27" s="14">
        <v>0.76</v>
      </c>
      <c r="H27" s="13" t="s">
        <v>147</v>
      </c>
      <c r="I27" s="10" t="s">
        <v>148</v>
      </c>
    </row>
    <row r="28" spans="2:9" ht="17">
      <c r="B28" s="3" t="s">
        <v>149</v>
      </c>
      <c r="C28" s="18"/>
      <c r="D28" s="23"/>
      <c r="E28" s="19" t="s">
        <v>150</v>
      </c>
      <c r="F28" s="19" t="s">
        <v>151</v>
      </c>
      <c r="G28" s="20"/>
      <c r="H28" s="34"/>
      <c r="I28" s="10" t="s">
        <v>152</v>
      </c>
    </row>
    <row r="29" spans="2:9" ht="17">
      <c r="C29" s="25" t="s">
        <v>86</v>
      </c>
      <c r="D29" s="26">
        <v>22</v>
      </c>
      <c r="E29" s="27" t="s">
        <v>153</v>
      </c>
      <c r="F29" s="27" t="s">
        <v>154</v>
      </c>
      <c r="G29" s="28">
        <v>0.88</v>
      </c>
      <c r="H29" s="29" t="s">
        <v>155</v>
      </c>
      <c r="I29" s="10" t="s">
        <v>156</v>
      </c>
    </row>
    <row r="30" spans="2:9" ht="17">
      <c r="C30" s="25" t="s">
        <v>86</v>
      </c>
      <c r="D30" s="26">
        <v>23</v>
      </c>
      <c r="E30" s="27" t="s">
        <v>157</v>
      </c>
      <c r="F30" s="27" t="s">
        <v>158</v>
      </c>
      <c r="G30" s="28">
        <v>0.88</v>
      </c>
      <c r="H30" s="29" t="s">
        <v>159</v>
      </c>
      <c r="I30" s="10" t="s">
        <v>68</v>
      </c>
    </row>
    <row r="31" spans="2:9" ht="17">
      <c r="B31" s="3" t="s">
        <v>149</v>
      </c>
      <c r="C31" s="18" t="s">
        <v>86</v>
      </c>
      <c r="D31" s="23"/>
      <c r="E31" s="19" t="s">
        <v>160</v>
      </c>
      <c r="F31" s="19" t="s">
        <v>161</v>
      </c>
      <c r="G31" s="20">
        <v>0</v>
      </c>
      <c r="H31" s="34"/>
      <c r="I31" s="10" t="s">
        <v>162</v>
      </c>
    </row>
    <row r="32" spans="2:9" ht="17">
      <c r="B32" s="3" t="s">
        <v>149</v>
      </c>
      <c r="C32" s="18" t="s">
        <v>86</v>
      </c>
      <c r="D32" s="23">
        <v>24</v>
      </c>
      <c r="E32" s="19" t="s">
        <v>163</v>
      </c>
      <c r="F32" s="19" t="s">
        <v>164</v>
      </c>
      <c r="G32" s="20">
        <v>0.15</v>
      </c>
      <c r="H32" s="10" t="s">
        <v>165</v>
      </c>
      <c r="I32" s="13" t="s">
        <v>166</v>
      </c>
    </row>
    <row r="33" spans="2:9" ht="17">
      <c r="C33" s="25" t="s">
        <v>86</v>
      </c>
      <c r="D33" s="26">
        <v>25</v>
      </c>
      <c r="E33" s="27" t="s">
        <v>167</v>
      </c>
      <c r="F33" s="27" t="s">
        <v>168</v>
      </c>
      <c r="G33" s="28">
        <v>0.94</v>
      </c>
      <c r="H33" s="29" t="s">
        <v>169</v>
      </c>
      <c r="I33" s="13" t="s">
        <v>170</v>
      </c>
    </row>
    <row r="34" spans="2:9" ht="17">
      <c r="B34" s="3" t="s">
        <v>149</v>
      </c>
      <c r="C34" s="18" t="s">
        <v>86</v>
      </c>
      <c r="D34" s="23">
        <v>26</v>
      </c>
      <c r="E34" s="19" t="s">
        <v>171</v>
      </c>
      <c r="F34" s="19" t="s">
        <v>172</v>
      </c>
      <c r="G34" s="20">
        <v>0.28000000000000003</v>
      </c>
      <c r="H34" s="10" t="s">
        <v>173</v>
      </c>
      <c r="I34" s="27" t="s">
        <v>174</v>
      </c>
    </row>
    <row r="35" spans="2:9" ht="17">
      <c r="C35" s="25" t="s">
        <v>86</v>
      </c>
      <c r="D35" s="27">
        <v>27</v>
      </c>
      <c r="E35" s="27" t="s">
        <v>175</v>
      </c>
      <c r="F35" s="48" t="s">
        <v>176</v>
      </c>
      <c r="G35" s="28">
        <v>0.86</v>
      </c>
      <c r="H35" s="17" t="s">
        <v>177</v>
      </c>
      <c r="I35" s="27" t="s">
        <v>178</v>
      </c>
    </row>
    <row r="36" spans="2:9" ht="17">
      <c r="B36" s="3" t="s">
        <v>149</v>
      </c>
      <c r="C36" s="18" t="s">
        <v>86</v>
      </c>
      <c r="D36" s="23"/>
      <c r="E36" s="19" t="s">
        <v>179</v>
      </c>
      <c r="F36" s="19" t="s">
        <v>180</v>
      </c>
      <c r="G36" s="20">
        <v>0</v>
      </c>
      <c r="H36" s="34"/>
      <c r="I36" s="37">
        <v>0</v>
      </c>
    </row>
    <row r="37" spans="2:9" ht="17">
      <c r="B37" s="3" t="s">
        <v>149</v>
      </c>
      <c r="C37" s="18" t="s">
        <v>86</v>
      </c>
      <c r="D37" s="23"/>
      <c r="E37" s="19" t="s">
        <v>181</v>
      </c>
      <c r="F37" s="19" t="s">
        <v>182</v>
      </c>
      <c r="G37" s="20">
        <v>0</v>
      </c>
      <c r="H37" s="34"/>
      <c r="I37" s="10" t="s">
        <v>183</v>
      </c>
    </row>
    <row r="38" spans="2:9" ht="17">
      <c r="C38" s="25" t="s">
        <v>86</v>
      </c>
      <c r="D38" s="26">
        <v>28</v>
      </c>
      <c r="E38" s="27" t="s">
        <v>184</v>
      </c>
      <c r="F38" s="27" t="s">
        <v>185</v>
      </c>
      <c r="G38" s="28">
        <v>0.78</v>
      </c>
      <c r="H38" s="27" t="s">
        <v>186</v>
      </c>
      <c r="I38" s="27" t="s">
        <v>187</v>
      </c>
    </row>
    <row r="39" spans="2:9" ht="17">
      <c r="B39" s="3" t="s">
        <v>149</v>
      </c>
      <c r="C39" s="18"/>
      <c r="D39" s="23"/>
      <c r="E39" s="19" t="s">
        <v>188</v>
      </c>
      <c r="F39" s="19" t="s">
        <v>189</v>
      </c>
      <c r="G39" s="20"/>
      <c r="H39" s="34"/>
      <c r="I39" s="10" t="s">
        <v>68</v>
      </c>
    </row>
    <row r="40" spans="2:9" ht="17">
      <c r="B40" s="3" t="s">
        <v>149</v>
      </c>
      <c r="C40" s="18"/>
      <c r="D40" s="23"/>
      <c r="E40" s="19" t="s">
        <v>190</v>
      </c>
      <c r="F40" s="19" t="s">
        <v>191</v>
      </c>
      <c r="G40" s="20"/>
      <c r="H40" s="34"/>
      <c r="I40" s="10" t="s">
        <v>174</v>
      </c>
    </row>
    <row r="41" spans="2:9" ht="17">
      <c r="B41" s="3" t="s">
        <v>149</v>
      </c>
      <c r="C41" s="18" t="s">
        <v>86</v>
      </c>
      <c r="D41" s="23"/>
      <c r="E41" s="19" t="s">
        <v>192</v>
      </c>
      <c r="F41" s="19" t="s">
        <v>193</v>
      </c>
      <c r="G41" s="20">
        <v>0</v>
      </c>
      <c r="H41" s="6"/>
      <c r="I41" s="37"/>
    </row>
    <row r="42" spans="2:9" ht="17">
      <c r="B42" s="3" t="s">
        <v>149</v>
      </c>
      <c r="C42" s="18" t="s">
        <v>86</v>
      </c>
      <c r="D42" s="23">
        <v>29</v>
      </c>
      <c r="E42" s="19" t="s">
        <v>194</v>
      </c>
      <c r="F42" s="19" t="s">
        <v>195</v>
      </c>
      <c r="G42" s="20">
        <v>0.22</v>
      </c>
      <c r="H42" s="10" t="s">
        <v>196</v>
      </c>
      <c r="I42" s="37">
        <v>5</v>
      </c>
    </row>
    <row r="43" spans="2:9" ht="17">
      <c r="C43" s="25" t="s">
        <v>86</v>
      </c>
      <c r="D43" s="27"/>
      <c r="E43" s="27" t="s">
        <v>197</v>
      </c>
      <c r="F43" s="48" t="s">
        <v>198</v>
      </c>
      <c r="G43" s="28">
        <v>0.91</v>
      </c>
      <c r="H43" s="6"/>
      <c r="I43" s="27" t="s">
        <v>199</v>
      </c>
    </row>
    <row r="44" spans="2:9" ht="17">
      <c r="B44" s="3" t="s">
        <v>149</v>
      </c>
      <c r="C44" s="18" t="s">
        <v>86</v>
      </c>
      <c r="D44" s="23"/>
      <c r="E44" s="19" t="s">
        <v>200</v>
      </c>
      <c r="F44" s="19" t="s">
        <v>201</v>
      </c>
      <c r="G44" s="20">
        <v>0</v>
      </c>
      <c r="H44" s="36"/>
      <c r="I44" s="6"/>
    </row>
    <row r="45" spans="2:9" ht="17">
      <c r="B45" s="3" t="s">
        <v>149</v>
      </c>
      <c r="C45" s="18" t="s">
        <v>86</v>
      </c>
      <c r="D45" s="23"/>
      <c r="E45" s="19" t="s">
        <v>202</v>
      </c>
      <c r="F45" s="19" t="s">
        <v>203</v>
      </c>
      <c r="G45" s="20">
        <v>0</v>
      </c>
      <c r="H45" s="6"/>
      <c r="I45" s="10" t="s">
        <v>68</v>
      </c>
    </row>
    <row r="46" spans="2:9" ht="17">
      <c r="B46" s="3" t="s">
        <v>149</v>
      </c>
      <c r="C46" s="18"/>
      <c r="D46" s="23"/>
      <c r="E46" s="19" t="s">
        <v>204</v>
      </c>
      <c r="F46" s="19" t="s">
        <v>205</v>
      </c>
      <c r="G46" s="20"/>
      <c r="H46" s="34"/>
      <c r="I46" s="6"/>
    </row>
    <row r="47" spans="2:9" ht="17">
      <c r="C47" s="25" t="s">
        <v>86</v>
      </c>
      <c r="D47" s="26">
        <v>30</v>
      </c>
      <c r="E47" s="27" t="s">
        <v>206</v>
      </c>
      <c r="F47" s="27" t="s">
        <v>207</v>
      </c>
      <c r="G47" s="28">
        <v>0.72</v>
      </c>
      <c r="H47" s="27" t="s">
        <v>208</v>
      </c>
      <c r="I47" s="36" t="s">
        <v>209</v>
      </c>
    </row>
    <row r="48" spans="2:9" ht="17">
      <c r="C48" s="25" t="s">
        <v>86</v>
      </c>
      <c r="D48" s="26">
        <v>31</v>
      </c>
      <c r="E48" s="27" t="s">
        <v>210</v>
      </c>
      <c r="F48" s="27" t="s">
        <v>211</v>
      </c>
      <c r="G48" s="28">
        <v>0.88</v>
      </c>
      <c r="H48" s="29" t="s">
        <v>212</v>
      </c>
      <c r="I48" s="6"/>
    </row>
    <row r="49" spans="2:15" ht="17">
      <c r="C49" s="25" t="s">
        <v>86</v>
      </c>
      <c r="D49" s="27">
        <v>32</v>
      </c>
      <c r="E49" s="48" t="s">
        <v>213</v>
      </c>
      <c r="F49" s="27" t="s">
        <v>214</v>
      </c>
      <c r="G49" s="28">
        <v>0.96</v>
      </c>
      <c r="H49" s="10" t="s">
        <v>67</v>
      </c>
      <c r="I49" s="27" t="s">
        <v>215</v>
      </c>
    </row>
    <row r="50" spans="2:15" ht="17">
      <c r="C50" s="25" t="s">
        <v>86</v>
      </c>
      <c r="D50" s="26">
        <v>33</v>
      </c>
      <c r="E50" s="27" t="s">
        <v>216</v>
      </c>
      <c r="F50" s="27" t="s">
        <v>217</v>
      </c>
      <c r="G50" s="28">
        <v>0.84</v>
      </c>
      <c r="H50" s="27" t="s">
        <v>218</v>
      </c>
      <c r="I50" s="27" t="s">
        <v>219</v>
      </c>
    </row>
    <row r="51" spans="2:15" ht="17">
      <c r="C51" s="25" t="s">
        <v>86</v>
      </c>
      <c r="D51" s="26">
        <v>34</v>
      </c>
      <c r="E51" s="27" t="s">
        <v>220</v>
      </c>
      <c r="F51" s="27" t="s">
        <v>221</v>
      </c>
      <c r="G51" s="28">
        <v>0.87</v>
      </c>
      <c r="H51" s="29" t="s">
        <v>222</v>
      </c>
      <c r="I51" s="10" t="s">
        <v>68</v>
      </c>
    </row>
    <row r="52" spans="2:15" ht="17">
      <c r="B52" s="3" t="s">
        <v>149</v>
      </c>
      <c r="C52" s="18" t="s">
        <v>86</v>
      </c>
      <c r="D52" s="23"/>
      <c r="E52" s="19" t="s">
        <v>223</v>
      </c>
      <c r="F52" s="19" t="s">
        <v>224</v>
      </c>
      <c r="G52" s="20">
        <v>0</v>
      </c>
      <c r="H52" s="34"/>
      <c r="I52" s="27" t="s">
        <v>225</v>
      </c>
    </row>
    <row r="53" spans="2:15" ht="17">
      <c r="C53" s="6"/>
      <c r="D53" s="21">
        <v>35</v>
      </c>
      <c r="E53" s="10" t="s">
        <v>226</v>
      </c>
      <c r="F53" s="10" t="s">
        <v>227</v>
      </c>
      <c r="G53" s="11">
        <v>0.8</v>
      </c>
      <c r="H53" s="35" t="s">
        <v>228</v>
      </c>
      <c r="I53" s="38" t="s">
        <v>229</v>
      </c>
    </row>
    <row r="54" spans="2:15" ht="17">
      <c r="C54" s="6"/>
      <c r="D54" s="21">
        <v>36</v>
      </c>
      <c r="E54" s="10" t="s">
        <v>230</v>
      </c>
      <c r="F54" s="10" t="s">
        <v>231</v>
      </c>
      <c r="G54" s="11">
        <v>0.87</v>
      </c>
      <c r="H54" s="35" t="s">
        <v>232</v>
      </c>
      <c r="I54" s="31">
        <v>15</v>
      </c>
    </row>
    <row r="55" spans="2:15" ht="17">
      <c r="C55" s="6"/>
      <c r="D55" s="21">
        <v>37</v>
      </c>
      <c r="E55" s="10" t="s">
        <v>233</v>
      </c>
      <c r="F55" s="10" t="s">
        <v>234</v>
      </c>
      <c r="G55" s="11">
        <v>0</v>
      </c>
      <c r="H55" s="35" t="s">
        <v>67</v>
      </c>
      <c r="I55" s="35" t="s">
        <v>152</v>
      </c>
    </row>
    <row r="56" spans="2:15" ht="17">
      <c r="C56" s="6"/>
      <c r="D56" s="21">
        <v>38</v>
      </c>
      <c r="E56" s="10" t="s">
        <v>235</v>
      </c>
      <c r="F56" s="10" t="s">
        <v>236</v>
      </c>
      <c r="G56" s="11">
        <v>0.85</v>
      </c>
      <c r="H56" s="35" t="s">
        <v>237</v>
      </c>
      <c r="I56" s="35" t="s">
        <v>238</v>
      </c>
      <c r="J56" s="30" t="s">
        <v>239</v>
      </c>
    </row>
    <row r="57" spans="2:15" ht="17">
      <c r="C57" s="6"/>
      <c r="D57" s="21">
        <v>39</v>
      </c>
      <c r="E57" s="10" t="s">
        <v>240</v>
      </c>
      <c r="F57" s="10" t="s">
        <v>241</v>
      </c>
      <c r="G57" s="11">
        <v>0.75</v>
      </c>
      <c r="H57" s="35" t="s">
        <v>242</v>
      </c>
      <c r="I57" s="31">
        <v>2</v>
      </c>
      <c r="J57" s="3" t="s">
        <v>243</v>
      </c>
    </row>
    <row r="58" spans="2:15" ht="17">
      <c r="C58" s="6"/>
      <c r="D58" s="21">
        <v>40</v>
      </c>
      <c r="E58" s="10" t="s">
        <v>244</v>
      </c>
      <c r="F58" s="10" t="s">
        <v>245</v>
      </c>
      <c r="G58" s="11">
        <v>0.92</v>
      </c>
      <c r="H58" s="35" t="s">
        <v>246</v>
      </c>
      <c r="I58" s="31">
        <v>0</v>
      </c>
      <c r="J58" s="3" t="s">
        <v>247</v>
      </c>
    </row>
    <row r="59" spans="2:15" ht="17">
      <c r="C59" s="6"/>
      <c r="D59" s="21">
        <v>41</v>
      </c>
      <c r="E59" s="10" t="s">
        <v>248</v>
      </c>
      <c r="F59" s="10" t="s">
        <v>249</v>
      </c>
      <c r="G59" s="11">
        <v>0.95</v>
      </c>
      <c r="H59" s="35" t="s">
        <v>250</v>
      </c>
      <c r="I59" s="31">
        <v>0</v>
      </c>
      <c r="J59" s="3" t="s">
        <v>251</v>
      </c>
    </row>
    <row r="60" spans="2:15" ht="17">
      <c r="C60" s="6"/>
      <c r="D60" s="21">
        <v>42</v>
      </c>
      <c r="E60" s="10" t="s">
        <v>252</v>
      </c>
      <c r="F60" s="10" t="s">
        <v>253</v>
      </c>
      <c r="G60" s="11">
        <v>0.9</v>
      </c>
      <c r="H60" s="35" t="s">
        <v>254</v>
      </c>
      <c r="I60" s="31">
        <v>0</v>
      </c>
      <c r="J60" s="3" t="s">
        <v>255</v>
      </c>
    </row>
    <row r="61" spans="2:15" ht="409.6">
      <c r="E61" s="31"/>
      <c r="F61" s="31"/>
      <c r="G61" s="32"/>
      <c r="H61" s="33"/>
      <c r="I61" s="31">
        <v>2</v>
      </c>
      <c r="J61" s="31" t="s">
        <v>256</v>
      </c>
      <c r="K61" s="4"/>
      <c r="L61" s="4"/>
      <c r="M61" s="4"/>
      <c r="N61" s="4"/>
      <c r="O61" s="4"/>
    </row>
    <row r="62" spans="2:15" ht="17">
      <c r="E62" s="31"/>
      <c r="F62" s="31"/>
      <c r="G62" s="32"/>
      <c r="H62" s="32"/>
      <c r="I62" s="31">
        <v>0</v>
      </c>
      <c r="J62" s="31" t="s">
        <v>257</v>
      </c>
      <c r="K62" s="4"/>
      <c r="L62" s="4"/>
      <c r="M62" s="4"/>
      <c r="N62" s="4"/>
      <c r="O62" s="4"/>
    </row>
    <row r="63" spans="2:15" ht="17">
      <c r="E63" s="31"/>
      <c r="F63" s="31"/>
      <c r="G63" s="32"/>
      <c r="H63" s="32"/>
      <c r="I63" s="31">
        <v>0</v>
      </c>
      <c r="J63" s="31" t="s">
        <v>258</v>
      </c>
      <c r="K63" s="4"/>
      <c r="L63" s="4"/>
      <c r="M63" s="4"/>
      <c r="N63" s="4"/>
      <c r="O63" s="4"/>
    </row>
    <row r="64" spans="2:15" ht="17">
      <c r="E64" s="31"/>
      <c r="F64" s="31"/>
      <c r="G64" s="32"/>
      <c r="H64" s="32"/>
      <c r="I64" s="31">
        <v>0</v>
      </c>
      <c r="J64" s="31" t="s">
        <v>259</v>
      </c>
      <c r="K64" s="4"/>
      <c r="L64" s="4"/>
      <c r="M64" s="4"/>
      <c r="N64" s="4"/>
      <c r="O64" s="4"/>
    </row>
    <row r="65" spans="5:15" ht="17">
      <c r="E65" s="31"/>
      <c r="F65" s="31"/>
      <c r="G65" s="32"/>
      <c r="H65" s="32"/>
      <c r="I65" s="31">
        <v>0</v>
      </c>
      <c r="J65" s="31" t="s">
        <v>260</v>
      </c>
      <c r="K65" s="4"/>
      <c r="L65" s="4"/>
      <c r="M65" s="4"/>
      <c r="N65" s="4"/>
      <c r="O65" s="4"/>
    </row>
    <row r="66" spans="5:15" ht="17">
      <c r="E66" s="31"/>
      <c r="F66" s="31"/>
      <c r="G66" s="32"/>
      <c r="H66" s="32"/>
      <c r="I66" s="31">
        <v>0</v>
      </c>
      <c r="J66" s="31" t="s">
        <v>260</v>
      </c>
      <c r="K66" s="4"/>
      <c r="L66" s="4"/>
      <c r="M66" s="4"/>
      <c r="N66" s="4"/>
      <c r="O66" s="4"/>
    </row>
    <row r="67" spans="5:15" ht="17">
      <c r="E67" s="31"/>
      <c r="F67" s="31"/>
      <c r="G67" s="32"/>
      <c r="H67" s="32"/>
      <c r="I67" s="31">
        <v>0</v>
      </c>
      <c r="J67" s="31" t="s">
        <v>261</v>
      </c>
      <c r="K67" s="4"/>
      <c r="L67" s="4"/>
      <c r="M67" s="4"/>
      <c r="N67" s="4"/>
      <c r="O67" s="4"/>
    </row>
    <row r="68" spans="5:15">
      <c r="E68" s="4"/>
      <c r="F68" s="4"/>
      <c r="H68" s="4"/>
      <c r="I68" s="4"/>
      <c r="J68" s="4"/>
      <c r="K68" s="4"/>
      <c r="L68" s="4"/>
      <c r="M68" s="4"/>
      <c r="N68" s="4"/>
      <c r="O68" s="4"/>
    </row>
    <row r="69" spans="5:15">
      <c r="E69" s="4"/>
      <c r="F69" s="4"/>
      <c r="H69" s="4"/>
      <c r="I69" s="4"/>
      <c r="J69" s="4"/>
      <c r="K69" s="4"/>
      <c r="L69" s="4"/>
      <c r="M69" s="4"/>
      <c r="N69" s="4"/>
      <c r="O69" s="4"/>
    </row>
    <row r="70" spans="5:15">
      <c r="E70" s="4"/>
      <c r="F70" s="4"/>
      <c r="H70" s="4"/>
      <c r="I70" s="4"/>
      <c r="J70" s="4"/>
      <c r="K70" s="4"/>
      <c r="L70" s="4"/>
      <c r="M70" s="4"/>
      <c r="N70" s="4"/>
      <c r="O70" s="4"/>
    </row>
    <row r="71" spans="5:15">
      <c r="E71" s="4"/>
      <c r="F71" s="4"/>
      <c r="H71" s="4"/>
      <c r="I71" s="4"/>
      <c r="J71" s="4"/>
      <c r="K71" s="4"/>
      <c r="L71" s="4"/>
      <c r="M71" s="4"/>
      <c r="N71" s="4"/>
      <c r="O71" s="4"/>
    </row>
    <row r="72" spans="5:15">
      <c r="E72" s="4"/>
      <c r="F72" s="4"/>
      <c r="H72" s="4"/>
      <c r="I72" s="4"/>
      <c r="J72" s="4"/>
      <c r="K72" s="4"/>
      <c r="L72" s="4"/>
      <c r="M72" s="4"/>
      <c r="N72" s="4"/>
      <c r="O72" s="4"/>
    </row>
    <row r="75" spans="5:15">
      <c r="E75" s="40" t="s">
        <v>262</v>
      </c>
      <c r="F75" s="40" t="s">
        <v>263</v>
      </c>
    </row>
    <row r="76" spans="5:15" ht="409.6">
      <c r="E76" s="40" t="s">
        <v>264</v>
      </c>
      <c r="F76" s="40" t="s">
        <v>265</v>
      </c>
    </row>
    <row r="77" spans="5:15" ht="409.6">
      <c r="E77" s="40" t="s">
        <v>266</v>
      </c>
      <c r="F77" s="40" t="s">
        <v>267</v>
      </c>
    </row>
    <row r="78" spans="5:15" ht="409.6">
      <c r="E78" s="40" t="s">
        <v>268</v>
      </c>
      <c r="F78" s="40" t="s">
        <v>269</v>
      </c>
    </row>
    <row r="79" spans="5:15">
      <c r="E79" s="40" t="s">
        <v>270</v>
      </c>
      <c r="F79" s="40" t="s">
        <v>271</v>
      </c>
    </row>
    <row r="80" spans="5:15">
      <c r="E80" s="40" t="s">
        <v>272</v>
      </c>
      <c r="F80" s="40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workbookViewId="0"/>
  </sheetViews>
  <sheetFormatPr baseColWidth="10" defaultRowHeight="13"/>
  <cols>
    <col min="3" max="3" width="18" style="2" customWidth="1"/>
    <col min="4" max="10" width="18" customWidth="1"/>
  </cols>
  <sheetData>
    <row r="1" spans="1:26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32" customHeight="1">
      <c r="A3" s="67"/>
      <c r="B3" s="67"/>
      <c r="C3" s="85" t="s">
        <v>945</v>
      </c>
      <c r="D3" s="85" t="s">
        <v>945</v>
      </c>
      <c r="E3" s="85" t="s">
        <v>945</v>
      </c>
      <c r="F3" s="85" t="s">
        <v>945</v>
      </c>
      <c r="G3" s="85" t="s">
        <v>945</v>
      </c>
      <c r="H3" s="85" t="s">
        <v>945</v>
      </c>
      <c r="I3" s="71" t="s">
        <v>945</v>
      </c>
      <c r="J3" s="71" t="s">
        <v>945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32" customHeight="1">
      <c r="A4" s="67"/>
      <c r="B4" s="67"/>
      <c r="C4" s="85" t="s">
        <v>945</v>
      </c>
      <c r="D4" s="85" t="s">
        <v>945</v>
      </c>
      <c r="E4" s="85" t="s">
        <v>945</v>
      </c>
      <c r="F4" s="85" t="s">
        <v>945</v>
      </c>
      <c r="G4" s="85" t="s">
        <v>945</v>
      </c>
      <c r="H4" s="85" t="s">
        <v>945</v>
      </c>
      <c r="I4" s="71" t="s">
        <v>945</v>
      </c>
      <c r="J4" s="71" t="s">
        <v>945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>
      <c r="A5" s="67"/>
      <c r="B5" s="67"/>
      <c r="C5" s="86"/>
      <c r="D5" s="86"/>
      <c r="E5" s="86"/>
      <c r="F5" s="86"/>
      <c r="G5" s="86"/>
      <c r="H5" s="8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34.75" customHeight="1">
      <c r="A6" s="67"/>
      <c r="B6" s="67"/>
      <c r="C6" s="87" t="s">
        <v>946</v>
      </c>
      <c r="D6" s="87" t="s">
        <v>946</v>
      </c>
      <c r="E6" s="87" t="s">
        <v>946</v>
      </c>
      <c r="F6" s="87" t="s">
        <v>946</v>
      </c>
      <c r="G6" s="87" t="s">
        <v>946</v>
      </c>
      <c r="H6" s="87" t="s">
        <v>946</v>
      </c>
      <c r="I6" s="87" t="s">
        <v>946</v>
      </c>
      <c r="J6" s="87" t="s">
        <v>946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34.75" customHeight="1">
      <c r="A7" s="67"/>
      <c r="B7" s="67"/>
      <c r="C7" s="87" t="s">
        <v>946</v>
      </c>
      <c r="D7" s="87" t="s">
        <v>946</v>
      </c>
      <c r="E7" s="87" t="s">
        <v>946</v>
      </c>
      <c r="F7" s="87" t="s">
        <v>946</v>
      </c>
      <c r="G7" s="87" t="s">
        <v>946</v>
      </c>
      <c r="H7" s="87" t="s">
        <v>946</v>
      </c>
      <c r="I7" s="87" t="s">
        <v>946</v>
      </c>
      <c r="J7" s="87" t="s">
        <v>946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34.75" customHeight="1">
      <c r="A8" s="67"/>
      <c r="B8" s="67"/>
      <c r="C8" s="87" t="s">
        <v>946</v>
      </c>
      <c r="D8" s="87" t="s">
        <v>946</v>
      </c>
      <c r="E8" s="87" t="s">
        <v>946</v>
      </c>
      <c r="F8" s="87" t="s">
        <v>946</v>
      </c>
      <c r="G8" s="87" t="s">
        <v>946</v>
      </c>
      <c r="H8" s="87" t="s">
        <v>946</v>
      </c>
      <c r="I8" s="87" t="s">
        <v>946</v>
      </c>
      <c r="J8" s="87" t="s">
        <v>946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34.75" customHeight="1">
      <c r="A9" s="67"/>
      <c r="B9" s="67"/>
      <c r="C9" s="87" t="s">
        <v>946</v>
      </c>
      <c r="D9" s="87" t="s">
        <v>946</v>
      </c>
      <c r="E9" s="87" t="s">
        <v>946</v>
      </c>
      <c r="F9" s="87" t="s">
        <v>946</v>
      </c>
      <c r="G9" s="87" t="s">
        <v>946</v>
      </c>
      <c r="H9" s="87" t="s">
        <v>946</v>
      </c>
      <c r="I9" s="87" t="s">
        <v>946</v>
      </c>
      <c r="J9" s="87" t="s">
        <v>946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34.75" customHeight="1">
      <c r="A10" s="67"/>
      <c r="B10" s="67"/>
      <c r="C10" s="87" t="s">
        <v>946</v>
      </c>
      <c r="D10" s="87" t="s">
        <v>946</v>
      </c>
      <c r="E10" s="87" t="s">
        <v>946</v>
      </c>
      <c r="F10" s="87" t="s">
        <v>946</v>
      </c>
      <c r="G10" s="87" t="s">
        <v>946</v>
      </c>
      <c r="H10" s="87" t="s">
        <v>946</v>
      </c>
      <c r="I10" s="87" t="s">
        <v>946</v>
      </c>
      <c r="J10" s="87" t="s">
        <v>946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>
      <c r="A11" s="67"/>
      <c r="B11" s="67"/>
      <c r="C11" s="70"/>
      <c r="D11" s="68"/>
      <c r="E11" s="68"/>
      <c r="F11" s="68"/>
      <c r="G11" s="68"/>
      <c r="H11" s="68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>
      <c r="A12" s="67"/>
      <c r="B12" s="67"/>
      <c r="C12" s="69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>
      <c r="A13" s="67"/>
      <c r="B13" s="67"/>
      <c r="C13" s="69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>
      <c r="A14" s="67"/>
      <c r="B14" s="67"/>
      <c r="C14" s="69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>
      <c r="A15" s="67"/>
      <c r="B15" s="67"/>
      <c r="C15" s="69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>
      <c r="A16" s="67"/>
      <c r="B16" s="67"/>
      <c r="C16" s="69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>
      <c r="A17" s="67"/>
      <c r="B17" s="67"/>
      <c r="C17" s="69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>
      <c r="A18" s="67"/>
      <c r="B18" s="67"/>
      <c r="C18" s="69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>
      <c r="A19" s="67"/>
      <c r="B19" s="67"/>
      <c r="C19" s="69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>
      <c r="A20" s="67"/>
      <c r="B20" s="67"/>
      <c r="C20" s="69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>
      <c r="A21" s="67"/>
      <c r="B21" s="67"/>
      <c r="C21" s="69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>
      <c r="A22" s="67"/>
      <c r="B22" s="67"/>
      <c r="C22" s="69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>
      <c r="A23" s="67"/>
      <c r="B23" s="67"/>
      <c r="C23" s="69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>
      <c r="A24" s="67"/>
      <c r="B24" s="67"/>
      <c r="C24" s="69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>
      <c r="A25" s="67"/>
      <c r="B25" s="67"/>
      <c r="C25" s="69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>
      <c r="A30" s="67"/>
      <c r="B30" s="67"/>
      <c r="C30" s="70"/>
      <c r="D30" s="68"/>
      <c r="E30" s="68"/>
      <c r="F30" s="68"/>
      <c r="G30" s="68"/>
      <c r="H30" s="68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>
      <c r="A31" s="67"/>
      <c r="B31" s="67"/>
      <c r="C31" s="69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>
      <c r="A32" s="67"/>
      <c r="B32" s="67"/>
      <c r="C32" s="69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>
      <c r="A33" s="67"/>
      <c r="B33" s="67"/>
      <c r="C33" s="69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>
      <c r="A34" s="67"/>
      <c r="B34" s="67"/>
      <c r="C34" s="69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>
      <c r="A35" s="67"/>
      <c r="B35" s="67"/>
      <c r="C35" s="69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>
      <c r="A36" s="67"/>
      <c r="B36" s="67"/>
      <c r="C36" s="69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>
      <c r="A37" s="67"/>
      <c r="B37" s="67"/>
      <c r="C37" s="69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>
      <c r="A38" s="67"/>
      <c r="B38" s="67"/>
      <c r="C38" s="69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>
      <c r="A39" s="67"/>
      <c r="B39" s="67"/>
      <c r="C39" s="69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>
      <c r="A40" s="67"/>
      <c r="B40" s="67"/>
      <c r="C40" s="67"/>
      <c r="D40" s="67"/>
      <c r="E40" s="68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>
      <c r="A41" s="67"/>
      <c r="B41" s="67"/>
      <c r="C41" s="67"/>
      <c r="D41" s="67"/>
      <c r="E41" s="68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</sheetData>
  <mergeCells count="2">
    <mergeCell ref="C3:H5"/>
    <mergeCell ref="C6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82"/>
  <sheetViews>
    <sheetView workbookViewId="0"/>
  </sheetViews>
  <sheetFormatPr baseColWidth="10" defaultRowHeight="11"/>
  <cols>
    <col min="1" max="1" width="10.83203125" style="49"/>
    <col min="2" max="2" width="5.1640625" style="49" customWidth="1"/>
    <col min="3" max="3" width="7.6640625" style="49" customWidth="1"/>
    <col min="4" max="4" width="39.6640625" style="50" customWidth="1"/>
    <col min="5" max="5" width="6.1640625" style="49" customWidth="1"/>
    <col min="6" max="6" width="14.6640625" style="49" customWidth="1"/>
    <col min="7" max="7" width="54.6640625" style="50" customWidth="1"/>
    <col min="8" max="8" width="23.33203125" style="49" customWidth="1"/>
    <col min="9" max="9" width="47" style="49" customWidth="1"/>
    <col min="10" max="16384" width="10.83203125" style="49"/>
  </cols>
  <sheetData>
    <row r="3" spans="2:9" s="59" customFormat="1" ht="36" customHeight="1">
      <c r="C3" s="57" t="s">
        <v>274</v>
      </c>
      <c r="D3" s="58" t="s">
        <v>275</v>
      </c>
      <c r="E3" s="58" t="s">
        <v>276</v>
      </c>
      <c r="F3" s="58" t="s">
        <v>277</v>
      </c>
      <c r="G3" s="58" t="s">
        <v>278</v>
      </c>
      <c r="H3" s="58" t="s">
        <v>279</v>
      </c>
      <c r="I3" s="58" t="s">
        <v>280</v>
      </c>
    </row>
    <row r="4" spans="2:9">
      <c r="B4" s="49" t="s">
        <v>281</v>
      </c>
      <c r="C4" s="60" t="s">
        <v>282</v>
      </c>
      <c r="D4" s="61" t="s">
        <v>283</v>
      </c>
      <c r="E4" s="60" t="s">
        <v>284</v>
      </c>
      <c r="F4" s="60" t="s">
        <v>87</v>
      </c>
      <c r="G4" s="62" t="s">
        <v>285</v>
      </c>
      <c r="H4" s="60" t="s">
        <v>286</v>
      </c>
      <c r="I4" s="60" t="s">
        <v>287</v>
      </c>
    </row>
    <row r="5" spans="2:9">
      <c r="B5" s="49" t="s">
        <v>281</v>
      </c>
      <c r="C5" s="60" t="s">
        <v>282</v>
      </c>
      <c r="D5" s="61" t="s">
        <v>283</v>
      </c>
      <c r="E5" s="60" t="s">
        <v>284</v>
      </c>
      <c r="F5" s="60" t="s">
        <v>90</v>
      </c>
      <c r="G5" s="62" t="s">
        <v>288</v>
      </c>
      <c r="H5" s="60" t="s">
        <v>286</v>
      </c>
      <c r="I5" s="60" t="s">
        <v>289</v>
      </c>
    </row>
    <row r="6" spans="2:9">
      <c r="C6" s="54" t="s">
        <v>282</v>
      </c>
      <c r="D6" s="55" t="s">
        <v>283</v>
      </c>
      <c r="E6" s="54" t="s">
        <v>284</v>
      </c>
      <c r="F6" s="54" t="s">
        <v>290</v>
      </c>
      <c r="G6" s="56" t="s">
        <v>291</v>
      </c>
      <c r="H6" s="54" t="s">
        <v>286</v>
      </c>
      <c r="I6" s="54" t="s">
        <v>292</v>
      </c>
    </row>
    <row r="7" spans="2:9">
      <c r="B7" s="49" t="s">
        <v>281</v>
      </c>
      <c r="C7" s="60" t="s">
        <v>282</v>
      </c>
      <c r="D7" s="61" t="s">
        <v>283</v>
      </c>
      <c r="E7" s="60" t="s">
        <v>293</v>
      </c>
      <c r="F7" s="60" t="s">
        <v>94</v>
      </c>
      <c r="G7" s="62" t="s">
        <v>294</v>
      </c>
      <c r="H7" s="60" t="s">
        <v>286</v>
      </c>
      <c r="I7" s="60" t="s">
        <v>295</v>
      </c>
    </row>
    <row r="8" spans="2:9">
      <c r="B8" s="49" t="s">
        <v>281</v>
      </c>
      <c r="C8" s="60" t="s">
        <v>282</v>
      </c>
      <c r="D8" s="61" t="s">
        <v>283</v>
      </c>
      <c r="E8" s="60" t="s">
        <v>293</v>
      </c>
      <c r="F8" s="60" t="s">
        <v>103</v>
      </c>
      <c r="G8" s="62" t="s">
        <v>296</v>
      </c>
      <c r="H8" s="60" t="s">
        <v>286</v>
      </c>
      <c r="I8" s="60" t="s">
        <v>297</v>
      </c>
    </row>
    <row r="9" spans="2:9">
      <c r="B9" s="49" t="s">
        <v>281</v>
      </c>
      <c r="C9" s="60" t="s">
        <v>282</v>
      </c>
      <c r="D9" s="61" t="s">
        <v>283</v>
      </c>
      <c r="E9" s="60" t="s">
        <v>293</v>
      </c>
      <c r="F9" s="60" t="s">
        <v>107</v>
      </c>
      <c r="G9" s="62" t="s">
        <v>298</v>
      </c>
      <c r="H9" s="60" t="s">
        <v>286</v>
      </c>
      <c r="I9" s="60" t="s">
        <v>299</v>
      </c>
    </row>
    <row r="10" spans="2:9">
      <c r="B10" s="49" t="s">
        <v>281</v>
      </c>
      <c r="C10" s="60" t="s">
        <v>282</v>
      </c>
      <c r="D10" s="61" t="s">
        <v>283</v>
      </c>
      <c r="E10" s="60" t="s">
        <v>300</v>
      </c>
      <c r="F10" s="60" t="s">
        <v>142</v>
      </c>
      <c r="G10" s="62" t="s">
        <v>143</v>
      </c>
      <c r="H10" s="60" t="s">
        <v>286</v>
      </c>
      <c r="I10" s="60" t="s">
        <v>301</v>
      </c>
    </row>
    <row r="11" spans="2:9">
      <c r="B11" s="49" t="s">
        <v>281</v>
      </c>
      <c r="C11" s="60" t="s">
        <v>282</v>
      </c>
      <c r="D11" s="61" t="s">
        <v>283</v>
      </c>
      <c r="E11" s="60" t="s">
        <v>300</v>
      </c>
      <c r="F11" s="60" t="s">
        <v>145</v>
      </c>
      <c r="G11" s="62" t="s">
        <v>146</v>
      </c>
      <c r="H11" s="60" t="s">
        <v>286</v>
      </c>
      <c r="I11" s="60" t="s">
        <v>302</v>
      </c>
    </row>
    <row r="12" spans="2:9">
      <c r="C12" s="51" t="s">
        <v>282</v>
      </c>
      <c r="D12" s="52" t="s">
        <v>283</v>
      </c>
      <c r="E12" s="51" t="s">
        <v>303</v>
      </c>
      <c r="F12" s="51" t="s">
        <v>304</v>
      </c>
      <c r="G12" s="53" t="s">
        <v>305</v>
      </c>
      <c r="H12" s="51" t="s">
        <v>306</v>
      </c>
      <c r="I12" s="51" t="s">
        <v>307</v>
      </c>
    </row>
    <row r="13" spans="2:9">
      <c r="C13" s="51" t="s">
        <v>282</v>
      </c>
      <c r="D13" s="52" t="s">
        <v>283</v>
      </c>
      <c r="E13" s="51" t="s">
        <v>303</v>
      </c>
      <c r="F13" s="51" t="s">
        <v>308</v>
      </c>
      <c r="G13" s="53" t="s">
        <v>309</v>
      </c>
      <c r="H13" s="51" t="s">
        <v>310</v>
      </c>
      <c r="I13" s="51" t="s">
        <v>311</v>
      </c>
    </row>
    <row r="14" spans="2:9">
      <c r="C14" s="51" t="s">
        <v>282</v>
      </c>
      <c r="D14" s="52" t="s">
        <v>283</v>
      </c>
      <c r="E14" s="51" t="s">
        <v>303</v>
      </c>
      <c r="F14" s="51" t="s">
        <v>312</v>
      </c>
      <c r="G14" s="53" t="s">
        <v>313</v>
      </c>
      <c r="H14" s="51" t="s">
        <v>314</v>
      </c>
      <c r="I14" s="51" t="s">
        <v>315</v>
      </c>
    </row>
    <row r="15" spans="2:9">
      <c r="C15" s="51" t="s">
        <v>282</v>
      </c>
      <c r="D15" s="52" t="s">
        <v>283</v>
      </c>
      <c r="E15" s="51" t="s">
        <v>303</v>
      </c>
      <c r="F15" s="51" t="s">
        <v>316</v>
      </c>
      <c r="G15" s="53" t="s">
        <v>317</v>
      </c>
      <c r="H15" s="51" t="s">
        <v>318</v>
      </c>
      <c r="I15" s="51" t="s">
        <v>319</v>
      </c>
    </row>
    <row r="16" spans="2:9">
      <c r="B16" s="49" t="s">
        <v>320</v>
      </c>
      <c r="C16" s="63" t="s">
        <v>282</v>
      </c>
      <c r="D16" s="64" t="s">
        <v>283</v>
      </c>
      <c r="E16" s="63" t="s">
        <v>303</v>
      </c>
      <c r="F16" s="63" t="s">
        <v>321</v>
      </c>
      <c r="G16" s="65" t="s">
        <v>322</v>
      </c>
      <c r="H16" s="63" t="s">
        <v>323</v>
      </c>
      <c r="I16" s="63" t="s">
        <v>324</v>
      </c>
    </row>
    <row r="17" spans="3:9">
      <c r="C17" s="51" t="s">
        <v>325</v>
      </c>
      <c r="D17" s="52" t="s">
        <v>326</v>
      </c>
      <c r="E17" s="51" t="s">
        <v>327</v>
      </c>
      <c r="F17" s="51" t="s">
        <v>226</v>
      </c>
      <c r="G17" s="53" t="s">
        <v>328</v>
      </c>
      <c r="H17" s="51" t="s">
        <v>329</v>
      </c>
      <c r="I17" s="51" t="s">
        <v>330</v>
      </c>
    </row>
    <row r="18" spans="3:9">
      <c r="C18" s="51" t="s">
        <v>325</v>
      </c>
      <c r="D18" s="52" t="s">
        <v>326</v>
      </c>
      <c r="E18" s="51" t="s">
        <v>327</v>
      </c>
      <c r="F18" s="51" t="s">
        <v>230</v>
      </c>
      <c r="G18" s="53" t="s">
        <v>331</v>
      </c>
      <c r="H18" s="51" t="s">
        <v>329</v>
      </c>
      <c r="I18" s="51" t="s">
        <v>332</v>
      </c>
    </row>
    <row r="19" spans="3:9">
      <c r="C19" s="51" t="s">
        <v>325</v>
      </c>
      <c r="D19" s="52" t="s">
        <v>326</v>
      </c>
      <c r="E19" s="51" t="s">
        <v>333</v>
      </c>
      <c r="F19" s="51" t="s">
        <v>334</v>
      </c>
      <c r="G19" s="53" t="s">
        <v>335</v>
      </c>
      <c r="H19" s="51" t="s">
        <v>329</v>
      </c>
      <c r="I19" s="51" t="s">
        <v>336</v>
      </c>
    </row>
    <row r="20" spans="3:9">
      <c r="C20" s="51" t="s">
        <v>325</v>
      </c>
      <c r="D20" s="52" t="s">
        <v>326</v>
      </c>
      <c r="E20" s="51" t="s">
        <v>337</v>
      </c>
      <c r="F20" s="51" t="s">
        <v>338</v>
      </c>
      <c r="G20" s="53" t="s">
        <v>339</v>
      </c>
      <c r="H20" s="51" t="s">
        <v>340</v>
      </c>
      <c r="I20" s="51" t="s">
        <v>341</v>
      </c>
    </row>
    <row r="21" spans="3:9">
      <c r="C21" s="51" t="s">
        <v>325</v>
      </c>
      <c r="D21" s="52" t="s">
        <v>326</v>
      </c>
      <c r="E21" s="51" t="s">
        <v>342</v>
      </c>
      <c r="F21" s="51" t="s">
        <v>343</v>
      </c>
      <c r="G21" s="53" t="s">
        <v>344</v>
      </c>
      <c r="H21" s="51" t="s">
        <v>329</v>
      </c>
      <c r="I21" s="51" t="s">
        <v>345</v>
      </c>
    </row>
    <row r="22" spans="3:9">
      <c r="C22" s="51" t="s">
        <v>346</v>
      </c>
      <c r="D22" s="52" t="s">
        <v>347</v>
      </c>
      <c r="E22" s="51" t="s">
        <v>348</v>
      </c>
      <c r="F22" s="51" t="s">
        <v>349</v>
      </c>
      <c r="G22" s="53" t="s">
        <v>350</v>
      </c>
      <c r="H22" s="51" t="s">
        <v>351</v>
      </c>
      <c r="I22" s="51" t="s">
        <v>352</v>
      </c>
    </row>
    <row r="23" spans="3:9">
      <c r="C23" s="51" t="s">
        <v>346</v>
      </c>
      <c r="D23" s="52" t="s">
        <v>347</v>
      </c>
      <c r="E23" s="51" t="s">
        <v>348</v>
      </c>
      <c r="F23" s="51" t="s">
        <v>353</v>
      </c>
      <c r="G23" s="53" t="s">
        <v>354</v>
      </c>
      <c r="H23" s="51" t="s">
        <v>351</v>
      </c>
      <c r="I23" s="51" t="s">
        <v>355</v>
      </c>
    </row>
    <row r="24" spans="3:9">
      <c r="C24" s="51" t="s">
        <v>346</v>
      </c>
      <c r="D24" s="52" t="s">
        <v>347</v>
      </c>
      <c r="E24" s="51" t="s">
        <v>348</v>
      </c>
      <c r="F24" s="51" t="s">
        <v>356</v>
      </c>
      <c r="G24" s="53" t="s">
        <v>357</v>
      </c>
      <c r="H24" s="51" t="s">
        <v>351</v>
      </c>
      <c r="I24" s="51" t="s">
        <v>358</v>
      </c>
    </row>
    <row r="25" spans="3:9">
      <c r="C25" s="51" t="s">
        <v>346</v>
      </c>
      <c r="D25" s="52" t="s">
        <v>347</v>
      </c>
      <c r="E25" s="51" t="s">
        <v>359</v>
      </c>
      <c r="F25" s="51" t="s">
        <v>360</v>
      </c>
      <c r="G25" s="53" t="s">
        <v>361</v>
      </c>
      <c r="H25" s="51" t="s">
        <v>351</v>
      </c>
      <c r="I25" s="51" t="s">
        <v>362</v>
      </c>
    </row>
    <row r="26" spans="3:9">
      <c r="C26" s="51" t="s">
        <v>346</v>
      </c>
      <c r="D26" s="52" t="s">
        <v>347</v>
      </c>
      <c r="E26" s="51" t="s">
        <v>359</v>
      </c>
      <c r="F26" s="51" t="s">
        <v>363</v>
      </c>
      <c r="G26" s="53" t="s">
        <v>364</v>
      </c>
      <c r="H26" s="51" t="s">
        <v>351</v>
      </c>
      <c r="I26" s="51" t="s">
        <v>365</v>
      </c>
    </row>
    <row r="27" spans="3:9">
      <c r="C27" s="51" t="s">
        <v>346</v>
      </c>
      <c r="D27" s="52" t="s">
        <v>347</v>
      </c>
      <c r="E27" s="51" t="s">
        <v>359</v>
      </c>
      <c r="F27" s="51" t="s">
        <v>366</v>
      </c>
      <c r="G27" s="53" t="s">
        <v>367</v>
      </c>
      <c r="H27" s="51" t="s">
        <v>351</v>
      </c>
      <c r="I27" s="51" t="s">
        <v>368</v>
      </c>
    </row>
    <row r="28" spans="3:9">
      <c r="C28" s="51" t="s">
        <v>346</v>
      </c>
      <c r="D28" s="52" t="s">
        <v>347</v>
      </c>
      <c r="E28" s="51" t="s">
        <v>369</v>
      </c>
      <c r="F28" s="51" t="s">
        <v>370</v>
      </c>
      <c r="G28" s="53" t="s">
        <v>371</v>
      </c>
      <c r="H28" s="51" t="s">
        <v>351</v>
      </c>
      <c r="I28" s="51" t="s">
        <v>372</v>
      </c>
    </row>
    <row r="29" spans="3:9">
      <c r="C29" s="51" t="s">
        <v>346</v>
      </c>
      <c r="D29" s="52" t="s">
        <v>347</v>
      </c>
      <c r="E29" s="51" t="s">
        <v>373</v>
      </c>
      <c r="F29" s="51" t="s">
        <v>374</v>
      </c>
      <c r="G29" s="53" t="s">
        <v>375</v>
      </c>
      <c r="H29" s="51" t="s">
        <v>351</v>
      </c>
      <c r="I29" s="51" t="s">
        <v>376</v>
      </c>
    </row>
    <row r="30" spans="3:9">
      <c r="C30" s="51" t="s">
        <v>346</v>
      </c>
      <c r="D30" s="52" t="s">
        <v>347</v>
      </c>
      <c r="E30" s="51" t="s">
        <v>373</v>
      </c>
      <c r="F30" s="51" t="s">
        <v>377</v>
      </c>
      <c r="G30" s="53" t="s">
        <v>378</v>
      </c>
      <c r="H30" s="51" t="s">
        <v>351</v>
      </c>
      <c r="I30" s="51" t="s">
        <v>379</v>
      </c>
    </row>
    <row r="31" spans="3:9">
      <c r="C31" s="51" t="s">
        <v>346</v>
      </c>
      <c r="D31" s="52" t="s">
        <v>347</v>
      </c>
      <c r="E31" s="51" t="s">
        <v>373</v>
      </c>
      <c r="F31" s="51" t="s">
        <v>380</v>
      </c>
      <c r="G31" s="53" t="s">
        <v>381</v>
      </c>
      <c r="H31" s="51" t="s">
        <v>351</v>
      </c>
      <c r="I31" s="51" t="s">
        <v>382</v>
      </c>
    </row>
    <row r="32" spans="3:9">
      <c r="C32" s="51" t="s">
        <v>346</v>
      </c>
      <c r="D32" s="52" t="s">
        <v>347</v>
      </c>
      <c r="E32" s="51" t="s">
        <v>373</v>
      </c>
      <c r="F32" s="51" t="s">
        <v>383</v>
      </c>
      <c r="G32" s="53" t="s">
        <v>384</v>
      </c>
      <c r="H32" s="51" t="s">
        <v>351</v>
      </c>
      <c r="I32" s="51" t="s">
        <v>385</v>
      </c>
    </row>
    <row r="33" spans="1:9">
      <c r="B33" s="49" t="s">
        <v>320</v>
      </c>
      <c r="C33" s="60" t="s">
        <v>346</v>
      </c>
      <c r="D33" s="61" t="s">
        <v>347</v>
      </c>
      <c r="E33" s="60" t="s">
        <v>386</v>
      </c>
      <c r="F33" s="60" t="s">
        <v>99</v>
      </c>
      <c r="G33" s="62" t="s">
        <v>387</v>
      </c>
      <c r="H33" s="60" t="s">
        <v>388</v>
      </c>
      <c r="I33" s="60" t="s">
        <v>389</v>
      </c>
    </row>
    <row r="34" spans="1:9">
      <c r="C34" s="51" t="s">
        <v>346</v>
      </c>
      <c r="D34" s="52" t="s">
        <v>347</v>
      </c>
      <c r="E34" s="51" t="s">
        <v>386</v>
      </c>
      <c r="F34" s="51" t="s">
        <v>390</v>
      </c>
      <c r="G34" s="53" t="s">
        <v>391</v>
      </c>
      <c r="H34" s="51" t="s">
        <v>388</v>
      </c>
      <c r="I34" s="51" t="s">
        <v>392</v>
      </c>
    </row>
    <row r="35" spans="1:9">
      <c r="C35" s="51" t="s">
        <v>346</v>
      </c>
      <c r="D35" s="52" t="s">
        <v>347</v>
      </c>
      <c r="E35" s="51" t="s">
        <v>386</v>
      </c>
      <c r="F35" s="51" t="s">
        <v>393</v>
      </c>
      <c r="G35" s="53" t="s">
        <v>394</v>
      </c>
      <c r="H35" s="51" t="s">
        <v>388</v>
      </c>
      <c r="I35" s="51" t="s">
        <v>395</v>
      </c>
    </row>
    <row r="36" spans="1:9">
      <c r="C36" s="51" t="s">
        <v>346</v>
      </c>
      <c r="D36" s="52" t="s">
        <v>347</v>
      </c>
      <c r="E36" s="51" t="s">
        <v>386</v>
      </c>
      <c r="F36" s="51" t="s">
        <v>396</v>
      </c>
      <c r="G36" s="53" t="s">
        <v>397</v>
      </c>
      <c r="H36" s="51" t="s">
        <v>388</v>
      </c>
      <c r="I36" s="51" t="s">
        <v>398</v>
      </c>
    </row>
    <row r="37" spans="1:9">
      <c r="C37" s="51" t="s">
        <v>399</v>
      </c>
      <c r="D37" s="52" t="s">
        <v>400</v>
      </c>
      <c r="E37" s="51" t="s">
        <v>401</v>
      </c>
      <c r="F37" s="51" t="s">
        <v>402</v>
      </c>
      <c r="G37" s="53" t="s">
        <v>403</v>
      </c>
      <c r="H37" s="51" t="s">
        <v>404</v>
      </c>
      <c r="I37" s="51" t="s">
        <v>405</v>
      </c>
    </row>
    <row r="38" spans="1:9">
      <c r="C38" s="51" t="s">
        <v>399</v>
      </c>
      <c r="D38" s="52" t="s">
        <v>400</v>
      </c>
      <c r="E38" s="51" t="s">
        <v>401</v>
      </c>
      <c r="F38" s="51" t="s">
        <v>406</v>
      </c>
      <c r="G38" s="53" t="s">
        <v>407</v>
      </c>
      <c r="H38" s="51" t="s">
        <v>404</v>
      </c>
      <c r="I38" s="51" t="s">
        <v>408</v>
      </c>
    </row>
    <row r="39" spans="1:9">
      <c r="C39" s="51" t="s">
        <v>399</v>
      </c>
      <c r="D39" s="52" t="s">
        <v>400</v>
      </c>
      <c r="E39" s="51" t="s">
        <v>401</v>
      </c>
      <c r="F39" s="51" t="s">
        <v>409</v>
      </c>
      <c r="G39" s="53" t="s">
        <v>410</v>
      </c>
      <c r="H39" s="51" t="s">
        <v>404</v>
      </c>
      <c r="I39" s="51" t="s">
        <v>411</v>
      </c>
    </row>
    <row r="40" spans="1:9">
      <c r="C40" s="51" t="s">
        <v>399</v>
      </c>
      <c r="D40" s="52" t="s">
        <v>400</v>
      </c>
      <c r="E40" s="51" t="s">
        <v>401</v>
      </c>
      <c r="F40" s="51" t="s">
        <v>412</v>
      </c>
      <c r="G40" s="53" t="s">
        <v>413</v>
      </c>
      <c r="H40" s="51" t="s">
        <v>404</v>
      </c>
      <c r="I40" s="51" t="s">
        <v>414</v>
      </c>
    </row>
    <row r="41" spans="1:9">
      <c r="C41" s="51" t="s">
        <v>399</v>
      </c>
      <c r="D41" s="52" t="s">
        <v>400</v>
      </c>
      <c r="E41" s="51" t="s">
        <v>415</v>
      </c>
      <c r="F41" s="51" t="s">
        <v>416</v>
      </c>
      <c r="G41" s="53" t="s">
        <v>417</v>
      </c>
      <c r="H41" s="51" t="s">
        <v>404</v>
      </c>
      <c r="I41" s="51" t="s">
        <v>418</v>
      </c>
    </row>
    <row r="42" spans="1:9">
      <c r="C42" s="51" t="s">
        <v>399</v>
      </c>
      <c r="D42" s="52" t="s">
        <v>400</v>
      </c>
      <c r="E42" s="51" t="s">
        <v>419</v>
      </c>
      <c r="F42" s="51" t="s">
        <v>420</v>
      </c>
      <c r="G42" s="53" t="s">
        <v>421</v>
      </c>
      <c r="H42" s="51" t="s">
        <v>404</v>
      </c>
      <c r="I42" s="51" t="s">
        <v>422</v>
      </c>
    </row>
    <row r="43" spans="1:9">
      <c r="C43" s="51" t="s">
        <v>399</v>
      </c>
      <c r="D43" s="52" t="s">
        <v>400</v>
      </c>
      <c r="E43" s="51" t="s">
        <v>419</v>
      </c>
      <c r="F43" s="51" t="s">
        <v>423</v>
      </c>
      <c r="G43" s="53" t="s">
        <v>424</v>
      </c>
      <c r="H43" s="51" t="s">
        <v>404</v>
      </c>
      <c r="I43" s="51" t="s">
        <v>425</v>
      </c>
    </row>
    <row r="44" spans="1:9">
      <c r="C44" s="51" t="s">
        <v>399</v>
      </c>
      <c r="D44" s="52" t="s">
        <v>400</v>
      </c>
      <c r="E44" s="51" t="s">
        <v>419</v>
      </c>
      <c r="F44" s="51" t="s">
        <v>426</v>
      </c>
      <c r="G44" s="53" t="s">
        <v>427</v>
      </c>
      <c r="H44" s="51" t="s">
        <v>404</v>
      </c>
      <c r="I44" s="51" t="s">
        <v>428</v>
      </c>
    </row>
    <row r="45" spans="1:9" ht="13">
      <c r="A45" s="66"/>
      <c r="C45" s="51" t="s">
        <v>399</v>
      </c>
      <c r="D45" s="52" t="s">
        <v>400</v>
      </c>
      <c r="E45" s="51" t="s">
        <v>419</v>
      </c>
      <c r="F45" s="51" t="s">
        <v>429</v>
      </c>
      <c r="G45" s="53" t="s">
        <v>430</v>
      </c>
      <c r="H45" s="51" t="s">
        <v>404</v>
      </c>
      <c r="I45" s="51" t="s">
        <v>431</v>
      </c>
    </row>
    <row r="46" spans="1:9">
      <c r="C46" s="51" t="s">
        <v>399</v>
      </c>
      <c r="D46" s="52" t="s">
        <v>400</v>
      </c>
      <c r="E46" s="51" t="s">
        <v>419</v>
      </c>
      <c r="F46" s="51" t="s">
        <v>432</v>
      </c>
      <c r="G46" s="53" t="s">
        <v>433</v>
      </c>
      <c r="H46" s="51" t="s">
        <v>404</v>
      </c>
      <c r="I46" s="51" t="s">
        <v>434</v>
      </c>
    </row>
    <row r="47" spans="1:9">
      <c r="C47" s="51" t="s">
        <v>399</v>
      </c>
      <c r="D47" s="52" t="s">
        <v>400</v>
      </c>
      <c r="E47" s="51" t="s">
        <v>435</v>
      </c>
      <c r="F47" s="51" t="s">
        <v>436</v>
      </c>
      <c r="G47" s="53" t="s">
        <v>437</v>
      </c>
      <c r="H47" s="51" t="s">
        <v>404</v>
      </c>
      <c r="I47" s="51" t="s">
        <v>438</v>
      </c>
    </row>
    <row r="48" spans="1:9">
      <c r="C48" s="51" t="s">
        <v>399</v>
      </c>
      <c r="D48" s="52" t="s">
        <v>400</v>
      </c>
      <c r="E48" s="51" t="s">
        <v>435</v>
      </c>
      <c r="F48" s="51" t="s">
        <v>439</v>
      </c>
      <c r="G48" s="53" t="s">
        <v>440</v>
      </c>
      <c r="H48" s="51" t="s">
        <v>404</v>
      </c>
      <c r="I48" s="51" t="s">
        <v>441</v>
      </c>
    </row>
    <row r="49" spans="3:9">
      <c r="C49" s="51" t="s">
        <v>399</v>
      </c>
      <c r="D49" s="52" t="s">
        <v>400</v>
      </c>
      <c r="E49" s="51" t="s">
        <v>442</v>
      </c>
      <c r="F49" s="51" t="s">
        <v>443</v>
      </c>
      <c r="G49" s="53" t="s">
        <v>444</v>
      </c>
      <c r="H49" s="51" t="s">
        <v>404</v>
      </c>
      <c r="I49" s="51" t="s">
        <v>445</v>
      </c>
    </row>
    <row r="50" spans="3:9">
      <c r="C50" s="51" t="s">
        <v>399</v>
      </c>
      <c r="D50" s="52" t="s">
        <v>400</v>
      </c>
      <c r="E50" s="51" t="s">
        <v>442</v>
      </c>
      <c r="F50" s="51" t="s">
        <v>446</v>
      </c>
      <c r="G50" s="53" t="s">
        <v>447</v>
      </c>
      <c r="H50" s="51" t="s">
        <v>404</v>
      </c>
      <c r="I50" s="51" t="s">
        <v>448</v>
      </c>
    </row>
    <row r="51" spans="3:9">
      <c r="C51" s="51" t="s">
        <v>399</v>
      </c>
      <c r="D51" s="52" t="s">
        <v>400</v>
      </c>
      <c r="E51" s="51" t="s">
        <v>442</v>
      </c>
      <c r="F51" s="51" t="s">
        <v>449</v>
      </c>
      <c r="G51" s="53" t="s">
        <v>450</v>
      </c>
      <c r="H51" s="51" t="s">
        <v>404</v>
      </c>
      <c r="I51" s="51" t="s">
        <v>451</v>
      </c>
    </row>
    <row r="52" spans="3:9">
      <c r="C52" s="51" t="s">
        <v>399</v>
      </c>
      <c r="D52" s="52" t="s">
        <v>400</v>
      </c>
      <c r="E52" s="51" t="s">
        <v>442</v>
      </c>
      <c r="F52" s="51" t="s">
        <v>452</v>
      </c>
      <c r="G52" s="53" t="s">
        <v>453</v>
      </c>
      <c r="H52" s="51" t="s">
        <v>454</v>
      </c>
      <c r="I52" s="51" t="s">
        <v>455</v>
      </c>
    </row>
    <row r="53" spans="3:9">
      <c r="C53" s="51" t="s">
        <v>399</v>
      </c>
      <c r="D53" s="52" t="s">
        <v>400</v>
      </c>
      <c r="E53" s="51" t="s">
        <v>442</v>
      </c>
      <c r="F53" s="51" t="s">
        <v>456</v>
      </c>
      <c r="G53" s="53" t="s">
        <v>457</v>
      </c>
      <c r="H53" s="51" t="s">
        <v>404</v>
      </c>
      <c r="I53" s="51" t="s">
        <v>458</v>
      </c>
    </row>
    <row r="54" spans="3:9">
      <c r="C54" s="51" t="s">
        <v>399</v>
      </c>
      <c r="D54" s="52" t="s">
        <v>400</v>
      </c>
      <c r="E54" s="51" t="s">
        <v>459</v>
      </c>
      <c r="F54" s="51" t="s">
        <v>460</v>
      </c>
      <c r="G54" s="53" t="s">
        <v>461</v>
      </c>
      <c r="H54" s="51" t="s">
        <v>404</v>
      </c>
      <c r="I54" s="51" t="s">
        <v>462</v>
      </c>
    </row>
    <row r="55" spans="3:9">
      <c r="C55" s="51" t="s">
        <v>399</v>
      </c>
      <c r="D55" s="52" t="s">
        <v>400</v>
      </c>
      <c r="E55" s="51" t="s">
        <v>459</v>
      </c>
      <c r="F55" s="51" t="s">
        <v>463</v>
      </c>
      <c r="G55" s="53" t="s">
        <v>464</v>
      </c>
      <c r="H55" s="51" t="s">
        <v>404</v>
      </c>
      <c r="I55" s="51" t="s">
        <v>465</v>
      </c>
    </row>
    <row r="56" spans="3:9">
      <c r="C56" s="54" t="s">
        <v>399</v>
      </c>
      <c r="D56" s="55" t="s">
        <v>400</v>
      </c>
      <c r="E56" s="54" t="s">
        <v>466</v>
      </c>
      <c r="F56" s="54" t="s">
        <v>73</v>
      </c>
      <c r="G56" s="56" t="s">
        <v>467</v>
      </c>
      <c r="H56" s="54" t="s">
        <v>468</v>
      </c>
      <c r="I56" s="54" t="s">
        <v>469</v>
      </c>
    </row>
    <row r="57" spans="3:9">
      <c r="C57" s="51" t="s">
        <v>399</v>
      </c>
      <c r="D57" s="52" t="s">
        <v>400</v>
      </c>
      <c r="E57" s="51" t="s">
        <v>466</v>
      </c>
      <c r="F57" s="51" t="s">
        <v>470</v>
      </c>
      <c r="G57" s="53" t="s">
        <v>471</v>
      </c>
      <c r="H57" s="51" t="s">
        <v>468</v>
      </c>
      <c r="I57" s="51" t="s">
        <v>472</v>
      </c>
    </row>
    <row r="58" spans="3:9">
      <c r="C58" s="51" t="s">
        <v>399</v>
      </c>
      <c r="D58" s="52" t="s">
        <v>400</v>
      </c>
      <c r="E58" s="51" t="s">
        <v>466</v>
      </c>
      <c r="F58" s="51" t="s">
        <v>473</v>
      </c>
      <c r="G58" s="53" t="s">
        <v>474</v>
      </c>
      <c r="H58" s="51" t="s">
        <v>468</v>
      </c>
      <c r="I58" s="51" t="s">
        <v>475</v>
      </c>
    </row>
    <row r="59" spans="3:9">
      <c r="C59" s="51" t="s">
        <v>399</v>
      </c>
      <c r="D59" s="52" t="s">
        <v>400</v>
      </c>
      <c r="E59" s="51" t="s">
        <v>466</v>
      </c>
      <c r="F59" s="51" t="s">
        <v>476</v>
      </c>
      <c r="G59" s="53" t="s">
        <v>477</v>
      </c>
      <c r="H59" s="51" t="s">
        <v>468</v>
      </c>
      <c r="I59" s="51" t="s">
        <v>478</v>
      </c>
    </row>
    <row r="60" spans="3:9">
      <c r="C60" s="51" t="s">
        <v>399</v>
      </c>
      <c r="D60" s="52" t="s">
        <v>400</v>
      </c>
      <c r="E60" s="51" t="s">
        <v>466</v>
      </c>
      <c r="F60" s="51" t="s">
        <v>479</v>
      </c>
      <c r="G60" s="53" t="s">
        <v>480</v>
      </c>
      <c r="H60" s="51" t="s">
        <v>468</v>
      </c>
      <c r="I60" s="51" t="s">
        <v>481</v>
      </c>
    </row>
    <row r="61" spans="3:9">
      <c r="C61" s="51" t="s">
        <v>399</v>
      </c>
      <c r="D61" s="52" t="s">
        <v>400</v>
      </c>
      <c r="E61" s="51" t="s">
        <v>466</v>
      </c>
      <c r="F61" s="51" t="s">
        <v>482</v>
      </c>
      <c r="G61" s="53" t="s">
        <v>483</v>
      </c>
      <c r="H61" s="51" t="s">
        <v>468</v>
      </c>
      <c r="I61" s="51" t="s">
        <v>484</v>
      </c>
    </row>
    <row r="62" spans="3:9">
      <c r="C62" s="51" t="s">
        <v>399</v>
      </c>
      <c r="D62" s="52" t="s">
        <v>400</v>
      </c>
      <c r="E62" s="51" t="s">
        <v>466</v>
      </c>
      <c r="F62" s="51" t="s">
        <v>485</v>
      </c>
      <c r="G62" s="53" t="s">
        <v>486</v>
      </c>
      <c r="H62" s="51" t="s">
        <v>468</v>
      </c>
      <c r="I62" s="51" t="s">
        <v>487</v>
      </c>
    </row>
    <row r="63" spans="3:9">
      <c r="C63" s="51" t="s">
        <v>488</v>
      </c>
      <c r="D63" s="52" t="s">
        <v>489</v>
      </c>
      <c r="E63" s="51" t="s">
        <v>490</v>
      </c>
      <c r="F63" s="51" t="s">
        <v>491</v>
      </c>
      <c r="G63" s="53" t="s">
        <v>492</v>
      </c>
      <c r="H63" s="51" t="s">
        <v>493</v>
      </c>
      <c r="I63" s="51" t="s">
        <v>494</v>
      </c>
    </row>
    <row r="64" spans="3:9">
      <c r="C64" s="51" t="s">
        <v>488</v>
      </c>
      <c r="D64" s="52" t="s">
        <v>489</v>
      </c>
      <c r="E64" s="51" t="s">
        <v>490</v>
      </c>
      <c r="F64" s="51" t="s">
        <v>495</v>
      </c>
      <c r="G64" s="53" t="s">
        <v>496</v>
      </c>
      <c r="H64" s="51" t="s">
        <v>493</v>
      </c>
      <c r="I64" s="51" t="s">
        <v>497</v>
      </c>
    </row>
    <row r="65" spans="3:9">
      <c r="C65" s="51" t="s">
        <v>488</v>
      </c>
      <c r="D65" s="52" t="s">
        <v>489</v>
      </c>
      <c r="E65" s="51" t="s">
        <v>490</v>
      </c>
      <c r="F65" s="51" t="s">
        <v>498</v>
      </c>
      <c r="G65" s="53" t="s">
        <v>499</v>
      </c>
      <c r="H65" s="51" t="s">
        <v>493</v>
      </c>
      <c r="I65" s="51" t="s">
        <v>500</v>
      </c>
    </row>
    <row r="66" spans="3:9">
      <c r="C66" s="51" t="s">
        <v>488</v>
      </c>
      <c r="D66" s="52" t="s">
        <v>489</v>
      </c>
      <c r="E66" s="51" t="s">
        <v>501</v>
      </c>
      <c r="F66" s="51" t="s">
        <v>502</v>
      </c>
      <c r="G66" s="53" t="s">
        <v>503</v>
      </c>
      <c r="H66" s="51" t="s">
        <v>493</v>
      </c>
      <c r="I66" s="51" t="s">
        <v>504</v>
      </c>
    </row>
    <row r="67" spans="3:9">
      <c r="C67" s="51" t="s">
        <v>488</v>
      </c>
      <c r="D67" s="52" t="s">
        <v>489</v>
      </c>
      <c r="E67" s="51" t="s">
        <v>501</v>
      </c>
      <c r="F67" s="51" t="s">
        <v>505</v>
      </c>
      <c r="G67" s="53" t="s">
        <v>506</v>
      </c>
      <c r="H67" s="51" t="s">
        <v>493</v>
      </c>
      <c r="I67" s="51" t="s">
        <v>507</v>
      </c>
    </row>
    <row r="68" spans="3:9">
      <c r="C68" s="51" t="s">
        <v>488</v>
      </c>
      <c r="D68" s="52" t="s">
        <v>489</v>
      </c>
      <c r="E68" s="51" t="s">
        <v>508</v>
      </c>
      <c r="F68" s="51" t="s">
        <v>509</v>
      </c>
      <c r="G68" s="53" t="s">
        <v>510</v>
      </c>
      <c r="H68" s="51" t="s">
        <v>493</v>
      </c>
      <c r="I68" s="51" t="s">
        <v>511</v>
      </c>
    </row>
    <row r="69" spans="3:9">
      <c r="C69" s="51" t="s">
        <v>488</v>
      </c>
      <c r="D69" s="52" t="s">
        <v>489</v>
      </c>
      <c r="E69" s="51" t="s">
        <v>508</v>
      </c>
      <c r="F69" s="51" t="s">
        <v>512</v>
      </c>
      <c r="G69" s="53" t="s">
        <v>513</v>
      </c>
      <c r="H69" s="51" t="s">
        <v>493</v>
      </c>
      <c r="I69" s="51" t="s">
        <v>514</v>
      </c>
    </row>
    <row r="70" spans="3:9">
      <c r="C70" s="51" t="s">
        <v>488</v>
      </c>
      <c r="D70" s="52" t="s">
        <v>489</v>
      </c>
      <c r="E70" s="51" t="s">
        <v>508</v>
      </c>
      <c r="F70" s="51" t="s">
        <v>515</v>
      </c>
      <c r="G70" s="53" t="s">
        <v>516</v>
      </c>
      <c r="H70" s="51" t="s">
        <v>493</v>
      </c>
      <c r="I70" s="51" t="s">
        <v>517</v>
      </c>
    </row>
    <row r="71" spans="3:9">
      <c r="C71" s="51" t="s">
        <v>488</v>
      </c>
      <c r="D71" s="52" t="s">
        <v>489</v>
      </c>
      <c r="E71" s="51" t="s">
        <v>508</v>
      </c>
      <c r="F71" s="51" t="s">
        <v>518</v>
      </c>
      <c r="G71" s="53" t="s">
        <v>519</v>
      </c>
      <c r="H71" s="51" t="s">
        <v>493</v>
      </c>
      <c r="I71" s="51" t="s">
        <v>520</v>
      </c>
    </row>
    <row r="72" spans="3:9">
      <c r="C72" s="51" t="s">
        <v>488</v>
      </c>
      <c r="D72" s="52" t="s">
        <v>489</v>
      </c>
      <c r="E72" s="51" t="s">
        <v>508</v>
      </c>
      <c r="F72" s="51" t="s">
        <v>521</v>
      </c>
      <c r="G72" s="53" t="s">
        <v>522</v>
      </c>
      <c r="H72" s="51" t="s">
        <v>493</v>
      </c>
      <c r="I72" s="51" t="s">
        <v>523</v>
      </c>
    </row>
    <row r="73" spans="3:9">
      <c r="C73" s="51" t="s">
        <v>488</v>
      </c>
      <c r="D73" s="52" t="s">
        <v>489</v>
      </c>
      <c r="E73" s="51" t="s">
        <v>508</v>
      </c>
      <c r="F73" s="51" t="s">
        <v>524</v>
      </c>
      <c r="G73" s="53" t="s">
        <v>525</v>
      </c>
      <c r="H73" s="51" t="s">
        <v>493</v>
      </c>
      <c r="I73" s="51" t="s">
        <v>526</v>
      </c>
    </row>
    <row r="74" spans="3:9">
      <c r="C74" s="51" t="s">
        <v>488</v>
      </c>
      <c r="D74" s="52" t="s">
        <v>489</v>
      </c>
      <c r="E74" s="51" t="s">
        <v>508</v>
      </c>
      <c r="F74" s="51" t="s">
        <v>527</v>
      </c>
      <c r="G74" s="53" t="s">
        <v>528</v>
      </c>
      <c r="H74" s="51" t="s">
        <v>493</v>
      </c>
      <c r="I74" s="51" t="s">
        <v>529</v>
      </c>
    </row>
    <row r="75" spans="3:9">
      <c r="C75" s="51" t="s">
        <v>488</v>
      </c>
      <c r="D75" s="52" t="s">
        <v>489</v>
      </c>
      <c r="E75" s="51" t="s">
        <v>530</v>
      </c>
      <c r="F75" s="51" t="s">
        <v>531</v>
      </c>
      <c r="G75" s="53" t="s">
        <v>532</v>
      </c>
      <c r="H75" s="51" t="s">
        <v>493</v>
      </c>
      <c r="I75" s="51" t="s">
        <v>533</v>
      </c>
    </row>
    <row r="76" spans="3:9">
      <c r="C76" s="51" t="s">
        <v>488</v>
      </c>
      <c r="D76" s="52" t="s">
        <v>489</v>
      </c>
      <c r="E76" s="51" t="s">
        <v>530</v>
      </c>
      <c r="F76" s="51" t="s">
        <v>534</v>
      </c>
      <c r="G76" s="53" t="s">
        <v>535</v>
      </c>
      <c r="H76" s="51" t="s">
        <v>493</v>
      </c>
      <c r="I76" s="51" t="s">
        <v>536</v>
      </c>
    </row>
    <row r="77" spans="3:9">
      <c r="C77" s="51" t="s">
        <v>488</v>
      </c>
      <c r="D77" s="52" t="s">
        <v>489</v>
      </c>
      <c r="E77" s="51" t="s">
        <v>530</v>
      </c>
      <c r="F77" s="51" t="s">
        <v>537</v>
      </c>
      <c r="G77" s="53" t="s">
        <v>538</v>
      </c>
      <c r="H77" s="51" t="s">
        <v>493</v>
      </c>
      <c r="I77" s="51" t="s">
        <v>539</v>
      </c>
    </row>
    <row r="78" spans="3:9">
      <c r="C78" s="51" t="s">
        <v>488</v>
      </c>
      <c r="D78" s="52" t="s">
        <v>489</v>
      </c>
      <c r="E78" s="51" t="s">
        <v>530</v>
      </c>
      <c r="F78" s="51" t="s">
        <v>540</v>
      </c>
      <c r="G78" s="53" t="s">
        <v>541</v>
      </c>
      <c r="H78" s="51" t="s">
        <v>493</v>
      </c>
      <c r="I78" s="51" t="s">
        <v>542</v>
      </c>
    </row>
    <row r="79" spans="3:9">
      <c r="C79" s="51" t="s">
        <v>488</v>
      </c>
      <c r="D79" s="52" t="s">
        <v>489</v>
      </c>
      <c r="E79" s="51" t="s">
        <v>530</v>
      </c>
      <c r="F79" s="51" t="s">
        <v>543</v>
      </c>
      <c r="G79" s="53" t="s">
        <v>544</v>
      </c>
      <c r="H79" s="51" t="s">
        <v>493</v>
      </c>
      <c r="I79" s="51" t="s">
        <v>545</v>
      </c>
    </row>
    <row r="80" spans="3:9">
      <c r="C80" s="51" t="s">
        <v>488</v>
      </c>
      <c r="D80" s="52" t="s">
        <v>489</v>
      </c>
      <c r="E80" s="51" t="s">
        <v>530</v>
      </c>
      <c r="F80" s="51" t="s">
        <v>546</v>
      </c>
      <c r="G80" s="53" t="s">
        <v>547</v>
      </c>
      <c r="H80" s="51" t="s">
        <v>493</v>
      </c>
      <c r="I80" s="51" t="s">
        <v>548</v>
      </c>
    </row>
    <row r="81" spans="3:9">
      <c r="C81" s="51" t="s">
        <v>488</v>
      </c>
      <c r="D81" s="52" t="s">
        <v>489</v>
      </c>
      <c r="E81" s="51" t="s">
        <v>549</v>
      </c>
      <c r="F81" s="51" t="s">
        <v>550</v>
      </c>
      <c r="G81" s="53" t="s">
        <v>551</v>
      </c>
      <c r="H81" s="51" t="s">
        <v>493</v>
      </c>
      <c r="I81" s="51" t="s">
        <v>552</v>
      </c>
    </row>
    <row r="82" spans="3:9">
      <c r="C82" s="51" t="s">
        <v>488</v>
      </c>
      <c r="D82" s="52" t="s">
        <v>489</v>
      </c>
      <c r="E82" s="51" t="s">
        <v>549</v>
      </c>
      <c r="F82" s="51" t="s">
        <v>553</v>
      </c>
      <c r="G82" s="53" t="s">
        <v>554</v>
      </c>
      <c r="H82" s="51" t="s">
        <v>493</v>
      </c>
      <c r="I82" s="51" t="s">
        <v>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K82"/>
  <sheetViews>
    <sheetView workbookViewId="0"/>
  </sheetViews>
  <sheetFormatPr baseColWidth="10" defaultRowHeight="13"/>
  <cols>
    <col min="3" max="3" width="7.6640625" style="49" customWidth="1"/>
    <col min="4" max="4" width="5.6640625" style="50" customWidth="1"/>
    <col min="5" max="5" width="6.1640625" style="49" customWidth="1"/>
    <col min="6" max="6" width="32.33203125" style="49" customWidth="1"/>
    <col min="7" max="7" width="5.83203125" style="50" customWidth="1"/>
    <col min="8" max="8" width="24.83203125" style="49" customWidth="1"/>
    <col min="9" max="9" width="9.33203125" style="49" customWidth="1"/>
    <col min="10" max="10" width="29.1640625" style="49" customWidth="1"/>
    <col min="11" max="11" width="39.6640625" style="50" customWidth="1"/>
  </cols>
  <sheetData>
    <row r="3" spans="3:11">
      <c r="C3" s="57" t="s">
        <v>809</v>
      </c>
      <c r="D3" s="58" t="s">
        <v>810</v>
      </c>
      <c r="E3" s="58" t="s">
        <v>274</v>
      </c>
      <c r="F3" s="58" t="s">
        <v>275</v>
      </c>
      <c r="G3" s="58" t="s">
        <v>276</v>
      </c>
      <c r="H3" s="58" t="s">
        <v>811</v>
      </c>
      <c r="I3" s="58" t="s">
        <v>277</v>
      </c>
      <c r="J3" s="57" t="s">
        <v>278</v>
      </c>
      <c r="K3" s="58" t="s">
        <v>279</v>
      </c>
    </row>
    <row r="4" spans="3:11" hidden="1">
      <c r="C4" s="60">
        <v>1</v>
      </c>
      <c r="D4" s="61" t="s">
        <v>812</v>
      </c>
      <c r="E4" s="60" t="s">
        <v>282</v>
      </c>
      <c r="F4" s="60" t="s">
        <v>813</v>
      </c>
      <c r="G4" s="62" t="s">
        <v>284</v>
      </c>
      <c r="H4" s="60" t="s">
        <v>814</v>
      </c>
      <c r="I4" s="60" t="s">
        <v>87</v>
      </c>
      <c r="J4" s="60" t="s">
        <v>815</v>
      </c>
      <c r="K4" s="61" t="s">
        <v>816</v>
      </c>
    </row>
    <row r="5" spans="3:11" hidden="1">
      <c r="C5" s="60">
        <v>2</v>
      </c>
      <c r="D5" s="61" t="s">
        <v>812</v>
      </c>
      <c r="E5" s="60" t="s">
        <v>282</v>
      </c>
      <c r="F5" s="60" t="s">
        <v>813</v>
      </c>
      <c r="G5" s="62" t="s">
        <v>284</v>
      </c>
      <c r="H5" s="60" t="s">
        <v>817</v>
      </c>
      <c r="I5" s="60" t="s">
        <v>90</v>
      </c>
      <c r="J5" s="60" t="s">
        <v>818</v>
      </c>
      <c r="K5" s="61" t="s">
        <v>816</v>
      </c>
    </row>
    <row r="6" spans="3:11" hidden="1">
      <c r="C6" s="60">
        <v>3</v>
      </c>
      <c r="D6" s="61" t="s">
        <v>812</v>
      </c>
      <c r="E6" s="60" t="s">
        <v>282</v>
      </c>
      <c r="F6" s="60" t="s">
        <v>813</v>
      </c>
      <c r="G6" s="62" t="s">
        <v>284</v>
      </c>
      <c r="H6" s="60" t="s">
        <v>819</v>
      </c>
      <c r="I6" s="60" t="s">
        <v>94</v>
      </c>
      <c r="J6" s="60" t="s">
        <v>95</v>
      </c>
      <c r="K6" s="61" t="s">
        <v>816</v>
      </c>
    </row>
    <row r="7" spans="3:11" hidden="1">
      <c r="C7" s="60">
        <v>4</v>
      </c>
      <c r="D7" s="61" t="s">
        <v>812</v>
      </c>
      <c r="E7" s="60" t="s">
        <v>282</v>
      </c>
      <c r="F7" s="60" t="s">
        <v>813</v>
      </c>
      <c r="G7" s="62" t="s">
        <v>284</v>
      </c>
      <c r="H7" s="60" t="s">
        <v>820</v>
      </c>
      <c r="I7" s="60" t="s">
        <v>564</v>
      </c>
      <c r="J7" s="60" t="s">
        <v>565</v>
      </c>
      <c r="K7" s="61" t="s">
        <v>816</v>
      </c>
    </row>
    <row r="8" spans="3:11" hidden="1">
      <c r="C8" s="60">
        <v>5</v>
      </c>
      <c r="D8" s="61" t="s">
        <v>812</v>
      </c>
      <c r="E8" s="60" t="s">
        <v>282</v>
      </c>
      <c r="F8" s="60" t="s">
        <v>813</v>
      </c>
      <c r="G8" s="62" t="s">
        <v>293</v>
      </c>
      <c r="H8" s="60" t="s">
        <v>821</v>
      </c>
      <c r="I8" s="60" t="s">
        <v>103</v>
      </c>
      <c r="J8" s="60" t="s">
        <v>296</v>
      </c>
      <c r="K8" s="61" t="s">
        <v>816</v>
      </c>
    </row>
    <row r="9" spans="3:11" hidden="1">
      <c r="C9" s="51">
        <v>6</v>
      </c>
      <c r="D9" s="52" t="s">
        <v>812</v>
      </c>
      <c r="E9" s="51" t="s">
        <v>282</v>
      </c>
      <c r="F9" s="51" t="s">
        <v>813</v>
      </c>
      <c r="G9" s="53" t="s">
        <v>293</v>
      </c>
      <c r="H9" s="51" t="s">
        <v>822</v>
      </c>
      <c r="I9" s="51" t="s">
        <v>393</v>
      </c>
      <c r="J9" s="51" t="s">
        <v>394</v>
      </c>
      <c r="K9" s="52" t="s">
        <v>816</v>
      </c>
    </row>
    <row r="10" spans="3:11" hidden="1">
      <c r="C10" s="51">
        <v>7</v>
      </c>
      <c r="D10" s="52" t="s">
        <v>812</v>
      </c>
      <c r="E10" s="51" t="s">
        <v>282</v>
      </c>
      <c r="F10" s="51" t="s">
        <v>813</v>
      </c>
      <c r="G10" s="53" t="s">
        <v>293</v>
      </c>
      <c r="H10" s="51" t="s">
        <v>823</v>
      </c>
      <c r="I10" s="51" t="s">
        <v>290</v>
      </c>
      <c r="J10" s="51" t="s">
        <v>824</v>
      </c>
      <c r="K10" s="52" t="s">
        <v>816</v>
      </c>
    </row>
    <row r="11" spans="3:11" hidden="1">
      <c r="C11" s="51">
        <v>8</v>
      </c>
      <c r="D11" s="52" t="s">
        <v>812</v>
      </c>
      <c r="E11" s="51" t="s">
        <v>282</v>
      </c>
      <c r="F11" s="51" t="s">
        <v>813</v>
      </c>
      <c r="G11" s="53" t="s">
        <v>293</v>
      </c>
      <c r="H11" s="51" t="s">
        <v>825</v>
      </c>
      <c r="I11" s="51" t="s">
        <v>107</v>
      </c>
      <c r="J11" s="51" t="s">
        <v>298</v>
      </c>
      <c r="K11" s="52" t="s">
        <v>816</v>
      </c>
    </row>
    <row r="12" spans="3:11" hidden="1">
      <c r="C12" s="51">
        <v>9</v>
      </c>
      <c r="D12" s="52" t="s">
        <v>812</v>
      </c>
      <c r="E12" s="51" t="s">
        <v>282</v>
      </c>
      <c r="F12" s="51" t="s">
        <v>813</v>
      </c>
      <c r="G12" s="53" t="s">
        <v>300</v>
      </c>
      <c r="H12" s="51" t="s">
        <v>826</v>
      </c>
      <c r="I12" s="51" t="s">
        <v>558</v>
      </c>
      <c r="J12" s="51" t="s">
        <v>559</v>
      </c>
      <c r="K12" s="52" t="s">
        <v>816</v>
      </c>
    </row>
    <row r="13" spans="3:11" hidden="1">
      <c r="C13" s="60">
        <v>10</v>
      </c>
      <c r="D13" s="61" t="s">
        <v>812</v>
      </c>
      <c r="E13" s="60" t="s">
        <v>282</v>
      </c>
      <c r="F13" s="60" t="s">
        <v>813</v>
      </c>
      <c r="G13" s="62" t="s">
        <v>300</v>
      </c>
      <c r="H13" s="60" t="s">
        <v>827</v>
      </c>
      <c r="I13" s="60" t="s">
        <v>142</v>
      </c>
      <c r="J13" s="60" t="s">
        <v>828</v>
      </c>
      <c r="K13" s="61" t="s">
        <v>816</v>
      </c>
    </row>
    <row r="14" spans="3:11" hidden="1">
      <c r="C14" s="60">
        <v>11</v>
      </c>
      <c r="D14" s="61" t="s">
        <v>812</v>
      </c>
      <c r="E14" s="60" t="s">
        <v>282</v>
      </c>
      <c r="F14" s="60" t="s">
        <v>813</v>
      </c>
      <c r="G14" s="62" t="s">
        <v>300</v>
      </c>
      <c r="H14" s="60" t="s">
        <v>829</v>
      </c>
      <c r="I14" s="60" t="s">
        <v>145</v>
      </c>
      <c r="J14" s="60" t="s">
        <v>830</v>
      </c>
      <c r="K14" s="61" t="s">
        <v>816</v>
      </c>
    </row>
    <row r="15" spans="3:11" hidden="1">
      <c r="C15" s="51">
        <v>12</v>
      </c>
      <c r="D15" s="52" t="s">
        <v>812</v>
      </c>
      <c r="E15" s="51" t="s">
        <v>282</v>
      </c>
      <c r="F15" s="51" t="s">
        <v>813</v>
      </c>
      <c r="G15" s="53" t="s">
        <v>303</v>
      </c>
      <c r="H15" s="51" t="s">
        <v>831</v>
      </c>
      <c r="I15" s="51" t="s">
        <v>578</v>
      </c>
      <c r="J15" s="51" t="s">
        <v>579</v>
      </c>
      <c r="K15" s="52" t="s">
        <v>832</v>
      </c>
    </row>
    <row r="16" spans="3:11" hidden="1">
      <c r="C16" s="60">
        <v>13</v>
      </c>
      <c r="D16" s="61" t="s">
        <v>812</v>
      </c>
      <c r="E16" s="60" t="s">
        <v>282</v>
      </c>
      <c r="F16" s="60" t="s">
        <v>813</v>
      </c>
      <c r="G16" s="62" t="s">
        <v>303</v>
      </c>
      <c r="H16" s="60" t="s">
        <v>833</v>
      </c>
      <c r="I16" s="60" t="s">
        <v>184</v>
      </c>
      <c r="J16" s="60" t="s">
        <v>834</v>
      </c>
      <c r="K16" s="61" t="s">
        <v>832</v>
      </c>
    </row>
    <row r="17" spans="3:11" hidden="1">
      <c r="C17" s="51">
        <v>14</v>
      </c>
      <c r="D17" s="52" t="s">
        <v>835</v>
      </c>
      <c r="E17" s="51" t="s">
        <v>325</v>
      </c>
      <c r="F17" s="51" t="s">
        <v>836</v>
      </c>
      <c r="G17" s="53" t="s">
        <v>327</v>
      </c>
      <c r="H17" s="51" t="s">
        <v>837</v>
      </c>
      <c r="I17" s="51" t="s">
        <v>838</v>
      </c>
      <c r="J17" s="51" t="s">
        <v>839</v>
      </c>
      <c r="K17" s="52" t="s">
        <v>840</v>
      </c>
    </row>
    <row r="18" spans="3:11" hidden="1">
      <c r="C18" s="51">
        <v>15</v>
      </c>
      <c r="D18" s="52" t="s">
        <v>835</v>
      </c>
      <c r="E18" s="51" t="s">
        <v>325</v>
      </c>
      <c r="F18" s="51" t="s">
        <v>836</v>
      </c>
      <c r="G18" s="53" t="s">
        <v>327</v>
      </c>
      <c r="H18" s="51" t="s">
        <v>841</v>
      </c>
      <c r="I18" s="51" t="s">
        <v>188</v>
      </c>
      <c r="J18" s="51" t="s">
        <v>842</v>
      </c>
      <c r="K18" s="52" t="s">
        <v>840</v>
      </c>
    </row>
    <row r="19" spans="3:11" hidden="1">
      <c r="C19" s="51">
        <v>16</v>
      </c>
      <c r="D19" s="52" t="s">
        <v>843</v>
      </c>
      <c r="E19" s="51" t="s">
        <v>325</v>
      </c>
      <c r="F19" s="51" t="s">
        <v>836</v>
      </c>
      <c r="G19" s="53" t="s">
        <v>327</v>
      </c>
      <c r="H19" s="51" t="s">
        <v>844</v>
      </c>
      <c r="I19" s="51" t="s">
        <v>845</v>
      </c>
      <c r="J19" s="51" t="s">
        <v>846</v>
      </c>
      <c r="K19" s="52" t="s">
        <v>847</v>
      </c>
    </row>
    <row r="20" spans="3:11" hidden="1">
      <c r="C20" s="51">
        <v>17</v>
      </c>
      <c r="D20" s="52" t="s">
        <v>835</v>
      </c>
      <c r="E20" s="51" t="s">
        <v>325</v>
      </c>
      <c r="F20" s="51" t="s">
        <v>836</v>
      </c>
      <c r="G20" s="53" t="s">
        <v>333</v>
      </c>
      <c r="H20" s="51" t="s">
        <v>848</v>
      </c>
      <c r="I20" s="51" t="s">
        <v>190</v>
      </c>
      <c r="J20" s="51" t="s">
        <v>849</v>
      </c>
      <c r="K20" s="52" t="s">
        <v>840</v>
      </c>
    </row>
    <row r="21" spans="3:11" hidden="1">
      <c r="C21" s="51">
        <v>18</v>
      </c>
      <c r="D21" s="52" t="s">
        <v>835</v>
      </c>
      <c r="E21" s="51" t="s">
        <v>325</v>
      </c>
      <c r="F21" s="51" t="s">
        <v>836</v>
      </c>
      <c r="G21" s="53" t="s">
        <v>333</v>
      </c>
      <c r="H21" s="51" t="s">
        <v>850</v>
      </c>
      <c r="I21" s="51" t="s">
        <v>851</v>
      </c>
      <c r="J21" s="51" t="s">
        <v>193</v>
      </c>
      <c r="K21" s="52" t="s">
        <v>840</v>
      </c>
    </row>
    <row r="22" spans="3:11" hidden="1">
      <c r="C22" s="51">
        <v>19</v>
      </c>
      <c r="D22" s="52" t="s">
        <v>843</v>
      </c>
      <c r="E22" s="51" t="s">
        <v>325</v>
      </c>
      <c r="F22" s="51" t="s">
        <v>836</v>
      </c>
      <c r="G22" s="53" t="s">
        <v>333</v>
      </c>
      <c r="H22" s="51" t="s">
        <v>852</v>
      </c>
      <c r="I22" s="51" t="s">
        <v>194</v>
      </c>
      <c r="J22" s="51" t="s">
        <v>195</v>
      </c>
      <c r="K22" s="52" t="s">
        <v>853</v>
      </c>
    </row>
    <row r="23" spans="3:11" hidden="1">
      <c r="C23" s="51">
        <v>20</v>
      </c>
      <c r="D23" s="52" t="s">
        <v>843</v>
      </c>
      <c r="E23" s="51" t="s">
        <v>325</v>
      </c>
      <c r="F23" s="51" t="s">
        <v>836</v>
      </c>
      <c r="G23" s="53" t="s">
        <v>337</v>
      </c>
      <c r="H23" s="51" t="s">
        <v>661</v>
      </c>
      <c r="I23" s="51" t="s">
        <v>659</v>
      </c>
      <c r="J23" s="51" t="s">
        <v>660</v>
      </c>
      <c r="K23" s="52" t="s">
        <v>854</v>
      </c>
    </row>
    <row r="24" spans="3:11" hidden="1">
      <c r="C24" s="51">
        <v>21</v>
      </c>
      <c r="D24" s="52" t="s">
        <v>843</v>
      </c>
      <c r="E24" s="51" t="s">
        <v>325</v>
      </c>
      <c r="F24" s="51" t="s">
        <v>836</v>
      </c>
      <c r="G24" s="53" t="s">
        <v>337</v>
      </c>
      <c r="H24" s="51" t="s">
        <v>855</v>
      </c>
      <c r="I24" s="51" t="s">
        <v>856</v>
      </c>
      <c r="J24" s="51" t="s">
        <v>857</v>
      </c>
      <c r="K24" s="52" t="s">
        <v>858</v>
      </c>
    </row>
    <row r="25" spans="3:11">
      <c r="C25" s="51">
        <v>22</v>
      </c>
      <c r="D25" s="52" t="s">
        <v>835</v>
      </c>
      <c r="E25" s="51" t="s">
        <v>346</v>
      </c>
      <c r="F25" s="51" t="s">
        <v>859</v>
      </c>
      <c r="G25" s="53" t="s">
        <v>348</v>
      </c>
      <c r="H25" s="51" t="s">
        <v>860</v>
      </c>
      <c r="I25" s="51" t="s">
        <v>584</v>
      </c>
      <c r="J25" s="51" t="s">
        <v>585</v>
      </c>
      <c r="K25" s="52" t="s">
        <v>840</v>
      </c>
    </row>
    <row r="26" spans="3:11">
      <c r="C26" s="51">
        <v>23</v>
      </c>
      <c r="D26" s="52" t="s">
        <v>835</v>
      </c>
      <c r="E26" s="51" t="s">
        <v>346</v>
      </c>
      <c r="F26" s="51" t="s">
        <v>859</v>
      </c>
      <c r="G26" s="53" t="s">
        <v>348</v>
      </c>
      <c r="H26" s="51" t="s">
        <v>592</v>
      </c>
      <c r="I26" s="51" t="s">
        <v>590</v>
      </c>
      <c r="J26" s="51" t="s">
        <v>591</v>
      </c>
      <c r="K26" s="52" t="s">
        <v>840</v>
      </c>
    </row>
    <row r="27" spans="3:11">
      <c r="C27" s="51">
        <v>24</v>
      </c>
      <c r="D27" s="52" t="s">
        <v>835</v>
      </c>
      <c r="E27" s="51" t="s">
        <v>346</v>
      </c>
      <c r="F27" s="51" t="s">
        <v>859</v>
      </c>
      <c r="G27" s="53" t="s">
        <v>359</v>
      </c>
      <c r="H27" s="51" t="s">
        <v>861</v>
      </c>
      <c r="I27" s="51" t="s">
        <v>612</v>
      </c>
      <c r="J27" s="51" t="s">
        <v>613</v>
      </c>
      <c r="K27" s="52" t="s">
        <v>840</v>
      </c>
    </row>
    <row r="28" spans="3:11">
      <c r="C28" s="51">
        <v>25</v>
      </c>
      <c r="D28" s="52" t="s">
        <v>835</v>
      </c>
      <c r="E28" s="51" t="s">
        <v>346</v>
      </c>
      <c r="F28" s="51" t="s">
        <v>859</v>
      </c>
      <c r="G28" s="53" t="s">
        <v>359</v>
      </c>
      <c r="H28" s="51" t="s">
        <v>862</v>
      </c>
      <c r="I28" s="51" t="s">
        <v>618</v>
      </c>
      <c r="J28" s="51" t="s">
        <v>619</v>
      </c>
      <c r="K28" s="52" t="s">
        <v>840</v>
      </c>
    </row>
    <row r="29" spans="3:11">
      <c r="C29" s="51">
        <v>26</v>
      </c>
      <c r="D29" s="52" t="s">
        <v>843</v>
      </c>
      <c r="E29" s="51" t="s">
        <v>346</v>
      </c>
      <c r="F29" s="51" t="s">
        <v>859</v>
      </c>
      <c r="G29" s="53" t="s">
        <v>359</v>
      </c>
      <c r="H29" s="51" t="s">
        <v>863</v>
      </c>
      <c r="I29" s="51" t="s">
        <v>864</v>
      </c>
      <c r="J29" s="51" t="s">
        <v>865</v>
      </c>
      <c r="K29" s="52" t="s">
        <v>854</v>
      </c>
    </row>
    <row r="30" spans="3:11">
      <c r="C30" s="51">
        <v>27</v>
      </c>
      <c r="D30" s="52" t="s">
        <v>835</v>
      </c>
      <c r="E30" s="51" t="s">
        <v>346</v>
      </c>
      <c r="F30" s="51" t="s">
        <v>859</v>
      </c>
      <c r="G30" s="53" t="s">
        <v>369</v>
      </c>
      <c r="H30" s="51" t="s">
        <v>866</v>
      </c>
      <c r="I30" s="51" t="s">
        <v>665</v>
      </c>
      <c r="J30" s="51" t="s">
        <v>666</v>
      </c>
      <c r="K30" s="52" t="s">
        <v>840</v>
      </c>
    </row>
    <row r="31" spans="3:11">
      <c r="C31" s="51">
        <v>28</v>
      </c>
      <c r="D31" s="52" t="s">
        <v>843</v>
      </c>
      <c r="E31" s="51" t="s">
        <v>346</v>
      </c>
      <c r="F31" s="51" t="s">
        <v>859</v>
      </c>
      <c r="G31" s="53" t="s">
        <v>369</v>
      </c>
      <c r="H31" s="51" t="s">
        <v>867</v>
      </c>
      <c r="I31" s="51" t="s">
        <v>868</v>
      </c>
      <c r="J31" s="51" t="s">
        <v>869</v>
      </c>
      <c r="K31" s="52" t="s">
        <v>854</v>
      </c>
    </row>
    <row r="32" spans="3:11">
      <c r="C32" s="51">
        <v>29</v>
      </c>
      <c r="D32" s="52" t="s">
        <v>843</v>
      </c>
      <c r="E32" s="51" t="s">
        <v>346</v>
      </c>
      <c r="F32" s="51" t="s">
        <v>859</v>
      </c>
      <c r="G32" s="53" t="s">
        <v>369</v>
      </c>
      <c r="H32" s="51" t="s">
        <v>870</v>
      </c>
      <c r="I32" s="51" t="s">
        <v>871</v>
      </c>
      <c r="J32" s="51" t="s">
        <v>872</v>
      </c>
      <c r="K32" s="52" t="s">
        <v>854</v>
      </c>
    </row>
    <row r="33" spans="3:11">
      <c r="C33" s="51">
        <v>30</v>
      </c>
      <c r="D33" s="52" t="s">
        <v>843</v>
      </c>
      <c r="E33" s="51" t="s">
        <v>346</v>
      </c>
      <c r="F33" s="51" t="s">
        <v>859</v>
      </c>
      <c r="G33" s="53" t="s">
        <v>373</v>
      </c>
      <c r="H33" s="51" t="s">
        <v>873</v>
      </c>
      <c r="I33" s="51" t="s">
        <v>874</v>
      </c>
      <c r="J33" s="51" t="s">
        <v>875</v>
      </c>
      <c r="K33" s="52" t="s">
        <v>876</v>
      </c>
    </row>
    <row r="34" spans="3:11">
      <c r="C34" s="51">
        <v>31</v>
      </c>
      <c r="D34" s="52" t="s">
        <v>843</v>
      </c>
      <c r="E34" s="51" t="s">
        <v>346</v>
      </c>
      <c r="F34" s="51" t="s">
        <v>859</v>
      </c>
      <c r="G34" s="53" t="s">
        <v>373</v>
      </c>
      <c r="H34" s="51" t="s">
        <v>877</v>
      </c>
      <c r="I34" s="51" t="s">
        <v>878</v>
      </c>
      <c r="J34" s="51" t="s">
        <v>879</v>
      </c>
      <c r="K34" s="52" t="s">
        <v>854</v>
      </c>
    </row>
    <row r="35" spans="3:11" hidden="1">
      <c r="C35" s="51">
        <v>32</v>
      </c>
      <c r="D35" s="52" t="s">
        <v>835</v>
      </c>
      <c r="E35" s="51" t="s">
        <v>399</v>
      </c>
      <c r="F35" s="51" t="s">
        <v>880</v>
      </c>
      <c r="G35" s="53" t="s">
        <v>401</v>
      </c>
      <c r="H35" s="51" t="s">
        <v>881</v>
      </c>
      <c r="I35" s="51" t="s">
        <v>596</v>
      </c>
      <c r="J35" s="51" t="s">
        <v>597</v>
      </c>
      <c r="K35" s="52" t="s">
        <v>840</v>
      </c>
    </row>
    <row r="36" spans="3:11" hidden="1">
      <c r="C36" s="51">
        <v>33</v>
      </c>
      <c r="D36" s="52" t="s">
        <v>835</v>
      </c>
      <c r="E36" s="51" t="s">
        <v>399</v>
      </c>
      <c r="F36" s="51" t="s">
        <v>880</v>
      </c>
      <c r="G36" s="53" t="s">
        <v>401</v>
      </c>
      <c r="H36" s="51" t="s">
        <v>882</v>
      </c>
      <c r="I36" s="51" t="s">
        <v>657</v>
      </c>
      <c r="J36" s="51" t="s">
        <v>658</v>
      </c>
      <c r="K36" s="52" t="s">
        <v>840</v>
      </c>
    </row>
    <row r="37" spans="3:11" hidden="1">
      <c r="C37" s="51">
        <v>34</v>
      </c>
      <c r="D37" s="52" t="s">
        <v>835</v>
      </c>
      <c r="E37" s="51" t="s">
        <v>399</v>
      </c>
      <c r="F37" s="51" t="s">
        <v>880</v>
      </c>
      <c r="G37" s="53" t="s">
        <v>401</v>
      </c>
      <c r="H37" s="51" t="s">
        <v>883</v>
      </c>
      <c r="I37" s="51" t="s">
        <v>602</v>
      </c>
      <c r="J37" s="51" t="s">
        <v>603</v>
      </c>
      <c r="K37" s="52" t="s">
        <v>840</v>
      </c>
    </row>
    <row r="38" spans="3:11" hidden="1">
      <c r="C38" s="51">
        <v>35</v>
      </c>
      <c r="D38" s="52" t="s">
        <v>835</v>
      </c>
      <c r="E38" s="51" t="s">
        <v>399</v>
      </c>
      <c r="F38" s="51" t="s">
        <v>880</v>
      </c>
      <c r="G38" s="53" t="s">
        <v>401</v>
      </c>
      <c r="H38" s="51" t="s">
        <v>884</v>
      </c>
      <c r="I38" s="51" t="s">
        <v>607</v>
      </c>
      <c r="J38" s="51" t="s">
        <v>608</v>
      </c>
      <c r="K38" s="52" t="s">
        <v>840</v>
      </c>
    </row>
    <row r="39" spans="3:11" hidden="1">
      <c r="C39" s="51">
        <v>36</v>
      </c>
      <c r="D39" s="52" t="s">
        <v>835</v>
      </c>
      <c r="E39" s="51" t="s">
        <v>399</v>
      </c>
      <c r="F39" s="51" t="s">
        <v>880</v>
      </c>
      <c r="G39" s="53" t="s">
        <v>415</v>
      </c>
      <c r="H39" s="51" t="s">
        <v>885</v>
      </c>
      <c r="I39" s="51" t="s">
        <v>623</v>
      </c>
      <c r="J39" s="51" t="s">
        <v>624</v>
      </c>
      <c r="K39" s="52" t="s">
        <v>840</v>
      </c>
    </row>
    <row r="40" spans="3:11" hidden="1">
      <c r="C40" s="51">
        <v>37</v>
      </c>
      <c r="D40" s="52" t="s">
        <v>835</v>
      </c>
      <c r="E40" s="51" t="s">
        <v>399</v>
      </c>
      <c r="F40" s="51" t="s">
        <v>880</v>
      </c>
      <c r="G40" s="53" t="s">
        <v>415</v>
      </c>
      <c r="H40" s="51" t="s">
        <v>885</v>
      </c>
      <c r="I40" s="51" t="s">
        <v>629</v>
      </c>
      <c r="J40" s="51" t="s">
        <v>630</v>
      </c>
      <c r="K40" s="52" t="s">
        <v>840</v>
      </c>
    </row>
    <row r="41" spans="3:11" hidden="1">
      <c r="C41" s="51">
        <v>38</v>
      </c>
      <c r="D41" s="52" t="s">
        <v>843</v>
      </c>
      <c r="E41" s="51" t="s">
        <v>399</v>
      </c>
      <c r="F41" s="51" t="s">
        <v>880</v>
      </c>
      <c r="G41" s="53" t="s">
        <v>415</v>
      </c>
      <c r="H41" s="51" t="s">
        <v>886</v>
      </c>
      <c r="I41" s="51" t="s">
        <v>651</v>
      </c>
      <c r="J41" s="51" t="s">
        <v>652</v>
      </c>
      <c r="K41" s="52" t="s">
        <v>854</v>
      </c>
    </row>
    <row r="42" spans="3:11" hidden="1">
      <c r="C42" s="51">
        <v>39</v>
      </c>
      <c r="D42" s="52" t="s">
        <v>843</v>
      </c>
      <c r="E42" s="51" t="s">
        <v>399</v>
      </c>
      <c r="F42" s="51" t="s">
        <v>880</v>
      </c>
      <c r="G42" s="53" t="s">
        <v>415</v>
      </c>
      <c r="H42" s="51" t="s">
        <v>887</v>
      </c>
      <c r="I42" s="51" t="s">
        <v>888</v>
      </c>
      <c r="J42" s="51" t="s">
        <v>889</v>
      </c>
      <c r="K42" s="52" t="s">
        <v>854</v>
      </c>
    </row>
    <row r="43" spans="3:11" hidden="1">
      <c r="C43" s="51">
        <v>40</v>
      </c>
      <c r="D43" s="52" t="s">
        <v>835</v>
      </c>
      <c r="E43" s="51" t="s">
        <v>399</v>
      </c>
      <c r="F43" s="51" t="s">
        <v>880</v>
      </c>
      <c r="G43" s="53" t="s">
        <v>419</v>
      </c>
      <c r="H43" s="51" t="s">
        <v>635</v>
      </c>
      <c r="I43" s="51" t="s">
        <v>634</v>
      </c>
      <c r="J43" s="51" t="s">
        <v>635</v>
      </c>
      <c r="K43" s="52" t="s">
        <v>840</v>
      </c>
    </row>
    <row r="44" spans="3:11" hidden="1">
      <c r="C44" s="51">
        <v>41</v>
      </c>
      <c r="D44" s="52" t="s">
        <v>843</v>
      </c>
      <c r="E44" s="51" t="s">
        <v>399</v>
      </c>
      <c r="F44" s="51" t="s">
        <v>880</v>
      </c>
      <c r="G44" s="53" t="s">
        <v>419</v>
      </c>
      <c r="H44" s="51" t="s">
        <v>890</v>
      </c>
      <c r="I44" s="51" t="s">
        <v>891</v>
      </c>
      <c r="J44" s="51" t="s">
        <v>892</v>
      </c>
      <c r="K44" s="52" t="s">
        <v>893</v>
      </c>
    </row>
    <row r="45" spans="3:11" hidden="1">
      <c r="C45" s="51">
        <v>42</v>
      </c>
      <c r="D45" s="52" t="s">
        <v>835</v>
      </c>
      <c r="E45" s="51" t="s">
        <v>488</v>
      </c>
      <c r="F45" s="51" t="s">
        <v>894</v>
      </c>
      <c r="G45" s="53" t="s">
        <v>490</v>
      </c>
      <c r="H45" s="51" t="s">
        <v>895</v>
      </c>
      <c r="I45" s="51" t="s">
        <v>645</v>
      </c>
      <c r="J45" s="51" t="s">
        <v>896</v>
      </c>
      <c r="K45" s="52" t="s">
        <v>840</v>
      </c>
    </row>
    <row r="46" spans="3:11" hidden="1">
      <c r="C46" s="51">
        <v>43</v>
      </c>
      <c r="D46" s="52" t="s">
        <v>835</v>
      </c>
      <c r="E46" s="51" t="s">
        <v>488</v>
      </c>
      <c r="F46" s="51" t="s">
        <v>894</v>
      </c>
      <c r="G46" s="53" t="s">
        <v>490</v>
      </c>
      <c r="H46" s="51" t="s">
        <v>897</v>
      </c>
      <c r="I46" s="51" t="s">
        <v>662</v>
      </c>
      <c r="J46" s="51" t="s">
        <v>663</v>
      </c>
      <c r="K46" s="52" t="s">
        <v>840</v>
      </c>
    </row>
    <row r="47" spans="3:11" hidden="1">
      <c r="C47" s="51">
        <v>44</v>
      </c>
      <c r="D47" s="52" t="s">
        <v>843</v>
      </c>
      <c r="E47" s="51" t="s">
        <v>488</v>
      </c>
      <c r="F47" s="51" t="s">
        <v>894</v>
      </c>
      <c r="G47" s="53" t="s">
        <v>490</v>
      </c>
      <c r="H47" s="51" t="s">
        <v>898</v>
      </c>
      <c r="I47" s="51" t="s">
        <v>899</v>
      </c>
      <c r="J47" s="51" t="s">
        <v>900</v>
      </c>
      <c r="K47" s="52" t="s">
        <v>854</v>
      </c>
    </row>
    <row r="48" spans="3:11" hidden="1">
      <c r="C48" s="51">
        <v>45</v>
      </c>
      <c r="D48" s="52" t="s">
        <v>843</v>
      </c>
      <c r="E48" s="51" t="s">
        <v>488</v>
      </c>
      <c r="F48" s="51" t="s">
        <v>894</v>
      </c>
      <c r="G48" s="53" t="s">
        <v>490</v>
      </c>
      <c r="H48" s="51" t="s">
        <v>901</v>
      </c>
      <c r="I48" s="51" t="s">
        <v>902</v>
      </c>
      <c r="J48" s="51" t="s">
        <v>903</v>
      </c>
      <c r="K48" s="52" t="s">
        <v>854</v>
      </c>
    </row>
    <row r="49" spans="3:11" hidden="1">
      <c r="C49" s="51">
        <v>46</v>
      </c>
      <c r="D49" s="52" t="s">
        <v>843</v>
      </c>
      <c r="E49" s="51" t="s">
        <v>488</v>
      </c>
      <c r="F49" s="51" t="s">
        <v>894</v>
      </c>
      <c r="G49" s="53" t="s">
        <v>490</v>
      </c>
      <c r="H49" s="51" t="s">
        <v>904</v>
      </c>
      <c r="I49" s="51" t="s">
        <v>905</v>
      </c>
      <c r="J49" s="51" t="s">
        <v>906</v>
      </c>
      <c r="K49" s="52" t="s">
        <v>893</v>
      </c>
    </row>
    <row r="50" spans="3:11" hidden="1">
      <c r="C50" s="51">
        <v>47</v>
      </c>
      <c r="D50" s="52" t="s">
        <v>835</v>
      </c>
      <c r="E50" s="51" t="s">
        <v>488</v>
      </c>
      <c r="F50" s="51" t="s">
        <v>894</v>
      </c>
      <c r="G50" s="53" t="s">
        <v>501</v>
      </c>
      <c r="H50" s="51" t="s">
        <v>907</v>
      </c>
      <c r="I50" s="51" t="s">
        <v>908</v>
      </c>
      <c r="J50" s="51" t="s">
        <v>909</v>
      </c>
      <c r="K50" s="52" t="s">
        <v>840</v>
      </c>
    </row>
    <row r="51" spans="3:11" hidden="1">
      <c r="C51" s="51">
        <v>48</v>
      </c>
      <c r="D51" s="52" t="s">
        <v>843</v>
      </c>
      <c r="E51" s="51" t="s">
        <v>488</v>
      </c>
      <c r="F51" s="51" t="s">
        <v>894</v>
      </c>
      <c r="G51" s="53" t="s">
        <v>501</v>
      </c>
      <c r="H51" s="51" t="s">
        <v>910</v>
      </c>
      <c r="I51" s="51" t="s">
        <v>911</v>
      </c>
      <c r="J51" s="51" t="s">
        <v>912</v>
      </c>
      <c r="K51" s="52" t="s">
        <v>854</v>
      </c>
    </row>
    <row r="52" spans="3:11" hidden="1">
      <c r="C52" s="51">
        <v>49</v>
      </c>
      <c r="D52" s="52" t="s">
        <v>843</v>
      </c>
      <c r="E52" s="51" t="s">
        <v>488</v>
      </c>
      <c r="F52" s="51" t="s">
        <v>894</v>
      </c>
      <c r="G52" s="53" t="s">
        <v>501</v>
      </c>
      <c r="H52" s="51" t="s">
        <v>913</v>
      </c>
      <c r="I52" s="51" t="s">
        <v>914</v>
      </c>
      <c r="J52" s="51" t="s">
        <v>915</v>
      </c>
      <c r="K52" s="52" t="s">
        <v>854</v>
      </c>
    </row>
    <row r="53" spans="3:11" hidden="1">
      <c r="C53" s="51">
        <v>50</v>
      </c>
      <c r="D53" s="52" t="s">
        <v>843</v>
      </c>
      <c r="E53" s="51" t="s">
        <v>488</v>
      </c>
      <c r="F53" s="51" t="s">
        <v>894</v>
      </c>
      <c r="G53" s="53" t="s">
        <v>501</v>
      </c>
      <c r="H53" s="51" t="s">
        <v>916</v>
      </c>
      <c r="I53" s="51" t="s">
        <v>917</v>
      </c>
      <c r="J53" s="51" t="s">
        <v>918</v>
      </c>
      <c r="K53" s="52" t="s">
        <v>854</v>
      </c>
    </row>
    <row r="54" spans="3:11" hidden="1">
      <c r="C54" s="51">
        <v>51</v>
      </c>
      <c r="D54" s="52" t="s">
        <v>843</v>
      </c>
      <c r="E54" s="51" t="s">
        <v>488</v>
      </c>
      <c r="F54" s="51" t="s">
        <v>894</v>
      </c>
      <c r="G54" s="53" t="s">
        <v>501</v>
      </c>
      <c r="H54" s="51" t="s">
        <v>919</v>
      </c>
      <c r="I54" s="51" t="s">
        <v>920</v>
      </c>
      <c r="J54" s="51" t="s">
        <v>921</v>
      </c>
      <c r="K54" s="52" t="s">
        <v>854</v>
      </c>
    </row>
    <row r="55" spans="3:11" hidden="1">
      <c r="C55" s="51">
        <v>52</v>
      </c>
      <c r="D55" s="52" t="s">
        <v>922</v>
      </c>
      <c r="E55" s="51" t="s">
        <v>923</v>
      </c>
      <c r="F55" s="51" t="s">
        <v>924</v>
      </c>
      <c r="G55" s="53" t="s">
        <v>925</v>
      </c>
      <c r="H55" s="51" t="s">
        <v>926</v>
      </c>
      <c r="I55" s="51" t="s">
        <v>640</v>
      </c>
      <c r="J55" s="51" t="s">
        <v>641</v>
      </c>
      <c r="K55" s="52" t="s">
        <v>853</v>
      </c>
    </row>
    <row r="56" spans="3:11" hidden="1">
      <c r="C56" s="51">
        <v>53</v>
      </c>
      <c r="D56" s="52" t="s">
        <v>922</v>
      </c>
      <c r="E56" s="51" t="s">
        <v>923</v>
      </c>
      <c r="F56" s="51" t="s">
        <v>924</v>
      </c>
      <c r="G56" s="53" t="s">
        <v>925</v>
      </c>
      <c r="H56" s="51" t="s">
        <v>927</v>
      </c>
      <c r="I56" s="51" t="s">
        <v>206</v>
      </c>
      <c r="J56" s="51" t="s">
        <v>928</v>
      </c>
      <c r="K56" s="52" t="s">
        <v>853</v>
      </c>
    </row>
    <row r="57" spans="3:11" hidden="1">
      <c r="C57" s="51">
        <v>54</v>
      </c>
      <c r="D57" s="52" t="s">
        <v>922</v>
      </c>
      <c r="E57" s="51" t="s">
        <v>923</v>
      </c>
      <c r="F57" s="51" t="s">
        <v>924</v>
      </c>
      <c r="G57" s="53" t="s">
        <v>925</v>
      </c>
      <c r="H57" s="51" t="s">
        <v>929</v>
      </c>
      <c r="I57" s="51" t="s">
        <v>930</v>
      </c>
      <c r="J57" s="51" t="s">
        <v>931</v>
      </c>
      <c r="K57" s="52" t="s">
        <v>853</v>
      </c>
    </row>
    <row r="58" spans="3:11" hidden="1">
      <c r="C58" s="51">
        <v>55</v>
      </c>
      <c r="D58" s="52" t="s">
        <v>922</v>
      </c>
      <c r="E58" s="51" t="s">
        <v>923</v>
      </c>
      <c r="F58" s="51" t="s">
        <v>924</v>
      </c>
      <c r="G58" s="53" t="s">
        <v>932</v>
      </c>
      <c r="H58" s="51" t="s">
        <v>933</v>
      </c>
      <c r="I58" s="51" t="s">
        <v>934</v>
      </c>
      <c r="J58" s="51" t="s">
        <v>935</v>
      </c>
      <c r="K58" s="52" t="s">
        <v>853</v>
      </c>
    </row>
    <row r="59" spans="3:11" hidden="1">
      <c r="C59" s="51">
        <v>56</v>
      </c>
      <c r="D59" s="52" t="s">
        <v>922</v>
      </c>
      <c r="E59" s="51" t="s">
        <v>923</v>
      </c>
      <c r="F59" s="51" t="s">
        <v>924</v>
      </c>
      <c r="G59" s="53" t="s">
        <v>932</v>
      </c>
      <c r="H59" s="51" t="s">
        <v>936</v>
      </c>
      <c r="I59" s="51" t="s">
        <v>937</v>
      </c>
      <c r="J59" s="51" t="s">
        <v>938</v>
      </c>
      <c r="K59" s="52" t="s">
        <v>853</v>
      </c>
    </row>
    <row r="60" spans="3:11" hidden="1">
      <c r="C60" s="51">
        <v>57</v>
      </c>
      <c r="D60" s="52" t="s">
        <v>922</v>
      </c>
      <c r="E60" s="51" t="s">
        <v>923</v>
      </c>
      <c r="F60" s="51" t="s">
        <v>924</v>
      </c>
      <c r="G60" s="53" t="s">
        <v>932</v>
      </c>
      <c r="H60" s="51" t="s">
        <v>936</v>
      </c>
      <c r="I60" s="51" t="s">
        <v>939</v>
      </c>
      <c r="J60" s="51" t="s">
        <v>940</v>
      </c>
      <c r="K60" s="52" t="s">
        <v>853</v>
      </c>
    </row>
    <row r="61" spans="3:11" hidden="1">
      <c r="C61" s="51">
        <v>58</v>
      </c>
      <c r="D61" s="52" t="s">
        <v>922</v>
      </c>
      <c r="E61" s="51" t="s">
        <v>923</v>
      </c>
      <c r="F61" s="51" t="s">
        <v>924</v>
      </c>
      <c r="G61" s="53" t="s">
        <v>932</v>
      </c>
      <c r="H61" s="51" t="s">
        <v>936</v>
      </c>
      <c r="I61" s="51" t="s">
        <v>941</v>
      </c>
      <c r="J61" s="51" t="s">
        <v>942</v>
      </c>
      <c r="K61" s="52" t="s">
        <v>853</v>
      </c>
    </row>
    <row r="62" spans="3:11" hidden="1">
      <c r="C62" s="51">
        <v>59</v>
      </c>
      <c r="D62" s="52" t="s">
        <v>922</v>
      </c>
      <c r="E62" s="51" t="s">
        <v>923</v>
      </c>
      <c r="F62" s="51" t="s">
        <v>924</v>
      </c>
      <c r="G62" s="53" t="s">
        <v>932</v>
      </c>
      <c r="H62" s="51" t="s">
        <v>936</v>
      </c>
      <c r="I62" s="51" t="s">
        <v>943</v>
      </c>
      <c r="J62" s="51" t="s">
        <v>944</v>
      </c>
      <c r="K62" s="52" t="s">
        <v>853</v>
      </c>
    </row>
    <row r="63" spans="3:11" hidden="1">
      <c r="C63" s="51"/>
      <c r="D63" s="52"/>
      <c r="E63" s="51"/>
      <c r="F63" s="51"/>
      <c r="G63" s="53"/>
      <c r="H63" s="51"/>
      <c r="I63" s="51"/>
      <c r="J63" s="51"/>
      <c r="K63" s="52"/>
    </row>
    <row r="64" spans="3:11" hidden="1">
      <c r="C64" s="51"/>
      <c r="D64" s="52"/>
      <c r="E64" s="51"/>
      <c r="F64" s="51"/>
      <c r="G64" s="53"/>
      <c r="H64" s="51"/>
      <c r="I64" s="51"/>
      <c r="J64" s="51"/>
      <c r="K64" s="52"/>
    </row>
    <row r="65" spans="3:11" hidden="1">
      <c r="C65" s="51"/>
      <c r="D65" s="52"/>
      <c r="E65" s="51"/>
      <c r="F65" s="51"/>
      <c r="G65" s="53"/>
      <c r="H65" s="51"/>
      <c r="I65" s="51"/>
      <c r="J65" s="51"/>
      <c r="K65" s="52"/>
    </row>
    <row r="66" spans="3:11" hidden="1">
      <c r="C66" s="51"/>
      <c r="D66" s="52"/>
      <c r="E66" s="51"/>
      <c r="F66" s="51"/>
      <c r="G66" s="53"/>
      <c r="H66" s="51"/>
      <c r="I66" s="51"/>
      <c r="J66" s="51"/>
      <c r="K66" s="52"/>
    </row>
    <row r="67" spans="3:11" hidden="1">
      <c r="C67" s="51"/>
      <c r="D67" s="52"/>
      <c r="E67" s="51"/>
      <c r="F67" s="51"/>
      <c r="G67" s="53"/>
      <c r="H67" s="51"/>
      <c r="I67" s="51"/>
      <c r="J67" s="51"/>
      <c r="K67" s="52"/>
    </row>
    <row r="68" spans="3:11" hidden="1">
      <c r="C68" s="51"/>
      <c r="D68" s="52"/>
      <c r="E68" s="51"/>
      <c r="F68" s="51"/>
      <c r="G68" s="53"/>
      <c r="H68" s="51"/>
      <c r="I68" s="51"/>
      <c r="J68" s="51"/>
      <c r="K68" s="52"/>
    </row>
    <row r="69" spans="3:11" hidden="1">
      <c r="C69" s="51"/>
      <c r="D69" s="52"/>
      <c r="E69" s="51"/>
      <c r="F69" s="51"/>
      <c r="G69" s="53"/>
      <c r="H69" s="51"/>
      <c r="I69" s="51"/>
      <c r="J69" s="51"/>
      <c r="K69" s="52"/>
    </row>
    <row r="70" spans="3:11" hidden="1">
      <c r="C70" s="51"/>
      <c r="D70" s="52"/>
      <c r="E70" s="51"/>
      <c r="F70" s="51"/>
      <c r="G70" s="53"/>
      <c r="H70" s="51"/>
      <c r="I70" s="51"/>
      <c r="J70" s="51"/>
      <c r="K70" s="52"/>
    </row>
    <row r="71" spans="3:11" hidden="1">
      <c r="C71" s="51"/>
      <c r="D71" s="52"/>
      <c r="E71" s="51"/>
      <c r="F71" s="51"/>
      <c r="G71" s="53"/>
      <c r="H71" s="51"/>
      <c r="I71" s="51"/>
      <c r="J71" s="51"/>
      <c r="K71" s="52"/>
    </row>
    <row r="72" spans="3:11" hidden="1">
      <c r="C72" s="51"/>
      <c r="D72" s="52"/>
      <c r="E72" s="51"/>
      <c r="F72" s="51"/>
      <c r="G72" s="53"/>
      <c r="H72" s="51"/>
      <c r="I72" s="51"/>
      <c r="J72" s="51"/>
      <c r="K72" s="52"/>
    </row>
    <row r="73" spans="3:11" hidden="1">
      <c r="C73" s="51"/>
      <c r="D73" s="52"/>
      <c r="E73" s="51"/>
      <c r="F73" s="51"/>
      <c r="G73" s="53"/>
      <c r="H73" s="51"/>
      <c r="I73" s="51"/>
      <c r="J73" s="51"/>
      <c r="K73" s="52"/>
    </row>
    <row r="74" spans="3:11" hidden="1">
      <c r="C74" s="51"/>
      <c r="D74" s="52"/>
      <c r="E74" s="51"/>
      <c r="F74" s="51"/>
      <c r="G74" s="53"/>
      <c r="H74" s="51"/>
      <c r="I74" s="51"/>
      <c r="J74" s="51"/>
      <c r="K74" s="52"/>
    </row>
    <row r="75" spans="3:11" hidden="1">
      <c r="C75" s="51"/>
      <c r="D75" s="52"/>
      <c r="E75" s="51"/>
      <c r="F75" s="51"/>
      <c r="G75" s="53"/>
      <c r="H75" s="51"/>
      <c r="I75" s="51"/>
      <c r="J75" s="51"/>
      <c r="K75" s="52"/>
    </row>
    <row r="76" spans="3:11" hidden="1">
      <c r="C76" s="51"/>
      <c r="D76" s="52"/>
      <c r="E76" s="51"/>
      <c r="F76" s="51"/>
      <c r="G76" s="53"/>
      <c r="H76" s="51"/>
      <c r="I76" s="51"/>
      <c r="J76" s="51"/>
      <c r="K76" s="52"/>
    </row>
    <row r="77" spans="3:11" hidden="1">
      <c r="C77" s="51"/>
      <c r="D77" s="52"/>
      <c r="E77" s="51"/>
      <c r="F77" s="51"/>
      <c r="G77" s="53"/>
      <c r="H77" s="51"/>
      <c r="I77" s="51"/>
      <c r="J77" s="51"/>
      <c r="K77" s="52"/>
    </row>
    <row r="78" spans="3:11" hidden="1">
      <c r="C78" s="51"/>
      <c r="D78" s="52"/>
      <c r="E78" s="51"/>
      <c r="F78" s="51"/>
      <c r="G78" s="53"/>
      <c r="H78" s="51"/>
      <c r="I78" s="51"/>
      <c r="J78" s="51"/>
      <c r="K78" s="52"/>
    </row>
    <row r="79" spans="3:11" hidden="1">
      <c r="C79" s="51"/>
      <c r="D79" s="52"/>
      <c r="E79" s="51"/>
      <c r="F79" s="51"/>
      <c r="G79" s="53"/>
      <c r="H79" s="51"/>
      <c r="I79" s="51"/>
      <c r="J79" s="51"/>
      <c r="K79" s="52"/>
    </row>
    <row r="80" spans="3:11" hidden="1">
      <c r="C80" s="51"/>
      <c r="D80" s="52"/>
      <c r="E80" s="51"/>
      <c r="F80" s="51"/>
      <c r="G80" s="53"/>
      <c r="H80" s="51"/>
      <c r="I80" s="51"/>
      <c r="J80" s="51"/>
      <c r="K80" s="52"/>
    </row>
    <row r="81" spans="3:11" hidden="1">
      <c r="C81" s="51"/>
      <c r="D81" s="52"/>
      <c r="E81" s="51"/>
      <c r="F81" s="51"/>
      <c r="G81" s="53"/>
      <c r="H81" s="51"/>
      <c r="I81" s="51"/>
      <c r="J81" s="51"/>
      <c r="K81" s="52"/>
    </row>
    <row r="82" spans="3:11" hidden="1">
      <c r="C82" s="51"/>
      <c r="D82" s="52"/>
      <c r="E82" s="51"/>
      <c r="F82" s="51"/>
      <c r="G82" s="53"/>
      <c r="H82" s="51"/>
      <c r="I82" s="51"/>
      <c r="J82" s="51"/>
      <c r="K82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L187"/>
  <sheetViews>
    <sheetView workbookViewId="0"/>
  </sheetViews>
  <sheetFormatPr baseColWidth="10" defaultRowHeight="13"/>
  <cols>
    <col min="1" max="2" width="10.83203125" style="41"/>
    <col min="3" max="3" width="15.83203125" style="41" customWidth="1"/>
    <col min="4" max="4" width="30.33203125" style="41" customWidth="1"/>
    <col min="5" max="5" width="42.6640625" style="41" customWidth="1"/>
    <col min="6" max="6" width="34.1640625" style="41" customWidth="1"/>
    <col min="7" max="9" width="10.83203125" style="41"/>
    <col min="10" max="10" width="52.83203125" style="41" customWidth="1"/>
    <col min="11" max="11" width="146.5" style="41" customWidth="1"/>
    <col min="12" max="16384" width="10.83203125" style="41"/>
  </cols>
  <sheetData>
    <row r="3" spans="3:12">
      <c r="C3" s="44" t="s">
        <v>262</v>
      </c>
      <c r="D3" s="44" t="s">
        <v>277</v>
      </c>
      <c r="E3" s="44" t="s">
        <v>278</v>
      </c>
      <c r="F3" s="44" t="s">
        <v>556</v>
      </c>
      <c r="J3" s="1" t="s">
        <v>1</v>
      </c>
      <c r="K3" s="1" t="s">
        <v>2</v>
      </c>
      <c r="L3" s="1" t="s">
        <v>3</v>
      </c>
    </row>
    <row r="4" spans="3:12">
      <c r="C4" s="44" t="s">
        <v>557</v>
      </c>
      <c r="D4" s="45" t="s">
        <v>558</v>
      </c>
      <c r="E4" s="45" t="s">
        <v>559</v>
      </c>
      <c r="F4" s="45" t="s">
        <v>560</v>
      </c>
      <c r="J4" s="1" t="s">
        <v>561</v>
      </c>
      <c r="K4" t="s">
        <v>562</v>
      </c>
      <c r="L4" t="s">
        <v>563</v>
      </c>
    </row>
    <row r="5" spans="3:12">
      <c r="C5" s="44" t="s">
        <v>557</v>
      </c>
      <c r="D5" s="45" t="s">
        <v>564</v>
      </c>
      <c r="E5" s="45" t="s">
        <v>565</v>
      </c>
      <c r="F5" s="45" t="s">
        <v>566</v>
      </c>
      <c r="J5" s="1" t="s">
        <v>567</v>
      </c>
      <c r="K5" t="s">
        <v>568</v>
      </c>
      <c r="L5" t="s">
        <v>569</v>
      </c>
    </row>
    <row r="6" spans="3:12">
      <c r="C6" s="44" t="s">
        <v>557</v>
      </c>
      <c r="D6" s="45" t="s">
        <v>393</v>
      </c>
      <c r="E6" s="45" t="s">
        <v>394</v>
      </c>
      <c r="F6" s="45" t="s">
        <v>570</v>
      </c>
      <c r="J6" s="1" t="s">
        <v>571</v>
      </c>
      <c r="K6" t="s">
        <v>572</v>
      </c>
      <c r="L6" t="s">
        <v>573</v>
      </c>
    </row>
    <row r="7" spans="3:12">
      <c r="C7" s="44" t="s">
        <v>557</v>
      </c>
      <c r="D7" s="45" t="s">
        <v>290</v>
      </c>
      <c r="E7" s="45" t="s">
        <v>291</v>
      </c>
      <c r="F7" s="45" t="s">
        <v>574</v>
      </c>
      <c r="J7" s="1" t="s">
        <v>575</v>
      </c>
      <c r="K7" t="s">
        <v>576</v>
      </c>
      <c r="L7" t="s">
        <v>577</v>
      </c>
    </row>
    <row r="8" spans="3:12">
      <c r="C8" s="44" t="s">
        <v>264</v>
      </c>
      <c r="D8" s="45" t="s">
        <v>578</v>
      </c>
      <c r="E8" s="45" t="s">
        <v>579</v>
      </c>
      <c r="F8" s="45" t="s">
        <v>580</v>
      </c>
      <c r="J8" s="1" t="s">
        <v>581</v>
      </c>
      <c r="K8" t="s">
        <v>582</v>
      </c>
      <c r="L8" t="s">
        <v>583</v>
      </c>
    </row>
    <row r="9" spans="3:12">
      <c r="C9" s="44" t="s">
        <v>264</v>
      </c>
      <c r="D9" s="45" t="s">
        <v>584</v>
      </c>
      <c r="E9" s="45" t="s">
        <v>585</v>
      </c>
      <c r="F9" s="45" t="s">
        <v>586</v>
      </c>
      <c r="J9" s="1" t="s">
        <v>587</v>
      </c>
      <c r="K9" t="s">
        <v>588</v>
      </c>
      <c r="L9" t="s">
        <v>589</v>
      </c>
    </row>
    <row r="10" spans="3:12">
      <c r="C10" s="44" t="s">
        <v>264</v>
      </c>
      <c r="D10" s="45" t="s">
        <v>590</v>
      </c>
      <c r="E10" s="45" t="s">
        <v>591</v>
      </c>
      <c r="F10" s="45" t="s">
        <v>592</v>
      </c>
      <c r="J10" s="1" t="s">
        <v>593</v>
      </c>
      <c r="K10" t="s">
        <v>594</v>
      </c>
      <c r="L10" t="s">
        <v>595</v>
      </c>
    </row>
    <row r="11" spans="3:12">
      <c r="C11" s="44" t="s">
        <v>264</v>
      </c>
      <c r="D11" s="45" t="s">
        <v>596</v>
      </c>
      <c r="E11" s="45" t="s">
        <v>597</v>
      </c>
      <c r="F11" s="45" t="s">
        <v>598</v>
      </c>
      <c r="J11" s="1" t="s">
        <v>599</v>
      </c>
      <c r="K11" t="s">
        <v>600</v>
      </c>
      <c r="L11" t="s">
        <v>601</v>
      </c>
    </row>
    <row r="12" spans="3:12">
      <c r="C12" s="44" t="s">
        <v>264</v>
      </c>
      <c r="D12" s="45" t="s">
        <v>602</v>
      </c>
      <c r="E12" s="45" t="s">
        <v>603</v>
      </c>
      <c r="F12" s="45" t="s">
        <v>598</v>
      </c>
      <c r="J12" s="1" t="s">
        <v>604</v>
      </c>
      <c r="K12" t="s">
        <v>605</v>
      </c>
      <c r="L12" t="s">
        <v>606</v>
      </c>
    </row>
    <row r="13" spans="3:12">
      <c r="C13" s="44" t="s">
        <v>264</v>
      </c>
      <c r="D13" s="45" t="s">
        <v>607</v>
      </c>
      <c r="E13" s="45" t="s">
        <v>608</v>
      </c>
      <c r="F13" s="45" t="s">
        <v>598</v>
      </c>
      <c r="J13" s="1" t="s">
        <v>609</v>
      </c>
      <c r="K13" t="s">
        <v>610</v>
      </c>
      <c r="L13" t="s">
        <v>611</v>
      </c>
    </row>
    <row r="14" spans="3:12">
      <c r="C14" s="44" t="s">
        <v>266</v>
      </c>
      <c r="D14" s="45" t="s">
        <v>612</v>
      </c>
      <c r="E14" s="45" t="s">
        <v>613</v>
      </c>
      <c r="F14" s="45" t="s">
        <v>614</v>
      </c>
      <c r="J14" s="1" t="s">
        <v>615</v>
      </c>
      <c r="K14" t="s">
        <v>616</v>
      </c>
      <c r="L14" t="s">
        <v>617</v>
      </c>
    </row>
    <row r="15" spans="3:12">
      <c r="C15" s="44" t="s">
        <v>266</v>
      </c>
      <c r="D15" s="45" t="s">
        <v>618</v>
      </c>
      <c r="E15" s="45" t="s">
        <v>619</v>
      </c>
      <c r="F15" s="45" t="s">
        <v>614</v>
      </c>
      <c r="J15" s="1" t="s">
        <v>620</v>
      </c>
      <c r="K15" t="s">
        <v>621</v>
      </c>
      <c r="L15" t="s">
        <v>622</v>
      </c>
    </row>
    <row r="16" spans="3:12">
      <c r="C16" s="44" t="s">
        <v>266</v>
      </c>
      <c r="D16" s="45" t="s">
        <v>623</v>
      </c>
      <c r="E16" s="45" t="s">
        <v>624</v>
      </c>
      <c r="F16" s="45" t="s">
        <v>625</v>
      </c>
      <c r="J16" s="1" t="s">
        <v>626</v>
      </c>
      <c r="K16" t="s">
        <v>627</v>
      </c>
      <c r="L16" t="s">
        <v>628</v>
      </c>
    </row>
    <row r="17" spans="3:12">
      <c r="C17" s="44" t="s">
        <v>266</v>
      </c>
      <c r="D17" s="45" t="s">
        <v>629</v>
      </c>
      <c r="E17" s="45" t="s">
        <v>630</v>
      </c>
      <c r="F17" s="45" t="s">
        <v>625</v>
      </c>
      <c r="J17" s="1" t="s">
        <v>631</v>
      </c>
      <c r="K17" t="s">
        <v>632</v>
      </c>
      <c r="L17" t="s">
        <v>633</v>
      </c>
    </row>
    <row r="18" spans="3:12">
      <c r="C18" s="44" t="s">
        <v>266</v>
      </c>
      <c r="D18" s="45" t="s">
        <v>634</v>
      </c>
      <c r="E18" s="45" t="s">
        <v>635</v>
      </c>
      <c r="F18" s="45" t="s">
        <v>636</v>
      </c>
      <c r="J18" s="1" t="s">
        <v>637</v>
      </c>
      <c r="K18" t="s">
        <v>638</v>
      </c>
      <c r="L18" t="s">
        <v>639</v>
      </c>
    </row>
    <row r="19" spans="3:12">
      <c r="C19" s="44" t="s">
        <v>266</v>
      </c>
      <c r="D19" s="45" t="s">
        <v>640</v>
      </c>
      <c r="E19" s="45" t="s">
        <v>641</v>
      </c>
      <c r="F19" s="45" t="s">
        <v>642</v>
      </c>
      <c r="J19" s="1" t="s">
        <v>643</v>
      </c>
      <c r="K19" t="s">
        <v>644</v>
      </c>
      <c r="L19" t="s">
        <v>23</v>
      </c>
    </row>
    <row r="20" spans="3:12">
      <c r="C20" s="44" t="s">
        <v>266</v>
      </c>
      <c r="D20" s="45" t="s">
        <v>645</v>
      </c>
      <c r="E20" s="45" t="s">
        <v>646</v>
      </c>
      <c r="F20" s="45" t="s">
        <v>647</v>
      </c>
      <c r="J20" s="1" t="s">
        <v>648</v>
      </c>
      <c r="K20" t="s">
        <v>649</v>
      </c>
      <c r="L20" t="s">
        <v>650</v>
      </c>
    </row>
    <row r="21" spans="3:12">
      <c r="C21" s="44" t="s">
        <v>268</v>
      </c>
      <c r="D21" s="45" t="s">
        <v>651</v>
      </c>
      <c r="E21" s="45" t="s">
        <v>652</v>
      </c>
      <c r="F21" s="45" t="s">
        <v>653</v>
      </c>
      <c r="J21" s="1" t="s">
        <v>654</v>
      </c>
      <c r="K21" t="s">
        <v>655</v>
      </c>
      <c r="L21" t="s">
        <v>656</v>
      </c>
    </row>
    <row r="22" spans="3:12">
      <c r="C22" s="44" t="s">
        <v>268</v>
      </c>
      <c r="D22" s="45" t="s">
        <v>657</v>
      </c>
      <c r="E22" s="45" t="s">
        <v>658</v>
      </c>
      <c r="F22" s="45" t="s">
        <v>598</v>
      </c>
    </row>
    <row r="23" spans="3:12">
      <c r="C23" s="44" t="s">
        <v>268</v>
      </c>
      <c r="D23" s="45" t="s">
        <v>659</v>
      </c>
      <c r="E23" s="45" t="s">
        <v>660</v>
      </c>
      <c r="F23" s="45" t="s">
        <v>661</v>
      </c>
    </row>
    <row r="24" spans="3:12">
      <c r="C24" s="44" t="s">
        <v>268</v>
      </c>
      <c r="D24" s="45" t="s">
        <v>662</v>
      </c>
      <c r="E24" s="45" t="s">
        <v>663</v>
      </c>
      <c r="F24" s="45" t="s">
        <v>664</v>
      </c>
    </row>
    <row r="25" spans="3:12">
      <c r="C25" s="44" t="s">
        <v>270</v>
      </c>
      <c r="D25" s="45" t="s">
        <v>665</v>
      </c>
      <c r="E25" s="45" t="s">
        <v>666</v>
      </c>
      <c r="F25" s="45" t="s">
        <v>667</v>
      </c>
    </row>
    <row r="26" spans="3:12">
      <c r="C26" s="44" t="s">
        <v>272</v>
      </c>
      <c r="D26" s="45" t="s">
        <v>668</v>
      </c>
      <c r="E26" s="45" t="s">
        <v>669</v>
      </c>
      <c r="F26" s="45" t="s">
        <v>670</v>
      </c>
    </row>
    <row r="28" spans="3:12" ht="28">
      <c r="C28" s="46" t="s">
        <v>262</v>
      </c>
      <c r="D28" s="46" t="s">
        <v>263</v>
      </c>
      <c r="E28" s="46" t="s">
        <v>671</v>
      </c>
      <c r="F28" s="47"/>
    </row>
    <row r="29" spans="3:12" ht="42">
      <c r="C29" s="46" t="s">
        <v>557</v>
      </c>
      <c r="D29" s="46" t="s">
        <v>672</v>
      </c>
      <c r="E29" s="47" t="s">
        <v>673</v>
      </c>
      <c r="F29" s="47"/>
    </row>
    <row r="30" spans="3:12" ht="28">
      <c r="C30" s="46" t="s">
        <v>264</v>
      </c>
      <c r="D30" s="46" t="s">
        <v>674</v>
      </c>
      <c r="E30" s="47" t="s">
        <v>675</v>
      </c>
      <c r="F30" s="47"/>
    </row>
    <row r="31" spans="3:12" ht="42">
      <c r="C31" s="46" t="s">
        <v>266</v>
      </c>
      <c r="D31" s="46" t="s">
        <v>676</v>
      </c>
      <c r="E31" s="47" t="s">
        <v>677</v>
      </c>
      <c r="F31" s="47"/>
    </row>
    <row r="32" spans="3:12" ht="28">
      <c r="C32" s="46" t="s">
        <v>268</v>
      </c>
      <c r="D32" s="46" t="s">
        <v>678</v>
      </c>
      <c r="E32" s="47" t="s">
        <v>679</v>
      </c>
      <c r="F32" s="47"/>
    </row>
    <row r="33" spans="3:6" ht="14">
      <c r="C33" s="46" t="s">
        <v>270</v>
      </c>
      <c r="D33" s="46" t="s">
        <v>665</v>
      </c>
      <c r="E33" s="47" t="s">
        <v>680</v>
      </c>
      <c r="F33" s="47"/>
    </row>
    <row r="34" spans="3:6" ht="126">
      <c r="C34" s="46" t="s">
        <v>272</v>
      </c>
      <c r="D34" s="46" t="s">
        <v>681</v>
      </c>
      <c r="E34" s="47" t="s">
        <v>682</v>
      </c>
      <c r="F34" s="47"/>
    </row>
    <row r="42" spans="3:6" ht="30">
      <c r="C42" s="42" t="s">
        <v>683</v>
      </c>
      <c r="D42"/>
      <c r="E42"/>
    </row>
    <row r="43" spans="3:6">
      <c r="C43"/>
      <c r="D43"/>
      <c r="E43"/>
    </row>
    <row r="44" spans="3:6">
      <c r="C44" s="1" t="s">
        <v>0</v>
      </c>
      <c r="D44" s="1" t="s">
        <v>1</v>
      </c>
      <c r="E44" s="1" t="s">
        <v>684</v>
      </c>
    </row>
    <row r="45" spans="3:6">
      <c r="C45" s="1" t="s">
        <v>17</v>
      </c>
      <c r="D45" s="1" t="s">
        <v>18</v>
      </c>
      <c r="E45" t="s">
        <v>685</v>
      </c>
    </row>
    <row r="46" spans="3:6">
      <c r="C46" s="1" t="s">
        <v>17</v>
      </c>
      <c r="D46" s="1" t="s">
        <v>21</v>
      </c>
      <c r="E46" t="s">
        <v>686</v>
      </c>
    </row>
    <row r="47" spans="3:6">
      <c r="C47" s="1" t="s">
        <v>17</v>
      </c>
      <c r="D47" s="1" t="s">
        <v>24</v>
      </c>
      <c r="E47" t="s">
        <v>687</v>
      </c>
    </row>
    <row r="48" spans="3:6">
      <c r="C48" s="1" t="s">
        <v>17</v>
      </c>
      <c r="D48" s="1" t="s">
        <v>27</v>
      </c>
      <c r="E48" t="s">
        <v>688</v>
      </c>
    </row>
    <row r="49" spans="3:5">
      <c r="C49"/>
      <c r="D49"/>
      <c r="E49"/>
    </row>
    <row r="50" spans="3:5">
      <c r="C50" t="s">
        <v>689</v>
      </c>
      <c r="D50"/>
      <c r="E50"/>
    </row>
    <row r="51" spans="3:5">
      <c r="C51" t="s">
        <v>690</v>
      </c>
      <c r="D51"/>
      <c r="E51"/>
    </row>
    <row r="52" spans="3:5">
      <c r="C52"/>
      <c r="D52"/>
      <c r="E52"/>
    </row>
    <row r="53" spans="3:5">
      <c r="C53"/>
      <c r="D53"/>
      <c r="E53"/>
    </row>
    <row r="54" spans="3:5">
      <c r="C54"/>
      <c r="D54"/>
      <c r="E54"/>
    </row>
    <row r="55" spans="3:5" ht="30">
      <c r="C55" s="42" t="s">
        <v>691</v>
      </c>
      <c r="D55"/>
      <c r="E55"/>
    </row>
    <row r="56" spans="3:5">
      <c r="C56"/>
      <c r="D56"/>
      <c r="E56"/>
    </row>
    <row r="57" spans="3:5" ht="23">
      <c r="C57" s="43" t="s">
        <v>692</v>
      </c>
      <c r="D57"/>
      <c r="E57"/>
    </row>
    <row r="58" spans="3:5">
      <c r="C58"/>
      <c r="D58"/>
      <c r="E58"/>
    </row>
    <row r="59" spans="3:5">
      <c r="C59" t="s">
        <v>693</v>
      </c>
      <c r="D59"/>
      <c r="E59"/>
    </row>
    <row r="60" spans="3:5">
      <c r="C60"/>
      <c r="D60"/>
      <c r="E60"/>
    </row>
    <row r="61" spans="3:5">
      <c r="C61" s="1" t="s">
        <v>694</v>
      </c>
      <c r="D61" s="1" t="s">
        <v>695</v>
      </c>
      <c r="E61"/>
    </row>
    <row r="62" spans="3:5">
      <c r="C62" t="s">
        <v>696</v>
      </c>
      <c r="D62" t="s">
        <v>697</v>
      </c>
      <c r="E62"/>
    </row>
    <row r="63" spans="3:5">
      <c r="C63" t="s">
        <v>698</v>
      </c>
      <c r="D63" t="s">
        <v>699</v>
      </c>
      <c r="E63"/>
    </row>
    <row r="64" spans="3:5">
      <c r="C64" t="s">
        <v>700</v>
      </c>
      <c r="D64" t="s">
        <v>701</v>
      </c>
      <c r="E64"/>
    </row>
    <row r="65" spans="3:5">
      <c r="C65" t="s">
        <v>702</v>
      </c>
      <c r="D65" t="s">
        <v>703</v>
      </c>
      <c r="E65"/>
    </row>
    <row r="66" spans="3:5">
      <c r="C66" t="s">
        <v>704</v>
      </c>
      <c r="D66" t="s">
        <v>705</v>
      </c>
      <c r="E66"/>
    </row>
    <row r="67" spans="3:5">
      <c r="C67" t="s">
        <v>706</v>
      </c>
      <c r="D67" t="s">
        <v>707</v>
      </c>
      <c r="E67"/>
    </row>
    <row r="68" spans="3:5">
      <c r="C68" t="s">
        <v>708</v>
      </c>
      <c r="D68" t="s">
        <v>709</v>
      </c>
      <c r="E68"/>
    </row>
    <row r="69" spans="3:5">
      <c r="C69" t="s">
        <v>710</v>
      </c>
      <c r="D69" t="s">
        <v>711</v>
      </c>
      <c r="E69"/>
    </row>
    <row r="70" spans="3:5">
      <c r="C70" t="s">
        <v>712</v>
      </c>
      <c r="D70" t="s">
        <v>713</v>
      </c>
      <c r="E70"/>
    </row>
    <row r="71" spans="3:5">
      <c r="C71" t="s">
        <v>714</v>
      </c>
      <c r="D71" t="s">
        <v>715</v>
      </c>
      <c r="E71"/>
    </row>
    <row r="72" spans="3:5">
      <c r="C72"/>
      <c r="D72"/>
      <c r="E72"/>
    </row>
    <row r="73" spans="3:5" ht="23">
      <c r="C73" s="43" t="s">
        <v>716</v>
      </c>
      <c r="D73"/>
      <c r="E73"/>
    </row>
    <row r="74" spans="3:5">
      <c r="C74"/>
      <c r="D74"/>
      <c r="E74"/>
    </row>
    <row r="75" spans="3:5">
      <c r="C75" t="s">
        <v>717</v>
      </c>
      <c r="D75"/>
      <c r="E75"/>
    </row>
    <row r="76" spans="3:5">
      <c r="C76"/>
      <c r="D76"/>
      <c r="E76"/>
    </row>
    <row r="77" spans="3:5">
      <c r="C77"/>
      <c r="D77"/>
      <c r="E77"/>
    </row>
    <row r="78" spans="3:5">
      <c r="C78"/>
      <c r="D78"/>
      <c r="E78"/>
    </row>
    <row r="79" spans="3:5" ht="30">
      <c r="C79" s="42" t="s">
        <v>718</v>
      </c>
      <c r="D79"/>
      <c r="E79"/>
    </row>
    <row r="80" spans="3:5">
      <c r="C80"/>
      <c r="D80"/>
      <c r="E80"/>
    </row>
    <row r="81" spans="3:5" ht="23">
      <c r="C81" s="43" t="s">
        <v>692</v>
      </c>
      <c r="D81"/>
      <c r="E81"/>
    </row>
    <row r="82" spans="3:5">
      <c r="C82"/>
      <c r="D82"/>
      <c r="E82"/>
    </row>
    <row r="83" spans="3:5">
      <c r="C83" t="s">
        <v>719</v>
      </c>
      <c r="D83"/>
      <c r="E83"/>
    </row>
    <row r="84" spans="3:5">
      <c r="C84"/>
      <c r="D84"/>
      <c r="E84"/>
    </row>
    <row r="85" spans="3:5">
      <c r="C85" s="1" t="s">
        <v>694</v>
      </c>
      <c r="D85" s="1" t="s">
        <v>695</v>
      </c>
      <c r="E85"/>
    </row>
    <row r="86" spans="3:5">
      <c r="C86" t="s">
        <v>557</v>
      </c>
      <c r="D86" t="s">
        <v>720</v>
      </c>
      <c r="E86"/>
    </row>
    <row r="87" spans="3:5">
      <c r="C87" t="s">
        <v>264</v>
      </c>
      <c r="D87" t="s">
        <v>721</v>
      </c>
      <c r="E87"/>
    </row>
    <row r="88" spans="3:5">
      <c r="C88" t="s">
        <v>266</v>
      </c>
      <c r="D88" t="s">
        <v>722</v>
      </c>
      <c r="E88"/>
    </row>
    <row r="89" spans="3:5">
      <c r="C89" t="s">
        <v>268</v>
      </c>
      <c r="D89" t="s">
        <v>723</v>
      </c>
      <c r="E89"/>
    </row>
    <row r="90" spans="3:5">
      <c r="C90" t="s">
        <v>270</v>
      </c>
      <c r="D90" t="s">
        <v>724</v>
      </c>
      <c r="E90"/>
    </row>
    <row r="91" spans="3:5">
      <c r="C91" t="s">
        <v>272</v>
      </c>
      <c r="D91" t="s">
        <v>669</v>
      </c>
      <c r="E91"/>
    </row>
    <row r="92" spans="3:5">
      <c r="C92" t="s">
        <v>725</v>
      </c>
      <c r="D92" t="s">
        <v>726</v>
      </c>
      <c r="E92"/>
    </row>
    <row r="93" spans="3:5">
      <c r="C93" t="s">
        <v>727</v>
      </c>
      <c r="D93" t="s">
        <v>728</v>
      </c>
      <c r="E93"/>
    </row>
    <row r="94" spans="3:5">
      <c r="C94" t="s">
        <v>729</v>
      </c>
      <c r="D94" t="s">
        <v>730</v>
      </c>
      <c r="E94"/>
    </row>
    <row r="95" spans="3:5">
      <c r="C95" t="s">
        <v>731</v>
      </c>
      <c r="D95" t="s">
        <v>732</v>
      </c>
      <c r="E95"/>
    </row>
    <row r="96" spans="3:5">
      <c r="C96" t="s">
        <v>733</v>
      </c>
      <c r="D96" t="s">
        <v>734</v>
      </c>
      <c r="E96"/>
    </row>
    <row r="97" spans="3:5">
      <c r="C97"/>
      <c r="D97"/>
      <c r="E97"/>
    </row>
    <row r="98" spans="3:5" ht="23">
      <c r="C98" s="43" t="s">
        <v>716</v>
      </c>
      <c r="D98"/>
      <c r="E98"/>
    </row>
    <row r="99" spans="3:5">
      <c r="C99"/>
      <c r="D99"/>
      <c r="E99"/>
    </row>
    <row r="100" spans="3:5">
      <c r="C100" t="s">
        <v>735</v>
      </c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 ht="30">
      <c r="C104" s="42" t="s">
        <v>736</v>
      </c>
      <c r="D104"/>
      <c r="E104"/>
    </row>
    <row r="105" spans="3:5">
      <c r="C105"/>
      <c r="D105"/>
      <c r="E105"/>
    </row>
    <row r="106" spans="3:5" ht="23">
      <c r="C106" s="43" t="s">
        <v>692</v>
      </c>
      <c r="D106"/>
      <c r="E106"/>
    </row>
    <row r="107" spans="3:5">
      <c r="C107"/>
      <c r="D107"/>
      <c r="E107"/>
    </row>
    <row r="108" spans="3:5">
      <c r="C108" t="s">
        <v>737</v>
      </c>
      <c r="D108"/>
      <c r="E108"/>
    </row>
    <row r="109" spans="3:5">
      <c r="C109"/>
      <c r="D109"/>
      <c r="E109"/>
    </row>
    <row r="110" spans="3:5">
      <c r="C110" s="1" t="s">
        <v>694</v>
      </c>
      <c r="D110" s="1" t="s">
        <v>695</v>
      </c>
      <c r="E110"/>
    </row>
    <row r="111" spans="3:5">
      <c r="C111" t="s">
        <v>738</v>
      </c>
      <c r="D111" t="s">
        <v>739</v>
      </c>
      <c r="E111"/>
    </row>
    <row r="112" spans="3:5">
      <c r="C112" t="s">
        <v>740</v>
      </c>
      <c r="D112" t="s">
        <v>741</v>
      </c>
      <c r="E112"/>
    </row>
    <row r="113" spans="3:5">
      <c r="C113" t="s">
        <v>742</v>
      </c>
      <c r="D113" t="s">
        <v>743</v>
      </c>
      <c r="E113"/>
    </row>
    <row r="114" spans="3:5">
      <c r="C114" t="s">
        <v>744</v>
      </c>
      <c r="D114" t="s">
        <v>672</v>
      </c>
      <c r="E114"/>
    </row>
    <row r="115" spans="3:5">
      <c r="C115" t="s">
        <v>745</v>
      </c>
      <c r="D115" t="s">
        <v>746</v>
      </c>
      <c r="E115"/>
    </row>
    <row r="116" spans="3:5">
      <c r="C116" t="s">
        <v>747</v>
      </c>
      <c r="D116" t="s">
        <v>748</v>
      </c>
      <c r="E116"/>
    </row>
    <row r="117" spans="3:5">
      <c r="C117" t="s">
        <v>749</v>
      </c>
      <c r="D117" t="s">
        <v>750</v>
      </c>
      <c r="E117"/>
    </row>
    <row r="118" spans="3:5">
      <c r="C118" t="s">
        <v>751</v>
      </c>
      <c r="D118" t="s">
        <v>752</v>
      </c>
      <c r="E118"/>
    </row>
    <row r="119" spans="3:5">
      <c r="C119"/>
      <c r="D119"/>
      <c r="E119"/>
    </row>
    <row r="120" spans="3:5" ht="23">
      <c r="C120" s="43" t="s">
        <v>716</v>
      </c>
      <c r="D120"/>
      <c r="E120"/>
    </row>
    <row r="121" spans="3:5">
      <c r="C121"/>
      <c r="D121"/>
      <c r="E121"/>
    </row>
    <row r="122" spans="3:5">
      <c r="C122" t="s">
        <v>753</v>
      </c>
      <c r="D122"/>
      <c r="E122"/>
    </row>
    <row r="123" spans="3:5">
      <c r="C123"/>
      <c r="D123"/>
      <c r="E123"/>
    </row>
    <row r="124" spans="3:5">
      <c r="C124"/>
      <c r="D124"/>
      <c r="E124"/>
    </row>
    <row r="125" spans="3:5">
      <c r="C125"/>
      <c r="D125"/>
      <c r="E125"/>
    </row>
    <row r="126" spans="3:5" ht="30">
      <c r="C126" s="42" t="s">
        <v>754</v>
      </c>
      <c r="D126"/>
      <c r="E126"/>
    </row>
    <row r="127" spans="3:5">
      <c r="C127"/>
      <c r="D127"/>
      <c r="E127"/>
    </row>
    <row r="128" spans="3:5" ht="23">
      <c r="C128" s="43" t="s">
        <v>692</v>
      </c>
      <c r="D128"/>
      <c r="E128"/>
    </row>
    <row r="129" spans="3:5">
      <c r="C129"/>
      <c r="D129"/>
      <c r="E129"/>
    </row>
    <row r="130" spans="3:5">
      <c r="C130" t="s">
        <v>755</v>
      </c>
      <c r="D130"/>
      <c r="E130"/>
    </row>
    <row r="131" spans="3:5">
      <c r="C131"/>
      <c r="D131"/>
      <c r="E131"/>
    </row>
    <row r="132" spans="3:5">
      <c r="C132" s="1" t="s">
        <v>694</v>
      </c>
      <c r="D132" s="1" t="s">
        <v>695</v>
      </c>
      <c r="E132"/>
    </row>
    <row r="133" spans="3:5">
      <c r="C133" t="s">
        <v>756</v>
      </c>
      <c r="D133" t="s">
        <v>757</v>
      </c>
      <c r="E133"/>
    </row>
    <row r="134" spans="3:5">
      <c r="C134" t="s">
        <v>758</v>
      </c>
      <c r="D134" t="s">
        <v>759</v>
      </c>
      <c r="E134"/>
    </row>
    <row r="135" spans="3:5">
      <c r="C135" t="s">
        <v>760</v>
      </c>
      <c r="D135" t="s">
        <v>761</v>
      </c>
      <c r="E135"/>
    </row>
    <row r="136" spans="3:5">
      <c r="C136" t="s">
        <v>762</v>
      </c>
      <c r="D136" t="s">
        <v>763</v>
      </c>
      <c r="E136"/>
    </row>
    <row r="137" spans="3:5">
      <c r="C137" t="s">
        <v>729</v>
      </c>
      <c r="D137" t="s">
        <v>764</v>
      </c>
      <c r="E137"/>
    </row>
    <row r="138" spans="3:5">
      <c r="C138" t="s">
        <v>765</v>
      </c>
      <c r="D138" t="s">
        <v>766</v>
      </c>
      <c r="E138"/>
    </row>
    <row r="139" spans="3:5">
      <c r="C139" t="s">
        <v>767</v>
      </c>
      <c r="D139" t="s">
        <v>768</v>
      </c>
      <c r="E139"/>
    </row>
    <row r="140" spans="3:5">
      <c r="C140" t="s">
        <v>769</v>
      </c>
      <c r="D140" t="s">
        <v>770</v>
      </c>
      <c r="E140"/>
    </row>
    <row r="141" spans="3:5">
      <c r="C141"/>
      <c r="D141"/>
      <c r="E141"/>
    </row>
    <row r="142" spans="3:5" ht="23">
      <c r="C142" s="43" t="s">
        <v>716</v>
      </c>
      <c r="D142"/>
      <c r="E142"/>
    </row>
    <row r="143" spans="3:5">
      <c r="C143"/>
      <c r="D143"/>
      <c r="E143"/>
    </row>
    <row r="144" spans="3:5">
      <c r="C144" t="s">
        <v>771</v>
      </c>
      <c r="D144"/>
      <c r="E144"/>
    </row>
    <row r="145" spans="3:5">
      <c r="C145"/>
      <c r="D145"/>
      <c r="E145"/>
    </row>
    <row r="146" spans="3:5">
      <c r="C146"/>
      <c r="D146"/>
      <c r="E146"/>
    </row>
    <row r="147" spans="3:5">
      <c r="C147"/>
      <c r="D147"/>
      <c r="E147"/>
    </row>
    <row r="148" spans="3:5" ht="30">
      <c r="C148" s="42" t="s">
        <v>772</v>
      </c>
      <c r="D148"/>
      <c r="E148"/>
    </row>
    <row r="149" spans="3:5">
      <c r="C149"/>
      <c r="D149"/>
      <c r="E149"/>
    </row>
    <row r="150" spans="3:5">
      <c r="C150" s="1" t="s">
        <v>773</v>
      </c>
      <c r="D150" s="1" t="s">
        <v>774</v>
      </c>
      <c r="E150" s="1" t="s">
        <v>775</v>
      </c>
    </row>
    <row r="151" spans="3:5">
      <c r="C151" s="1" t="s">
        <v>776</v>
      </c>
      <c r="D151" t="s">
        <v>18</v>
      </c>
      <c r="E151" s="1" t="s">
        <v>777</v>
      </c>
    </row>
    <row r="152" spans="3:5">
      <c r="C152" s="1" t="s">
        <v>778</v>
      </c>
      <c r="D152" t="s">
        <v>21</v>
      </c>
      <c r="E152" s="1" t="s">
        <v>777</v>
      </c>
    </row>
    <row r="153" spans="3:5">
      <c r="C153" s="1" t="s">
        <v>779</v>
      </c>
      <c r="D153" t="s">
        <v>24</v>
      </c>
      <c r="E153" s="1" t="s">
        <v>777</v>
      </c>
    </row>
    <row r="154" spans="3:5">
      <c r="C154" s="1" t="s">
        <v>780</v>
      </c>
      <c r="D154" t="s">
        <v>27</v>
      </c>
      <c r="E154" s="1" t="s">
        <v>777</v>
      </c>
    </row>
    <row r="155" spans="3:5">
      <c r="C155"/>
      <c r="D155"/>
      <c r="E155"/>
    </row>
    <row r="156" spans="3:5">
      <c r="C156"/>
      <c r="D156"/>
      <c r="E156"/>
    </row>
    <row r="157" spans="3:5" ht="30">
      <c r="C157" s="42" t="s">
        <v>781</v>
      </c>
      <c r="D157"/>
      <c r="E157"/>
    </row>
    <row r="158" spans="3:5">
      <c r="C158"/>
      <c r="D158"/>
      <c r="E158"/>
    </row>
    <row r="159" spans="3:5">
      <c r="C159" t="s">
        <v>782</v>
      </c>
      <c r="D159"/>
      <c r="E159"/>
    </row>
    <row r="160" spans="3:5">
      <c r="C160"/>
      <c r="D160"/>
      <c r="E160"/>
    </row>
    <row r="161" spans="3:5">
      <c r="C161" s="1" t="s">
        <v>783</v>
      </c>
      <c r="D161" s="1" t="s">
        <v>784</v>
      </c>
      <c r="E161"/>
    </row>
    <row r="162" spans="3:5">
      <c r="C162" t="s">
        <v>785</v>
      </c>
      <c r="D162" t="s">
        <v>18</v>
      </c>
      <c r="E162"/>
    </row>
    <row r="163" spans="3:5">
      <c r="C163" t="s">
        <v>786</v>
      </c>
      <c r="D163" t="s">
        <v>18</v>
      </c>
      <c r="E163"/>
    </row>
    <row r="164" spans="3:5">
      <c r="C164" t="s">
        <v>787</v>
      </c>
      <c r="D164" t="s">
        <v>18</v>
      </c>
      <c r="E164"/>
    </row>
    <row r="165" spans="3:5">
      <c r="C165" t="s">
        <v>788</v>
      </c>
      <c r="D165" t="s">
        <v>789</v>
      </c>
      <c r="E165"/>
    </row>
    <row r="166" spans="3:5">
      <c r="C166" t="s">
        <v>725</v>
      </c>
      <c r="D166" t="s">
        <v>789</v>
      </c>
      <c r="E166"/>
    </row>
    <row r="167" spans="3:5">
      <c r="C167" t="s">
        <v>790</v>
      </c>
      <c r="D167" t="s">
        <v>791</v>
      </c>
      <c r="E167"/>
    </row>
    <row r="168" spans="3:5">
      <c r="C168" t="s">
        <v>792</v>
      </c>
      <c r="D168" t="s">
        <v>793</v>
      </c>
      <c r="E168"/>
    </row>
    <row r="169" spans="3:5">
      <c r="C169" t="s">
        <v>794</v>
      </c>
      <c r="D169" t="s">
        <v>793</v>
      </c>
      <c r="E169"/>
    </row>
    <row r="170" spans="3:5">
      <c r="C170" t="s">
        <v>795</v>
      </c>
      <c r="D170" t="s">
        <v>796</v>
      </c>
      <c r="E170"/>
    </row>
    <row r="171" spans="3:5">
      <c r="C171" t="s">
        <v>797</v>
      </c>
      <c r="D171" t="s">
        <v>796</v>
      </c>
      <c r="E171"/>
    </row>
    <row r="172" spans="3:5">
      <c r="C172" t="s">
        <v>762</v>
      </c>
      <c r="D172" t="s">
        <v>796</v>
      </c>
      <c r="E172"/>
    </row>
    <row r="173" spans="3:5">
      <c r="C173" t="s">
        <v>798</v>
      </c>
      <c r="D173" t="s">
        <v>796</v>
      </c>
      <c r="E173"/>
    </row>
    <row r="174" spans="3:5">
      <c r="C174"/>
      <c r="D174"/>
      <c r="E174"/>
    </row>
    <row r="175" spans="3:5">
      <c r="C175"/>
      <c r="D175"/>
      <c r="E175"/>
    </row>
    <row r="176" spans="3:5" ht="30">
      <c r="C176" s="42" t="s">
        <v>799</v>
      </c>
      <c r="D176"/>
      <c r="E176"/>
    </row>
    <row r="177" spans="3:5">
      <c r="C177"/>
      <c r="D177"/>
      <c r="E177"/>
    </row>
    <row r="178" spans="3:5">
      <c r="C178" t="s">
        <v>800</v>
      </c>
      <c r="D178"/>
      <c r="E178"/>
    </row>
    <row r="179" spans="3:5">
      <c r="C179"/>
      <c r="D179"/>
      <c r="E179"/>
    </row>
    <row r="180" spans="3:5">
      <c r="C180" t="s">
        <v>801</v>
      </c>
      <c r="D180"/>
      <c r="E180"/>
    </row>
    <row r="181" spans="3:5">
      <c r="C181"/>
      <c r="D181"/>
      <c r="E181"/>
    </row>
    <row r="182" spans="3:5">
      <c r="C182" s="1" t="s">
        <v>802</v>
      </c>
      <c r="D182" s="1" t="s">
        <v>803</v>
      </c>
      <c r="E182"/>
    </row>
    <row r="183" spans="3:5">
      <c r="C183" t="s">
        <v>31</v>
      </c>
      <c r="D183" t="s">
        <v>804</v>
      </c>
      <c r="E183"/>
    </row>
    <row r="184" spans="3:5">
      <c r="C184" t="s">
        <v>34</v>
      </c>
      <c r="D184" t="s">
        <v>805</v>
      </c>
      <c r="E184"/>
    </row>
    <row r="185" spans="3:5">
      <c r="C185" t="s">
        <v>37</v>
      </c>
      <c r="D185" t="s">
        <v>806</v>
      </c>
      <c r="E185"/>
    </row>
    <row r="186" spans="3:5">
      <c r="C186" t="s">
        <v>40</v>
      </c>
      <c r="D186" t="s">
        <v>807</v>
      </c>
      <c r="E186"/>
    </row>
    <row r="187" spans="3:5">
      <c r="C187" t="s">
        <v>43</v>
      </c>
      <c r="D187" t="s">
        <v>808</v>
      </c>
      <c r="E1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50"/>
  <sheetViews>
    <sheetView tabSelected="1" zoomScale="90" zoomScaleNormal="90" workbookViewId="0">
      <selection activeCell="H25" sqref="H25"/>
    </sheetView>
  </sheetViews>
  <sheetFormatPr baseColWidth="10" defaultColWidth="8.83203125" defaultRowHeight="13"/>
  <cols>
    <col min="1" max="2" width="3" style="119" customWidth="1"/>
    <col min="3" max="3" width="6" style="119" customWidth="1"/>
    <col min="4" max="4" width="25.33203125" style="119" customWidth="1"/>
    <col min="5" max="5" width="18" style="119" customWidth="1"/>
    <col min="6" max="6" width="14" style="119" customWidth="1"/>
    <col min="7" max="7" width="24" style="119" customWidth="1"/>
    <col min="8" max="8" width="30" style="119" customWidth="1"/>
    <col min="9" max="9" width="66" style="119" customWidth="1"/>
    <col min="10" max="14" width="12" style="119" customWidth="1"/>
    <col min="15" max="15" width="38" style="119" customWidth="1"/>
    <col min="16" max="16" width="42" style="119" customWidth="1"/>
    <col min="17" max="16384" width="8.83203125" style="119"/>
  </cols>
  <sheetData>
    <row r="1" spans="1:26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21">
      <c r="A2" s="118"/>
      <c r="B2" s="118"/>
      <c r="C2" s="88" t="s">
        <v>947</v>
      </c>
      <c r="D2" s="88" t="s">
        <v>947</v>
      </c>
      <c r="E2" s="88" t="s">
        <v>947</v>
      </c>
      <c r="F2" s="88" t="s">
        <v>947</v>
      </c>
      <c r="G2" s="88" t="s">
        <v>947</v>
      </c>
      <c r="H2" s="88" t="s">
        <v>947</v>
      </c>
      <c r="I2" s="88" t="s">
        <v>947</v>
      </c>
      <c r="J2" s="88" t="s">
        <v>947</v>
      </c>
      <c r="K2" s="88" t="s">
        <v>947</v>
      </c>
      <c r="L2" s="88" t="s">
        <v>947</v>
      </c>
      <c r="M2" s="80" t="s">
        <v>947</v>
      </c>
      <c r="N2" s="80" t="s">
        <v>947</v>
      </c>
      <c r="O2" s="80" t="s">
        <v>947</v>
      </c>
      <c r="P2" s="80" t="s">
        <v>947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4">
      <c r="A3" s="118"/>
      <c r="B3" s="118"/>
      <c r="C3" s="100" t="s">
        <v>948</v>
      </c>
      <c r="D3" s="100"/>
      <c r="E3" s="100"/>
      <c r="F3" s="100"/>
      <c r="G3" s="100"/>
      <c r="H3" s="100"/>
      <c r="I3" s="100"/>
      <c r="J3" s="101"/>
      <c r="K3" s="102" t="s">
        <v>949</v>
      </c>
      <c r="L3" s="102"/>
      <c r="M3" s="103"/>
      <c r="N3" s="104"/>
      <c r="O3" s="104"/>
      <c r="P3" s="104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>
      <c r="A4" s="118"/>
      <c r="B4" s="118"/>
      <c r="C4" s="105"/>
      <c r="D4" s="105"/>
      <c r="E4" s="105"/>
      <c r="F4" s="105"/>
      <c r="G4" s="105"/>
      <c r="H4" s="105"/>
      <c r="I4" s="105"/>
      <c r="J4" s="118"/>
      <c r="K4" s="106" t="s">
        <v>950</v>
      </c>
      <c r="L4" s="106"/>
      <c r="M4" s="106" t="s">
        <v>951</v>
      </c>
      <c r="N4" s="106"/>
      <c r="O4" s="106" t="s">
        <v>952</v>
      </c>
      <c r="P4" s="106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21">
      <c r="A5" s="118"/>
      <c r="B5" s="118"/>
      <c r="C5" s="107"/>
      <c r="D5" s="107"/>
      <c r="E5" s="107"/>
      <c r="F5" s="107"/>
      <c r="G5" s="107"/>
      <c r="H5" s="107"/>
      <c r="I5" s="105"/>
      <c r="J5" s="118"/>
      <c r="K5" s="108">
        <f>COUNTIF($L$22:$L$72,"Core")</f>
        <v>45</v>
      </c>
      <c r="L5" s="108"/>
      <c r="M5" s="108">
        <f>COUNTIF($K$22:$K$72,"P0 Critical")</f>
        <v>29</v>
      </c>
      <c r="N5" s="108"/>
      <c r="O5" s="108">
        <f>COUNTIF($L$22:$L$72,"Conditional")</f>
        <v>6</v>
      </c>
      <c r="P5" s="10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>
      <c r="A6" s="118"/>
      <c r="B6" s="118"/>
      <c r="C6" s="120"/>
      <c r="D6" s="120"/>
      <c r="E6" s="121"/>
      <c r="F6" s="120"/>
      <c r="G6" s="120"/>
      <c r="H6" s="120"/>
      <c r="I6" s="118"/>
      <c r="J6" s="118"/>
      <c r="K6" s="106" t="s">
        <v>953</v>
      </c>
      <c r="L6" s="106"/>
      <c r="M6" s="106" t="s">
        <v>954</v>
      </c>
      <c r="N6" s="106"/>
      <c r="O6" s="106" t="s">
        <v>955</v>
      </c>
      <c r="P6" s="106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ht="21">
      <c r="A7" s="118"/>
      <c r="B7" s="118"/>
      <c r="C7" s="79" t="s">
        <v>956</v>
      </c>
      <c r="D7" s="79" t="s">
        <v>957</v>
      </c>
      <c r="E7" s="109" t="s">
        <v>958</v>
      </c>
      <c r="F7" s="79" t="s">
        <v>959</v>
      </c>
      <c r="G7" s="79" t="s">
        <v>960</v>
      </c>
      <c r="H7" s="79" t="s">
        <v>961</v>
      </c>
      <c r="I7" s="79" t="s">
        <v>962</v>
      </c>
      <c r="J7" s="118"/>
      <c r="K7" s="108">
        <f>COUNTIF($E$8:$E$17,0)</f>
        <v>4</v>
      </c>
      <c r="L7" s="108"/>
      <c r="M7" s="110">
        <f>MAX($E$8:$E$17)</f>
        <v>0.62</v>
      </c>
      <c r="N7" s="110"/>
      <c r="O7" s="108">
        <f>COUNTIF($N$22:$N$72,"Low")</f>
        <v>2</v>
      </c>
      <c r="P7" s="10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ht="26">
      <c r="A8" s="118"/>
      <c r="B8" s="118"/>
      <c r="C8" s="122">
        <v>1</v>
      </c>
      <c r="D8" s="122" t="s">
        <v>963</v>
      </c>
      <c r="E8" s="123">
        <v>0</v>
      </c>
      <c r="F8" s="122" t="s">
        <v>964</v>
      </c>
      <c r="G8" s="122" t="s">
        <v>965</v>
      </c>
      <c r="H8" s="122" t="s">
        <v>966</v>
      </c>
      <c r="I8" s="122" t="s">
        <v>967</v>
      </c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>
      <c r="A9" s="118"/>
      <c r="B9" s="118"/>
      <c r="C9" s="122">
        <v>2</v>
      </c>
      <c r="D9" s="122" t="s">
        <v>968</v>
      </c>
      <c r="E9" s="123">
        <v>0</v>
      </c>
      <c r="F9" s="122" t="s">
        <v>964</v>
      </c>
      <c r="G9" s="122" t="s">
        <v>969</v>
      </c>
      <c r="H9" s="122" t="s">
        <v>970</v>
      </c>
      <c r="I9" s="122" t="s">
        <v>971</v>
      </c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ht="26">
      <c r="A10" s="118"/>
      <c r="B10" s="118"/>
      <c r="C10" s="122">
        <v>3</v>
      </c>
      <c r="D10" s="122" t="s">
        <v>972</v>
      </c>
      <c r="E10" s="123">
        <v>0</v>
      </c>
      <c r="F10" s="122" t="s">
        <v>964</v>
      </c>
      <c r="G10" s="122" t="s">
        <v>973</v>
      </c>
      <c r="H10" s="122" t="s">
        <v>974</v>
      </c>
      <c r="I10" s="122" t="s">
        <v>975</v>
      </c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39">
      <c r="A11" s="118"/>
      <c r="B11" s="118"/>
      <c r="C11" s="122">
        <v>4</v>
      </c>
      <c r="D11" s="122" t="s">
        <v>976</v>
      </c>
      <c r="E11" s="123">
        <v>0.1</v>
      </c>
      <c r="F11" s="122" t="s">
        <v>977</v>
      </c>
      <c r="G11" s="122" t="s">
        <v>978</v>
      </c>
      <c r="H11" s="122" t="s">
        <v>979</v>
      </c>
      <c r="I11" s="122" t="s">
        <v>980</v>
      </c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ht="26">
      <c r="A12" s="118"/>
      <c r="B12" s="118"/>
      <c r="C12" s="122">
        <v>5</v>
      </c>
      <c r="D12" s="122" t="s">
        <v>981</v>
      </c>
      <c r="E12" s="123">
        <v>0.2</v>
      </c>
      <c r="F12" s="122" t="s">
        <v>977</v>
      </c>
      <c r="G12" s="122" t="s">
        <v>982</v>
      </c>
      <c r="H12" s="122" t="s">
        <v>983</v>
      </c>
      <c r="I12" s="122" t="s">
        <v>984</v>
      </c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ht="26">
      <c r="A13" s="118"/>
      <c r="B13" s="118"/>
      <c r="C13" s="122">
        <v>6</v>
      </c>
      <c r="D13" s="122" t="s">
        <v>985</v>
      </c>
      <c r="E13" s="123">
        <v>0.25</v>
      </c>
      <c r="F13" s="122" t="s">
        <v>977</v>
      </c>
      <c r="G13" s="122" t="s">
        <v>986</v>
      </c>
      <c r="H13" s="122" t="s">
        <v>987</v>
      </c>
      <c r="I13" s="122" t="s">
        <v>988</v>
      </c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ht="39">
      <c r="A14" s="118"/>
      <c r="B14" s="118"/>
      <c r="C14" s="122">
        <v>7</v>
      </c>
      <c r="D14" s="122" t="s">
        <v>989</v>
      </c>
      <c r="E14" s="123">
        <v>0.62</v>
      </c>
      <c r="F14" s="122" t="s">
        <v>990</v>
      </c>
      <c r="G14" s="122" t="s">
        <v>991</v>
      </c>
      <c r="H14" s="122" t="s">
        <v>992</v>
      </c>
      <c r="I14" s="122" t="s">
        <v>597</v>
      </c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26">
      <c r="A15" s="118"/>
      <c r="B15" s="118"/>
      <c r="C15" s="122">
        <v>8</v>
      </c>
      <c r="D15" s="122" t="s">
        <v>993</v>
      </c>
      <c r="E15" s="123">
        <v>0.05</v>
      </c>
      <c r="F15" s="122" t="s">
        <v>964</v>
      </c>
      <c r="G15" s="122" t="s">
        <v>994</v>
      </c>
      <c r="H15" s="122" t="s">
        <v>995</v>
      </c>
      <c r="I15" s="122" t="s">
        <v>996</v>
      </c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ht="26">
      <c r="A16" s="118"/>
      <c r="B16" s="118"/>
      <c r="C16" s="122">
        <v>9</v>
      </c>
      <c r="D16" s="122" t="s">
        <v>997</v>
      </c>
      <c r="E16" s="123">
        <v>0</v>
      </c>
      <c r="F16" s="122" t="s">
        <v>964</v>
      </c>
      <c r="G16" s="122" t="s">
        <v>998</v>
      </c>
      <c r="H16" s="122" t="s">
        <v>999</v>
      </c>
      <c r="I16" s="122" t="s">
        <v>996</v>
      </c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ht="26">
      <c r="A17" s="118"/>
      <c r="B17" s="118"/>
      <c r="C17" s="122">
        <v>10</v>
      </c>
      <c r="D17" s="122" t="s">
        <v>1000</v>
      </c>
      <c r="E17" s="123">
        <v>0.12</v>
      </c>
      <c r="F17" s="122" t="s">
        <v>977</v>
      </c>
      <c r="G17" s="122" t="s">
        <v>1001</v>
      </c>
      <c r="H17" s="122" t="s">
        <v>1002</v>
      </c>
      <c r="I17" s="122" t="s">
        <v>1003</v>
      </c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>
      <c r="A18" s="118"/>
      <c r="B18" s="118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>
      <c r="A19" s="118"/>
      <c r="B19" s="118"/>
      <c r="C19" s="92" t="s">
        <v>1004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>
      <c r="A20" s="118"/>
      <c r="B20" s="118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4">
      <c r="A21" s="118"/>
      <c r="B21" s="118"/>
      <c r="C21" s="79" t="s">
        <v>809</v>
      </c>
      <c r="D21" s="79" t="s">
        <v>262</v>
      </c>
      <c r="E21" s="79" t="s">
        <v>1005</v>
      </c>
      <c r="F21" s="79" t="s">
        <v>1006</v>
      </c>
      <c r="G21" s="79" t="s">
        <v>1007</v>
      </c>
      <c r="H21" s="79" t="s">
        <v>1008</v>
      </c>
      <c r="I21" s="79" t="s">
        <v>1009</v>
      </c>
      <c r="J21" s="79" t="s">
        <v>1010</v>
      </c>
      <c r="K21" s="79" t="s">
        <v>810</v>
      </c>
      <c r="L21" s="79" t="s">
        <v>1011</v>
      </c>
      <c r="M21" s="79" t="s">
        <v>958</v>
      </c>
      <c r="N21" s="79" t="s">
        <v>1012</v>
      </c>
      <c r="O21" s="79" t="s">
        <v>1013</v>
      </c>
      <c r="P21" s="79" t="s">
        <v>1014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39">
      <c r="A22" s="118"/>
      <c r="B22" s="118"/>
      <c r="C22" s="122">
        <v>1</v>
      </c>
      <c r="D22" s="122" t="s">
        <v>557</v>
      </c>
      <c r="E22" s="122" t="s">
        <v>1015</v>
      </c>
      <c r="F22" s="122" t="s">
        <v>87</v>
      </c>
      <c r="G22" s="122"/>
      <c r="H22" s="122" t="s">
        <v>1016</v>
      </c>
      <c r="I22" s="122" t="s">
        <v>1017</v>
      </c>
      <c r="J22" s="122" t="s">
        <v>1018</v>
      </c>
      <c r="K22" s="122" t="s">
        <v>1019</v>
      </c>
      <c r="L22" s="122" t="s">
        <v>1020</v>
      </c>
      <c r="M22" s="123">
        <v>0.67</v>
      </c>
      <c r="N22" s="122" t="s">
        <v>1021</v>
      </c>
      <c r="O22" s="122" t="s">
        <v>1022</v>
      </c>
      <c r="P22" s="122" t="s">
        <v>1023</v>
      </c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26">
      <c r="A23" s="118"/>
      <c r="B23" s="118"/>
      <c r="C23" s="122">
        <v>2</v>
      </c>
      <c r="D23" s="122" t="s">
        <v>557</v>
      </c>
      <c r="E23" s="122" t="s">
        <v>1024</v>
      </c>
      <c r="F23" s="122" t="s">
        <v>90</v>
      </c>
      <c r="G23" s="122"/>
      <c r="H23" s="122" t="s">
        <v>1025</v>
      </c>
      <c r="I23" s="122" t="s">
        <v>1026</v>
      </c>
      <c r="J23" s="122" t="s">
        <v>1018</v>
      </c>
      <c r="K23" s="122" t="s">
        <v>1019</v>
      </c>
      <c r="L23" s="122" t="s">
        <v>1020</v>
      </c>
      <c r="M23" s="123">
        <v>0.4</v>
      </c>
      <c r="N23" s="122" t="s">
        <v>1021</v>
      </c>
      <c r="O23" s="122" t="s">
        <v>1027</v>
      </c>
      <c r="P23" s="122" t="s">
        <v>1028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39">
      <c r="A24" s="118"/>
      <c r="B24" s="118"/>
      <c r="C24" s="122">
        <v>3</v>
      </c>
      <c r="D24" s="122" t="s">
        <v>557</v>
      </c>
      <c r="E24" s="122" t="s">
        <v>1029</v>
      </c>
      <c r="F24" s="122" t="s">
        <v>290</v>
      </c>
      <c r="G24" s="122"/>
      <c r="H24" s="122" t="s">
        <v>1030</v>
      </c>
      <c r="I24" s="122" t="s">
        <v>1031</v>
      </c>
      <c r="J24" s="122" t="s">
        <v>1032</v>
      </c>
      <c r="K24" s="122" t="s">
        <v>1019</v>
      </c>
      <c r="L24" s="122" t="s">
        <v>1020</v>
      </c>
      <c r="M24" s="123"/>
      <c r="N24" s="122" t="s">
        <v>1033</v>
      </c>
      <c r="O24" s="122" t="s">
        <v>1034</v>
      </c>
      <c r="P24" s="122" t="s">
        <v>1035</v>
      </c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26">
      <c r="A25" s="118"/>
      <c r="B25" s="118"/>
      <c r="C25" s="122">
        <v>4</v>
      </c>
      <c r="D25" s="122" t="s">
        <v>557</v>
      </c>
      <c r="E25" s="122" t="s">
        <v>1036</v>
      </c>
      <c r="F25" s="122" t="s">
        <v>142</v>
      </c>
      <c r="G25" s="122"/>
      <c r="H25" s="122" t="s">
        <v>1037</v>
      </c>
      <c r="I25" s="122" t="s">
        <v>1038</v>
      </c>
      <c r="J25" s="122" t="s">
        <v>1018</v>
      </c>
      <c r="K25" s="122" t="s">
        <v>1019</v>
      </c>
      <c r="L25" s="122" t="s">
        <v>1020</v>
      </c>
      <c r="M25" s="123">
        <v>0.8</v>
      </c>
      <c r="N25" s="122" t="s">
        <v>1021</v>
      </c>
      <c r="O25" s="122" t="s">
        <v>1039</v>
      </c>
      <c r="P25" s="122" t="s">
        <v>1040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26">
      <c r="A26" s="118"/>
      <c r="B26" s="118"/>
      <c r="C26" s="122">
        <v>5</v>
      </c>
      <c r="D26" s="122" t="s">
        <v>557</v>
      </c>
      <c r="E26" s="122" t="s">
        <v>1041</v>
      </c>
      <c r="F26" s="122" t="s">
        <v>1042</v>
      </c>
      <c r="G26" s="122"/>
      <c r="H26" s="122" t="s">
        <v>1043</v>
      </c>
      <c r="I26" s="122" t="s">
        <v>1044</v>
      </c>
      <c r="J26" s="122" t="s">
        <v>1045</v>
      </c>
      <c r="K26" s="122" t="s">
        <v>1046</v>
      </c>
      <c r="L26" s="122" t="s">
        <v>1020</v>
      </c>
      <c r="M26" s="123"/>
      <c r="N26" s="122" t="s">
        <v>1033</v>
      </c>
      <c r="O26" s="122" t="s">
        <v>1034</v>
      </c>
      <c r="P26" s="122" t="s">
        <v>1047</v>
      </c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26">
      <c r="A27" s="118"/>
      <c r="B27" s="118"/>
      <c r="C27" s="122">
        <v>6</v>
      </c>
      <c r="D27" s="122" t="s">
        <v>557</v>
      </c>
      <c r="E27" s="122" t="s">
        <v>1048</v>
      </c>
      <c r="F27" s="122" t="s">
        <v>131</v>
      </c>
      <c r="G27" s="122"/>
      <c r="H27" s="122" t="s">
        <v>1049</v>
      </c>
      <c r="I27" s="122" t="s">
        <v>1050</v>
      </c>
      <c r="J27" s="122" t="s">
        <v>1018</v>
      </c>
      <c r="K27" s="122" t="s">
        <v>1019</v>
      </c>
      <c r="L27" s="122" t="s">
        <v>1020</v>
      </c>
      <c r="M27" s="123"/>
      <c r="N27" s="122" t="s">
        <v>1033</v>
      </c>
      <c r="O27" s="122" t="s">
        <v>1051</v>
      </c>
      <c r="P27" s="122" t="s">
        <v>1052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26">
      <c r="A28" s="118"/>
      <c r="B28" s="118"/>
      <c r="C28" s="122">
        <v>7</v>
      </c>
      <c r="D28" s="122" t="s">
        <v>557</v>
      </c>
      <c r="E28" s="122" t="s">
        <v>1053</v>
      </c>
      <c r="F28" s="122" t="s">
        <v>564</v>
      </c>
      <c r="G28" s="122"/>
      <c r="H28" s="122" t="s">
        <v>1054</v>
      </c>
      <c r="I28" s="122" t="s">
        <v>1055</v>
      </c>
      <c r="J28" s="122" t="s">
        <v>1056</v>
      </c>
      <c r="K28" s="122" t="s">
        <v>1046</v>
      </c>
      <c r="L28" s="122" t="s">
        <v>1020</v>
      </c>
      <c r="M28" s="123"/>
      <c r="N28" s="122" t="s">
        <v>1033</v>
      </c>
      <c r="O28" s="122" t="s">
        <v>1057</v>
      </c>
      <c r="P28" s="122" t="s">
        <v>1058</v>
      </c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39">
      <c r="A29" s="118"/>
      <c r="B29" s="118"/>
      <c r="C29" s="111">
        <v>50</v>
      </c>
      <c r="D29" s="112" t="s">
        <v>557</v>
      </c>
      <c r="E29" s="112" t="s">
        <v>1316</v>
      </c>
      <c r="F29" s="112" t="s">
        <v>1155</v>
      </c>
      <c r="G29" s="113" t="s">
        <v>1317</v>
      </c>
      <c r="H29" s="111" t="s">
        <v>1318</v>
      </c>
      <c r="I29" s="111" t="s">
        <v>1319</v>
      </c>
      <c r="J29" s="111" t="s">
        <v>1320</v>
      </c>
      <c r="K29" s="111" t="s">
        <v>1019</v>
      </c>
      <c r="L29" s="111" t="s">
        <v>1020</v>
      </c>
      <c r="M29" s="113">
        <v>0.8</v>
      </c>
      <c r="N29" s="111" t="s">
        <v>1021</v>
      </c>
      <c r="O29" s="111" t="s">
        <v>1321</v>
      </c>
      <c r="P29" s="111" t="s">
        <v>1322</v>
      </c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6">
      <c r="A30" s="118"/>
      <c r="B30" s="118"/>
      <c r="C30" s="111">
        <v>51</v>
      </c>
      <c r="D30" s="112" t="s">
        <v>557</v>
      </c>
      <c r="E30" s="112" t="s">
        <v>1316</v>
      </c>
      <c r="F30" s="112" t="s">
        <v>1155</v>
      </c>
      <c r="G30" s="113" t="s">
        <v>1323</v>
      </c>
      <c r="H30" s="111" t="s">
        <v>1324</v>
      </c>
      <c r="I30" s="111" t="s">
        <v>1325</v>
      </c>
      <c r="J30" s="111" t="s">
        <v>1320</v>
      </c>
      <c r="K30" s="111" t="s">
        <v>1019</v>
      </c>
      <c r="L30" s="111" t="s">
        <v>1020</v>
      </c>
      <c r="M30" s="113">
        <v>0.7</v>
      </c>
      <c r="N30" s="111" t="s">
        <v>1033</v>
      </c>
      <c r="O30" s="111" t="s">
        <v>1326</v>
      </c>
      <c r="P30" s="111" t="s">
        <v>1327</v>
      </c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39">
      <c r="A31" s="118"/>
      <c r="B31" s="118"/>
      <c r="C31" s="122">
        <v>8</v>
      </c>
      <c r="D31" s="122" t="s">
        <v>1059</v>
      </c>
      <c r="E31" s="122" t="s">
        <v>1060</v>
      </c>
      <c r="F31" s="122" t="s">
        <v>94</v>
      </c>
      <c r="G31" s="122"/>
      <c r="H31" s="122" t="s">
        <v>1061</v>
      </c>
      <c r="I31" s="122" t="s">
        <v>1062</v>
      </c>
      <c r="J31" s="122" t="s">
        <v>1063</v>
      </c>
      <c r="K31" s="122" t="s">
        <v>1019</v>
      </c>
      <c r="L31" s="122" t="s">
        <v>1020</v>
      </c>
      <c r="M31" s="123">
        <v>0.6</v>
      </c>
      <c r="N31" s="122" t="s">
        <v>1033</v>
      </c>
      <c r="O31" s="122" t="s">
        <v>1064</v>
      </c>
      <c r="P31" s="122" t="s">
        <v>1065</v>
      </c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39">
      <c r="A32" s="118"/>
      <c r="B32" s="118"/>
      <c r="C32" s="122">
        <v>9</v>
      </c>
      <c r="D32" s="122" t="s">
        <v>1059</v>
      </c>
      <c r="E32" s="122" t="s">
        <v>1060</v>
      </c>
      <c r="F32" s="122" t="s">
        <v>103</v>
      </c>
      <c r="G32" s="122"/>
      <c r="H32" s="122" t="s">
        <v>1066</v>
      </c>
      <c r="I32" s="122" t="s">
        <v>1067</v>
      </c>
      <c r="J32" s="122" t="s">
        <v>1045</v>
      </c>
      <c r="K32" s="122" t="s">
        <v>1019</v>
      </c>
      <c r="L32" s="122" t="s">
        <v>1020</v>
      </c>
      <c r="M32" s="123">
        <v>0.88</v>
      </c>
      <c r="N32" s="122" t="s">
        <v>1033</v>
      </c>
      <c r="O32" s="122" t="s">
        <v>1068</v>
      </c>
      <c r="P32" s="122" t="s">
        <v>1069</v>
      </c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39">
      <c r="A33" s="118"/>
      <c r="B33" s="118"/>
      <c r="C33" s="122">
        <v>10</v>
      </c>
      <c r="D33" s="122" t="s">
        <v>1059</v>
      </c>
      <c r="E33" s="122" t="s">
        <v>1060</v>
      </c>
      <c r="F33" s="122" t="s">
        <v>393</v>
      </c>
      <c r="G33" s="122"/>
      <c r="H33" s="122" t="s">
        <v>1070</v>
      </c>
      <c r="I33" s="122" t="s">
        <v>1071</v>
      </c>
      <c r="J33" s="122" t="s">
        <v>1072</v>
      </c>
      <c r="K33" s="122" t="s">
        <v>1019</v>
      </c>
      <c r="L33" s="122" t="s">
        <v>1020</v>
      </c>
      <c r="M33" s="123">
        <v>0.9</v>
      </c>
      <c r="N33" s="122" t="s">
        <v>1021</v>
      </c>
      <c r="O33" s="122" t="s">
        <v>1073</v>
      </c>
      <c r="P33" s="122" t="s">
        <v>1074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26">
      <c r="A34" s="118"/>
      <c r="B34" s="118"/>
      <c r="C34" s="122">
        <v>11</v>
      </c>
      <c r="D34" s="122" t="s">
        <v>1059</v>
      </c>
      <c r="E34" s="122" t="s">
        <v>1075</v>
      </c>
      <c r="F34" s="122" t="s">
        <v>393</v>
      </c>
      <c r="G34" s="122" t="s">
        <v>94</v>
      </c>
      <c r="H34" s="122" t="s">
        <v>1076</v>
      </c>
      <c r="I34" s="122" t="s">
        <v>1077</v>
      </c>
      <c r="J34" s="122" t="s">
        <v>1056</v>
      </c>
      <c r="K34" s="122" t="s">
        <v>1019</v>
      </c>
      <c r="L34" s="122" t="s">
        <v>1020</v>
      </c>
      <c r="M34" s="123">
        <v>0</v>
      </c>
      <c r="N34" s="122" t="s">
        <v>1021</v>
      </c>
      <c r="O34" s="122" t="s">
        <v>1078</v>
      </c>
      <c r="P34" s="122" t="s">
        <v>1079</v>
      </c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39">
      <c r="A35" s="118"/>
      <c r="B35" s="118"/>
      <c r="C35" s="122">
        <v>12</v>
      </c>
      <c r="D35" s="122" t="s">
        <v>1059</v>
      </c>
      <c r="E35" s="122" t="s">
        <v>1080</v>
      </c>
      <c r="F35" s="122" t="s">
        <v>97</v>
      </c>
      <c r="G35" s="122"/>
      <c r="H35" s="122" t="s">
        <v>1081</v>
      </c>
      <c r="I35" s="122" t="s">
        <v>1082</v>
      </c>
      <c r="J35" s="122" t="s">
        <v>1083</v>
      </c>
      <c r="K35" s="122" t="s">
        <v>1046</v>
      </c>
      <c r="L35" s="122" t="s">
        <v>1020</v>
      </c>
      <c r="M35" s="123">
        <v>0.7</v>
      </c>
      <c r="N35" s="122" t="s">
        <v>1084</v>
      </c>
      <c r="O35" s="122" t="s">
        <v>1085</v>
      </c>
      <c r="P35" s="122" t="s">
        <v>1086</v>
      </c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39">
      <c r="A36" s="118"/>
      <c r="B36" s="118"/>
      <c r="C36" s="122">
        <v>13</v>
      </c>
      <c r="D36" s="122" t="s">
        <v>1059</v>
      </c>
      <c r="E36" s="122" t="s">
        <v>1087</v>
      </c>
      <c r="F36" s="122" t="s">
        <v>596</v>
      </c>
      <c r="G36" s="122" t="s">
        <v>1088</v>
      </c>
      <c r="H36" s="122" t="s">
        <v>1089</v>
      </c>
      <c r="I36" s="122" t="s">
        <v>1090</v>
      </c>
      <c r="J36" s="122" t="s">
        <v>1091</v>
      </c>
      <c r="K36" s="122" t="s">
        <v>1019</v>
      </c>
      <c r="L36" s="122" t="s">
        <v>1020</v>
      </c>
      <c r="M36" s="123"/>
      <c r="N36" s="122" t="s">
        <v>1021</v>
      </c>
      <c r="O36" s="122" t="s">
        <v>1092</v>
      </c>
      <c r="P36" s="122" t="s">
        <v>1093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39">
      <c r="A37" s="118"/>
      <c r="B37" s="118"/>
      <c r="C37" s="122">
        <v>14</v>
      </c>
      <c r="D37" s="122" t="s">
        <v>1094</v>
      </c>
      <c r="E37" s="122" t="s">
        <v>1095</v>
      </c>
      <c r="F37" s="122" t="s">
        <v>1096</v>
      </c>
      <c r="G37" s="122"/>
      <c r="H37" s="122" t="s">
        <v>1097</v>
      </c>
      <c r="I37" s="122" t="s">
        <v>1098</v>
      </c>
      <c r="J37" s="122" t="s">
        <v>1099</v>
      </c>
      <c r="K37" s="122" t="s">
        <v>1019</v>
      </c>
      <c r="L37" s="122" t="s">
        <v>1020</v>
      </c>
      <c r="M37" s="123">
        <v>0.12</v>
      </c>
      <c r="N37" s="122" t="s">
        <v>1021</v>
      </c>
      <c r="O37" s="122" t="s">
        <v>1100</v>
      </c>
      <c r="P37" s="122" t="s">
        <v>1101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39">
      <c r="A38" s="118"/>
      <c r="B38" s="118"/>
      <c r="C38" s="122">
        <v>15</v>
      </c>
      <c r="D38" s="122" t="s">
        <v>1094</v>
      </c>
      <c r="E38" s="122" t="s">
        <v>1095</v>
      </c>
      <c r="F38" s="122" t="s">
        <v>1102</v>
      </c>
      <c r="G38" s="122"/>
      <c r="H38" s="122" t="s">
        <v>1103</v>
      </c>
      <c r="I38" s="122" t="s">
        <v>1104</v>
      </c>
      <c r="J38" s="122" t="s">
        <v>1105</v>
      </c>
      <c r="K38" s="122" t="s">
        <v>1019</v>
      </c>
      <c r="L38" s="122" t="s">
        <v>1020</v>
      </c>
      <c r="M38" s="123">
        <v>0</v>
      </c>
      <c r="N38" s="122" t="s">
        <v>1021</v>
      </c>
      <c r="O38" s="122" t="s">
        <v>1106</v>
      </c>
      <c r="P38" s="122" t="s">
        <v>1107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52">
      <c r="A39" s="118"/>
      <c r="B39" s="118"/>
      <c r="C39" s="122">
        <v>16</v>
      </c>
      <c r="D39" s="122" t="s">
        <v>1094</v>
      </c>
      <c r="E39" s="122" t="s">
        <v>1095</v>
      </c>
      <c r="F39" s="122" t="s">
        <v>107</v>
      </c>
      <c r="G39" s="122"/>
      <c r="H39" s="122" t="s">
        <v>298</v>
      </c>
      <c r="I39" s="122" t="s">
        <v>1108</v>
      </c>
      <c r="J39" s="122" t="s">
        <v>1045</v>
      </c>
      <c r="K39" s="122" t="s">
        <v>1019</v>
      </c>
      <c r="L39" s="122" t="s">
        <v>1020</v>
      </c>
      <c r="M39" s="123">
        <v>0</v>
      </c>
      <c r="N39" s="122" t="s">
        <v>1084</v>
      </c>
      <c r="O39" s="122" t="s">
        <v>1109</v>
      </c>
      <c r="P39" s="122" t="s">
        <v>1110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26">
      <c r="A40" s="118"/>
      <c r="B40" s="118"/>
      <c r="C40" s="75">
        <v>41</v>
      </c>
      <c r="D40" s="75" t="s">
        <v>1094</v>
      </c>
      <c r="E40" s="75" t="s">
        <v>1095</v>
      </c>
      <c r="F40" s="75" t="s">
        <v>99</v>
      </c>
      <c r="G40" s="111"/>
      <c r="H40" s="75" t="s">
        <v>1258</v>
      </c>
      <c r="I40" s="75" t="s">
        <v>1259</v>
      </c>
      <c r="J40" s="75" t="s">
        <v>1260</v>
      </c>
      <c r="K40" s="75" t="s">
        <v>1019</v>
      </c>
      <c r="L40" s="75" t="s">
        <v>1020</v>
      </c>
      <c r="M40" s="116">
        <v>0</v>
      </c>
      <c r="N40" s="111" t="s">
        <v>1021</v>
      </c>
      <c r="O40" s="111" t="s">
        <v>1261</v>
      </c>
      <c r="P40" s="111" t="s">
        <v>1262</v>
      </c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39">
      <c r="A41" s="118"/>
      <c r="B41" s="118"/>
      <c r="C41" s="75">
        <v>43</v>
      </c>
      <c r="D41" s="75" t="s">
        <v>1094</v>
      </c>
      <c r="E41" s="75" t="s">
        <v>1269</v>
      </c>
      <c r="F41" s="75" t="s">
        <v>1155</v>
      </c>
      <c r="G41" s="75" t="s">
        <v>1270</v>
      </c>
      <c r="H41" s="75" t="s">
        <v>1271</v>
      </c>
      <c r="I41" s="75" t="s">
        <v>1272</v>
      </c>
      <c r="J41" s="75" t="s">
        <v>1273</v>
      </c>
      <c r="K41" s="75" t="s">
        <v>1019</v>
      </c>
      <c r="L41" s="75" t="s">
        <v>1020</v>
      </c>
      <c r="M41" s="116">
        <v>0.2</v>
      </c>
      <c r="N41" s="75" t="s">
        <v>1033</v>
      </c>
      <c r="O41" s="75" t="s">
        <v>1274</v>
      </c>
      <c r="P41" s="75" t="s">
        <v>1275</v>
      </c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39">
      <c r="A42" s="118"/>
      <c r="B42" s="118"/>
      <c r="C42" s="122">
        <v>17</v>
      </c>
      <c r="D42" s="122" t="s">
        <v>1111</v>
      </c>
      <c r="E42" s="122" t="s">
        <v>1112</v>
      </c>
      <c r="F42" s="122" t="s">
        <v>578</v>
      </c>
      <c r="G42" s="122"/>
      <c r="H42" s="122" t="s">
        <v>579</v>
      </c>
      <c r="I42" s="122" t="s">
        <v>1113</v>
      </c>
      <c r="J42" s="122" t="s">
        <v>1018</v>
      </c>
      <c r="K42" s="122" t="s">
        <v>1019</v>
      </c>
      <c r="L42" s="122" t="s">
        <v>1020</v>
      </c>
      <c r="M42" s="123">
        <v>0</v>
      </c>
      <c r="N42" s="122" t="s">
        <v>1021</v>
      </c>
      <c r="O42" s="122" t="s">
        <v>1114</v>
      </c>
      <c r="P42" s="122" t="s">
        <v>1115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39">
      <c r="A43" s="118"/>
      <c r="B43" s="118"/>
      <c r="C43" s="122">
        <v>18</v>
      </c>
      <c r="D43" s="122" t="s">
        <v>1111</v>
      </c>
      <c r="E43" s="122" t="s">
        <v>1116</v>
      </c>
      <c r="F43" s="122" t="s">
        <v>1117</v>
      </c>
      <c r="G43" s="122"/>
      <c r="H43" s="122" t="s">
        <v>1118</v>
      </c>
      <c r="I43" s="122" t="s">
        <v>1119</v>
      </c>
      <c r="J43" s="122" t="s">
        <v>1120</v>
      </c>
      <c r="K43" s="122" t="s">
        <v>1019</v>
      </c>
      <c r="L43" s="122" t="s">
        <v>1020</v>
      </c>
      <c r="M43" s="123">
        <v>0</v>
      </c>
      <c r="N43" s="122" t="s">
        <v>1021</v>
      </c>
      <c r="O43" s="122" t="s">
        <v>1121</v>
      </c>
      <c r="P43" s="122" t="s">
        <v>1122</v>
      </c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39">
      <c r="A44" s="118"/>
      <c r="B44" s="118"/>
      <c r="C44" s="111">
        <v>42</v>
      </c>
      <c r="D44" s="111" t="s">
        <v>1111</v>
      </c>
      <c r="E44" s="111" t="s">
        <v>1263</v>
      </c>
      <c r="F44" s="111" t="s">
        <v>1155</v>
      </c>
      <c r="G44" s="111" t="s">
        <v>1264</v>
      </c>
      <c r="H44" s="111" t="s">
        <v>1265</v>
      </c>
      <c r="I44" s="111" t="s">
        <v>1266</v>
      </c>
      <c r="J44" s="111" t="s">
        <v>1018</v>
      </c>
      <c r="K44" s="111" t="s">
        <v>1019</v>
      </c>
      <c r="L44" s="111" t="s">
        <v>1020</v>
      </c>
      <c r="M44" s="113">
        <v>0</v>
      </c>
      <c r="N44" s="111" t="s">
        <v>1021</v>
      </c>
      <c r="O44" s="111" t="s">
        <v>1267</v>
      </c>
      <c r="P44" s="111" t="s">
        <v>1268</v>
      </c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26">
      <c r="A45" s="118"/>
      <c r="B45" s="118"/>
      <c r="C45" s="75">
        <v>44</v>
      </c>
      <c r="D45" s="75" t="s">
        <v>1111</v>
      </c>
      <c r="E45" s="75" t="s">
        <v>1276</v>
      </c>
      <c r="F45" s="75" t="s">
        <v>1277</v>
      </c>
      <c r="G45" s="75" t="s">
        <v>223</v>
      </c>
      <c r="H45" s="75" t="s">
        <v>1278</v>
      </c>
      <c r="I45" s="75" t="s">
        <v>1279</v>
      </c>
      <c r="J45" s="75" t="s">
        <v>1280</v>
      </c>
      <c r="K45" s="75" t="s">
        <v>1046</v>
      </c>
      <c r="L45" s="75" t="s">
        <v>1020</v>
      </c>
      <c r="M45" s="116"/>
      <c r="N45" s="75" t="s">
        <v>1033</v>
      </c>
      <c r="O45" s="75" t="s">
        <v>1281</v>
      </c>
      <c r="P45" s="75" t="s">
        <v>1282</v>
      </c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26">
      <c r="A46" s="118"/>
      <c r="B46" s="118"/>
      <c r="C46" s="111">
        <v>45</v>
      </c>
      <c r="D46" s="112" t="s">
        <v>1111</v>
      </c>
      <c r="E46" s="112" t="s">
        <v>1276</v>
      </c>
      <c r="F46" s="112" t="s">
        <v>1283</v>
      </c>
      <c r="G46" s="113" t="s">
        <v>1284</v>
      </c>
      <c r="H46" s="111" t="s">
        <v>1285</v>
      </c>
      <c r="I46" s="111" t="s">
        <v>1286</v>
      </c>
      <c r="J46" s="111" t="s">
        <v>1287</v>
      </c>
      <c r="K46" s="111" t="s">
        <v>1046</v>
      </c>
      <c r="L46" s="111" t="s">
        <v>1020</v>
      </c>
      <c r="M46" s="113"/>
      <c r="N46" s="111" t="s">
        <v>1033</v>
      </c>
      <c r="O46" s="111" t="s">
        <v>1288</v>
      </c>
      <c r="P46" s="111" t="s">
        <v>1289</v>
      </c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26">
      <c r="A47" s="118"/>
      <c r="B47" s="118"/>
      <c r="C47" s="122">
        <v>19</v>
      </c>
      <c r="D47" s="122" t="s">
        <v>1123</v>
      </c>
      <c r="E47" s="122" t="s">
        <v>1124</v>
      </c>
      <c r="F47" s="122" t="s">
        <v>1125</v>
      </c>
      <c r="G47" s="122"/>
      <c r="H47" s="122" t="s">
        <v>1126</v>
      </c>
      <c r="I47" s="122" t="s">
        <v>1127</v>
      </c>
      <c r="J47" s="122" t="s">
        <v>1128</v>
      </c>
      <c r="K47" s="122" t="s">
        <v>1046</v>
      </c>
      <c r="L47" s="122" t="s">
        <v>1020</v>
      </c>
      <c r="M47" s="123">
        <v>0</v>
      </c>
      <c r="N47" s="122" t="s">
        <v>1021</v>
      </c>
      <c r="O47" s="122" t="s">
        <v>1106</v>
      </c>
      <c r="P47" s="122" t="s">
        <v>1129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26">
      <c r="A48" s="118"/>
      <c r="B48" s="118"/>
      <c r="C48" s="122">
        <v>20</v>
      </c>
      <c r="D48" s="122" t="s">
        <v>1123</v>
      </c>
      <c r="E48" s="122" t="s">
        <v>1130</v>
      </c>
      <c r="F48" s="122" t="s">
        <v>937</v>
      </c>
      <c r="G48" s="122"/>
      <c r="H48" s="122" t="s">
        <v>938</v>
      </c>
      <c r="I48" s="122" t="s">
        <v>1131</v>
      </c>
      <c r="J48" s="122" t="s">
        <v>1128</v>
      </c>
      <c r="K48" s="122" t="s">
        <v>1046</v>
      </c>
      <c r="L48" s="122" t="s">
        <v>1020</v>
      </c>
      <c r="M48" s="123">
        <v>0</v>
      </c>
      <c r="N48" s="122" t="s">
        <v>1021</v>
      </c>
      <c r="O48" s="122" t="s">
        <v>1106</v>
      </c>
      <c r="P48" s="122" t="s">
        <v>1132</v>
      </c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26">
      <c r="A49" s="118"/>
      <c r="B49" s="118"/>
      <c r="C49" s="122">
        <v>21</v>
      </c>
      <c r="D49" s="122" t="s">
        <v>1123</v>
      </c>
      <c r="E49" s="122" t="s">
        <v>1133</v>
      </c>
      <c r="F49" s="122" t="s">
        <v>941</v>
      </c>
      <c r="G49" s="122"/>
      <c r="H49" s="122" t="s">
        <v>942</v>
      </c>
      <c r="I49" s="122" t="s">
        <v>1134</v>
      </c>
      <c r="J49" s="122" t="s">
        <v>1128</v>
      </c>
      <c r="K49" s="122" t="s">
        <v>1046</v>
      </c>
      <c r="L49" s="122" t="s">
        <v>1020</v>
      </c>
      <c r="M49" s="123">
        <v>0</v>
      </c>
      <c r="N49" s="122" t="s">
        <v>1021</v>
      </c>
      <c r="O49" s="122" t="s">
        <v>1106</v>
      </c>
      <c r="P49" s="122" t="s">
        <v>1135</v>
      </c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26">
      <c r="A50" s="118"/>
      <c r="B50" s="118"/>
      <c r="C50" s="122">
        <v>22</v>
      </c>
      <c r="D50" s="122" t="s">
        <v>1123</v>
      </c>
      <c r="E50" s="122" t="s">
        <v>1136</v>
      </c>
      <c r="F50" s="122" t="s">
        <v>905</v>
      </c>
      <c r="G50" s="122"/>
      <c r="H50" s="122" t="s">
        <v>1137</v>
      </c>
      <c r="I50" s="122" t="s">
        <v>1138</v>
      </c>
      <c r="J50" s="122" t="s">
        <v>1139</v>
      </c>
      <c r="K50" s="122" t="s">
        <v>1046</v>
      </c>
      <c r="L50" s="122" t="s">
        <v>1020</v>
      </c>
      <c r="M50" s="123"/>
      <c r="N50" s="122" t="s">
        <v>1033</v>
      </c>
      <c r="O50" s="122" t="s">
        <v>1140</v>
      </c>
      <c r="P50" s="122" t="s">
        <v>1141</v>
      </c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26">
      <c r="A51" s="118"/>
      <c r="B51" s="118"/>
      <c r="C51" s="122">
        <v>23</v>
      </c>
      <c r="D51" s="122" t="s">
        <v>1123</v>
      </c>
      <c r="E51" s="122" t="s">
        <v>1142</v>
      </c>
      <c r="F51" s="122" t="s">
        <v>1143</v>
      </c>
      <c r="G51" s="122"/>
      <c r="H51" s="122" t="s">
        <v>1144</v>
      </c>
      <c r="I51" s="122" t="s">
        <v>1145</v>
      </c>
      <c r="J51" s="122" t="s">
        <v>1146</v>
      </c>
      <c r="K51" s="122" t="s">
        <v>1046</v>
      </c>
      <c r="L51" s="122" t="s">
        <v>1020</v>
      </c>
      <c r="M51" s="123"/>
      <c r="N51" s="122" t="s">
        <v>1033</v>
      </c>
      <c r="O51" s="122" t="s">
        <v>1140</v>
      </c>
      <c r="P51" s="122" t="s">
        <v>1147</v>
      </c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26">
      <c r="A52" s="118"/>
      <c r="B52" s="118"/>
      <c r="C52" s="72">
        <v>24</v>
      </c>
      <c r="D52" s="72" t="s">
        <v>1123</v>
      </c>
      <c r="E52" s="72" t="s">
        <v>1148</v>
      </c>
      <c r="F52" s="72" t="s">
        <v>188</v>
      </c>
      <c r="G52" s="72"/>
      <c r="H52" s="72" t="s">
        <v>1149</v>
      </c>
      <c r="I52" s="72" t="s">
        <v>1150</v>
      </c>
      <c r="J52" s="72" t="s">
        <v>1151</v>
      </c>
      <c r="K52" s="72" t="s">
        <v>1046</v>
      </c>
      <c r="L52" s="72" t="s">
        <v>1020</v>
      </c>
      <c r="M52" s="123"/>
      <c r="N52" s="122" t="s">
        <v>1033</v>
      </c>
      <c r="O52" s="122" t="s">
        <v>1140</v>
      </c>
      <c r="P52" s="122" t="s">
        <v>1152</v>
      </c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26">
      <c r="A53" s="118"/>
      <c r="B53" s="118"/>
      <c r="C53" s="111">
        <v>46</v>
      </c>
      <c r="D53" s="112" t="s">
        <v>1123</v>
      </c>
      <c r="E53" s="112" t="s">
        <v>1290</v>
      </c>
      <c r="F53" s="112" t="s">
        <v>905</v>
      </c>
      <c r="G53" s="113" t="s">
        <v>321</v>
      </c>
      <c r="H53" s="111" t="s">
        <v>1291</v>
      </c>
      <c r="I53" s="111" t="s">
        <v>1292</v>
      </c>
      <c r="J53" s="111" t="s">
        <v>1293</v>
      </c>
      <c r="K53" s="111" t="s">
        <v>1046</v>
      </c>
      <c r="L53" s="111" t="s">
        <v>1020</v>
      </c>
      <c r="M53" s="113"/>
      <c r="N53" s="111" t="s">
        <v>1033</v>
      </c>
      <c r="O53" s="111" t="s">
        <v>1294</v>
      </c>
      <c r="P53" s="111" t="s">
        <v>1295</v>
      </c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26">
      <c r="A54" s="118"/>
      <c r="B54" s="118"/>
      <c r="C54" s="111">
        <v>47</v>
      </c>
      <c r="D54" s="112" t="s">
        <v>1123</v>
      </c>
      <c r="E54" s="112" t="s">
        <v>1296</v>
      </c>
      <c r="F54" s="112" t="s">
        <v>623</v>
      </c>
      <c r="G54" s="113" t="s">
        <v>1297</v>
      </c>
      <c r="H54" s="111" t="s">
        <v>1298</v>
      </c>
      <c r="I54" s="111" t="s">
        <v>1299</v>
      </c>
      <c r="J54" s="111" t="s">
        <v>1300</v>
      </c>
      <c r="K54" s="111" t="s">
        <v>1046</v>
      </c>
      <c r="L54" s="111" t="s">
        <v>1020</v>
      </c>
      <c r="M54" s="113"/>
      <c r="N54" s="111" t="s">
        <v>1033</v>
      </c>
      <c r="O54" s="111" t="s">
        <v>1301</v>
      </c>
      <c r="P54" s="111" t="s">
        <v>1302</v>
      </c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39">
      <c r="A55" s="118"/>
      <c r="B55" s="118"/>
      <c r="C55" s="72">
        <v>25</v>
      </c>
      <c r="D55" s="72" t="s">
        <v>1153</v>
      </c>
      <c r="E55" s="72" t="s">
        <v>1154</v>
      </c>
      <c r="F55" s="72" t="s">
        <v>1155</v>
      </c>
      <c r="G55" s="122" t="s">
        <v>1156</v>
      </c>
      <c r="H55" s="72" t="s">
        <v>1157</v>
      </c>
      <c r="I55" s="72" t="s">
        <v>1158</v>
      </c>
      <c r="J55" s="72" t="s">
        <v>1159</v>
      </c>
      <c r="K55" s="72" t="s">
        <v>1019</v>
      </c>
      <c r="L55" s="72" t="s">
        <v>1020</v>
      </c>
      <c r="M55" s="123">
        <v>0.2</v>
      </c>
      <c r="N55" s="122" t="s">
        <v>1033</v>
      </c>
      <c r="O55" s="122" t="s">
        <v>1160</v>
      </c>
      <c r="P55" s="122" t="s">
        <v>1161</v>
      </c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39">
      <c r="A56" s="118"/>
      <c r="B56" s="118"/>
      <c r="C56" s="122">
        <v>26</v>
      </c>
      <c r="D56" s="122" t="s">
        <v>1153</v>
      </c>
      <c r="E56" s="122" t="s">
        <v>1162</v>
      </c>
      <c r="F56" s="122" t="s">
        <v>1163</v>
      </c>
      <c r="G56" s="122"/>
      <c r="H56" s="122" t="s">
        <v>1164</v>
      </c>
      <c r="I56" s="122" t="s">
        <v>1165</v>
      </c>
      <c r="J56" s="122" t="s">
        <v>1166</v>
      </c>
      <c r="K56" s="122" t="s">
        <v>1019</v>
      </c>
      <c r="L56" s="122" t="s">
        <v>1020</v>
      </c>
      <c r="M56" s="123">
        <v>0</v>
      </c>
      <c r="N56" s="122" t="s">
        <v>1021</v>
      </c>
      <c r="O56" s="122" t="s">
        <v>1106</v>
      </c>
      <c r="P56" s="122" t="s">
        <v>1167</v>
      </c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26">
      <c r="A57" s="118"/>
      <c r="B57" s="118"/>
      <c r="C57" s="122">
        <v>27</v>
      </c>
      <c r="D57" s="122" t="s">
        <v>1153</v>
      </c>
      <c r="E57" s="122" t="s">
        <v>1168</v>
      </c>
      <c r="F57" s="122" t="s">
        <v>1169</v>
      </c>
      <c r="G57" s="122"/>
      <c r="H57" s="122" t="s">
        <v>1170</v>
      </c>
      <c r="I57" s="122" t="s">
        <v>1171</v>
      </c>
      <c r="J57" s="122" t="s">
        <v>1172</v>
      </c>
      <c r="K57" s="122" t="s">
        <v>1046</v>
      </c>
      <c r="L57" s="122" t="s">
        <v>1020</v>
      </c>
      <c r="M57" s="123">
        <v>0</v>
      </c>
      <c r="N57" s="122" t="s">
        <v>1021</v>
      </c>
      <c r="O57" s="122" t="s">
        <v>1106</v>
      </c>
      <c r="P57" s="122" t="s">
        <v>1173</v>
      </c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26">
      <c r="A58" s="118"/>
      <c r="B58" s="118"/>
      <c r="C58" s="122">
        <v>28</v>
      </c>
      <c r="D58" s="122" t="s">
        <v>1153</v>
      </c>
      <c r="E58" s="122" t="s">
        <v>1174</v>
      </c>
      <c r="F58" s="122" t="s">
        <v>1175</v>
      </c>
      <c r="G58" s="122"/>
      <c r="H58" s="122" t="s">
        <v>1176</v>
      </c>
      <c r="I58" s="122" t="s">
        <v>1177</v>
      </c>
      <c r="J58" s="122" t="s">
        <v>1178</v>
      </c>
      <c r="K58" s="122" t="s">
        <v>1019</v>
      </c>
      <c r="L58" s="122" t="s">
        <v>1020</v>
      </c>
      <c r="M58" s="123">
        <v>0</v>
      </c>
      <c r="N58" s="122" t="s">
        <v>1021</v>
      </c>
      <c r="O58" s="122" t="s">
        <v>1179</v>
      </c>
      <c r="P58" s="122" t="s">
        <v>1180</v>
      </c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39">
      <c r="A59" s="118"/>
      <c r="B59" s="118"/>
      <c r="C59" s="122">
        <v>29</v>
      </c>
      <c r="D59" s="122" t="s">
        <v>1153</v>
      </c>
      <c r="E59" s="122" t="s">
        <v>1181</v>
      </c>
      <c r="F59" s="122" t="s">
        <v>1155</v>
      </c>
      <c r="G59" s="122" t="s">
        <v>1182</v>
      </c>
      <c r="H59" s="122" t="s">
        <v>1183</v>
      </c>
      <c r="I59" s="122" t="s">
        <v>1184</v>
      </c>
      <c r="J59" s="122" t="s">
        <v>1185</v>
      </c>
      <c r="K59" s="122" t="s">
        <v>1019</v>
      </c>
      <c r="L59" s="122" t="s">
        <v>1020</v>
      </c>
      <c r="M59" s="123">
        <v>0.05</v>
      </c>
      <c r="N59" s="122" t="s">
        <v>1033</v>
      </c>
      <c r="O59" s="122" t="s">
        <v>1186</v>
      </c>
      <c r="P59" s="122" t="s">
        <v>1187</v>
      </c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26">
      <c r="A60" s="118"/>
      <c r="B60" s="118"/>
      <c r="C60" s="122">
        <v>30</v>
      </c>
      <c r="D60" s="122" t="s">
        <v>1153</v>
      </c>
      <c r="E60" s="122" t="s">
        <v>1188</v>
      </c>
      <c r="F60" s="122" t="s">
        <v>1163</v>
      </c>
      <c r="G60" s="122" t="s">
        <v>1189</v>
      </c>
      <c r="H60" s="122" t="s">
        <v>1190</v>
      </c>
      <c r="I60" s="122" t="s">
        <v>1191</v>
      </c>
      <c r="J60" s="122" t="s">
        <v>1192</v>
      </c>
      <c r="K60" s="122" t="s">
        <v>1046</v>
      </c>
      <c r="L60" s="122" t="s">
        <v>1020</v>
      </c>
      <c r="M60" s="123">
        <v>0</v>
      </c>
      <c r="N60" s="122" t="s">
        <v>1021</v>
      </c>
      <c r="O60" s="122" t="s">
        <v>1193</v>
      </c>
      <c r="P60" s="122" t="s">
        <v>1194</v>
      </c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26">
      <c r="A61" s="118"/>
      <c r="B61" s="118"/>
      <c r="C61" s="122">
        <v>31</v>
      </c>
      <c r="D61" s="122" t="s">
        <v>1153</v>
      </c>
      <c r="E61" s="122" t="s">
        <v>1195</v>
      </c>
      <c r="F61" s="122" t="s">
        <v>1163</v>
      </c>
      <c r="G61" s="122" t="s">
        <v>290</v>
      </c>
      <c r="H61" s="122" t="s">
        <v>1196</v>
      </c>
      <c r="I61" s="122" t="s">
        <v>1197</v>
      </c>
      <c r="J61" s="122" t="s">
        <v>1178</v>
      </c>
      <c r="K61" s="122" t="s">
        <v>1019</v>
      </c>
      <c r="L61" s="122" t="s">
        <v>1020</v>
      </c>
      <c r="M61" s="123">
        <v>0</v>
      </c>
      <c r="N61" s="122" t="s">
        <v>1021</v>
      </c>
      <c r="O61" s="122" t="s">
        <v>1198</v>
      </c>
      <c r="P61" s="122" t="s">
        <v>1199</v>
      </c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26">
      <c r="A62" s="118"/>
      <c r="B62" s="118"/>
      <c r="C62" s="122">
        <v>32</v>
      </c>
      <c r="D62" s="122" t="s">
        <v>1200</v>
      </c>
      <c r="E62" s="122" t="s">
        <v>1201</v>
      </c>
      <c r="F62" s="122" t="s">
        <v>1189</v>
      </c>
      <c r="G62" s="122"/>
      <c r="H62" s="122" t="s">
        <v>1202</v>
      </c>
      <c r="I62" s="122" t="s">
        <v>1203</v>
      </c>
      <c r="J62" s="122" t="s">
        <v>1178</v>
      </c>
      <c r="K62" s="122" t="s">
        <v>1046</v>
      </c>
      <c r="L62" s="122" t="s">
        <v>1020</v>
      </c>
      <c r="M62" s="123">
        <v>0</v>
      </c>
      <c r="N62" s="122" t="s">
        <v>1021</v>
      </c>
      <c r="O62" s="122" t="s">
        <v>1106</v>
      </c>
      <c r="P62" s="122" t="s">
        <v>1204</v>
      </c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26">
      <c r="A63" s="118"/>
      <c r="B63" s="118"/>
      <c r="C63" s="122">
        <v>33</v>
      </c>
      <c r="D63" s="122" t="s">
        <v>1200</v>
      </c>
      <c r="E63" s="122" t="s">
        <v>1205</v>
      </c>
      <c r="F63" s="122" t="s">
        <v>1206</v>
      </c>
      <c r="G63" s="122"/>
      <c r="H63" s="122" t="s">
        <v>1207</v>
      </c>
      <c r="I63" s="122" t="s">
        <v>1208</v>
      </c>
      <c r="J63" s="122" t="s">
        <v>1209</v>
      </c>
      <c r="K63" s="122" t="s">
        <v>1019</v>
      </c>
      <c r="L63" s="122" t="s">
        <v>1020</v>
      </c>
      <c r="M63" s="123">
        <v>0</v>
      </c>
      <c r="N63" s="122" t="s">
        <v>1021</v>
      </c>
      <c r="O63" s="122" t="s">
        <v>1106</v>
      </c>
      <c r="P63" s="122" t="s">
        <v>1210</v>
      </c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39">
      <c r="A64" s="118"/>
      <c r="B64" s="118"/>
      <c r="C64" s="122">
        <v>34</v>
      </c>
      <c r="D64" s="122" t="s">
        <v>1200</v>
      </c>
      <c r="E64" s="122" t="s">
        <v>1211</v>
      </c>
      <c r="F64" s="122" t="s">
        <v>1155</v>
      </c>
      <c r="G64" s="122" t="s">
        <v>1212</v>
      </c>
      <c r="H64" s="122" t="s">
        <v>1213</v>
      </c>
      <c r="I64" s="122" t="s">
        <v>1214</v>
      </c>
      <c r="J64" s="122" t="s">
        <v>1209</v>
      </c>
      <c r="K64" s="122" t="s">
        <v>1019</v>
      </c>
      <c r="L64" s="122" t="s">
        <v>1020</v>
      </c>
      <c r="M64" s="123">
        <v>0.12</v>
      </c>
      <c r="N64" s="122" t="s">
        <v>1033</v>
      </c>
      <c r="O64" s="122" t="s">
        <v>1215</v>
      </c>
      <c r="P64" s="122" t="s">
        <v>1216</v>
      </c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26">
      <c r="A65" s="118"/>
      <c r="B65" s="118"/>
      <c r="C65" s="111">
        <v>48</v>
      </c>
      <c r="D65" s="112" t="s">
        <v>1200</v>
      </c>
      <c r="E65" s="112" t="s">
        <v>1303</v>
      </c>
      <c r="F65" s="112" t="s">
        <v>651</v>
      </c>
      <c r="G65" s="113" t="s">
        <v>1304</v>
      </c>
      <c r="H65" s="111" t="s">
        <v>1305</v>
      </c>
      <c r="I65" s="111" t="s">
        <v>1306</v>
      </c>
      <c r="J65" s="111" t="s">
        <v>1307</v>
      </c>
      <c r="K65" s="111" t="s">
        <v>1046</v>
      </c>
      <c r="L65" s="111" t="s">
        <v>1020</v>
      </c>
      <c r="M65" s="113"/>
      <c r="N65" s="111" t="s">
        <v>1033</v>
      </c>
      <c r="O65" s="111" t="s">
        <v>1308</v>
      </c>
      <c r="P65" s="111" t="s">
        <v>1309</v>
      </c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26">
      <c r="A66" s="118"/>
      <c r="B66" s="118"/>
      <c r="C66" s="111">
        <v>49</v>
      </c>
      <c r="D66" s="112" t="s">
        <v>1200</v>
      </c>
      <c r="E66" s="112" t="s">
        <v>658</v>
      </c>
      <c r="F66" s="112" t="s">
        <v>657</v>
      </c>
      <c r="G66" s="113" t="s">
        <v>1310</v>
      </c>
      <c r="H66" s="111" t="s">
        <v>1311</v>
      </c>
      <c r="I66" s="111" t="s">
        <v>1312</v>
      </c>
      <c r="J66" s="111" t="s">
        <v>1313</v>
      </c>
      <c r="K66" s="111" t="s">
        <v>1046</v>
      </c>
      <c r="L66" s="111" t="s">
        <v>1020</v>
      </c>
      <c r="M66" s="113"/>
      <c r="N66" s="111" t="s">
        <v>1033</v>
      </c>
      <c r="O66" s="111" t="s">
        <v>1314</v>
      </c>
      <c r="P66" s="111" t="s">
        <v>1315</v>
      </c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26">
      <c r="A67" s="118"/>
      <c r="B67" s="118"/>
      <c r="C67" s="122">
        <v>35</v>
      </c>
      <c r="D67" s="122" t="s">
        <v>1217</v>
      </c>
      <c r="E67" s="122" t="s">
        <v>1218</v>
      </c>
      <c r="F67" s="122" t="s">
        <v>1219</v>
      </c>
      <c r="G67" s="122"/>
      <c r="H67" s="122" t="s">
        <v>1220</v>
      </c>
      <c r="I67" s="122" t="s">
        <v>1221</v>
      </c>
      <c r="J67" s="122" t="s">
        <v>1166</v>
      </c>
      <c r="K67" s="122" t="s">
        <v>1019</v>
      </c>
      <c r="L67" s="122" t="s">
        <v>1222</v>
      </c>
      <c r="M67" s="123"/>
      <c r="N67" s="122" t="s">
        <v>1033</v>
      </c>
      <c r="O67" s="122" t="s">
        <v>1223</v>
      </c>
      <c r="P67" s="122" t="s">
        <v>1224</v>
      </c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26">
      <c r="A68" s="118"/>
      <c r="B68" s="118"/>
      <c r="C68" s="122">
        <v>36</v>
      </c>
      <c r="D68" s="122" t="s">
        <v>1217</v>
      </c>
      <c r="E68" s="122" t="s">
        <v>1225</v>
      </c>
      <c r="F68" s="122" t="s">
        <v>1226</v>
      </c>
      <c r="G68" s="122"/>
      <c r="H68" s="122" t="s">
        <v>1227</v>
      </c>
      <c r="I68" s="122" t="s">
        <v>1228</v>
      </c>
      <c r="J68" s="122" t="s">
        <v>1045</v>
      </c>
      <c r="K68" s="122" t="s">
        <v>1019</v>
      </c>
      <c r="L68" s="122" t="s">
        <v>1222</v>
      </c>
      <c r="M68" s="123"/>
      <c r="N68" s="122" t="s">
        <v>1033</v>
      </c>
      <c r="O68" s="122" t="s">
        <v>1229</v>
      </c>
      <c r="P68" s="122" t="s">
        <v>1230</v>
      </c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26">
      <c r="A69" s="118"/>
      <c r="B69" s="118"/>
      <c r="C69" s="122">
        <v>37</v>
      </c>
      <c r="D69" s="122" t="s">
        <v>1217</v>
      </c>
      <c r="E69" s="122" t="s">
        <v>1218</v>
      </c>
      <c r="F69" s="122" t="s">
        <v>1231</v>
      </c>
      <c r="G69" s="122"/>
      <c r="H69" s="122" t="s">
        <v>1232</v>
      </c>
      <c r="I69" s="122" t="s">
        <v>1233</v>
      </c>
      <c r="J69" s="122" t="s">
        <v>1166</v>
      </c>
      <c r="K69" s="122" t="s">
        <v>1046</v>
      </c>
      <c r="L69" s="122" t="s">
        <v>1222</v>
      </c>
      <c r="M69" s="123"/>
      <c r="N69" s="122" t="s">
        <v>1033</v>
      </c>
      <c r="O69" s="122" t="s">
        <v>1234</v>
      </c>
      <c r="P69" s="122" t="s">
        <v>1235</v>
      </c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26">
      <c r="A70" s="118"/>
      <c r="B70" s="118"/>
      <c r="C70" s="122">
        <v>38</v>
      </c>
      <c r="D70" s="122" t="s">
        <v>1217</v>
      </c>
      <c r="E70" s="122" t="s">
        <v>1236</v>
      </c>
      <c r="F70" s="122" t="s">
        <v>1237</v>
      </c>
      <c r="G70" s="122" t="s">
        <v>1238</v>
      </c>
      <c r="H70" s="122" t="s">
        <v>1239</v>
      </c>
      <c r="I70" s="122" t="s">
        <v>1240</v>
      </c>
      <c r="J70" s="122" t="s">
        <v>1241</v>
      </c>
      <c r="K70" s="122" t="s">
        <v>1046</v>
      </c>
      <c r="L70" s="122" t="s">
        <v>1222</v>
      </c>
      <c r="M70" s="123">
        <v>0</v>
      </c>
      <c r="N70" s="122" t="s">
        <v>1021</v>
      </c>
      <c r="O70" s="122" t="s">
        <v>1242</v>
      </c>
      <c r="P70" s="122" t="s">
        <v>1243</v>
      </c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26">
      <c r="A71" s="118"/>
      <c r="B71" s="118"/>
      <c r="C71" s="122">
        <v>39</v>
      </c>
      <c r="D71" s="122" t="s">
        <v>1217</v>
      </c>
      <c r="E71" s="122" t="s">
        <v>1244</v>
      </c>
      <c r="F71" s="122" t="s">
        <v>1245</v>
      </c>
      <c r="G71" s="122" t="s">
        <v>1246</v>
      </c>
      <c r="H71" s="122" t="s">
        <v>1247</v>
      </c>
      <c r="I71" s="122" t="s">
        <v>1248</v>
      </c>
      <c r="J71" s="122" t="s">
        <v>1241</v>
      </c>
      <c r="K71" s="122" t="s">
        <v>1046</v>
      </c>
      <c r="L71" s="122" t="s">
        <v>1222</v>
      </c>
      <c r="M71" s="123">
        <v>0</v>
      </c>
      <c r="N71" s="122" t="s">
        <v>1021</v>
      </c>
      <c r="O71" s="122" t="s">
        <v>1242</v>
      </c>
      <c r="P71" s="122" t="s">
        <v>1249</v>
      </c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26">
      <c r="A72" s="118"/>
      <c r="B72" s="118"/>
      <c r="C72" s="72">
        <v>40</v>
      </c>
      <c r="D72" s="72" t="s">
        <v>1217</v>
      </c>
      <c r="E72" s="72" t="s">
        <v>1250</v>
      </c>
      <c r="F72" s="72" t="s">
        <v>1251</v>
      </c>
      <c r="G72" s="72" t="s">
        <v>1252</v>
      </c>
      <c r="H72" s="72" t="s">
        <v>1253</v>
      </c>
      <c r="I72" s="72" t="s">
        <v>1254</v>
      </c>
      <c r="J72" s="72" t="s">
        <v>1166</v>
      </c>
      <c r="K72" s="72" t="s">
        <v>1255</v>
      </c>
      <c r="L72" s="72" t="s">
        <v>1222</v>
      </c>
      <c r="M72" s="124"/>
      <c r="N72" s="122" t="s">
        <v>1033</v>
      </c>
      <c r="O72" s="122" t="s">
        <v>1256</v>
      </c>
      <c r="P72" s="122" t="s">
        <v>1257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>
      <c r="A73" s="118"/>
      <c r="B73" s="118"/>
      <c r="C73" s="111"/>
      <c r="D73" s="112"/>
      <c r="E73" s="112"/>
      <c r="F73" s="112"/>
      <c r="G73" s="113"/>
      <c r="H73" s="111"/>
      <c r="I73" s="111"/>
      <c r="J73" s="111"/>
      <c r="K73" s="111"/>
      <c r="L73" s="111"/>
      <c r="M73" s="111"/>
      <c r="N73" s="111"/>
      <c r="O73" s="111"/>
      <c r="P73" s="111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>
      <c r="A74" s="118"/>
      <c r="B74" s="118"/>
      <c r="C74" s="111"/>
      <c r="D74" s="111"/>
      <c r="E74" s="111"/>
      <c r="F74" s="111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6">
      <c r="A75" s="118"/>
      <c r="B75" s="118"/>
      <c r="C75" s="89" t="s">
        <v>1328</v>
      </c>
      <c r="D75" s="89"/>
      <c r="E75" s="89"/>
      <c r="F75" s="89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28">
      <c r="A76" s="118"/>
      <c r="B76" s="118"/>
      <c r="C76" s="77" t="s">
        <v>262</v>
      </c>
      <c r="D76" s="77" t="s">
        <v>1329</v>
      </c>
      <c r="E76" s="77" t="s">
        <v>1330</v>
      </c>
      <c r="F76" s="77" t="s">
        <v>1331</v>
      </c>
      <c r="G76" s="77" t="s">
        <v>1332</v>
      </c>
      <c r="H76" s="114" t="s">
        <v>1333</v>
      </c>
      <c r="I76" s="114"/>
      <c r="J76" s="114"/>
      <c r="K76" s="114"/>
      <c r="L76" s="114"/>
      <c r="M76" s="114"/>
      <c r="N76" s="114"/>
      <c r="O76" s="114"/>
      <c r="P76" s="114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26">
      <c r="A77" s="118"/>
      <c r="B77" s="118"/>
      <c r="C77" s="75" t="s">
        <v>557</v>
      </c>
      <c r="D77" s="115">
        <f t="shared" ref="D77:D84" si="0">COUNTIF($D$22:$D$72,C77)</f>
        <v>9</v>
      </c>
      <c r="E77" s="115">
        <f t="shared" ref="E77:E84" si="1">COUNTIFS($D$22:$D$72,C77,$M$22:$M$72,"&lt;&gt;")</f>
        <v>5</v>
      </c>
      <c r="F77" s="115">
        <f t="shared" ref="F77:F84" si="2">COUNTIFS($D$22:$D$72,C77,$K$22:$K$72,"P0 Critical")</f>
        <v>7</v>
      </c>
      <c r="G77" s="116">
        <f t="shared" ref="G77:G84" si="3">IFERROR(AVERAGEIF($D$22:$D$72,C77,$M$22:$M$72),"")</f>
        <v>0.67400000000000004</v>
      </c>
      <c r="H77" s="91" t="s">
        <v>1334</v>
      </c>
      <c r="I77" s="91"/>
      <c r="J77" s="91"/>
      <c r="K77" s="91"/>
      <c r="L77" s="91"/>
      <c r="M77" s="91"/>
      <c r="N77" s="91"/>
      <c r="O77" s="91"/>
      <c r="P77" s="91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26">
      <c r="A78" s="118"/>
      <c r="B78" s="118"/>
      <c r="C78" s="75" t="s">
        <v>1059</v>
      </c>
      <c r="D78" s="115">
        <f t="shared" si="0"/>
        <v>6</v>
      </c>
      <c r="E78" s="115">
        <f t="shared" si="1"/>
        <v>5</v>
      </c>
      <c r="F78" s="115">
        <f t="shared" si="2"/>
        <v>5</v>
      </c>
      <c r="G78" s="116">
        <f t="shared" si="3"/>
        <v>0.61599999999999999</v>
      </c>
      <c r="H78" s="91" t="s">
        <v>1335</v>
      </c>
      <c r="I78" s="91"/>
      <c r="J78" s="91"/>
      <c r="K78" s="91"/>
      <c r="L78" s="91"/>
      <c r="M78" s="91"/>
      <c r="N78" s="117"/>
      <c r="O78" s="117"/>
      <c r="P78" s="117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26">
      <c r="A79" s="118"/>
      <c r="B79" s="118"/>
      <c r="C79" s="75" t="s">
        <v>1094</v>
      </c>
      <c r="D79" s="115">
        <f t="shared" si="0"/>
        <v>5</v>
      </c>
      <c r="E79" s="115">
        <f t="shared" si="1"/>
        <v>5</v>
      </c>
      <c r="F79" s="115">
        <f t="shared" si="2"/>
        <v>5</v>
      </c>
      <c r="G79" s="113">
        <f t="shared" si="3"/>
        <v>6.4000000000000001E-2</v>
      </c>
      <c r="H79" s="117" t="s">
        <v>1336</v>
      </c>
      <c r="I79" s="117"/>
      <c r="J79" s="117"/>
      <c r="K79" s="117"/>
      <c r="L79" s="117"/>
      <c r="M79" s="117"/>
      <c r="N79" s="117"/>
      <c r="O79" s="117"/>
      <c r="P79" s="117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26">
      <c r="A80" s="118"/>
      <c r="B80" s="118"/>
      <c r="C80" s="111" t="s">
        <v>1111</v>
      </c>
      <c r="D80" s="112">
        <f t="shared" si="0"/>
        <v>5</v>
      </c>
      <c r="E80" s="112">
        <f t="shared" si="1"/>
        <v>3</v>
      </c>
      <c r="F80" s="112">
        <f t="shared" si="2"/>
        <v>3</v>
      </c>
      <c r="G80" s="113">
        <f t="shared" si="3"/>
        <v>0</v>
      </c>
      <c r="H80" s="117" t="s">
        <v>1337</v>
      </c>
      <c r="I80" s="117"/>
      <c r="J80" s="117"/>
      <c r="K80" s="117"/>
      <c r="L80" s="117"/>
      <c r="M80" s="117"/>
      <c r="N80" s="117"/>
      <c r="O80" s="117"/>
      <c r="P80" s="117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26">
      <c r="A81" s="118"/>
      <c r="B81" s="118"/>
      <c r="C81" s="111" t="s">
        <v>1123</v>
      </c>
      <c r="D81" s="112">
        <f t="shared" si="0"/>
        <v>8</v>
      </c>
      <c r="E81" s="112">
        <f t="shared" si="1"/>
        <v>3</v>
      </c>
      <c r="F81" s="112">
        <f t="shared" si="2"/>
        <v>0</v>
      </c>
      <c r="G81" s="113">
        <f t="shared" si="3"/>
        <v>0</v>
      </c>
      <c r="H81" s="117" t="s">
        <v>1338</v>
      </c>
      <c r="I81" s="117"/>
      <c r="J81" s="117"/>
      <c r="K81" s="117"/>
      <c r="L81" s="117"/>
      <c r="M81" s="117"/>
      <c r="N81" s="117"/>
      <c r="O81" s="117"/>
      <c r="P81" s="117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26">
      <c r="A82" s="118"/>
      <c r="B82" s="118"/>
      <c r="C82" s="111" t="s">
        <v>1153</v>
      </c>
      <c r="D82" s="112">
        <f t="shared" si="0"/>
        <v>7</v>
      </c>
      <c r="E82" s="112">
        <f t="shared" si="1"/>
        <v>7</v>
      </c>
      <c r="F82" s="112">
        <f t="shared" si="2"/>
        <v>5</v>
      </c>
      <c r="G82" s="113">
        <f t="shared" si="3"/>
        <v>3.5714285714285712E-2</v>
      </c>
      <c r="H82" s="117" t="s">
        <v>1339</v>
      </c>
      <c r="I82" s="117"/>
      <c r="J82" s="117"/>
      <c r="K82" s="117"/>
      <c r="L82" s="117"/>
      <c r="M82" s="117"/>
      <c r="N82" s="117"/>
      <c r="O82" s="117"/>
      <c r="P82" s="117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26">
      <c r="A83" s="118"/>
      <c r="B83" s="118"/>
      <c r="C83" s="111" t="s">
        <v>1200</v>
      </c>
      <c r="D83" s="112">
        <f t="shared" si="0"/>
        <v>5</v>
      </c>
      <c r="E83" s="112">
        <f t="shared" si="1"/>
        <v>3</v>
      </c>
      <c r="F83" s="112">
        <f t="shared" si="2"/>
        <v>2</v>
      </c>
      <c r="G83" s="113">
        <f t="shared" si="3"/>
        <v>0.04</v>
      </c>
      <c r="H83" s="117" t="s">
        <v>1340</v>
      </c>
      <c r="I83" s="117"/>
      <c r="J83" s="117"/>
      <c r="K83" s="117"/>
      <c r="L83" s="117"/>
      <c r="M83" s="117"/>
      <c r="N83" s="117"/>
      <c r="O83" s="117"/>
      <c r="P83" s="117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26">
      <c r="A84" s="118"/>
      <c r="B84" s="118"/>
      <c r="C84" s="111" t="s">
        <v>1217</v>
      </c>
      <c r="D84" s="112">
        <f t="shared" si="0"/>
        <v>6</v>
      </c>
      <c r="E84" s="112">
        <f t="shared" si="1"/>
        <v>2</v>
      </c>
      <c r="F84" s="112">
        <f t="shared" si="2"/>
        <v>2</v>
      </c>
      <c r="G84" s="113">
        <f t="shared" si="3"/>
        <v>0</v>
      </c>
      <c r="H84" s="117" t="s">
        <v>1341</v>
      </c>
      <c r="I84" s="117"/>
      <c r="J84" s="117"/>
      <c r="K84" s="117"/>
      <c r="L84" s="117"/>
      <c r="M84" s="117"/>
      <c r="N84" s="117"/>
      <c r="O84" s="117"/>
      <c r="P84" s="117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>
      <c r="A85" s="118"/>
      <c r="B85" s="118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>
      <c r="A86" s="118"/>
      <c r="B86" s="118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6">
      <c r="A87" s="118"/>
      <c r="B87" s="118"/>
      <c r="C87" s="89" t="s">
        <v>1342</v>
      </c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4">
      <c r="A88" s="118"/>
      <c r="B88" s="118"/>
      <c r="C88" s="77" t="s">
        <v>59</v>
      </c>
      <c r="D88" s="114" t="s">
        <v>1343</v>
      </c>
      <c r="E88" s="114"/>
      <c r="F88" s="114"/>
      <c r="G88" s="114"/>
      <c r="H88" s="114" t="s">
        <v>1344</v>
      </c>
      <c r="I88" s="114"/>
      <c r="J88" s="114"/>
      <c r="K88" s="114"/>
      <c r="L88" s="114"/>
      <c r="M88" s="114"/>
      <c r="N88" s="77" t="s">
        <v>1345</v>
      </c>
      <c r="O88" s="114" t="s">
        <v>1346</v>
      </c>
      <c r="P88" s="114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>
      <c r="A89" s="118"/>
      <c r="B89" s="118"/>
      <c r="C89" s="111">
        <v>1</v>
      </c>
      <c r="D89" s="117" t="s">
        <v>1347</v>
      </c>
      <c r="E89" s="117"/>
      <c r="F89" s="117"/>
      <c r="G89" s="117"/>
      <c r="H89" s="117" t="s">
        <v>1348</v>
      </c>
      <c r="I89" s="117"/>
      <c r="J89" s="117"/>
      <c r="K89" s="117"/>
      <c r="L89" s="117"/>
      <c r="M89" s="117"/>
      <c r="N89" s="111" t="s">
        <v>1349</v>
      </c>
      <c r="O89" s="117" t="s">
        <v>777</v>
      </c>
      <c r="P89" s="117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>
      <c r="A90" s="118"/>
      <c r="B90" s="118"/>
      <c r="C90" s="111">
        <v>2</v>
      </c>
      <c r="D90" s="117" t="s">
        <v>1350</v>
      </c>
      <c r="E90" s="117"/>
      <c r="F90" s="117"/>
      <c r="G90" s="117"/>
      <c r="H90" s="117" t="s">
        <v>1351</v>
      </c>
      <c r="I90" s="117"/>
      <c r="J90" s="117"/>
      <c r="K90" s="117"/>
      <c r="L90" s="117"/>
      <c r="M90" s="117"/>
      <c r="N90" s="111" t="s">
        <v>1352</v>
      </c>
      <c r="O90" s="117" t="s">
        <v>777</v>
      </c>
      <c r="P90" s="117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>
      <c r="A91" s="118"/>
      <c r="B91" s="118"/>
      <c r="C91" s="111">
        <v>3</v>
      </c>
      <c r="D91" s="117" t="s">
        <v>1353</v>
      </c>
      <c r="E91" s="117"/>
      <c r="F91" s="117"/>
      <c r="G91" s="117"/>
      <c r="H91" s="117" t="s">
        <v>1354</v>
      </c>
      <c r="I91" s="117"/>
      <c r="J91" s="117"/>
      <c r="K91" s="117"/>
      <c r="L91" s="117"/>
      <c r="M91" s="117"/>
      <c r="N91" s="111" t="s">
        <v>1355</v>
      </c>
      <c r="O91" s="117" t="s">
        <v>777</v>
      </c>
      <c r="P91" s="117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>
      <c r="A92" s="118"/>
      <c r="B92" s="118"/>
      <c r="C92" s="111">
        <v>4</v>
      </c>
      <c r="D92" s="117" t="s">
        <v>1356</v>
      </c>
      <c r="E92" s="117"/>
      <c r="F92" s="117"/>
      <c r="G92" s="117"/>
      <c r="H92" s="117" t="s">
        <v>1357</v>
      </c>
      <c r="I92" s="117"/>
      <c r="J92" s="117"/>
      <c r="K92" s="117"/>
      <c r="L92" s="117"/>
      <c r="M92" s="117"/>
      <c r="N92" s="111" t="s">
        <v>1358</v>
      </c>
      <c r="O92" s="117" t="s">
        <v>777</v>
      </c>
      <c r="P92" s="117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>
      <c r="A93" s="118"/>
      <c r="B93" s="118"/>
      <c r="C93" s="75">
        <v>5</v>
      </c>
      <c r="D93" s="91" t="s">
        <v>1359</v>
      </c>
      <c r="E93" s="91"/>
      <c r="F93" s="91"/>
      <c r="G93" s="91"/>
      <c r="H93" s="91" t="s">
        <v>1360</v>
      </c>
      <c r="I93" s="91"/>
      <c r="J93" s="91"/>
      <c r="K93" s="91"/>
      <c r="L93" s="91"/>
      <c r="M93" s="91"/>
      <c r="N93" s="75" t="s">
        <v>1361</v>
      </c>
      <c r="O93" s="91" t="s">
        <v>777</v>
      </c>
      <c r="P93" s="91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>
      <c r="A94" s="118"/>
      <c r="B94" s="118"/>
      <c r="C94" s="75">
        <v>6</v>
      </c>
      <c r="D94" s="91" t="s">
        <v>1362</v>
      </c>
      <c r="E94" s="91"/>
      <c r="F94" s="91"/>
      <c r="G94" s="91"/>
      <c r="H94" s="91" t="s">
        <v>1363</v>
      </c>
      <c r="I94" s="91"/>
      <c r="J94" s="91"/>
      <c r="K94" s="91"/>
      <c r="L94" s="91"/>
      <c r="M94" s="91"/>
      <c r="N94" s="75" t="s">
        <v>1364</v>
      </c>
      <c r="O94" s="91" t="s">
        <v>777</v>
      </c>
      <c r="P94" s="91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>
      <c r="A95" s="118"/>
      <c r="B95" s="118"/>
      <c r="C95" s="111">
        <v>7</v>
      </c>
      <c r="D95" s="117" t="s">
        <v>1365</v>
      </c>
      <c r="E95" s="117"/>
      <c r="F95" s="117"/>
      <c r="G95" s="117"/>
      <c r="H95" s="117" t="s">
        <v>1366</v>
      </c>
      <c r="I95" s="117"/>
      <c r="J95" s="117"/>
      <c r="K95" s="117"/>
      <c r="L95" s="117"/>
      <c r="M95" s="117"/>
      <c r="N95" s="111" t="s">
        <v>1367</v>
      </c>
      <c r="O95" s="117" t="s">
        <v>1368</v>
      </c>
      <c r="P95" s="117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>
      <c r="A96" s="118"/>
      <c r="B96" s="118"/>
      <c r="C96" s="111">
        <v>8</v>
      </c>
      <c r="D96" s="117" t="s">
        <v>1369</v>
      </c>
      <c r="E96" s="117"/>
      <c r="F96" s="117"/>
      <c r="G96" s="117"/>
      <c r="H96" s="117" t="s">
        <v>1370</v>
      </c>
      <c r="I96" s="117"/>
      <c r="J96" s="117"/>
      <c r="K96" s="117"/>
      <c r="L96" s="117"/>
      <c r="M96" s="117"/>
      <c r="N96" s="111" t="s">
        <v>1358</v>
      </c>
      <c r="O96" s="117" t="s">
        <v>777</v>
      </c>
      <c r="P96" s="117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>
      <c r="A97" s="118"/>
      <c r="B97" s="118"/>
      <c r="C97" s="111">
        <v>9</v>
      </c>
      <c r="D97" s="117" t="s">
        <v>1371</v>
      </c>
      <c r="E97" s="117"/>
      <c r="F97" s="117"/>
      <c r="G97" s="117"/>
      <c r="H97" s="117" t="s">
        <v>1372</v>
      </c>
      <c r="I97" s="117"/>
      <c r="J97" s="117"/>
      <c r="K97" s="117"/>
      <c r="L97" s="117"/>
      <c r="M97" s="117"/>
      <c r="N97" s="111" t="s">
        <v>1373</v>
      </c>
      <c r="O97" s="117" t="s">
        <v>777</v>
      </c>
      <c r="P97" s="117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>
      <c r="A98" s="118"/>
      <c r="B98" s="118"/>
      <c r="C98" s="111">
        <v>10</v>
      </c>
      <c r="D98" s="117" t="s">
        <v>1374</v>
      </c>
      <c r="E98" s="117"/>
      <c r="F98" s="117"/>
      <c r="G98" s="117"/>
      <c r="H98" s="117" t="s">
        <v>1375</v>
      </c>
      <c r="I98" s="117"/>
      <c r="J98" s="117"/>
      <c r="K98" s="117"/>
      <c r="L98" s="117"/>
      <c r="M98" s="117"/>
      <c r="N98" s="111" t="s">
        <v>1376</v>
      </c>
      <c r="O98" s="117" t="s">
        <v>777</v>
      </c>
      <c r="P98" s="117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>
      <c r="A99" s="118"/>
      <c r="B99" s="118"/>
      <c r="C99" s="111">
        <v>11</v>
      </c>
      <c r="D99" s="117" t="s">
        <v>1377</v>
      </c>
      <c r="E99" s="117"/>
      <c r="F99" s="117"/>
      <c r="G99" s="117"/>
      <c r="H99" s="117" t="s">
        <v>1378</v>
      </c>
      <c r="I99" s="117"/>
      <c r="J99" s="117"/>
      <c r="K99" s="117"/>
      <c r="L99" s="117"/>
      <c r="M99" s="117"/>
      <c r="N99" s="111" t="s">
        <v>1379</v>
      </c>
      <c r="O99" s="117" t="s">
        <v>777</v>
      </c>
      <c r="P99" s="117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>
      <c r="A100" s="118"/>
      <c r="B100" s="118"/>
      <c r="C100" s="111">
        <v>12</v>
      </c>
      <c r="D100" s="117" t="s">
        <v>1380</v>
      </c>
      <c r="E100" s="117"/>
      <c r="F100" s="117"/>
      <c r="G100" s="117"/>
      <c r="H100" s="117" t="s">
        <v>1381</v>
      </c>
      <c r="I100" s="117"/>
      <c r="J100" s="117"/>
      <c r="K100" s="117"/>
      <c r="L100" s="117"/>
      <c r="M100" s="117"/>
      <c r="N100" s="111" t="s">
        <v>1382</v>
      </c>
      <c r="O100" s="117" t="s">
        <v>1383</v>
      </c>
      <c r="P100" s="117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>
      <c r="A101" s="118"/>
      <c r="B101" s="118"/>
      <c r="C101" s="111">
        <v>13</v>
      </c>
      <c r="D101" s="117" t="s">
        <v>1384</v>
      </c>
      <c r="E101" s="117"/>
      <c r="F101" s="117"/>
      <c r="G101" s="117"/>
      <c r="H101" s="117" t="s">
        <v>1385</v>
      </c>
      <c r="I101" s="117"/>
      <c r="J101" s="117"/>
      <c r="K101" s="117"/>
      <c r="L101" s="117"/>
      <c r="M101" s="117"/>
      <c r="N101" s="111" t="s">
        <v>274</v>
      </c>
      <c r="O101" s="117" t="s">
        <v>777</v>
      </c>
      <c r="P101" s="117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>
      <c r="A102" s="118"/>
      <c r="B102" s="118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>
      <c r="A103" s="118"/>
      <c r="B103" s="118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6">
      <c r="A104" s="118"/>
      <c r="B104" s="118"/>
      <c r="C104" s="90" t="s">
        <v>1386</v>
      </c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4">
      <c r="A105" s="118"/>
      <c r="B105" s="118"/>
      <c r="C105" s="77" t="s">
        <v>1387</v>
      </c>
      <c r="D105" s="114" t="s">
        <v>1388</v>
      </c>
      <c r="E105" s="114"/>
      <c r="F105" s="114"/>
      <c r="G105" s="114" t="s">
        <v>959</v>
      </c>
      <c r="H105" s="114"/>
      <c r="I105" s="114"/>
      <c r="J105" s="114" t="s">
        <v>1389</v>
      </c>
      <c r="K105" s="114"/>
      <c r="L105" s="114"/>
      <c r="M105" s="77" t="s">
        <v>1390</v>
      </c>
      <c r="N105" s="77" t="s">
        <v>262</v>
      </c>
      <c r="O105" s="77" t="s">
        <v>1391</v>
      </c>
      <c r="P105" s="77" t="s">
        <v>1392</v>
      </c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>
      <c r="A106" s="118"/>
      <c r="B106" s="118"/>
      <c r="C106" s="75">
        <v>1</v>
      </c>
      <c r="D106" s="91" t="s">
        <v>1393</v>
      </c>
      <c r="E106" s="91"/>
      <c r="F106" s="91"/>
      <c r="G106" s="91" t="s">
        <v>1394</v>
      </c>
      <c r="H106" s="91"/>
      <c r="I106" s="91"/>
      <c r="J106" s="91" t="s">
        <v>1395</v>
      </c>
      <c r="K106" s="91"/>
      <c r="L106" s="91"/>
      <c r="M106" s="75" t="s">
        <v>1396</v>
      </c>
      <c r="N106" s="75" t="s">
        <v>557</v>
      </c>
      <c r="O106" s="75" t="s">
        <v>1397</v>
      </c>
      <c r="P106" s="75" t="s">
        <v>1398</v>
      </c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>
      <c r="A107" s="118"/>
      <c r="B107" s="118"/>
      <c r="C107" s="75">
        <v>2</v>
      </c>
      <c r="D107" s="91" t="s">
        <v>1399</v>
      </c>
      <c r="E107" s="91"/>
      <c r="F107" s="91"/>
      <c r="G107" s="91" t="s">
        <v>1400</v>
      </c>
      <c r="H107" s="91"/>
      <c r="I107" s="91"/>
      <c r="J107" s="91" t="s">
        <v>1401</v>
      </c>
      <c r="K107" s="91"/>
      <c r="L107" s="91"/>
      <c r="M107" s="75" t="s">
        <v>1396</v>
      </c>
      <c r="N107" s="75" t="s">
        <v>1402</v>
      </c>
      <c r="O107" s="75" t="s">
        <v>1403</v>
      </c>
      <c r="P107" s="75" t="s">
        <v>1404</v>
      </c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>
      <c r="A108" s="118"/>
      <c r="B108" s="118"/>
      <c r="C108" s="111">
        <v>3</v>
      </c>
      <c r="D108" s="117" t="s">
        <v>1405</v>
      </c>
      <c r="E108" s="117"/>
      <c r="F108" s="117"/>
      <c r="G108" s="117" t="s">
        <v>1406</v>
      </c>
      <c r="H108" s="117"/>
      <c r="I108" s="117"/>
      <c r="J108" s="117" t="s">
        <v>1407</v>
      </c>
      <c r="K108" s="117"/>
      <c r="L108" s="117"/>
      <c r="M108" s="111" t="s">
        <v>1408</v>
      </c>
      <c r="N108" s="111" t="s">
        <v>1059</v>
      </c>
      <c r="O108" s="111" t="s">
        <v>1403</v>
      </c>
      <c r="P108" s="111" t="s">
        <v>1409</v>
      </c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26">
      <c r="A109" s="118"/>
      <c r="B109" s="118"/>
      <c r="C109" s="111">
        <v>4</v>
      </c>
      <c r="D109" s="117" t="s">
        <v>1410</v>
      </c>
      <c r="E109" s="117"/>
      <c r="F109" s="117"/>
      <c r="G109" s="117" t="s">
        <v>1411</v>
      </c>
      <c r="H109" s="117"/>
      <c r="I109" s="117"/>
      <c r="J109" s="117" t="s">
        <v>1412</v>
      </c>
      <c r="K109" s="117"/>
      <c r="L109" s="117"/>
      <c r="M109" s="111" t="s">
        <v>1413</v>
      </c>
      <c r="N109" s="111" t="s">
        <v>1094</v>
      </c>
      <c r="O109" s="111" t="s">
        <v>1414</v>
      </c>
      <c r="P109" s="111" t="s">
        <v>1415</v>
      </c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>
      <c r="A110" s="118"/>
      <c r="B110" s="118"/>
      <c r="C110" s="111">
        <v>5</v>
      </c>
      <c r="D110" s="117" t="s">
        <v>1416</v>
      </c>
      <c r="E110" s="117"/>
      <c r="F110" s="117"/>
      <c r="G110" s="117" t="s">
        <v>1417</v>
      </c>
      <c r="H110" s="117"/>
      <c r="I110" s="117"/>
      <c r="J110" s="117" t="s">
        <v>1418</v>
      </c>
      <c r="K110" s="117"/>
      <c r="L110" s="117"/>
      <c r="M110" s="111" t="s">
        <v>1419</v>
      </c>
      <c r="N110" s="111" t="s">
        <v>1111</v>
      </c>
      <c r="O110" s="111" t="s">
        <v>1403</v>
      </c>
      <c r="P110" s="111" t="s">
        <v>1420</v>
      </c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>
      <c r="A111" s="118"/>
      <c r="B111" s="118"/>
      <c r="C111" s="111">
        <v>6</v>
      </c>
      <c r="D111" s="117" t="s">
        <v>1421</v>
      </c>
      <c r="E111" s="117"/>
      <c r="F111" s="117"/>
      <c r="G111" s="117" t="s">
        <v>1417</v>
      </c>
      <c r="H111" s="117"/>
      <c r="I111" s="117"/>
      <c r="J111" s="117" t="s">
        <v>1422</v>
      </c>
      <c r="K111" s="117"/>
      <c r="L111" s="117"/>
      <c r="M111" s="111" t="s">
        <v>1423</v>
      </c>
      <c r="N111" s="111" t="s">
        <v>1123</v>
      </c>
      <c r="O111" s="111" t="s">
        <v>1403</v>
      </c>
      <c r="P111" s="111" t="s">
        <v>1424</v>
      </c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>
      <c r="A112" s="118"/>
      <c r="B112" s="118"/>
      <c r="C112" s="111">
        <v>7</v>
      </c>
      <c r="D112" s="117" t="s">
        <v>1425</v>
      </c>
      <c r="E112" s="117"/>
      <c r="F112" s="117"/>
      <c r="G112" s="117" t="s">
        <v>1426</v>
      </c>
      <c r="H112" s="117"/>
      <c r="I112" s="117"/>
      <c r="J112" s="117" t="s">
        <v>1427</v>
      </c>
      <c r="K112" s="117"/>
      <c r="L112" s="117"/>
      <c r="M112" s="111" t="s">
        <v>1428</v>
      </c>
      <c r="N112" s="111" t="s">
        <v>1153</v>
      </c>
      <c r="O112" s="111" t="s">
        <v>1403</v>
      </c>
      <c r="P112" s="111" t="s">
        <v>1429</v>
      </c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>
      <c r="A113" s="118"/>
      <c r="B113" s="118"/>
      <c r="C113" s="111">
        <v>8</v>
      </c>
      <c r="D113" s="117" t="s">
        <v>1430</v>
      </c>
      <c r="E113" s="117"/>
      <c r="F113" s="117"/>
      <c r="G113" s="117" t="s">
        <v>1426</v>
      </c>
      <c r="H113" s="117"/>
      <c r="I113" s="117"/>
      <c r="J113" s="117" t="s">
        <v>1431</v>
      </c>
      <c r="K113" s="117"/>
      <c r="L113" s="117"/>
      <c r="M113" s="111" t="s">
        <v>1432</v>
      </c>
      <c r="N113" s="111" t="s">
        <v>1433</v>
      </c>
      <c r="O113" s="111" t="s">
        <v>1403</v>
      </c>
      <c r="P113" s="111" t="s">
        <v>1434</v>
      </c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26">
      <c r="A114" s="118"/>
      <c r="B114" s="118"/>
      <c r="C114" s="111">
        <v>9</v>
      </c>
      <c r="D114" s="117" t="s">
        <v>1435</v>
      </c>
      <c r="E114" s="117"/>
      <c r="F114" s="117"/>
      <c r="G114" s="117" t="s">
        <v>1222</v>
      </c>
      <c r="H114" s="117"/>
      <c r="I114" s="117"/>
      <c r="J114" s="117" t="s">
        <v>1436</v>
      </c>
      <c r="K114" s="117"/>
      <c r="L114" s="117"/>
      <c r="M114" s="111" t="s">
        <v>1437</v>
      </c>
      <c r="N114" s="111" t="s">
        <v>1217</v>
      </c>
      <c r="O114" s="111" t="s">
        <v>1222</v>
      </c>
      <c r="P114" s="111" t="s">
        <v>1218</v>
      </c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>
      <c r="A115" s="118"/>
      <c r="B115" s="118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>
      <c r="A116" s="118"/>
      <c r="B116" s="118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>
      <c r="A117" s="118"/>
      <c r="B117" s="118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>
      <c r="A118" s="118"/>
      <c r="B118" s="118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>
      <c r="A119" s="118"/>
      <c r="B119" s="118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>
      <c r="A120" s="118"/>
      <c r="B120" s="118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>
      <c r="A121" s="118"/>
      <c r="B121" s="118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>
      <c r="A122" s="118"/>
      <c r="B122" s="118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>
      <c r="A123" s="118"/>
      <c r="B123" s="118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>
      <c r="A124" s="118"/>
      <c r="B124" s="118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>
      <c r="A125" s="118"/>
      <c r="B125" s="118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>
      <c r="A126" s="118"/>
      <c r="B126" s="118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>
      <c r="A127" s="118"/>
      <c r="B127" s="118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>
      <c r="A128" s="118"/>
      <c r="B128" s="118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>
      <c r="A129" s="118"/>
      <c r="B129" s="118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>
      <c r="A130" s="118"/>
      <c r="B130" s="118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>
      <c r="A131" s="118"/>
      <c r="B131" s="118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>
      <c r="A132" s="118"/>
      <c r="B132" s="118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>
      <c r="A133" s="118"/>
      <c r="B133" s="118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>
      <c r="A134" s="118"/>
      <c r="B134" s="118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>
      <c r="A135" s="118"/>
      <c r="B135" s="118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>
      <c r="A136" s="118"/>
      <c r="B136" s="118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>
      <c r="A137" s="118"/>
      <c r="B137" s="118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>
      <c r="A138" s="118"/>
      <c r="B138" s="118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>
      <c r="A139" s="118"/>
      <c r="B139" s="118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>
      <c r="A140" s="118"/>
      <c r="B140" s="118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</row>
    <row r="142" spans="1:26"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</row>
    <row r="143" spans="1:26"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</row>
    <row r="144" spans="1:26"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</row>
    <row r="145" spans="3:16"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</row>
    <row r="146" spans="3:16"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</row>
    <row r="147" spans="3:16"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</row>
    <row r="148" spans="3:16"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</row>
    <row r="149" spans="3:16"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</row>
    <row r="150" spans="3:16"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</row>
  </sheetData>
  <mergeCells count="99">
    <mergeCell ref="C19:P20"/>
    <mergeCell ref="D113:F113"/>
    <mergeCell ref="G113:I113"/>
    <mergeCell ref="J113:L113"/>
    <mergeCell ref="D114:F114"/>
    <mergeCell ref="G114:I114"/>
    <mergeCell ref="J114:L114"/>
    <mergeCell ref="D111:F111"/>
    <mergeCell ref="G111:I111"/>
    <mergeCell ref="J111:L111"/>
    <mergeCell ref="D112:F112"/>
    <mergeCell ref="G112:I112"/>
    <mergeCell ref="J112:L112"/>
    <mergeCell ref="D109:F109"/>
    <mergeCell ref="G109:I109"/>
    <mergeCell ref="J109:L109"/>
    <mergeCell ref="D110:F110"/>
    <mergeCell ref="G110:I110"/>
    <mergeCell ref="J110:L110"/>
    <mergeCell ref="D107:F107"/>
    <mergeCell ref="G107:I107"/>
    <mergeCell ref="J107:L107"/>
    <mergeCell ref="D108:F108"/>
    <mergeCell ref="G108:I108"/>
    <mergeCell ref="J108:L108"/>
    <mergeCell ref="C104:P104"/>
    <mergeCell ref="D105:F105"/>
    <mergeCell ref="G105:I105"/>
    <mergeCell ref="J105:L105"/>
    <mergeCell ref="D106:F106"/>
    <mergeCell ref="G106:I106"/>
    <mergeCell ref="J106:L106"/>
    <mergeCell ref="D100:G100"/>
    <mergeCell ref="H100:M100"/>
    <mergeCell ref="O100:P100"/>
    <mergeCell ref="D101:G101"/>
    <mergeCell ref="H101:M101"/>
    <mergeCell ref="O101:P101"/>
    <mergeCell ref="D98:G98"/>
    <mergeCell ref="H98:M98"/>
    <mergeCell ref="O98:P98"/>
    <mergeCell ref="D99:G99"/>
    <mergeCell ref="H99:M99"/>
    <mergeCell ref="O99:P99"/>
    <mergeCell ref="D96:G96"/>
    <mergeCell ref="H96:M96"/>
    <mergeCell ref="O96:P96"/>
    <mergeCell ref="D97:G97"/>
    <mergeCell ref="H97:M97"/>
    <mergeCell ref="O97:P97"/>
    <mergeCell ref="D94:G94"/>
    <mergeCell ref="H94:M94"/>
    <mergeCell ref="O94:P94"/>
    <mergeCell ref="D95:G95"/>
    <mergeCell ref="H95:M95"/>
    <mergeCell ref="O95:P95"/>
    <mergeCell ref="D92:G92"/>
    <mergeCell ref="H92:M92"/>
    <mergeCell ref="O92:P92"/>
    <mergeCell ref="D93:G93"/>
    <mergeCell ref="H93:M93"/>
    <mergeCell ref="O93:P93"/>
    <mergeCell ref="D90:G90"/>
    <mergeCell ref="H90:M90"/>
    <mergeCell ref="O90:P90"/>
    <mergeCell ref="D91:G91"/>
    <mergeCell ref="H91:M91"/>
    <mergeCell ref="O91:P91"/>
    <mergeCell ref="C87:P87"/>
    <mergeCell ref="D88:G88"/>
    <mergeCell ref="H88:M88"/>
    <mergeCell ref="O88:P88"/>
    <mergeCell ref="D89:G89"/>
    <mergeCell ref="H89:M89"/>
    <mergeCell ref="O89:P89"/>
    <mergeCell ref="H80:P80"/>
    <mergeCell ref="H81:P81"/>
    <mergeCell ref="H82:P82"/>
    <mergeCell ref="H83:P83"/>
    <mergeCell ref="H84:P84"/>
    <mergeCell ref="C75:P75"/>
    <mergeCell ref="H76:P76"/>
    <mergeCell ref="H77:P77"/>
    <mergeCell ref="H78:P78"/>
    <mergeCell ref="H79:P79"/>
    <mergeCell ref="O4:P4"/>
    <mergeCell ref="O5:P5"/>
    <mergeCell ref="K6:L6"/>
    <mergeCell ref="K7:L7"/>
    <mergeCell ref="M6:N6"/>
    <mergeCell ref="M7:N7"/>
    <mergeCell ref="O6:P6"/>
    <mergeCell ref="O7:P7"/>
    <mergeCell ref="C2:L2"/>
    <mergeCell ref="C3:L3"/>
    <mergeCell ref="K4:L4"/>
    <mergeCell ref="K5:L5"/>
    <mergeCell ref="M4:N4"/>
    <mergeCell ref="M5:N5"/>
  </mergeCells>
  <conditionalFormatting sqref="D19:D42">
    <cfRule type="expression" dxfId="74" priority="6">
      <formula>D19="Wave A"</formula>
    </cfRule>
    <cfRule type="expression" dxfId="73" priority="7">
      <formula>D19="Wave B"</formula>
    </cfRule>
    <cfRule type="expression" dxfId="72" priority="8">
      <formula>D19="Wave C"</formula>
    </cfRule>
    <cfRule type="expression" dxfId="71" priority="9">
      <formula>D19="Wave D"</formula>
    </cfRule>
    <cfRule type="expression" dxfId="70" priority="10">
      <formula>D19="Wave E"</formula>
    </cfRule>
    <cfRule type="expression" dxfId="69" priority="11">
      <formula>D19="Wave F"</formula>
    </cfRule>
  </conditionalFormatting>
  <conditionalFormatting sqref="D19:D58">
    <cfRule type="expression" dxfId="68" priority="23">
      <formula>D19="Wave B"</formula>
    </cfRule>
    <cfRule type="expression" dxfId="67" priority="28">
      <formula>D19="Wave G"</formula>
    </cfRule>
    <cfRule type="expression" dxfId="66" priority="27">
      <formula>D19="Wave F"</formula>
    </cfRule>
    <cfRule type="expression" dxfId="65" priority="26">
      <formula>D19="Wave E"</formula>
    </cfRule>
    <cfRule type="expression" dxfId="64" priority="25">
      <formula>D19="Wave D"</formula>
    </cfRule>
    <cfRule type="expression" dxfId="63" priority="24">
      <formula>D19="Wave C"</formula>
    </cfRule>
    <cfRule type="expression" dxfId="62" priority="21">
      <formula>D19="Wave 0"</formula>
    </cfRule>
    <cfRule type="expression" dxfId="61" priority="22">
      <formula>D19="Wave A"</formula>
    </cfRule>
  </conditionalFormatting>
  <conditionalFormatting sqref="D22:D61">
    <cfRule type="expression" dxfId="60" priority="47">
      <formula>D22="Wave G"</formula>
    </cfRule>
    <cfRule type="expression" dxfId="59" priority="46">
      <formula>D22="Wave F"</formula>
    </cfRule>
    <cfRule type="expression" dxfId="58" priority="45">
      <formula>D22="Wave E"</formula>
    </cfRule>
    <cfRule type="expression" dxfId="57" priority="44">
      <formula>D22="Wave D"</formula>
    </cfRule>
    <cfRule type="expression" dxfId="56" priority="43">
      <formula>D22="Wave C"</formula>
    </cfRule>
    <cfRule type="expression" dxfId="55" priority="42">
      <formula>D22="Wave B"</formula>
    </cfRule>
    <cfRule type="expression" dxfId="54" priority="41">
      <formula>D22="Wave A"</formula>
    </cfRule>
    <cfRule type="expression" dxfId="53" priority="40">
      <formula>D22="Wave 0"</formula>
    </cfRule>
  </conditionalFormatting>
  <conditionalFormatting sqref="E6:E1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E8:E17">
    <cfRule type="colorScale" priority="29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F6:F15">
    <cfRule type="expression" dxfId="52" priority="13">
      <formula>OR(F6="Not started",F6="Infrastructure only")</formula>
    </cfRule>
    <cfRule type="expression" dxfId="51" priority="2">
      <formula>OR(F6="Not started",F6="Infrastructure only")</formula>
    </cfRule>
    <cfRule type="expression" dxfId="50" priority="3">
      <formula>LEFT(F6,18)="Partially complete"</formula>
    </cfRule>
    <cfRule type="expression" dxfId="49" priority="14">
      <formula>LEFT(F6,18)="Partially complete"</formula>
    </cfRule>
  </conditionalFormatting>
  <conditionalFormatting sqref="F8:F17">
    <cfRule type="expression" dxfId="48" priority="30">
      <formula>OR(F8="Not started",F8="Infrastructure only")</formula>
    </cfRule>
    <cfRule type="expression" dxfId="47" priority="31">
      <formula>LEFT(F8,7)="Partial"</formula>
    </cfRule>
  </conditionalFormatting>
  <conditionalFormatting sqref="J19:J42">
    <cfRule type="expression" dxfId="46" priority="4">
      <formula>J19="P0 Critical"</formula>
    </cfRule>
    <cfRule type="expression" dxfId="45" priority="5">
      <formula>J19="P1 High"</formula>
    </cfRule>
  </conditionalFormatting>
  <conditionalFormatting sqref="J19:J58">
    <cfRule type="expression" dxfId="44" priority="16">
      <formula>J19="P1 High"</formula>
    </cfRule>
    <cfRule type="expression" dxfId="43" priority="15">
      <formula>J19="P0 Critical"</formula>
    </cfRule>
  </conditionalFormatting>
  <conditionalFormatting sqref="J19:K58">
    <cfRule type="expression" dxfId="42" priority="17">
      <formula>LEFT(J19,11)="Conditional"</formula>
    </cfRule>
  </conditionalFormatting>
  <conditionalFormatting sqref="K19:K58">
    <cfRule type="expression" dxfId="41" priority="19">
      <formula>ISNUMBER(SEARCH("merged from RA DLE",K19))</formula>
    </cfRule>
    <cfRule type="expression" dxfId="40" priority="20">
      <formula>ISNUMBER(SEARCH("corrected RA DLE",K19))</formula>
    </cfRule>
  </conditionalFormatting>
  <conditionalFormatting sqref="K22:K61">
    <cfRule type="expression" dxfId="39" priority="33">
      <formula>K22="P0 Critical"</formula>
    </cfRule>
    <cfRule type="expression" dxfId="38" priority="34">
      <formula>K22="P1 High"</formula>
    </cfRule>
    <cfRule type="expression" dxfId="37" priority="35">
      <formula>K22="P2 Later"</formula>
    </cfRule>
  </conditionalFormatting>
  <conditionalFormatting sqref="L22:L61">
    <cfRule type="expression" dxfId="36" priority="36">
      <formula>L22="Conditional"</formula>
    </cfRule>
  </conditionalFormatting>
  <conditionalFormatting sqref="M22:M61">
    <cfRule type="colorScale" priority="32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M62:M72">
    <cfRule type="colorScale" priority="48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N22:N61">
    <cfRule type="expression" dxfId="35" priority="39">
      <formula>N22="High"</formula>
    </cfRule>
    <cfRule type="expression" dxfId="34" priority="38">
      <formula>N22="Medium"</formula>
    </cfRule>
    <cfRule type="expression" dxfId="33" priority="37">
      <formula>N22="Low"</formula>
    </cfRule>
  </conditionalFormatting>
  <dataValidations count="3">
    <dataValidation type="list" sqref="K22:K72" xr:uid="{00000000-0002-0000-0600-000000000000}">
      <formula1>"P0 Critical,P1 High,P2 Later"</formula1>
    </dataValidation>
    <dataValidation type="list" sqref="L22:L72" xr:uid="{00000000-0002-0000-0600-000001000000}">
      <formula1>"Core,Conditional"</formula1>
    </dataValidation>
    <dataValidation type="list" sqref="N22:N72" xr:uid="{00000000-0002-0000-0600-000002000000}">
      <formula1>"High,Medium,Low"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baseColWidth="10" defaultColWidth="8.83203125" defaultRowHeight="13"/>
  <cols>
    <col min="1" max="1" width="12" customWidth="1"/>
    <col min="2" max="2" width="29" customWidth="1"/>
    <col min="3" max="3" width="35" customWidth="1"/>
    <col min="4" max="4" width="23" customWidth="1"/>
    <col min="5" max="5" width="25" customWidth="1"/>
    <col min="6" max="6" width="42" customWidth="1"/>
    <col min="7" max="7" width="37" customWidth="1"/>
    <col min="8" max="8" width="15" customWidth="1"/>
    <col min="9" max="10" width="30" customWidth="1"/>
    <col min="11" max="12" width="34" customWidth="1"/>
    <col min="13" max="13" width="12" customWidth="1"/>
    <col min="14" max="14" width="35" customWidth="1"/>
    <col min="15" max="16" width="12" customWidth="1"/>
    <col min="17" max="17" width="13" customWidth="1"/>
    <col min="18" max="18" width="34" customWidth="1"/>
    <col min="19" max="19" width="42" customWidth="1"/>
  </cols>
  <sheetData>
    <row r="1" spans="1:26" ht="19">
      <c r="A1" s="93" t="s">
        <v>1438</v>
      </c>
      <c r="B1" s="93" t="s">
        <v>1438</v>
      </c>
      <c r="C1" s="93" t="s">
        <v>1438</v>
      </c>
      <c r="D1" s="93" t="s">
        <v>1438</v>
      </c>
      <c r="E1" s="93" t="s">
        <v>1438</v>
      </c>
      <c r="F1" s="93" t="s">
        <v>1438</v>
      </c>
      <c r="G1" s="93" t="s">
        <v>1438</v>
      </c>
      <c r="H1" s="93" t="s">
        <v>1438</v>
      </c>
      <c r="I1" s="93" t="s">
        <v>1438</v>
      </c>
      <c r="J1" s="93" t="s">
        <v>1438</v>
      </c>
      <c r="K1" s="93" t="s">
        <v>1438</v>
      </c>
      <c r="L1" s="93" t="s">
        <v>1438</v>
      </c>
      <c r="M1" s="93" t="s">
        <v>1438</v>
      </c>
      <c r="N1" s="93" t="s">
        <v>1438</v>
      </c>
      <c r="O1" s="93" t="s">
        <v>1438</v>
      </c>
      <c r="P1" s="93" t="s">
        <v>1438</v>
      </c>
      <c r="Q1" s="93" t="s">
        <v>1438</v>
      </c>
      <c r="R1" s="93" t="s">
        <v>1438</v>
      </c>
      <c r="S1" s="93" t="s">
        <v>1438</v>
      </c>
      <c r="T1" s="74"/>
      <c r="U1" s="74"/>
      <c r="V1" s="74"/>
      <c r="W1" s="74"/>
      <c r="X1" s="74"/>
      <c r="Y1" s="74"/>
      <c r="Z1" s="74"/>
    </row>
    <row r="2" spans="1:26">
      <c r="A2" s="94" t="s">
        <v>1439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74"/>
      <c r="U2" s="74"/>
      <c r="V2" s="74"/>
      <c r="W2" s="74"/>
      <c r="X2" s="74"/>
      <c r="Y2" s="74"/>
      <c r="Z2" s="74"/>
    </row>
    <row r="3" spans="1:26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74"/>
      <c r="U3" s="74"/>
      <c r="V3" s="74"/>
      <c r="W3" s="74"/>
      <c r="X3" s="74"/>
      <c r="Y3" s="74"/>
      <c r="Z3" s="74"/>
    </row>
    <row r="4" spans="1:26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4">
      <c r="A5" s="78" t="s">
        <v>1440</v>
      </c>
      <c r="B5" s="78" t="s">
        <v>1441</v>
      </c>
      <c r="C5" s="78" t="s">
        <v>1442</v>
      </c>
      <c r="D5" s="78" t="s">
        <v>1443</v>
      </c>
      <c r="E5" s="78" t="s">
        <v>1444</v>
      </c>
      <c r="F5" s="78" t="s">
        <v>1445</v>
      </c>
      <c r="G5" s="78" t="s">
        <v>1446</v>
      </c>
      <c r="H5" s="78" t="s">
        <v>1447</v>
      </c>
      <c r="I5" s="78" t="s">
        <v>1448</v>
      </c>
      <c r="J5" s="78" t="s">
        <v>1449</v>
      </c>
      <c r="K5" s="78" t="s">
        <v>1450</v>
      </c>
      <c r="L5" s="78" t="s">
        <v>1451</v>
      </c>
      <c r="M5" s="78" t="s">
        <v>1452</v>
      </c>
      <c r="N5" s="78" t="s">
        <v>1453</v>
      </c>
      <c r="O5" s="78" t="s">
        <v>958</v>
      </c>
      <c r="P5" s="78" t="s">
        <v>1012</v>
      </c>
      <c r="Q5" s="78" t="s">
        <v>1454</v>
      </c>
      <c r="R5" s="78" t="s">
        <v>1455</v>
      </c>
      <c r="S5" s="78" t="s">
        <v>1456</v>
      </c>
      <c r="T5" s="74"/>
      <c r="U5" s="74"/>
      <c r="V5" s="74"/>
      <c r="W5" s="74"/>
      <c r="X5" s="74"/>
      <c r="Y5" s="74"/>
      <c r="Z5" s="74"/>
    </row>
    <row r="6" spans="1:26" ht="77.25" customHeight="1">
      <c r="A6" s="73" t="s">
        <v>1457</v>
      </c>
      <c r="B6" s="73" t="s">
        <v>579</v>
      </c>
      <c r="C6" s="73" t="s">
        <v>578</v>
      </c>
      <c r="D6" s="73" t="s">
        <v>1458</v>
      </c>
      <c r="E6" s="73" t="s">
        <v>580</v>
      </c>
      <c r="F6" s="73" t="s">
        <v>1459</v>
      </c>
      <c r="G6" s="73" t="s">
        <v>1460</v>
      </c>
      <c r="H6" s="73" t="s">
        <v>1018</v>
      </c>
      <c r="I6" s="73" t="s">
        <v>1461</v>
      </c>
      <c r="J6" s="73" t="s">
        <v>1462</v>
      </c>
      <c r="K6" s="73" t="s">
        <v>1463</v>
      </c>
      <c r="L6" s="73" t="s">
        <v>1464</v>
      </c>
      <c r="M6" s="73" t="s">
        <v>1465</v>
      </c>
      <c r="N6" s="73" t="s">
        <v>1466</v>
      </c>
      <c r="O6" s="76">
        <v>0</v>
      </c>
      <c r="P6" s="73" t="s">
        <v>1021</v>
      </c>
      <c r="Q6" s="73" t="s">
        <v>1111</v>
      </c>
      <c r="R6" s="73" t="s">
        <v>1467</v>
      </c>
      <c r="S6" s="73" t="s">
        <v>1468</v>
      </c>
      <c r="T6" s="74"/>
      <c r="U6" s="74"/>
      <c r="V6" s="74"/>
      <c r="W6" s="74"/>
      <c r="X6" s="74"/>
      <c r="Y6" s="74"/>
      <c r="Z6" s="74"/>
    </row>
    <row r="7" spans="1:26" ht="77.25" customHeight="1">
      <c r="A7" s="73" t="s">
        <v>1469</v>
      </c>
      <c r="B7" s="73" t="s">
        <v>1470</v>
      </c>
      <c r="C7" s="73" t="s">
        <v>1471</v>
      </c>
      <c r="D7" s="73" t="s">
        <v>1472</v>
      </c>
      <c r="E7" s="73" t="s">
        <v>1473</v>
      </c>
      <c r="F7" s="73" t="s">
        <v>1474</v>
      </c>
      <c r="G7" s="73" t="s">
        <v>1475</v>
      </c>
      <c r="H7" s="73" t="s">
        <v>1018</v>
      </c>
      <c r="I7" s="73" t="s">
        <v>1476</v>
      </c>
      <c r="J7" s="73" t="s">
        <v>1477</v>
      </c>
      <c r="K7" s="73" t="s">
        <v>1478</v>
      </c>
      <c r="L7" s="73" t="s">
        <v>1479</v>
      </c>
      <c r="M7" s="73" t="s">
        <v>1465</v>
      </c>
      <c r="N7" s="73" t="s">
        <v>1480</v>
      </c>
      <c r="O7" s="76">
        <v>0</v>
      </c>
      <c r="P7" s="73" t="s">
        <v>1021</v>
      </c>
      <c r="Q7" s="73" t="s">
        <v>1111</v>
      </c>
      <c r="R7" s="73" t="s">
        <v>1481</v>
      </c>
      <c r="S7" s="73" t="s">
        <v>1482</v>
      </c>
      <c r="T7" s="74"/>
      <c r="U7" s="74"/>
      <c r="V7" s="74"/>
      <c r="W7" s="74"/>
      <c r="X7" s="74"/>
      <c r="Y7" s="74"/>
      <c r="Z7" s="74"/>
    </row>
    <row r="8" spans="1:26" ht="77.25" customHeight="1">
      <c r="A8" s="73" t="s">
        <v>1483</v>
      </c>
      <c r="B8" s="73" t="s">
        <v>1484</v>
      </c>
      <c r="C8" s="73" t="s">
        <v>1117</v>
      </c>
      <c r="D8" s="73" t="s">
        <v>1485</v>
      </c>
      <c r="E8" s="73" t="s">
        <v>1486</v>
      </c>
      <c r="F8" s="73" t="s">
        <v>1487</v>
      </c>
      <c r="G8" s="73" t="s">
        <v>1488</v>
      </c>
      <c r="H8" s="73" t="s">
        <v>1489</v>
      </c>
      <c r="I8" s="73" t="s">
        <v>1490</v>
      </c>
      <c r="J8" s="73" t="s">
        <v>1491</v>
      </c>
      <c r="K8" s="73" t="s">
        <v>1492</v>
      </c>
      <c r="L8" s="73" t="s">
        <v>1493</v>
      </c>
      <c r="M8" s="73" t="s">
        <v>1465</v>
      </c>
      <c r="N8" s="73" t="s">
        <v>1494</v>
      </c>
      <c r="O8" s="76">
        <v>0</v>
      </c>
      <c r="P8" s="73" t="s">
        <v>1021</v>
      </c>
      <c r="Q8" s="73" t="s">
        <v>1111</v>
      </c>
      <c r="R8" s="73" t="s">
        <v>1495</v>
      </c>
      <c r="S8" s="73" t="s">
        <v>1496</v>
      </c>
      <c r="T8" s="74"/>
      <c r="U8" s="74"/>
      <c r="V8" s="74"/>
      <c r="W8" s="74"/>
      <c r="X8" s="74"/>
      <c r="Y8" s="74"/>
      <c r="Z8" s="74"/>
    </row>
    <row r="9" spans="1:26" ht="77.25" customHeight="1">
      <c r="A9" s="73" t="s">
        <v>1497</v>
      </c>
      <c r="B9" s="73" t="s">
        <v>1498</v>
      </c>
      <c r="C9" s="73" t="s">
        <v>1499</v>
      </c>
      <c r="D9" s="73" t="s">
        <v>1500</v>
      </c>
      <c r="E9" s="73" t="s">
        <v>1501</v>
      </c>
      <c r="F9" s="73" t="s">
        <v>1502</v>
      </c>
      <c r="G9" s="73" t="s">
        <v>1503</v>
      </c>
      <c r="H9" s="73" t="s">
        <v>1018</v>
      </c>
      <c r="I9" s="73" t="s">
        <v>1504</v>
      </c>
      <c r="J9" s="73" t="s">
        <v>1505</v>
      </c>
      <c r="K9" s="73" t="s">
        <v>1506</v>
      </c>
      <c r="L9" s="73" t="s">
        <v>1507</v>
      </c>
      <c r="M9" s="73" t="s">
        <v>1465</v>
      </c>
      <c r="N9" s="73" t="s">
        <v>1508</v>
      </c>
      <c r="O9" s="76">
        <v>0.12</v>
      </c>
      <c r="P9" s="73" t="s">
        <v>1021</v>
      </c>
      <c r="Q9" s="73" t="s">
        <v>1509</v>
      </c>
      <c r="R9" s="73" t="s">
        <v>1510</v>
      </c>
      <c r="S9" s="73" t="s">
        <v>1511</v>
      </c>
      <c r="T9" s="74"/>
      <c r="U9" s="74"/>
      <c r="V9" s="74"/>
      <c r="W9" s="74"/>
      <c r="X9" s="74"/>
      <c r="Y9" s="74"/>
      <c r="Z9" s="74"/>
    </row>
    <row r="10" spans="1:26" ht="77.25" customHeight="1">
      <c r="A10" s="73" t="s">
        <v>1512</v>
      </c>
      <c r="B10" s="73" t="s">
        <v>1513</v>
      </c>
      <c r="C10" s="73" t="s">
        <v>94</v>
      </c>
      <c r="D10" s="73" t="s">
        <v>1514</v>
      </c>
      <c r="E10" s="73" t="s">
        <v>1515</v>
      </c>
      <c r="F10" s="73" t="s">
        <v>1516</v>
      </c>
      <c r="G10" s="73" t="s">
        <v>1517</v>
      </c>
      <c r="H10" s="73" t="s">
        <v>1518</v>
      </c>
      <c r="I10" s="73" t="s">
        <v>1519</v>
      </c>
      <c r="J10" s="73" t="s">
        <v>1520</v>
      </c>
      <c r="K10" s="73" t="s">
        <v>1521</v>
      </c>
      <c r="L10" s="73" t="s">
        <v>1522</v>
      </c>
      <c r="M10" s="73" t="s">
        <v>1465</v>
      </c>
      <c r="N10" s="73" t="s">
        <v>1523</v>
      </c>
      <c r="O10" s="76">
        <v>0.6</v>
      </c>
      <c r="P10" s="73" t="s">
        <v>1033</v>
      </c>
      <c r="Q10" s="73" t="s">
        <v>1059</v>
      </c>
      <c r="R10" s="73" t="s">
        <v>1524</v>
      </c>
      <c r="S10" s="73" t="s">
        <v>1525</v>
      </c>
      <c r="T10" s="74"/>
      <c r="U10" s="74"/>
      <c r="V10" s="74"/>
      <c r="W10" s="74"/>
      <c r="X10" s="74"/>
      <c r="Y10" s="74"/>
      <c r="Z10" s="74"/>
    </row>
    <row r="11" spans="1:26" ht="77.25" customHeight="1">
      <c r="A11" s="73" t="s">
        <v>1526</v>
      </c>
      <c r="B11" s="73" t="s">
        <v>1527</v>
      </c>
      <c r="C11" s="73" t="s">
        <v>1528</v>
      </c>
      <c r="D11" s="73" t="s">
        <v>1529</v>
      </c>
      <c r="E11" s="73" t="s">
        <v>1530</v>
      </c>
      <c r="F11" s="73" t="s">
        <v>1531</v>
      </c>
      <c r="G11" s="73" t="s">
        <v>1532</v>
      </c>
      <c r="H11" s="73" t="s">
        <v>1533</v>
      </c>
      <c r="I11" s="73" t="s">
        <v>1534</v>
      </c>
      <c r="J11" s="73" t="s">
        <v>1535</v>
      </c>
      <c r="K11" s="73" t="s">
        <v>1536</v>
      </c>
      <c r="L11" s="73" t="s">
        <v>1537</v>
      </c>
      <c r="M11" s="73" t="s">
        <v>1465</v>
      </c>
      <c r="N11" s="73" t="s">
        <v>1538</v>
      </c>
      <c r="O11" s="76">
        <v>0.88</v>
      </c>
      <c r="P11" s="73" t="s">
        <v>1033</v>
      </c>
      <c r="Q11" s="73" t="s">
        <v>1059</v>
      </c>
      <c r="R11" s="73" t="s">
        <v>1539</v>
      </c>
      <c r="S11" s="73" t="s">
        <v>1540</v>
      </c>
      <c r="T11" s="74"/>
      <c r="U11" s="74"/>
      <c r="V11" s="74"/>
      <c r="W11" s="74"/>
      <c r="X11" s="74"/>
      <c r="Y11" s="74"/>
      <c r="Z11" s="74"/>
    </row>
    <row r="12" spans="1:26" ht="77.25" customHeight="1">
      <c r="A12" s="73" t="s">
        <v>1541</v>
      </c>
      <c r="B12" s="73" t="s">
        <v>1271</v>
      </c>
      <c r="C12" s="73" t="s">
        <v>1542</v>
      </c>
      <c r="D12" s="73" t="s">
        <v>1472</v>
      </c>
      <c r="E12" s="73" t="s">
        <v>1543</v>
      </c>
      <c r="F12" s="73" t="s">
        <v>1544</v>
      </c>
      <c r="G12" s="73" t="s">
        <v>1545</v>
      </c>
      <c r="H12" s="73" t="s">
        <v>1533</v>
      </c>
      <c r="I12" s="73" t="s">
        <v>1546</v>
      </c>
      <c r="J12" s="73" t="s">
        <v>1547</v>
      </c>
      <c r="K12" s="73" t="s">
        <v>1548</v>
      </c>
      <c r="L12" s="73" t="s">
        <v>1549</v>
      </c>
      <c r="M12" s="73" t="s">
        <v>1465</v>
      </c>
      <c r="N12" s="73" t="s">
        <v>1550</v>
      </c>
      <c r="O12" s="76">
        <v>0.2</v>
      </c>
      <c r="P12" s="73" t="s">
        <v>1033</v>
      </c>
      <c r="Q12" s="73" t="s">
        <v>1094</v>
      </c>
      <c r="R12" s="73" t="s">
        <v>1551</v>
      </c>
      <c r="S12" s="73" t="s">
        <v>1552</v>
      </c>
      <c r="T12" s="74"/>
      <c r="U12" s="74"/>
      <c r="V12" s="74"/>
      <c r="W12" s="74"/>
      <c r="X12" s="74"/>
      <c r="Y12" s="74"/>
      <c r="Z12" s="74"/>
    </row>
    <row r="13" spans="1:26" ht="77.25" customHeight="1">
      <c r="A13" s="73" t="s">
        <v>1553</v>
      </c>
      <c r="B13" s="73" t="s">
        <v>1554</v>
      </c>
      <c r="C13" s="73" t="s">
        <v>1163</v>
      </c>
      <c r="D13" s="73" t="s">
        <v>1458</v>
      </c>
      <c r="E13" s="73" t="s">
        <v>1555</v>
      </c>
      <c r="F13" s="73" t="s">
        <v>1556</v>
      </c>
      <c r="G13" s="73" t="s">
        <v>1557</v>
      </c>
      <c r="H13" s="73" t="s">
        <v>1166</v>
      </c>
      <c r="I13" s="73" t="s">
        <v>1558</v>
      </c>
      <c r="J13" s="73" t="s">
        <v>1559</v>
      </c>
      <c r="K13" s="73" t="s">
        <v>1560</v>
      </c>
      <c r="L13" s="73" t="s">
        <v>1561</v>
      </c>
      <c r="M13" s="73" t="s">
        <v>1465</v>
      </c>
      <c r="N13" s="73" t="s">
        <v>1562</v>
      </c>
      <c r="O13" s="76">
        <v>0</v>
      </c>
      <c r="P13" s="73" t="s">
        <v>1021</v>
      </c>
      <c r="Q13" s="73" t="s">
        <v>1153</v>
      </c>
      <c r="R13" s="73" t="s">
        <v>1563</v>
      </c>
      <c r="S13" s="73" t="s">
        <v>1564</v>
      </c>
      <c r="T13" s="74"/>
      <c r="U13" s="74"/>
      <c r="V13" s="74"/>
      <c r="W13" s="74"/>
      <c r="X13" s="74"/>
      <c r="Y13" s="74"/>
      <c r="Z13" s="74"/>
    </row>
    <row r="14" spans="1:26" ht="77.25" customHeight="1">
      <c r="A14" s="73" t="s">
        <v>1565</v>
      </c>
      <c r="B14" s="73" t="s">
        <v>1566</v>
      </c>
      <c r="C14" s="73" t="s">
        <v>1567</v>
      </c>
      <c r="D14" s="73" t="s">
        <v>1568</v>
      </c>
      <c r="E14" s="73" t="s">
        <v>1569</v>
      </c>
      <c r="F14" s="73" t="s">
        <v>1570</v>
      </c>
      <c r="G14" s="73" t="s">
        <v>1571</v>
      </c>
      <c r="H14" s="73" t="s">
        <v>1572</v>
      </c>
      <c r="I14" s="73" t="s">
        <v>1573</v>
      </c>
      <c r="J14" s="73" t="s">
        <v>1574</v>
      </c>
      <c r="K14" s="73" t="s">
        <v>1575</v>
      </c>
      <c r="L14" s="73" t="s">
        <v>1576</v>
      </c>
      <c r="M14" s="73" t="s">
        <v>1465</v>
      </c>
      <c r="N14" s="73" t="s">
        <v>1577</v>
      </c>
      <c r="O14" s="76">
        <v>0.12</v>
      </c>
      <c r="P14" s="73" t="s">
        <v>1033</v>
      </c>
      <c r="Q14" s="73" t="s">
        <v>1200</v>
      </c>
      <c r="R14" s="73" t="s">
        <v>1578</v>
      </c>
      <c r="S14" s="73" t="s">
        <v>1579</v>
      </c>
      <c r="T14" s="74"/>
      <c r="U14" s="74"/>
      <c r="V14" s="74"/>
      <c r="W14" s="74"/>
      <c r="X14" s="74"/>
      <c r="Y14" s="74"/>
      <c r="Z14" s="74"/>
    </row>
    <row r="15" spans="1:26" ht="77.25" customHeight="1">
      <c r="A15" s="73" t="s">
        <v>1580</v>
      </c>
      <c r="B15" s="73" t="s">
        <v>1581</v>
      </c>
      <c r="C15" s="73" t="s">
        <v>1143</v>
      </c>
      <c r="D15" s="73" t="s">
        <v>1582</v>
      </c>
      <c r="E15" s="73" t="s">
        <v>1583</v>
      </c>
      <c r="F15" s="73" t="s">
        <v>1584</v>
      </c>
      <c r="G15" s="73" t="s">
        <v>1585</v>
      </c>
      <c r="H15" s="73" t="s">
        <v>1146</v>
      </c>
      <c r="I15" s="73" t="s">
        <v>1586</v>
      </c>
      <c r="J15" s="73" t="s">
        <v>1587</v>
      </c>
      <c r="K15" s="73" t="s">
        <v>1588</v>
      </c>
      <c r="L15" s="73" t="s">
        <v>1589</v>
      </c>
      <c r="M15" s="73" t="s">
        <v>1465</v>
      </c>
      <c r="N15" s="73" t="s">
        <v>1590</v>
      </c>
      <c r="O15" s="76"/>
      <c r="P15" s="73" t="s">
        <v>1033</v>
      </c>
      <c r="Q15" s="73" t="s">
        <v>1123</v>
      </c>
      <c r="R15" s="73" t="s">
        <v>1591</v>
      </c>
      <c r="S15" s="73" t="s">
        <v>1592</v>
      </c>
      <c r="T15" s="74"/>
      <c r="U15" s="74"/>
      <c r="V15" s="74"/>
      <c r="W15" s="74"/>
      <c r="X15" s="74"/>
      <c r="Y15" s="74"/>
      <c r="Z15" s="74"/>
    </row>
    <row r="16" spans="1:26" ht="77.25" customHeight="1">
      <c r="A16" s="73" t="s">
        <v>1593</v>
      </c>
      <c r="B16" s="73" t="s">
        <v>1148</v>
      </c>
      <c r="C16" s="73" t="s">
        <v>188</v>
      </c>
      <c r="D16" s="73" t="s">
        <v>1582</v>
      </c>
      <c r="E16" s="73" t="s">
        <v>1148</v>
      </c>
      <c r="F16" s="73" t="s">
        <v>1594</v>
      </c>
      <c r="G16" s="73" t="s">
        <v>1595</v>
      </c>
      <c r="H16" s="73" t="s">
        <v>1151</v>
      </c>
      <c r="I16" s="73" t="s">
        <v>1596</v>
      </c>
      <c r="J16" s="73" t="s">
        <v>1597</v>
      </c>
      <c r="K16" s="73" t="s">
        <v>1598</v>
      </c>
      <c r="L16" s="73" t="s">
        <v>1599</v>
      </c>
      <c r="M16" s="73" t="s">
        <v>1465</v>
      </c>
      <c r="N16" s="73" t="s">
        <v>1600</v>
      </c>
      <c r="O16" s="76"/>
      <c r="P16" s="73" t="s">
        <v>1033</v>
      </c>
      <c r="Q16" s="73" t="s">
        <v>1123</v>
      </c>
      <c r="R16" s="73" t="s">
        <v>1601</v>
      </c>
      <c r="S16" s="73" t="s">
        <v>1602</v>
      </c>
      <c r="T16" s="74"/>
      <c r="U16" s="74"/>
      <c r="V16" s="74"/>
      <c r="W16" s="74"/>
      <c r="X16" s="74"/>
      <c r="Y16" s="74"/>
      <c r="Z16" s="74"/>
    </row>
    <row r="17" spans="1:26" ht="77.25" customHeight="1">
      <c r="A17" s="73" t="s">
        <v>1603</v>
      </c>
      <c r="B17" s="73" t="s">
        <v>1290</v>
      </c>
      <c r="C17" s="73" t="s">
        <v>1604</v>
      </c>
      <c r="D17" s="73" t="s">
        <v>1605</v>
      </c>
      <c r="E17" s="73" t="s">
        <v>1606</v>
      </c>
      <c r="F17" s="73" t="s">
        <v>1607</v>
      </c>
      <c r="G17" s="73" t="s">
        <v>1608</v>
      </c>
      <c r="H17" s="73" t="s">
        <v>1293</v>
      </c>
      <c r="I17" s="73" t="s">
        <v>1609</v>
      </c>
      <c r="J17" s="73" t="s">
        <v>1610</v>
      </c>
      <c r="K17" s="73" t="s">
        <v>1611</v>
      </c>
      <c r="L17" s="73" t="s">
        <v>1612</v>
      </c>
      <c r="M17" s="73" t="s">
        <v>1465</v>
      </c>
      <c r="N17" s="73" t="s">
        <v>1613</v>
      </c>
      <c r="O17" s="76"/>
      <c r="P17" s="73" t="s">
        <v>1033</v>
      </c>
      <c r="Q17" s="73" t="s">
        <v>1123</v>
      </c>
      <c r="R17" s="73" t="s">
        <v>1614</v>
      </c>
      <c r="S17" s="73" t="s">
        <v>1615</v>
      </c>
      <c r="T17" s="74"/>
      <c r="U17" s="74"/>
      <c r="V17" s="74"/>
      <c r="W17" s="74"/>
      <c r="X17" s="74"/>
      <c r="Y17" s="74"/>
      <c r="Z17" s="74"/>
    </row>
    <row r="18" spans="1:26" ht="77.25" customHeight="1">
      <c r="A18" s="73" t="s">
        <v>1616</v>
      </c>
      <c r="B18" s="73" t="s">
        <v>1617</v>
      </c>
      <c r="C18" s="73" t="s">
        <v>1618</v>
      </c>
      <c r="D18" s="73" t="s">
        <v>1619</v>
      </c>
      <c r="E18" s="73" t="s">
        <v>1620</v>
      </c>
      <c r="F18" s="73" t="s">
        <v>1621</v>
      </c>
      <c r="G18" s="73" t="s">
        <v>1622</v>
      </c>
      <c r="H18" s="73" t="s">
        <v>1280</v>
      </c>
      <c r="I18" s="73" t="s">
        <v>1623</v>
      </c>
      <c r="J18" s="73" t="s">
        <v>1624</v>
      </c>
      <c r="K18" s="73" t="s">
        <v>1625</v>
      </c>
      <c r="L18" s="73" t="s">
        <v>1626</v>
      </c>
      <c r="M18" s="73" t="s">
        <v>1465</v>
      </c>
      <c r="N18" s="73" t="s">
        <v>1627</v>
      </c>
      <c r="O18" s="76"/>
      <c r="P18" s="73" t="s">
        <v>1033</v>
      </c>
      <c r="Q18" s="73" t="s">
        <v>1111</v>
      </c>
      <c r="R18" s="73" t="s">
        <v>1628</v>
      </c>
      <c r="S18" s="73" t="s">
        <v>1629</v>
      </c>
      <c r="T18" s="74"/>
      <c r="U18" s="74"/>
      <c r="V18" s="74"/>
      <c r="W18" s="74"/>
      <c r="X18" s="74"/>
      <c r="Y18" s="74"/>
      <c r="Z18" s="74"/>
    </row>
    <row r="19" spans="1:26" ht="77.25" customHeight="1">
      <c r="A19" s="73" t="s">
        <v>1630</v>
      </c>
      <c r="B19" s="73" t="s">
        <v>1631</v>
      </c>
      <c r="C19" s="73" t="s">
        <v>1632</v>
      </c>
      <c r="D19" s="73" t="s">
        <v>1633</v>
      </c>
      <c r="E19" s="73" t="s">
        <v>1634</v>
      </c>
      <c r="F19" s="73" t="s">
        <v>1635</v>
      </c>
      <c r="G19" s="73" t="s">
        <v>1636</v>
      </c>
      <c r="H19" s="73" t="s">
        <v>1300</v>
      </c>
      <c r="I19" s="73" t="s">
        <v>1637</v>
      </c>
      <c r="J19" s="73" t="s">
        <v>1638</v>
      </c>
      <c r="K19" s="73" t="s">
        <v>1639</v>
      </c>
      <c r="L19" s="73" t="s">
        <v>1640</v>
      </c>
      <c r="M19" s="73" t="s">
        <v>1465</v>
      </c>
      <c r="N19" s="73" t="s">
        <v>1641</v>
      </c>
      <c r="O19" s="76"/>
      <c r="P19" s="73" t="s">
        <v>1033</v>
      </c>
      <c r="Q19" s="73" t="s">
        <v>1123</v>
      </c>
      <c r="R19" s="73" t="s">
        <v>1642</v>
      </c>
      <c r="S19" s="73" t="s">
        <v>1643</v>
      </c>
      <c r="T19" s="74"/>
      <c r="U19" s="74"/>
      <c r="V19" s="74"/>
      <c r="W19" s="74"/>
      <c r="X19" s="74"/>
      <c r="Y19" s="74"/>
      <c r="Z19" s="74"/>
    </row>
    <row r="20" spans="1:26" ht="77.25" customHeight="1">
      <c r="A20" s="73" t="s">
        <v>1644</v>
      </c>
      <c r="B20" s="73" t="s">
        <v>1645</v>
      </c>
      <c r="C20" s="73" t="s">
        <v>87</v>
      </c>
      <c r="D20" s="73" t="s">
        <v>1646</v>
      </c>
      <c r="E20" s="73" t="s">
        <v>1647</v>
      </c>
      <c r="F20" s="73" t="s">
        <v>1648</v>
      </c>
      <c r="G20" s="73" t="s">
        <v>1649</v>
      </c>
      <c r="H20" s="73" t="s">
        <v>1018</v>
      </c>
      <c r="I20" s="73" t="s">
        <v>1650</v>
      </c>
      <c r="J20" s="73" t="s">
        <v>1651</v>
      </c>
      <c r="K20" s="73" t="s">
        <v>1652</v>
      </c>
      <c r="L20" s="73" t="s">
        <v>1653</v>
      </c>
      <c r="M20" s="73" t="s">
        <v>1465</v>
      </c>
      <c r="N20" s="73" t="s">
        <v>1654</v>
      </c>
      <c r="O20" s="76">
        <v>0.67</v>
      </c>
      <c r="P20" s="73" t="s">
        <v>1021</v>
      </c>
      <c r="Q20" s="73" t="s">
        <v>557</v>
      </c>
      <c r="R20" s="73" t="s">
        <v>1655</v>
      </c>
      <c r="S20" s="73" t="s">
        <v>1656</v>
      </c>
      <c r="T20" s="74"/>
      <c r="U20" s="74"/>
      <c r="V20" s="74"/>
      <c r="W20" s="74"/>
      <c r="X20" s="74"/>
      <c r="Y20" s="74"/>
      <c r="Z20" s="74"/>
    </row>
    <row r="21" spans="1:26" ht="77.25" customHeight="1">
      <c r="A21" s="73" t="s">
        <v>1657</v>
      </c>
      <c r="B21" s="73" t="s">
        <v>1658</v>
      </c>
      <c r="C21" s="73" t="s">
        <v>90</v>
      </c>
      <c r="D21" s="73" t="s">
        <v>1659</v>
      </c>
      <c r="E21" s="73" t="s">
        <v>1658</v>
      </c>
      <c r="F21" s="73" t="s">
        <v>1660</v>
      </c>
      <c r="G21" s="73" t="s">
        <v>1661</v>
      </c>
      <c r="H21" s="73" t="s">
        <v>1018</v>
      </c>
      <c r="I21" s="73" t="s">
        <v>1662</v>
      </c>
      <c r="J21" s="73" t="s">
        <v>1663</v>
      </c>
      <c r="K21" s="73" t="s">
        <v>1664</v>
      </c>
      <c r="L21" s="73" t="s">
        <v>1665</v>
      </c>
      <c r="M21" s="73" t="s">
        <v>1666</v>
      </c>
      <c r="N21" s="73" t="s">
        <v>1667</v>
      </c>
      <c r="O21" s="76">
        <v>0.4</v>
      </c>
      <c r="P21" s="73" t="s">
        <v>1021</v>
      </c>
      <c r="Q21" s="73" t="s">
        <v>557</v>
      </c>
      <c r="R21" s="73" t="s">
        <v>1668</v>
      </c>
      <c r="S21" s="73" t="s">
        <v>1669</v>
      </c>
      <c r="T21" s="74"/>
      <c r="U21" s="74"/>
      <c r="V21" s="74"/>
      <c r="W21" s="74"/>
      <c r="X21" s="74"/>
      <c r="Y21" s="74"/>
      <c r="Z21" s="74"/>
    </row>
    <row r="22" spans="1:26" ht="77.25" customHeight="1">
      <c r="A22" s="73" t="s">
        <v>1670</v>
      </c>
      <c r="B22" s="73" t="s">
        <v>1671</v>
      </c>
      <c r="C22" s="73" t="s">
        <v>99</v>
      </c>
      <c r="D22" s="73" t="s">
        <v>1514</v>
      </c>
      <c r="E22" s="73" t="s">
        <v>1671</v>
      </c>
      <c r="F22" s="73" t="s">
        <v>1672</v>
      </c>
      <c r="G22" s="73" t="s">
        <v>1673</v>
      </c>
      <c r="H22" s="73" t="s">
        <v>1674</v>
      </c>
      <c r="I22" s="73" t="s">
        <v>1675</v>
      </c>
      <c r="J22" s="73" t="s">
        <v>1676</v>
      </c>
      <c r="K22" s="73" t="s">
        <v>1677</v>
      </c>
      <c r="L22" s="73" t="s">
        <v>1678</v>
      </c>
      <c r="M22" s="73" t="s">
        <v>1465</v>
      </c>
      <c r="N22" s="73" t="s">
        <v>1679</v>
      </c>
      <c r="O22" s="76">
        <v>0</v>
      </c>
      <c r="P22" s="73" t="s">
        <v>1021</v>
      </c>
      <c r="Q22" s="73" t="s">
        <v>1094</v>
      </c>
      <c r="R22" s="73" t="s">
        <v>1680</v>
      </c>
      <c r="S22" s="73" t="s">
        <v>1681</v>
      </c>
      <c r="T22" s="74"/>
      <c r="U22" s="74"/>
      <c r="V22" s="74"/>
      <c r="W22" s="74"/>
      <c r="X22" s="74"/>
      <c r="Y22" s="74"/>
      <c r="Z22" s="74"/>
    </row>
    <row r="23" spans="1:26" ht="77.25" customHeight="1">
      <c r="A23" s="73" t="s">
        <v>1682</v>
      </c>
      <c r="B23" s="73" t="s">
        <v>1103</v>
      </c>
      <c r="C23" s="73" t="s">
        <v>1102</v>
      </c>
      <c r="D23" s="73" t="s">
        <v>1514</v>
      </c>
      <c r="E23" s="73" t="s">
        <v>1683</v>
      </c>
      <c r="F23" s="73" t="s">
        <v>1684</v>
      </c>
      <c r="G23" s="73" t="s">
        <v>1685</v>
      </c>
      <c r="H23" s="73" t="s">
        <v>1686</v>
      </c>
      <c r="I23" s="73" t="s">
        <v>1687</v>
      </c>
      <c r="J23" s="73" t="s">
        <v>1688</v>
      </c>
      <c r="K23" s="73" t="s">
        <v>1689</v>
      </c>
      <c r="L23" s="73" t="s">
        <v>1690</v>
      </c>
      <c r="M23" s="73" t="s">
        <v>1465</v>
      </c>
      <c r="N23" s="73" t="s">
        <v>1691</v>
      </c>
      <c r="O23" s="76">
        <v>0</v>
      </c>
      <c r="P23" s="73" t="s">
        <v>1021</v>
      </c>
      <c r="Q23" s="73" t="s">
        <v>1094</v>
      </c>
      <c r="R23" s="73" t="s">
        <v>1692</v>
      </c>
      <c r="S23" s="73" t="s">
        <v>1693</v>
      </c>
      <c r="T23" s="74"/>
      <c r="U23" s="74"/>
      <c r="V23" s="74"/>
      <c r="W23" s="74"/>
      <c r="X23" s="74"/>
      <c r="Y23" s="74"/>
      <c r="Z23" s="74"/>
    </row>
    <row r="24" spans="1:26" ht="77.25" customHeight="1">
      <c r="A24" s="73" t="s">
        <v>1694</v>
      </c>
      <c r="B24" s="73" t="s">
        <v>828</v>
      </c>
      <c r="C24" s="73" t="s">
        <v>142</v>
      </c>
      <c r="D24" s="73" t="s">
        <v>1695</v>
      </c>
      <c r="E24" s="73" t="s">
        <v>1696</v>
      </c>
      <c r="F24" s="73" t="s">
        <v>1697</v>
      </c>
      <c r="G24" s="73" t="s">
        <v>1698</v>
      </c>
      <c r="H24" s="73" t="s">
        <v>1018</v>
      </c>
      <c r="I24" s="73" t="s">
        <v>1699</v>
      </c>
      <c r="J24" s="73" t="s">
        <v>1700</v>
      </c>
      <c r="K24" s="73" t="s">
        <v>1464</v>
      </c>
      <c r="L24" s="73"/>
      <c r="M24" s="73" t="s">
        <v>1701</v>
      </c>
      <c r="N24" s="73" t="s">
        <v>1702</v>
      </c>
      <c r="O24" s="76">
        <v>0.8</v>
      </c>
      <c r="P24" s="73" t="s">
        <v>1021</v>
      </c>
      <c r="Q24" s="73" t="s">
        <v>557</v>
      </c>
      <c r="R24" s="73" t="s">
        <v>1703</v>
      </c>
      <c r="S24" s="73" t="s">
        <v>1704</v>
      </c>
      <c r="T24" s="74"/>
      <c r="U24" s="74"/>
      <c r="V24" s="74"/>
      <c r="W24" s="74"/>
      <c r="X24" s="74"/>
      <c r="Y24" s="74"/>
      <c r="Z24" s="74"/>
    </row>
    <row r="25" spans="1:26" ht="77.25" customHeight="1">
      <c r="A25" s="73" t="s">
        <v>1705</v>
      </c>
      <c r="B25" s="73" t="s">
        <v>1706</v>
      </c>
      <c r="C25" s="73" t="s">
        <v>1042</v>
      </c>
      <c r="D25" s="73" t="s">
        <v>1707</v>
      </c>
      <c r="E25" s="73" t="s">
        <v>1708</v>
      </c>
      <c r="F25" s="73" t="s">
        <v>1709</v>
      </c>
      <c r="G25" s="73" t="s">
        <v>1710</v>
      </c>
      <c r="H25" s="73" t="s">
        <v>1045</v>
      </c>
      <c r="I25" s="73" t="s">
        <v>1711</v>
      </c>
      <c r="J25" s="73" t="s">
        <v>1712</v>
      </c>
      <c r="K25" s="73" t="s">
        <v>1713</v>
      </c>
      <c r="L25" s="73" t="s">
        <v>1714</v>
      </c>
      <c r="M25" s="73" t="s">
        <v>1465</v>
      </c>
      <c r="N25" s="73" t="s">
        <v>1715</v>
      </c>
      <c r="O25" s="76"/>
      <c r="P25" s="73" t="s">
        <v>1033</v>
      </c>
      <c r="Q25" s="73" t="s">
        <v>557</v>
      </c>
      <c r="R25" s="73" t="s">
        <v>1716</v>
      </c>
      <c r="S25" s="73" t="s">
        <v>1717</v>
      </c>
      <c r="T25" s="74"/>
      <c r="U25" s="74"/>
      <c r="V25" s="74"/>
      <c r="W25" s="74"/>
      <c r="X25" s="74"/>
      <c r="Y25" s="74"/>
      <c r="Z25" s="74"/>
    </row>
    <row r="26" spans="1:26" ht="77.25" customHeight="1">
      <c r="A26" s="73" t="s">
        <v>1718</v>
      </c>
      <c r="B26" s="73" t="s">
        <v>824</v>
      </c>
      <c r="C26" s="73" t="s">
        <v>290</v>
      </c>
      <c r="D26" s="73" t="s">
        <v>1659</v>
      </c>
      <c r="E26" s="73" t="s">
        <v>1719</v>
      </c>
      <c r="F26" s="73" t="s">
        <v>1720</v>
      </c>
      <c r="G26" s="73" t="s">
        <v>1721</v>
      </c>
      <c r="H26" s="73" t="s">
        <v>1032</v>
      </c>
      <c r="I26" s="73" t="s">
        <v>1722</v>
      </c>
      <c r="J26" s="73" t="s">
        <v>1723</v>
      </c>
      <c r="K26" s="73" t="s">
        <v>1724</v>
      </c>
      <c r="L26" s="73" t="s">
        <v>1725</v>
      </c>
      <c r="M26" s="73" t="s">
        <v>1465</v>
      </c>
      <c r="N26" s="73" t="s">
        <v>1726</v>
      </c>
      <c r="O26" s="76"/>
      <c r="P26" s="73" t="s">
        <v>1033</v>
      </c>
      <c r="Q26" s="73" t="s">
        <v>557</v>
      </c>
      <c r="R26" s="73" t="s">
        <v>1727</v>
      </c>
      <c r="S26" s="73" t="s">
        <v>1728</v>
      </c>
      <c r="T26" s="74"/>
      <c r="U26" s="74"/>
      <c r="V26" s="74"/>
      <c r="W26" s="74"/>
      <c r="X26" s="74"/>
      <c r="Y26" s="74"/>
      <c r="Z26" s="74"/>
    </row>
    <row r="27" spans="1:26" ht="77.25" customHeight="1">
      <c r="A27" s="73" t="s">
        <v>1729</v>
      </c>
      <c r="B27" s="73" t="s">
        <v>1730</v>
      </c>
      <c r="C27" s="73" t="s">
        <v>564</v>
      </c>
      <c r="D27" s="73" t="s">
        <v>1659</v>
      </c>
      <c r="E27" s="73" t="s">
        <v>565</v>
      </c>
      <c r="F27" s="73" t="s">
        <v>1731</v>
      </c>
      <c r="G27" s="73" t="s">
        <v>1732</v>
      </c>
      <c r="H27" s="73" t="s">
        <v>1056</v>
      </c>
      <c r="I27" s="73" t="s">
        <v>1733</v>
      </c>
      <c r="J27" s="73" t="s">
        <v>1734</v>
      </c>
      <c r="K27" s="73" t="s">
        <v>1735</v>
      </c>
      <c r="L27" s="73" t="s">
        <v>1736</v>
      </c>
      <c r="M27" s="73" t="s">
        <v>1465</v>
      </c>
      <c r="N27" s="73" t="s">
        <v>1737</v>
      </c>
      <c r="O27" s="76"/>
      <c r="P27" s="73" t="s">
        <v>1033</v>
      </c>
      <c r="Q27" s="73" t="s">
        <v>557</v>
      </c>
      <c r="R27" s="73" t="s">
        <v>1738</v>
      </c>
      <c r="S27" s="73" t="s">
        <v>1739</v>
      </c>
      <c r="T27" s="74"/>
      <c r="U27" s="74"/>
      <c r="V27" s="74"/>
      <c r="W27" s="74"/>
      <c r="X27" s="74"/>
      <c r="Y27" s="74"/>
      <c r="Z27" s="74"/>
    </row>
    <row r="28" spans="1:26" ht="77.25" customHeight="1">
      <c r="A28" s="73" t="s">
        <v>1740</v>
      </c>
      <c r="B28" s="73" t="s">
        <v>1176</v>
      </c>
      <c r="C28" s="73" t="s">
        <v>1175</v>
      </c>
      <c r="D28" s="73" t="s">
        <v>1741</v>
      </c>
      <c r="E28" s="73" t="s">
        <v>996</v>
      </c>
      <c r="F28" s="73" t="s">
        <v>1742</v>
      </c>
      <c r="G28" s="73" t="s">
        <v>1743</v>
      </c>
      <c r="H28" s="73" t="s">
        <v>1178</v>
      </c>
      <c r="I28" s="73" t="s">
        <v>1744</v>
      </c>
      <c r="J28" s="73" t="s">
        <v>1745</v>
      </c>
      <c r="K28" s="73" t="s">
        <v>1746</v>
      </c>
      <c r="L28" s="73" t="s">
        <v>1747</v>
      </c>
      <c r="M28" s="73" t="s">
        <v>1465</v>
      </c>
      <c r="N28" s="73" t="s">
        <v>1748</v>
      </c>
      <c r="O28" s="76">
        <v>0</v>
      </c>
      <c r="P28" s="73" t="s">
        <v>1021</v>
      </c>
      <c r="Q28" s="73" t="s">
        <v>1153</v>
      </c>
      <c r="R28" s="73" t="s">
        <v>1749</v>
      </c>
      <c r="S28" s="73" t="s">
        <v>1750</v>
      </c>
      <c r="T28" s="74"/>
      <c r="U28" s="74"/>
      <c r="V28" s="74"/>
      <c r="W28" s="74"/>
      <c r="X28" s="74"/>
      <c r="Y28" s="74"/>
      <c r="Z28" s="74"/>
    </row>
    <row r="29" spans="1:26" ht="77.25" customHeight="1">
      <c r="A29" s="73" t="s">
        <v>1751</v>
      </c>
      <c r="B29" s="73" t="s">
        <v>1202</v>
      </c>
      <c r="C29" s="73" t="s">
        <v>1189</v>
      </c>
      <c r="D29" s="73" t="s">
        <v>1741</v>
      </c>
      <c r="E29" s="73" t="s">
        <v>996</v>
      </c>
      <c r="F29" s="73" t="s">
        <v>1752</v>
      </c>
      <c r="G29" s="73" t="s">
        <v>1753</v>
      </c>
      <c r="H29" s="73" t="s">
        <v>1178</v>
      </c>
      <c r="I29" s="73" t="s">
        <v>1754</v>
      </c>
      <c r="J29" s="73" t="s">
        <v>1755</v>
      </c>
      <c r="K29" s="73" t="s">
        <v>1756</v>
      </c>
      <c r="L29" s="73" t="s">
        <v>1757</v>
      </c>
      <c r="M29" s="73" t="s">
        <v>1465</v>
      </c>
      <c r="N29" s="73" t="s">
        <v>1758</v>
      </c>
      <c r="O29" s="76">
        <v>0</v>
      </c>
      <c r="P29" s="73" t="s">
        <v>1021</v>
      </c>
      <c r="Q29" s="73" t="s">
        <v>1200</v>
      </c>
      <c r="R29" s="73" t="s">
        <v>1759</v>
      </c>
      <c r="S29" s="73" t="s">
        <v>1760</v>
      </c>
      <c r="T29" s="74"/>
      <c r="U29" s="74"/>
      <c r="V29" s="74"/>
      <c r="W29" s="74"/>
      <c r="X29" s="74"/>
      <c r="Y29" s="74"/>
      <c r="Z29" s="74"/>
    </row>
    <row r="30" spans="1:26" ht="77.25" customHeight="1">
      <c r="A30" s="73" t="s">
        <v>1761</v>
      </c>
      <c r="B30" s="73" t="s">
        <v>1762</v>
      </c>
      <c r="C30" s="73" t="s">
        <v>1169</v>
      </c>
      <c r="D30" s="73" t="s">
        <v>1763</v>
      </c>
      <c r="E30" s="73" t="s">
        <v>996</v>
      </c>
      <c r="F30" s="73" t="s">
        <v>1764</v>
      </c>
      <c r="G30" s="73" t="s">
        <v>1765</v>
      </c>
      <c r="H30" s="73" t="s">
        <v>1172</v>
      </c>
      <c r="I30" s="73" t="s">
        <v>1766</v>
      </c>
      <c r="J30" s="73" t="s">
        <v>1767</v>
      </c>
      <c r="K30" s="73" t="s">
        <v>1768</v>
      </c>
      <c r="L30" s="73" t="s">
        <v>1769</v>
      </c>
      <c r="M30" s="73" t="s">
        <v>1465</v>
      </c>
      <c r="N30" s="73" t="s">
        <v>1770</v>
      </c>
      <c r="O30" s="76">
        <v>0</v>
      </c>
      <c r="P30" s="73" t="s">
        <v>1021</v>
      </c>
      <c r="Q30" s="73" t="s">
        <v>1153</v>
      </c>
      <c r="R30" s="73" t="s">
        <v>1771</v>
      </c>
      <c r="S30" s="73" t="s">
        <v>1772</v>
      </c>
      <c r="T30" s="74"/>
      <c r="U30" s="74"/>
      <c r="V30" s="74"/>
      <c r="W30" s="74"/>
      <c r="X30" s="74"/>
      <c r="Y30" s="74"/>
      <c r="Z30" s="74"/>
    </row>
    <row r="31" spans="1:26" ht="77.25" customHeight="1">
      <c r="A31" s="73" t="s">
        <v>1773</v>
      </c>
      <c r="B31" s="73" t="s">
        <v>1207</v>
      </c>
      <c r="C31" s="73" t="s">
        <v>1206</v>
      </c>
      <c r="D31" s="73" t="s">
        <v>1774</v>
      </c>
      <c r="E31" s="73" t="s">
        <v>1775</v>
      </c>
      <c r="F31" s="73" t="s">
        <v>1776</v>
      </c>
      <c r="G31" s="73" t="s">
        <v>1777</v>
      </c>
      <c r="H31" s="73" t="s">
        <v>1209</v>
      </c>
      <c r="I31" s="73" t="s">
        <v>1778</v>
      </c>
      <c r="J31" s="73" t="s">
        <v>1779</v>
      </c>
      <c r="K31" s="73" t="s">
        <v>1780</v>
      </c>
      <c r="L31" s="73" t="s">
        <v>1781</v>
      </c>
      <c r="M31" s="73" t="s">
        <v>1465</v>
      </c>
      <c r="N31" s="73" t="s">
        <v>1782</v>
      </c>
      <c r="O31" s="76">
        <v>0</v>
      </c>
      <c r="P31" s="73" t="s">
        <v>1021</v>
      </c>
      <c r="Q31" s="73" t="s">
        <v>1200</v>
      </c>
      <c r="R31" s="73" t="s">
        <v>1783</v>
      </c>
      <c r="S31" s="73" t="s">
        <v>1784</v>
      </c>
      <c r="T31" s="74"/>
      <c r="U31" s="74"/>
      <c r="V31" s="74"/>
      <c r="W31" s="74"/>
      <c r="X31" s="74"/>
      <c r="Y31" s="74"/>
      <c r="Z31" s="74"/>
    </row>
    <row r="32" spans="1:26" ht="77.25" customHeight="1">
      <c r="A32" s="73" t="s">
        <v>1785</v>
      </c>
      <c r="B32" s="73" t="s">
        <v>652</v>
      </c>
      <c r="C32" s="73" t="s">
        <v>651</v>
      </c>
      <c r="D32" s="73" t="s">
        <v>1786</v>
      </c>
      <c r="E32" s="73" t="s">
        <v>1787</v>
      </c>
      <c r="F32" s="73" t="s">
        <v>1788</v>
      </c>
      <c r="G32" s="73" t="s">
        <v>1789</v>
      </c>
      <c r="H32" s="73" t="s">
        <v>1307</v>
      </c>
      <c r="I32" s="73" t="s">
        <v>1790</v>
      </c>
      <c r="J32" s="73" t="s">
        <v>1791</v>
      </c>
      <c r="K32" s="73" t="s">
        <v>1792</v>
      </c>
      <c r="L32" s="73" t="s">
        <v>1793</v>
      </c>
      <c r="M32" s="73" t="s">
        <v>1465</v>
      </c>
      <c r="N32" s="73" t="s">
        <v>1794</v>
      </c>
      <c r="O32" s="76"/>
      <c r="P32" s="73" t="s">
        <v>1033</v>
      </c>
      <c r="Q32" s="73" t="s">
        <v>1200</v>
      </c>
      <c r="R32" s="73" t="s">
        <v>1795</v>
      </c>
      <c r="S32" s="73" t="s">
        <v>1796</v>
      </c>
      <c r="T32" s="74"/>
      <c r="U32" s="74"/>
      <c r="V32" s="74"/>
      <c r="W32" s="74"/>
      <c r="X32" s="74"/>
      <c r="Y32" s="74"/>
      <c r="Z32" s="74"/>
    </row>
    <row r="33" spans="1:26" ht="77.25" customHeight="1">
      <c r="A33" s="73" t="s">
        <v>1797</v>
      </c>
      <c r="B33" s="73" t="s">
        <v>658</v>
      </c>
      <c r="C33" s="73" t="s">
        <v>657</v>
      </c>
      <c r="D33" s="73" t="s">
        <v>1786</v>
      </c>
      <c r="E33" s="73" t="s">
        <v>1798</v>
      </c>
      <c r="F33" s="73" t="s">
        <v>1799</v>
      </c>
      <c r="G33" s="73" t="s">
        <v>1800</v>
      </c>
      <c r="H33" s="73" t="s">
        <v>1801</v>
      </c>
      <c r="I33" s="73" t="s">
        <v>1802</v>
      </c>
      <c r="J33" s="73" t="s">
        <v>1803</v>
      </c>
      <c r="K33" s="73" t="s">
        <v>1804</v>
      </c>
      <c r="L33" s="73" t="s">
        <v>1805</v>
      </c>
      <c r="M33" s="73" t="s">
        <v>1465</v>
      </c>
      <c r="N33" s="73" t="s">
        <v>1806</v>
      </c>
      <c r="O33" s="76"/>
      <c r="P33" s="73" t="s">
        <v>1033</v>
      </c>
      <c r="Q33" s="73" t="s">
        <v>1200</v>
      </c>
      <c r="R33" s="73" t="s">
        <v>1807</v>
      </c>
      <c r="S33" s="73" t="s">
        <v>1808</v>
      </c>
      <c r="T33" s="74"/>
      <c r="U33" s="74"/>
      <c r="V33" s="74"/>
      <c r="W33" s="74"/>
      <c r="X33" s="74"/>
      <c r="Y33" s="74"/>
      <c r="Z33" s="74"/>
    </row>
    <row r="34" spans="1:26" ht="77.25" customHeight="1">
      <c r="A34" s="73" t="s">
        <v>1809</v>
      </c>
      <c r="B34" s="73" t="s">
        <v>1810</v>
      </c>
      <c r="C34" s="73" t="s">
        <v>131</v>
      </c>
      <c r="D34" s="73" t="s">
        <v>1811</v>
      </c>
      <c r="E34" s="73" t="s">
        <v>1812</v>
      </c>
      <c r="F34" s="73" t="s">
        <v>1813</v>
      </c>
      <c r="G34" s="73" t="s">
        <v>1814</v>
      </c>
      <c r="H34" s="73" t="s">
        <v>1018</v>
      </c>
      <c r="I34" s="73" t="s">
        <v>1815</v>
      </c>
      <c r="J34" s="73" t="s">
        <v>1816</v>
      </c>
      <c r="K34" s="73" t="s">
        <v>1817</v>
      </c>
      <c r="L34" s="73" t="s">
        <v>1818</v>
      </c>
      <c r="M34" s="73" t="s">
        <v>1465</v>
      </c>
      <c r="N34" s="73" t="s">
        <v>1819</v>
      </c>
      <c r="O34" s="76"/>
      <c r="P34" s="73" t="s">
        <v>1033</v>
      </c>
      <c r="Q34" s="73" t="s">
        <v>557</v>
      </c>
      <c r="R34" s="73" t="s">
        <v>1820</v>
      </c>
      <c r="S34" s="73" t="s">
        <v>1821</v>
      </c>
      <c r="T34" s="74"/>
      <c r="U34" s="74"/>
      <c r="V34" s="74"/>
      <c r="W34" s="74"/>
      <c r="X34" s="74"/>
      <c r="Y34" s="74"/>
      <c r="Z34" s="74"/>
    </row>
    <row r="35" spans="1:26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</sheetData>
  <mergeCells count="2">
    <mergeCell ref="A1:S1"/>
    <mergeCell ref="A2:S3"/>
  </mergeCells>
  <conditionalFormatting sqref="O6:O34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dataValidations count="1">
    <dataValidation type="list" sqref="P6:P34" xr:uid="{00000000-0002-0000-07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baseColWidth="10" defaultColWidth="8.83203125" defaultRowHeight="13"/>
  <cols>
    <col min="1" max="1" width="12" customWidth="1"/>
    <col min="2" max="2" width="31" customWidth="1"/>
    <col min="3" max="3" width="26" customWidth="1"/>
    <col min="4" max="4" width="27" customWidth="1"/>
    <col min="5" max="5" width="15" customWidth="1"/>
    <col min="6" max="6" width="34" customWidth="1"/>
    <col min="7" max="7" width="39" customWidth="1"/>
    <col min="8" max="9" width="38" customWidth="1"/>
    <col min="10" max="10" width="33" customWidth="1"/>
    <col min="11" max="11" width="23" customWidth="1"/>
    <col min="12" max="12" width="34" customWidth="1"/>
    <col min="13" max="13" width="31" customWidth="1"/>
    <col min="14" max="14" width="42" customWidth="1"/>
  </cols>
  <sheetData>
    <row r="1" spans="1:26" ht="19">
      <c r="A1" s="93" t="s">
        <v>1822</v>
      </c>
      <c r="B1" s="93" t="s">
        <v>1822</v>
      </c>
      <c r="C1" s="93" t="s">
        <v>1822</v>
      </c>
      <c r="D1" s="93" t="s">
        <v>1822</v>
      </c>
      <c r="E1" s="93" t="s">
        <v>1822</v>
      </c>
      <c r="F1" s="93" t="s">
        <v>1822</v>
      </c>
      <c r="G1" s="93" t="s">
        <v>1822</v>
      </c>
      <c r="H1" s="93" t="s">
        <v>1822</v>
      </c>
      <c r="I1" s="93" t="s">
        <v>1822</v>
      </c>
      <c r="J1" s="93" t="s">
        <v>1822</v>
      </c>
      <c r="K1" s="93" t="s">
        <v>1822</v>
      </c>
      <c r="L1" s="93" t="s">
        <v>1822</v>
      </c>
      <c r="M1" s="93" t="s">
        <v>1822</v>
      </c>
      <c r="N1" s="93" t="s">
        <v>1822</v>
      </c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>
      <c r="A2" s="94" t="s">
        <v>1823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4">
      <c r="A5" s="78" t="s">
        <v>1824</v>
      </c>
      <c r="B5" s="78" t="s">
        <v>1825</v>
      </c>
      <c r="C5" s="78" t="s">
        <v>1826</v>
      </c>
      <c r="D5" s="78" t="s">
        <v>1827</v>
      </c>
      <c r="E5" s="78" t="s">
        <v>279</v>
      </c>
      <c r="F5" s="78" t="s">
        <v>1828</v>
      </c>
      <c r="G5" s="78" t="s">
        <v>1829</v>
      </c>
      <c r="H5" s="78" t="s">
        <v>1830</v>
      </c>
      <c r="I5" s="78" t="s">
        <v>1453</v>
      </c>
      <c r="J5" s="78" t="s">
        <v>1831</v>
      </c>
      <c r="K5" s="78" t="s">
        <v>1832</v>
      </c>
      <c r="L5" s="78" t="s">
        <v>1833</v>
      </c>
      <c r="M5" s="78" t="s">
        <v>1455</v>
      </c>
      <c r="N5" s="78" t="s">
        <v>1456</v>
      </c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80" customHeight="1">
      <c r="A6" s="73" t="s">
        <v>1834</v>
      </c>
      <c r="B6" s="73" t="s">
        <v>1835</v>
      </c>
      <c r="C6" s="73" t="s">
        <v>578</v>
      </c>
      <c r="D6" s="73" t="s">
        <v>1836</v>
      </c>
      <c r="E6" s="73" t="s">
        <v>1837</v>
      </c>
      <c r="F6" s="73" t="s">
        <v>1838</v>
      </c>
      <c r="G6" s="73" t="s">
        <v>1839</v>
      </c>
      <c r="H6" s="73" t="s">
        <v>1840</v>
      </c>
      <c r="I6" s="73" t="s">
        <v>1841</v>
      </c>
      <c r="J6" s="73" t="s">
        <v>1842</v>
      </c>
      <c r="K6" s="73" t="s">
        <v>1843</v>
      </c>
      <c r="L6" s="73" t="s">
        <v>1844</v>
      </c>
      <c r="M6" s="73" t="s">
        <v>1845</v>
      </c>
      <c r="N6" s="73" t="s">
        <v>1846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80" customHeight="1">
      <c r="A7" s="73" t="s">
        <v>1847</v>
      </c>
      <c r="B7" s="73" t="s">
        <v>1848</v>
      </c>
      <c r="C7" s="73" t="s">
        <v>1849</v>
      </c>
      <c r="D7" s="73" t="s">
        <v>1850</v>
      </c>
      <c r="E7" s="73" t="s">
        <v>1837</v>
      </c>
      <c r="F7" s="73" t="s">
        <v>1851</v>
      </c>
      <c r="G7" s="73" t="s">
        <v>1839</v>
      </c>
      <c r="H7" s="73" t="s">
        <v>1852</v>
      </c>
      <c r="I7" s="73" t="s">
        <v>1853</v>
      </c>
      <c r="J7" s="73" t="s">
        <v>1854</v>
      </c>
      <c r="K7" s="73" t="s">
        <v>1855</v>
      </c>
      <c r="L7" s="73" t="s">
        <v>1856</v>
      </c>
      <c r="M7" s="73" t="s">
        <v>1481</v>
      </c>
      <c r="N7" s="73" t="s">
        <v>1857</v>
      </c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80" customHeight="1">
      <c r="A8" s="73" t="s">
        <v>1858</v>
      </c>
      <c r="B8" s="73" t="s">
        <v>1859</v>
      </c>
      <c r="C8" s="73" t="s">
        <v>1860</v>
      </c>
      <c r="D8" s="73" t="s">
        <v>1861</v>
      </c>
      <c r="E8" s="73" t="s">
        <v>1862</v>
      </c>
      <c r="F8" s="73" t="s">
        <v>1863</v>
      </c>
      <c r="G8" s="73" t="s">
        <v>1864</v>
      </c>
      <c r="H8" s="73" t="s">
        <v>1865</v>
      </c>
      <c r="I8" s="73" t="s">
        <v>1866</v>
      </c>
      <c r="J8" s="73" t="s">
        <v>1867</v>
      </c>
      <c r="K8" s="73" t="s">
        <v>1868</v>
      </c>
      <c r="L8" s="73" t="s">
        <v>1869</v>
      </c>
      <c r="M8" s="73" t="s">
        <v>1870</v>
      </c>
      <c r="N8" s="73" t="s">
        <v>1871</v>
      </c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80" customHeight="1">
      <c r="A9" s="73" t="s">
        <v>1872</v>
      </c>
      <c r="B9" s="73" t="s">
        <v>1873</v>
      </c>
      <c r="C9" s="73" t="s">
        <v>1874</v>
      </c>
      <c r="D9" s="73" t="s">
        <v>1096</v>
      </c>
      <c r="E9" s="73" t="s">
        <v>1862</v>
      </c>
      <c r="F9" s="73" t="s">
        <v>1875</v>
      </c>
      <c r="G9" s="73" t="s">
        <v>1876</v>
      </c>
      <c r="H9" s="73" t="s">
        <v>1877</v>
      </c>
      <c r="I9" s="73" t="s">
        <v>1878</v>
      </c>
      <c r="J9" s="73" t="s">
        <v>1879</v>
      </c>
      <c r="K9" s="73" t="s">
        <v>1880</v>
      </c>
      <c r="L9" s="73" t="s">
        <v>1881</v>
      </c>
      <c r="M9" s="73" t="s">
        <v>1882</v>
      </c>
      <c r="N9" s="73" t="s">
        <v>1883</v>
      </c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80" customHeight="1">
      <c r="A10" s="73" t="s">
        <v>1884</v>
      </c>
      <c r="B10" s="73" t="s">
        <v>1885</v>
      </c>
      <c r="C10" s="73" t="s">
        <v>1886</v>
      </c>
      <c r="D10" s="73" t="s">
        <v>94</v>
      </c>
      <c r="E10" s="73" t="s">
        <v>1862</v>
      </c>
      <c r="F10" s="73" t="s">
        <v>1887</v>
      </c>
      <c r="G10" s="73" t="s">
        <v>1888</v>
      </c>
      <c r="H10" s="73" t="s">
        <v>1889</v>
      </c>
      <c r="I10" s="73" t="s">
        <v>1890</v>
      </c>
      <c r="J10" s="73" t="s">
        <v>1891</v>
      </c>
      <c r="K10" s="73" t="s">
        <v>1892</v>
      </c>
      <c r="L10" s="73" t="s">
        <v>1893</v>
      </c>
      <c r="M10" s="73" t="s">
        <v>1894</v>
      </c>
      <c r="N10" s="73" t="s">
        <v>1895</v>
      </c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80" customHeight="1">
      <c r="A11" s="73" t="s">
        <v>1896</v>
      </c>
      <c r="B11" s="73" t="s">
        <v>1897</v>
      </c>
      <c r="C11" s="73" t="s">
        <v>94</v>
      </c>
      <c r="D11" s="73" t="s">
        <v>1898</v>
      </c>
      <c r="E11" s="73" t="s">
        <v>1899</v>
      </c>
      <c r="F11" s="73" t="s">
        <v>1900</v>
      </c>
      <c r="G11" s="73" t="s">
        <v>1901</v>
      </c>
      <c r="H11" s="73" t="s">
        <v>1902</v>
      </c>
      <c r="I11" s="73" t="s">
        <v>1903</v>
      </c>
      <c r="J11" s="73" t="s">
        <v>1904</v>
      </c>
      <c r="K11" s="73" t="s">
        <v>1905</v>
      </c>
      <c r="L11" s="73" t="s">
        <v>1906</v>
      </c>
      <c r="M11" s="73" t="s">
        <v>1907</v>
      </c>
      <c r="N11" s="73" t="s">
        <v>1908</v>
      </c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80" customHeight="1">
      <c r="A12" s="73" t="s">
        <v>1909</v>
      </c>
      <c r="B12" s="73" t="s">
        <v>1910</v>
      </c>
      <c r="C12" s="73" t="s">
        <v>1911</v>
      </c>
      <c r="D12" s="73" t="s">
        <v>1912</v>
      </c>
      <c r="E12" s="73" t="s">
        <v>1837</v>
      </c>
      <c r="F12" s="73" t="s">
        <v>1913</v>
      </c>
      <c r="G12" s="73" t="s">
        <v>1914</v>
      </c>
      <c r="H12" s="73" t="s">
        <v>1915</v>
      </c>
      <c r="I12" s="73" t="s">
        <v>1916</v>
      </c>
      <c r="J12" s="73" t="s">
        <v>1917</v>
      </c>
      <c r="K12" s="73" t="s">
        <v>1918</v>
      </c>
      <c r="L12" s="73" t="s">
        <v>1919</v>
      </c>
      <c r="M12" s="73" t="s">
        <v>1920</v>
      </c>
      <c r="N12" s="73" t="s">
        <v>1921</v>
      </c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80" customHeight="1">
      <c r="A13" s="73" t="s">
        <v>1922</v>
      </c>
      <c r="B13" s="73" t="s">
        <v>1923</v>
      </c>
      <c r="C13" s="73" t="s">
        <v>393</v>
      </c>
      <c r="D13" s="73" t="s">
        <v>1924</v>
      </c>
      <c r="E13" s="73" t="s">
        <v>1899</v>
      </c>
      <c r="F13" s="73" t="s">
        <v>1925</v>
      </c>
      <c r="G13" s="73" t="s">
        <v>1926</v>
      </c>
      <c r="H13" s="73" t="s">
        <v>1927</v>
      </c>
      <c r="I13" s="73" t="s">
        <v>1928</v>
      </c>
      <c r="J13" s="73" t="s">
        <v>1929</v>
      </c>
      <c r="K13" s="73" t="s">
        <v>1930</v>
      </c>
      <c r="L13" s="73" t="s">
        <v>1931</v>
      </c>
      <c r="M13" s="73" t="s">
        <v>1932</v>
      </c>
      <c r="N13" s="73" t="s">
        <v>1933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80" customHeight="1">
      <c r="A14" s="73" t="s">
        <v>1934</v>
      </c>
      <c r="B14" s="73" t="s">
        <v>1935</v>
      </c>
      <c r="C14" s="73" t="s">
        <v>1936</v>
      </c>
      <c r="D14" s="73" t="s">
        <v>1937</v>
      </c>
      <c r="E14" s="73" t="s">
        <v>1837</v>
      </c>
      <c r="F14" s="73" t="s">
        <v>1938</v>
      </c>
      <c r="G14" s="73" t="s">
        <v>1939</v>
      </c>
      <c r="H14" s="73" t="s">
        <v>1940</v>
      </c>
      <c r="I14" s="73" t="s">
        <v>1941</v>
      </c>
      <c r="J14" s="73" t="s">
        <v>1842</v>
      </c>
      <c r="K14" s="73" t="s">
        <v>1942</v>
      </c>
      <c r="L14" s="73" t="s">
        <v>1943</v>
      </c>
      <c r="M14" s="73" t="s">
        <v>1944</v>
      </c>
      <c r="N14" s="73" t="s">
        <v>1945</v>
      </c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80" customHeight="1">
      <c r="A15" s="73" t="s">
        <v>1946</v>
      </c>
      <c r="B15" s="73" t="s">
        <v>1947</v>
      </c>
      <c r="C15" s="73" t="s">
        <v>1948</v>
      </c>
      <c r="D15" s="73" t="s">
        <v>1936</v>
      </c>
      <c r="E15" s="73" t="s">
        <v>1862</v>
      </c>
      <c r="F15" s="73" t="s">
        <v>1949</v>
      </c>
      <c r="G15" s="73" t="s">
        <v>1950</v>
      </c>
      <c r="H15" s="73" t="s">
        <v>1951</v>
      </c>
      <c r="I15" s="73" t="s">
        <v>1952</v>
      </c>
      <c r="J15" s="73" t="s">
        <v>1953</v>
      </c>
      <c r="K15" s="73" t="s">
        <v>1954</v>
      </c>
      <c r="L15" s="73" t="s">
        <v>1955</v>
      </c>
      <c r="M15" s="73" t="s">
        <v>1956</v>
      </c>
      <c r="N15" s="73" t="s">
        <v>1957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80" customHeight="1">
      <c r="A16" s="73" t="s">
        <v>1958</v>
      </c>
      <c r="B16" s="73" t="s">
        <v>1959</v>
      </c>
      <c r="C16" s="73" t="s">
        <v>1960</v>
      </c>
      <c r="D16" s="73" t="s">
        <v>1961</v>
      </c>
      <c r="E16" s="73" t="s">
        <v>1899</v>
      </c>
      <c r="F16" s="73" t="s">
        <v>1962</v>
      </c>
      <c r="G16" s="73" t="s">
        <v>1963</v>
      </c>
      <c r="H16" s="73" t="s">
        <v>1964</v>
      </c>
      <c r="I16" s="73" t="s">
        <v>1965</v>
      </c>
      <c r="J16" s="73" t="s">
        <v>1966</v>
      </c>
      <c r="K16" s="73" t="s">
        <v>1967</v>
      </c>
      <c r="L16" s="73" t="s">
        <v>1968</v>
      </c>
      <c r="M16" s="73" t="s">
        <v>1969</v>
      </c>
      <c r="N16" s="73" t="s">
        <v>1970</v>
      </c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80" customHeight="1">
      <c r="A17" s="73" t="s">
        <v>1971</v>
      </c>
      <c r="B17" s="73" t="s">
        <v>1972</v>
      </c>
      <c r="C17" s="73" t="s">
        <v>1163</v>
      </c>
      <c r="D17" s="73" t="s">
        <v>1973</v>
      </c>
      <c r="E17" s="73" t="s">
        <v>1862</v>
      </c>
      <c r="F17" s="73" t="s">
        <v>1974</v>
      </c>
      <c r="G17" s="73" t="s">
        <v>1975</v>
      </c>
      <c r="H17" s="73" t="s">
        <v>1976</v>
      </c>
      <c r="I17" s="73" t="s">
        <v>1977</v>
      </c>
      <c r="J17" s="73" t="s">
        <v>1978</v>
      </c>
      <c r="K17" s="73" t="s">
        <v>1979</v>
      </c>
      <c r="L17" s="73" t="s">
        <v>1980</v>
      </c>
      <c r="M17" s="73" t="s">
        <v>1563</v>
      </c>
      <c r="N17" s="73" t="s">
        <v>1981</v>
      </c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80" customHeight="1">
      <c r="A18" s="73" t="s">
        <v>1982</v>
      </c>
      <c r="B18" s="73" t="s">
        <v>1983</v>
      </c>
      <c r="C18" s="73" t="s">
        <v>1984</v>
      </c>
      <c r="D18" s="73" t="s">
        <v>97</v>
      </c>
      <c r="E18" s="73" t="s">
        <v>1862</v>
      </c>
      <c r="F18" s="73" t="s">
        <v>1985</v>
      </c>
      <c r="G18" s="73" t="s">
        <v>1986</v>
      </c>
      <c r="H18" s="73" t="s">
        <v>1987</v>
      </c>
      <c r="I18" s="73" t="s">
        <v>1988</v>
      </c>
      <c r="J18" s="73" t="s">
        <v>1989</v>
      </c>
      <c r="K18" s="73" t="s">
        <v>1990</v>
      </c>
      <c r="L18" s="73" t="s">
        <v>1991</v>
      </c>
      <c r="M18" s="73" t="s">
        <v>1992</v>
      </c>
      <c r="N18" s="73" t="s">
        <v>1993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80" customHeight="1">
      <c r="A19" s="73" t="s">
        <v>1994</v>
      </c>
      <c r="B19" s="73" t="s">
        <v>1995</v>
      </c>
      <c r="C19" s="73" t="s">
        <v>97</v>
      </c>
      <c r="D19" s="73" t="s">
        <v>1996</v>
      </c>
      <c r="E19" s="73" t="s">
        <v>1899</v>
      </c>
      <c r="F19" s="73" t="s">
        <v>1997</v>
      </c>
      <c r="G19" s="73" t="s">
        <v>1998</v>
      </c>
      <c r="H19" s="73" t="s">
        <v>1999</v>
      </c>
      <c r="I19" s="73" t="s">
        <v>2000</v>
      </c>
      <c r="J19" s="73" t="s">
        <v>2001</v>
      </c>
      <c r="K19" s="73" t="s">
        <v>2002</v>
      </c>
      <c r="L19" s="73" t="s">
        <v>2003</v>
      </c>
      <c r="M19" s="73" t="s">
        <v>2004</v>
      </c>
      <c r="N19" s="73" t="s">
        <v>2005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80" customHeight="1">
      <c r="A20" s="73" t="s">
        <v>2006</v>
      </c>
      <c r="B20" s="73" t="s">
        <v>2007</v>
      </c>
      <c r="C20" s="73" t="s">
        <v>1143</v>
      </c>
      <c r="D20" s="73" t="s">
        <v>2008</v>
      </c>
      <c r="E20" s="73" t="s">
        <v>2009</v>
      </c>
      <c r="F20" s="73" t="s">
        <v>2010</v>
      </c>
      <c r="G20" s="73" t="s">
        <v>2011</v>
      </c>
      <c r="H20" s="73" t="s">
        <v>2012</v>
      </c>
      <c r="I20" s="73" t="s">
        <v>2013</v>
      </c>
      <c r="J20" s="73" t="s">
        <v>2014</v>
      </c>
      <c r="K20" s="73" t="s">
        <v>2015</v>
      </c>
      <c r="L20" s="73" t="s">
        <v>2016</v>
      </c>
      <c r="M20" s="73" t="s">
        <v>2017</v>
      </c>
      <c r="N20" s="73" t="s">
        <v>2018</v>
      </c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80" customHeight="1">
      <c r="A21" s="73" t="s">
        <v>2019</v>
      </c>
      <c r="B21" s="73" t="s">
        <v>2020</v>
      </c>
      <c r="C21" s="73" t="s">
        <v>188</v>
      </c>
      <c r="D21" s="73" t="s">
        <v>2008</v>
      </c>
      <c r="E21" s="73" t="s">
        <v>2009</v>
      </c>
      <c r="F21" s="73" t="s">
        <v>2021</v>
      </c>
      <c r="G21" s="73" t="s">
        <v>2022</v>
      </c>
      <c r="H21" s="73" t="s">
        <v>2023</v>
      </c>
      <c r="I21" s="73" t="s">
        <v>2024</v>
      </c>
      <c r="J21" s="73" t="s">
        <v>2025</v>
      </c>
      <c r="K21" s="73" t="s">
        <v>2026</v>
      </c>
      <c r="L21" s="73" t="s">
        <v>2027</v>
      </c>
      <c r="M21" s="73" t="s">
        <v>1601</v>
      </c>
      <c r="N21" s="73" t="s">
        <v>2028</v>
      </c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80" customHeight="1">
      <c r="A22" s="73" t="s">
        <v>2029</v>
      </c>
      <c r="B22" s="73" t="s">
        <v>2030</v>
      </c>
      <c r="C22" s="73" t="s">
        <v>2031</v>
      </c>
      <c r="D22" s="73" t="s">
        <v>2032</v>
      </c>
      <c r="E22" s="73" t="s">
        <v>1837</v>
      </c>
      <c r="F22" s="73" t="s">
        <v>2033</v>
      </c>
      <c r="G22" s="73" t="s">
        <v>2034</v>
      </c>
      <c r="H22" s="73" t="s">
        <v>2035</v>
      </c>
      <c r="I22" s="73" t="s">
        <v>2036</v>
      </c>
      <c r="J22" s="73" t="s">
        <v>2037</v>
      </c>
      <c r="K22" s="73" t="s">
        <v>2038</v>
      </c>
      <c r="L22" s="73" t="s">
        <v>2039</v>
      </c>
      <c r="M22" s="73" t="s">
        <v>2040</v>
      </c>
      <c r="N22" s="73" t="s">
        <v>2041</v>
      </c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80" customHeight="1">
      <c r="A23" s="73" t="s">
        <v>2042</v>
      </c>
      <c r="B23" s="73" t="s">
        <v>2043</v>
      </c>
      <c r="C23" s="73" t="s">
        <v>2044</v>
      </c>
      <c r="D23" s="73" t="s">
        <v>2032</v>
      </c>
      <c r="E23" s="73" t="s">
        <v>2045</v>
      </c>
      <c r="F23" s="73" t="s">
        <v>2046</v>
      </c>
      <c r="G23" s="73" t="s">
        <v>2047</v>
      </c>
      <c r="H23" s="73" t="s">
        <v>2048</v>
      </c>
      <c r="I23" s="73" t="s">
        <v>2049</v>
      </c>
      <c r="J23" s="73" t="s">
        <v>2050</v>
      </c>
      <c r="K23" s="73" t="s">
        <v>2051</v>
      </c>
      <c r="L23" s="73" t="s">
        <v>2052</v>
      </c>
      <c r="M23" s="73" t="s">
        <v>2053</v>
      </c>
      <c r="N23" s="73" t="s">
        <v>2054</v>
      </c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80" customHeight="1">
      <c r="A24" s="73" t="s">
        <v>2055</v>
      </c>
      <c r="B24" s="73" t="s">
        <v>2056</v>
      </c>
      <c r="C24" s="73" t="s">
        <v>1283</v>
      </c>
      <c r="D24" s="73" t="s">
        <v>2057</v>
      </c>
      <c r="E24" s="73" t="s">
        <v>1899</v>
      </c>
      <c r="F24" s="73" t="s">
        <v>2058</v>
      </c>
      <c r="G24" s="73" t="s">
        <v>2059</v>
      </c>
      <c r="H24" s="73" t="s">
        <v>2060</v>
      </c>
      <c r="I24" s="73" t="s">
        <v>2061</v>
      </c>
      <c r="J24" s="73" t="s">
        <v>2062</v>
      </c>
      <c r="K24" s="73" t="s">
        <v>2063</v>
      </c>
      <c r="L24" s="73" t="s">
        <v>2064</v>
      </c>
      <c r="M24" s="73" t="s">
        <v>2065</v>
      </c>
      <c r="N24" s="73" t="s">
        <v>2066</v>
      </c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80" customHeight="1">
      <c r="A25" s="73" t="s">
        <v>2067</v>
      </c>
      <c r="B25" s="73" t="s">
        <v>2068</v>
      </c>
      <c r="C25" s="73" t="s">
        <v>2069</v>
      </c>
      <c r="D25" s="73" t="s">
        <v>2070</v>
      </c>
      <c r="E25" s="73" t="s">
        <v>1837</v>
      </c>
      <c r="F25" s="73" t="s">
        <v>2071</v>
      </c>
      <c r="G25" s="73" t="s">
        <v>2072</v>
      </c>
      <c r="H25" s="73" t="s">
        <v>2073</v>
      </c>
      <c r="I25" s="73" t="s">
        <v>2074</v>
      </c>
      <c r="J25" s="73" t="s">
        <v>1917</v>
      </c>
      <c r="K25" s="73" t="s">
        <v>2075</v>
      </c>
      <c r="L25" s="73" t="s">
        <v>2076</v>
      </c>
      <c r="M25" s="73" t="s">
        <v>2077</v>
      </c>
      <c r="N25" s="73" t="s">
        <v>2078</v>
      </c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80" customHeight="1">
      <c r="A26" s="73" t="s">
        <v>2079</v>
      </c>
      <c r="B26" s="73" t="s">
        <v>2080</v>
      </c>
      <c r="C26" s="73" t="s">
        <v>651</v>
      </c>
      <c r="D26" s="73" t="s">
        <v>2081</v>
      </c>
      <c r="E26" s="73" t="s">
        <v>1899</v>
      </c>
      <c r="F26" s="73" t="s">
        <v>2082</v>
      </c>
      <c r="G26" s="73" t="s">
        <v>2083</v>
      </c>
      <c r="H26" s="73" t="s">
        <v>2084</v>
      </c>
      <c r="I26" s="73" t="s">
        <v>2085</v>
      </c>
      <c r="J26" s="73" t="s">
        <v>2086</v>
      </c>
      <c r="K26" s="73" t="s">
        <v>2087</v>
      </c>
      <c r="L26" s="73" t="s">
        <v>2088</v>
      </c>
      <c r="M26" s="73" t="s">
        <v>2089</v>
      </c>
      <c r="N26" s="73" t="s">
        <v>2090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80" customHeight="1">
      <c r="A27" s="73" t="s">
        <v>2091</v>
      </c>
      <c r="B27" s="73" t="s">
        <v>2092</v>
      </c>
      <c r="C27" s="73" t="s">
        <v>657</v>
      </c>
      <c r="D27" s="73" t="s">
        <v>2093</v>
      </c>
      <c r="E27" s="73" t="s">
        <v>1899</v>
      </c>
      <c r="F27" s="73" t="s">
        <v>2094</v>
      </c>
      <c r="G27" s="73" t="s">
        <v>2095</v>
      </c>
      <c r="H27" s="73" t="s">
        <v>2096</v>
      </c>
      <c r="I27" s="73" t="s">
        <v>2097</v>
      </c>
      <c r="J27" s="73" t="s">
        <v>2062</v>
      </c>
      <c r="K27" s="73" t="s">
        <v>2098</v>
      </c>
      <c r="L27" s="73" t="s">
        <v>2099</v>
      </c>
      <c r="M27" s="73" t="s">
        <v>2100</v>
      </c>
      <c r="N27" s="73" t="s">
        <v>2101</v>
      </c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80" customHeight="1">
      <c r="A28" s="73" t="s">
        <v>2102</v>
      </c>
      <c r="B28" s="73" t="s">
        <v>2103</v>
      </c>
      <c r="C28" s="73" t="s">
        <v>87</v>
      </c>
      <c r="D28" s="73" t="s">
        <v>2104</v>
      </c>
      <c r="E28" s="73" t="s">
        <v>1837</v>
      </c>
      <c r="F28" s="73" t="s">
        <v>2105</v>
      </c>
      <c r="G28" s="73" t="s">
        <v>2106</v>
      </c>
      <c r="H28" s="73" t="s">
        <v>2107</v>
      </c>
      <c r="I28" s="73" t="s">
        <v>2108</v>
      </c>
      <c r="J28" s="73" t="s">
        <v>2109</v>
      </c>
      <c r="K28" s="73" t="s">
        <v>2110</v>
      </c>
      <c r="L28" s="73" t="s">
        <v>2111</v>
      </c>
      <c r="M28" s="73" t="s">
        <v>1655</v>
      </c>
      <c r="N28" s="73" t="s">
        <v>2112</v>
      </c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80" customHeight="1">
      <c r="A29" s="73" t="s">
        <v>2113</v>
      </c>
      <c r="B29" s="73" t="s">
        <v>2114</v>
      </c>
      <c r="C29" s="73" t="s">
        <v>2104</v>
      </c>
      <c r="D29" s="73" t="s">
        <v>90</v>
      </c>
      <c r="E29" s="73" t="s">
        <v>1862</v>
      </c>
      <c r="F29" s="73" t="s">
        <v>2115</v>
      </c>
      <c r="G29" s="73" t="s">
        <v>2116</v>
      </c>
      <c r="H29" s="73" t="s">
        <v>2117</v>
      </c>
      <c r="I29" s="73" t="s">
        <v>2118</v>
      </c>
      <c r="J29" s="73" t="s">
        <v>2119</v>
      </c>
      <c r="K29" s="73" t="s">
        <v>2120</v>
      </c>
      <c r="L29" s="73" t="s">
        <v>2121</v>
      </c>
      <c r="M29" s="73" t="s">
        <v>2122</v>
      </c>
      <c r="N29" s="73" t="s">
        <v>2123</v>
      </c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80" customHeight="1">
      <c r="A30" s="73" t="s">
        <v>2124</v>
      </c>
      <c r="B30" s="73" t="s">
        <v>2125</v>
      </c>
      <c r="C30" s="73" t="s">
        <v>2126</v>
      </c>
      <c r="D30" s="73" t="s">
        <v>99</v>
      </c>
      <c r="E30" s="73" t="s">
        <v>2127</v>
      </c>
      <c r="F30" s="73" t="s">
        <v>2128</v>
      </c>
      <c r="G30" s="73" t="s">
        <v>2129</v>
      </c>
      <c r="H30" s="73" t="s">
        <v>2130</v>
      </c>
      <c r="I30" s="73" t="s">
        <v>2131</v>
      </c>
      <c r="J30" s="73" t="s">
        <v>2132</v>
      </c>
      <c r="K30" s="73" t="s">
        <v>2133</v>
      </c>
      <c r="L30" s="73" t="s">
        <v>2134</v>
      </c>
      <c r="M30" s="73" t="s">
        <v>2135</v>
      </c>
      <c r="N30" s="73" t="s">
        <v>2136</v>
      </c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80" customHeight="1">
      <c r="A31" s="73" t="s">
        <v>2137</v>
      </c>
      <c r="B31" s="73" t="s">
        <v>2138</v>
      </c>
      <c r="C31" s="73" t="s">
        <v>142</v>
      </c>
      <c r="D31" s="73" t="s">
        <v>2104</v>
      </c>
      <c r="E31" s="73" t="s">
        <v>1837</v>
      </c>
      <c r="F31" s="73" t="s">
        <v>2139</v>
      </c>
      <c r="G31" s="73" t="s">
        <v>2140</v>
      </c>
      <c r="H31" s="73" t="s">
        <v>2141</v>
      </c>
      <c r="I31" s="73" t="s">
        <v>2142</v>
      </c>
      <c r="J31" s="73" t="s">
        <v>2143</v>
      </c>
      <c r="K31" s="73" t="s">
        <v>2144</v>
      </c>
      <c r="L31" s="73" t="s">
        <v>2145</v>
      </c>
      <c r="M31" s="73" t="s">
        <v>1703</v>
      </c>
      <c r="N31" s="73" t="s">
        <v>2146</v>
      </c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80" customHeight="1">
      <c r="A32" s="73" t="s">
        <v>2147</v>
      </c>
      <c r="B32" s="73" t="s">
        <v>2148</v>
      </c>
      <c r="C32" s="73" t="s">
        <v>1163</v>
      </c>
      <c r="D32" s="73" t="s">
        <v>290</v>
      </c>
      <c r="E32" s="73" t="s">
        <v>1862</v>
      </c>
      <c r="F32" s="73" t="s">
        <v>2149</v>
      </c>
      <c r="G32" s="73" t="s">
        <v>2150</v>
      </c>
      <c r="H32" s="73" t="s">
        <v>2151</v>
      </c>
      <c r="I32" s="73" t="s">
        <v>2152</v>
      </c>
      <c r="J32" s="73" t="s">
        <v>2153</v>
      </c>
      <c r="K32" s="73" t="s">
        <v>2154</v>
      </c>
      <c r="L32" s="73" t="s">
        <v>2155</v>
      </c>
      <c r="M32" s="73" t="s">
        <v>2156</v>
      </c>
      <c r="N32" s="73" t="s">
        <v>2157</v>
      </c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80" customHeight="1">
      <c r="A33" s="73" t="s">
        <v>2158</v>
      </c>
      <c r="B33" s="73" t="s">
        <v>2159</v>
      </c>
      <c r="C33" s="73" t="s">
        <v>2160</v>
      </c>
      <c r="D33" s="73" t="s">
        <v>2161</v>
      </c>
      <c r="E33" s="73" t="s">
        <v>1862</v>
      </c>
      <c r="F33" s="73" t="s">
        <v>2162</v>
      </c>
      <c r="G33" s="73" t="s">
        <v>2163</v>
      </c>
      <c r="H33" s="73" t="s">
        <v>2164</v>
      </c>
      <c r="I33" s="73" t="s">
        <v>2165</v>
      </c>
      <c r="J33" s="73" t="s">
        <v>2166</v>
      </c>
      <c r="K33" s="73" t="s">
        <v>2167</v>
      </c>
      <c r="L33" s="73" t="s">
        <v>2168</v>
      </c>
      <c r="M33" s="73" t="s">
        <v>2169</v>
      </c>
      <c r="N33" s="73" t="s">
        <v>2170</v>
      </c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</sheetData>
  <mergeCells count="2">
    <mergeCell ref="A1:N1"/>
    <mergeCell ref="A2:N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"/>
  <sheetViews>
    <sheetView workbookViewId="0"/>
  </sheetViews>
  <sheetFormatPr baseColWidth="10" defaultColWidth="8.83203125" defaultRowHeight="13"/>
  <cols>
    <col min="1" max="1" width="20" customWidth="1"/>
    <col min="2" max="2" width="33" customWidth="1"/>
    <col min="3" max="3" width="23" customWidth="1"/>
    <col min="4" max="5" width="15" customWidth="1"/>
    <col min="6" max="6" width="37" customWidth="1"/>
    <col min="7" max="7" width="42" customWidth="1"/>
    <col min="8" max="8" width="43" customWidth="1"/>
    <col min="9" max="9" width="38" customWidth="1"/>
    <col min="10" max="10" width="37" customWidth="1"/>
    <col min="11" max="11" width="34" customWidth="1"/>
    <col min="12" max="12" width="38" customWidth="1"/>
    <col min="13" max="13" width="44" customWidth="1"/>
  </cols>
  <sheetData>
    <row r="1" spans="1:13" ht="19">
      <c r="A1" s="93" t="s">
        <v>2171</v>
      </c>
      <c r="B1" s="93" t="s">
        <v>2171</v>
      </c>
      <c r="C1" s="93" t="s">
        <v>2171</v>
      </c>
      <c r="D1" s="93" t="s">
        <v>2171</v>
      </c>
      <c r="E1" s="93" t="s">
        <v>2171</v>
      </c>
      <c r="F1" s="93" t="s">
        <v>2171</v>
      </c>
      <c r="G1" s="93" t="s">
        <v>2171</v>
      </c>
      <c r="H1" s="93" t="s">
        <v>2171</v>
      </c>
      <c r="I1" s="93" t="s">
        <v>2171</v>
      </c>
      <c r="J1" s="93" t="s">
        <v>2171</v>
      </c>
      <c r="K1" s="93" t="s">
        <v>2171</v>
      </c>
      <c r="L1" s="93" t="s">
        <v>2171</v>
      </c>
      <c r="M1" s="93" t="s">
        <v>2171</v>
      </c>
    </row>
    <row r="2" spans="1:13">
      <c r="A2" s="94" t="s">
        <v>2172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14">
      <c r="A5" s="78" t="s">
        <v>2173</v>
      </c>
      <c r="B5" s="78" t="s">
        <v>2174</v>
      </c>
      <c r="C5" s="78" t="s">
        <v>2175</v>
      </c>
      <c r="D5" s="78" t="s">
        <v>2176</v>
      </c>
      <c r="E5" s="78" t="s">
        <v>2177</v>
      </c>
      <c r="F5" s="78" t="s">
        <v>2178</v>
      </c>
      <c r="G5" s="78" t="s">
        <v>2179</v>
      </c>
      <c r="H5" s="78" t="s">
        <v>2180</v>
      </c>
      <c r="I5" s="78" t="s">
        <v>2181</v>
      </c>
      <c r="J5" s="78" t="s">
        <v>2182</v>
      </c>
      <c r="K5" s="78" t="s">
        <v>2183</v>
      </c>
      <c r="L5" s="78" t="s">
        <v>1453</v>
      </c>
      <c r="M5" s="78" t="s">
        <v>1456</v>
      </c>
    </row>
    <row r="6" spans="1:13" ht="101.25" customHeight="1">
      <c r="A6" s="73" t="s">
        <v>2184</v>
      </c>
      <c r="B6" s="73" t="s">
        <v>2185</v>
      </c>
      <c r="C6" s="73" t="s">
        <v>1911</v>
      </c>
      <c r="D6" s="73" t="s">
        <v>107</v>
      </c>
      <c r="E6" s="73" t="s">
        <v>1102</v>
      </c>
      <c r="F6" s="73" t="s">
        <v>2186</v>
      </c>
      <c r="G6" s="73" t="s">
        <v>2187</v>
      </c>
      <c r="H6" s="73" t="s">
        <v>2188</v>
      </c>
      <c r="I6" s="73" t="s">
        <v>2189</v>
      </c>
      <c r="J6" s="73" t="s">
        <v>2190</v>
      </c>
      <c r="K6" s="73" t="s">
        <v>2191</v>
      </c>
      <c r="L6" s="73" t="s">
        <v>2192</v>
      </c>
      <c r="M6" s="73" t="s">
        <v>2193</v>
      </c>
    </row>
    <row r="7" spans="1:13" ht="101.25" customHeight="1">
      <c r="A7" s="73" t="s">
        <v>2194</v>
      </c>
      <c r="B7" s="73" t="s">
        <v>2195</v>
      </c>
      <c r="C7" s="73" t="s">
        <v>1911</v>
      </c>
      <c r="D7" s="73" t="s">
        <v>107</v>
      </c>
      <c r="E7" s="73" t="s">
        <v>1102</v>
      </c>
      <c r="F7" s="73" t="s">
        <v>2196</v>
      </c>
      <c r="G7" s="73" t="s">
        <v>2197</v>
      </c>
      <c r="H7" s="73" t="s">
        <v>2198</v>
      </c>
      <c r="I7" s="73" t="s">
        <v>2199</v>
      </c>
      <c r="J7" s="73" t="s">
        <v>2200</v>
      </c>
      <c r="K7" s="73" t="s">
        <v>2201</v>
      </c>
      <c r="L7" s="73" t="s">
        <v>2202</v>
      </c>
      <c r="M7" s="73" t="s">
        <v>2203</v>
      </c>
    </row>
    <row r="8" spans="1:13" ht="101.25" customHeight="1">
      <c r="A8" s="73" t="s">
        <v>2204</v>
      </c>
      <c r="B8" s="73" t="s">
        <v>2205</v>
      </c>
      <c r="C8" s="73" t="s">
        <v>1911</v>
      </c>
      <c r="D8" s="73" t="s">
        <v>107</v>
      </c>
      <c r="E8" s="73" t="s">
        <v>1102</v>
      </c>
      <c r="F8" s="73" t="s">
        <v>2206</v>
      </c>
      <c r="G8" s="73" t="s">
        <v>2207</v>
      </c>
      <c r="H8" s="73" t="s">
        <v>2208</v>
      </c>
      <c r="I8" s="73" t="s">
        <v>2209</v>
      </c>
      <c r="J8" s="73" t="s">
        <v>2210</v>
      </c>
      <c r="K8" s="73" t="s">
        <v>2211</v>
      </c>
      <c r="L8" s="73" t="s">
        <v>2212</v>
      </c>
      <c r="M8" s="73" t="s">
        <v>2213</v>
      </c>
    </row>
    <row r="9" spans="1:13" ht="101.25" customHeight="1">
      <c r="A9" s="73" t="s">
        <v>2214</v>
      </c>
      <c r="B9" s="73" t="s">
        <v>2215</v>
      </c>
      <c r="C9" s="73" t="s">
        <v>1911</v>
      </c>
      <c r="D9" s="73" t="s">
        <v>107</v>
      </c>
      <c r="E9" s="73" t="s">
        <v>1102</v>
      </c>
      <c r="F9" s="73" t="s">
        <v>2216</v>
      </c>
      <c r="G9" s="73" t="s">
        <v>2217</v>
      </c>
      <c r="H9" s="73" t="s">
        <v>2218</v>
      </c>
      <c r="I9" s="73" t="s">
        <v>2219</v>
      </c>
      <c r="J9" s="73" t="s">
        <v>2220</v>
      </c>
      <c r="K9" s="73" t="s">
        <v>2221</v>
      </c>
      <c r="L9" s="73" t="s">
        <v>2222</v>
      </c>
      <c r="M9" s="73" t="s">
        <v>2223</v>
      </c>
    </row>
    <row r="10" spans="1:13" ht="101.25" customHeight="1">
      <c r="A10" s="73" t="s">
        <v>2224</v>
      </c>
      <c r="B10" s="73" t="s">
        <v>2225</v>
      </c>
      <c r="C10" s="73" t="s">
        <v>1911</v>
      </c>
      <c r="D10" s="73" t="s">
        <v>107</v>
      </c>
      <c r="E10" s="73" t="s">
        <v>1102</v>
      </c>
      <c r="F10" s="73" t="s">
        <v>2226</v>
      </c>
      <c r="G10" s="73" t="s">
        <v>2227</v>
      </c>
      <c r="H10" s="73" t="s">
        <v>2228</v>
      </c>
      <c r="I10" s="73" t="s">
        <v>2229</v>
      </c>
      <c r="J10" s="73" t="s">
        <v>2230</v>
      </c>
      <c r="K10" s="73" t="s">
        <v>2231</v>
      </c>
      <c r="L10" s="73" t="s">
        <v>2232</v>
      </c>
      <c r="M10" s="73" t="s">
        <v>2233</v>
      </c>
    </row>
    <row r="11" spans="1:13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</row>
    <row r="12" spans="1:1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</row>
    <row r="13" spans="1:1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</row>
    <row r="14" spans="1:1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</row>
    <row r="15" spans="1:1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</row>
    <row r="16" spans="1:13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</row>
    <row r="17" spans="1:13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</row>
    <row r="18" spans="1:13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</row>
    <row r="19" spans="1:13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</row>
    <row r="20" spans="1:13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</row>
    <row r="21" spans="1:13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spans="1:13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1:13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</row>
    <row r="25" spans="1:13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</row>
    <row r="26" spans="1:13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</row>
    <row r="27" spans="1:13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28" spans="1:13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</row>
    <row r="29" spans="1:13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spans="1:13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spans="1:13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</row>
    <row r="32" spans="1:13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</row>
    <row r="33" spans="1:1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</row>
    <row r="34" spans="1:13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</row>
    <row r="35" spans="1:13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</row>
    <row r="36" spans="1:13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</row>
    <row r="37" spans="1:13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</row>
    <row r="39" spans="1:13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</row>
    <row r="40" spans="1:13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</row>
    <row r="41" spans="1:13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1:13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</row>
    <row r="43" spans="1:1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</row>
    <row r="44" spans="1:1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</row>
    <row r="45" spans="1:1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</row>
    <row r="46" spans="1:1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</row>
    <row r="47" spans="1:1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</row>
    <row r="48" spans="1:1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</row>
    <row r="49" spans="1:1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</row>
    <row r="50" spans="1:1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</row>
  </sheetData>
  <mergeCells count="2">
    <mergeCell ref="A1:M1"/>
    <mergeCell ref="A2:M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20"/>
  <sheetViews>
    <sheetView workbookViewId="0"/>
  </sheetViews>
  <sheetFormatPr baseColWidth="10" defaultColWidth="8.83203125" defaultRowHeight="13"/>
  <cols>
    <col min="1" max="1" width="12" customWidth="1"/>
    <col min="2" max="2" width="13" customWidth="1"/>
    <col min="3" max="3" width="32" customWidth="1"/>
    <col min="4" max="4" width="42" customWidth="1"/>
    <col min="5" max="6" width="45" customWidth="1"/>
    <col min="7" max="7" width="34" customWidth="1"/>
    <col min="8" max="8" width="31" customWidth="1"/>
    <col min="9" max="9" width="21" customWidth="1"/>
    <col min="10" max="10" width="24" customWidth="1"/>
    <col min="11" max="11" width="35" customWidth="1"/>
    <col min="12" max="12" width="13" customWidth="1"/>
    <col min="13" max="13" width="14" customWidth="1"/>
    <col min="14" max="14" width="24" customWidth="1"/>
    <col min="16" max="17" width="12" customWidth="1"/>
  </cols>
  <sheetData>
    <row r="1" spans="1:26" ht="40" customHeight="1">
      <c r="A1" s="88" t="s">
        <v>2234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>
      <c r="A2" s="95" t="s">
        <v>2235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4">
      <c r="A5" s="96" t="s">
        <v>2236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21">
      <c r="A6" s="97" t="s">
        <v>1185</v>
      </c>
      <c r="B6" s="97"/>
      <c r="C6" s="97"/>
      <c r="D6" s="97" t="s">
        <v>2237</v>
      </c>
      <c r="E6" s="97"/>
      <c r="F6" s="97"/>
      <c r="G6" s="97" t="s">
        <v>2238</v>
      </c>
      <c r="H6" s="97"/>
      <c r="I6" s="97"/>
      <c r="J6" s="97" t="s">
        <v>2239</v>
      </c>
      <c r="K6" s="97"/>
      <c r="L6" s="97"/>
      <c r="M6" s="97" t="s">
        <v>2240</v>
      </c>
      <c r="N6" s="97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>
      <c r="A7" s="98" t="s">
        <v>2241</v>
      </c>
      <c r="B7" s="98"/>
      <c r="C7" s="98"/>
      <c r="D7" s="98" t="s">
        <v>2242</v>
      </c>
      <c r="E7" s="98"/>
      <c r="F7" s="98"/>
      <c r="G7" s="98" t="s">
        <v>2243</v>
      </c>
      <c r="H7" s="98"/>
      <c r="I7" s="98"/>
      <c r="J7" s="98" t="s">
        <v>2244</v>
      </c>
      <c r="K7" s="98"/>
      <c r="L7" s="98"/>
      <c r="M7" s="98" t="s">
        <v>2245</v>
      </c>
      <c r="N7" s="98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53.25" customHeight="1">
      <c r="A10" s="82" t="s">
        <v>2246</v>
      </c>
      <c r="B10" s="82" t="s">
        <v>2247</v>
      </c>
      <c r="C10" s="82" t="s">
        <v>2248</v>
      </c>
      <c r="D10" s="82" t="s">
        <v>2249</v>
      </c>
      <c r="E10" s="82" t="s">
        <v>2250</v>
      </c>
      <c r="F10" s="82" t="s">
        <v>2251</v>
      </c>
      <c r="G10" s="82" t="s">
        <v>727</v>
      </c>
      <c r="H10" s="82" t="s">
        <v>2252</v>
      </c>
      <c r="I10" s="82" t="s">
        <v>2253</v>
      </c>
      <c r="J10" s="82" t="s">
        <v>2254</v>
      </c>
      <c r="K10" s="82" t="s">
        <v>2255</v>
      </c>
      <c r="L10" s="82" t="s">
        <v>810</v>
      </c>
      <c r="M10" s="82" t="s">
        <v>2256</v>
      </c>
      <c r="N10" s="82" t="s">
        <v>2257</v>
      </c>
      <c r="O10" s="81"/>
      <c r="P10" s="81" t="s">
        <v>2246</v>
      </c>
      <c r="Q10" s="81" t="s">
        <v>2258</v>
      </c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88" customHeight="1">
      <c r="A11" s="83" t="s">
        <v>557</v>
      </c>
      <c r="B11" s="83" t="s">
        <v>2259</v>
      </c>
      <c r="C11" s="83" t="s">
        <v>2260</v>
      </c>
      <c r="D11" s="83" t="s">
        <v>2261</v>
      </c>
      <c r="E11" s="83" t="s">
        <v>2262</v>
      </c>
      <c r="F11" s="83" t="s">
        <v>2263</v>
      </c>
      <c r="G11" s="83" t="s">
        <v>2264</v>
      </c>
      <c r="H11" s="83" t="s">
        <v>2265</v>
      </c>
      <c r="I11" s="83" t="s">
        <v>2266</v>
      </c>
      <c r="J11" s="83" t="s">
        <v>2267</v>
      </c>
      <c r="K11" s="83" t="s">
        <v>2268</v>
      </c>
      <c r="L11" s="83" t="s">
        <v>1019</v>
      </c>
      <c r="M11" s="83" t="s">
        <v>2269</v>
      </c>
      <c r="N11" s="83" t="s">
        <v>1398</v>
      </c>
      <c r="O11" s="81"/>
      <c r="P11" s="81" t="s">
        <v>557</v>
      </c>
      <c r="Q11" s="81">
        <v>2</v>
      </c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88" customHeight="1">
      <c r="A12" s="83" t="s">
        <v>557</v>
      </c>
      <c r="B12" s="83" t="s">
        <v>2270</v>
      </c>
      <c r="C12" s="83" t="s">
        <v>2271</v>
      </c>
      <c r="D12" s="83" t="s">
        <v>2272</v>
      </c>
      <c r="E12" s="83" t="s">
        <v>2273</v>
      </c>
      <c r="F12" s="83" t="s">
        <v>2274</v>
      </c>
      <c r="G12" s="83" t="s">
        <v>2275</v>
      </c>
      <c r="H12" s="83" t="s">
        <v>2276</v>
      </c>
      <c r="I12" s="83" t="s">
        <v>2277</v>
      </c>
      <c r="J12" s="83" t="s">
        <v>2278</v>
      </c>
      <c r="K12" s="83" t="s">
        <v>2279</v>
      </c>
      <c r="L12" s="83" t="s">
        <v>1019</v>
      </c>
      <c r="M12" s="83" t="s">
        <v>2280</v>
      </c>
      <c r="N12" s="83" t="s">
        <v>1404</v>
      </c>
      <c r="O12" s="81"/>
      <c r="P12" s="81" t="s">
        <v>1059</v>
      </c>
      <c r="Q12" s="81">
        <v>2</v>
      </c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88" customHeight="1">
      <c r="A13" s="83" t="s">
        <v>1059</v>
      </c>
      <c r="B13" s="83" t="s">
        <v>2281</v>
      </c>
      <c r="C13" s="83" t="s">
        <v>2282</v>
      </c>
      <c r="D13" s="83" t="s">
        <v>2283</v>
      </c>
      <c r="E13" s="83" t="s">
        <v>2284</v>
      </c>
      <c r="F13" s="83" t="s">
        <v>2285</v>
      </c>
      <c r="G13" s="83" t="s">
        <v>2286</v>
      </c>
      <c r="H13" s="83" t="s">
        <v>2287</v>
      </c>
      <c r="I13" s="83" t="s">
        <v>2288</v>
      </c>
      <c r="J13" s="83" t="s">
        <v>2289</v>
      </c>
      <c r="K13" s="83" t="s">
        <v>2290</v>
      </c>
      <c r="L13" s="83" t="s">
        <v>1019</v>
      </c>
      <c r="M13" s="83" t="s">
        <v>2280</v>
      </c>
      <c r="N13" s="83" t="s">
        <v>2291</v>
      </c>
      <c r="O13" s="81"/>
      <c r="P13" s="81" t="s">
        <v>1094</v>
      </c>
      <c r="Q13" s="81">
        <v>2</v>
      </c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88" customHeight="1">
      <c r="A14" s="83" t="s">
        <v>1059</v>
      </c>
      <c r="B14" s="83" t="s">
        <v>2292</v>
      </c>
      <c r="C14" s="83" t="s">
        <v>2293</v>
      </c>
      <c r="D14" s="83" t="s">
        <v>2294</v>
      </c>
      <c r="E14" s="83" t="s">
        <v>2295</v>
      </c>
      <c r="F14" s="83" t="s">
        <v>2296</v>
      </c>
      <c r="G14" s="83" t="s">
        <v>2297</v>
      </c>
      <c r="H14" s="83" t="s">
        <v>2298</v>
      </c>
      <c r="I14" s="83" t="s">
        <v>2299</v>
      </c>
      <c r="J14" s="83" t="s">
        <v>2289</v>
      </c>
      <c r="K14" s="83" t="s">
        <v>2300</v>
      </c>
      <c r="L14" s="83" t="s">
        <v>1019</v>
      </c>
      <c r="M14" s="83" t="s">
        <v>2280</v>
      </c>
      <c r="N14" s="83" t="s">
        <v>1812</v>
      </c>
      <c r="O14" s="81"/>
      <c r="P14" s="81" t="s">
        <v>1111</v>
      </c>
      <c r="Q14" s="81">
        <v>2</v>
      </c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88" customHeight="1">
      <c r="A15" s="83" t="s">
        <v>1094</v>
      </c>
      <c r="B15" s="83" t="s">
        <v>2301</v>
      </c>
      <c r="C15" s="83" t="s">
        <v>2302</v>
      </c>
      <c r="D15" s="83" t="s">
        <v>2303</v>
      </c>
      <c r="E15" s="83" t="s">
        <v>2304</v>
      </c>
      <c r="F15" s="83" t="s">
        <v>2305</v>
      </c>
      <c r="G15" s="83" t="s">
        <v>2306</v>
      </c>
      <c r="H15" s="83" t="s">
        <v>2307</v>
      </c>
      <c r="I15" s="83" t="s">
        <v>2308</v>
      </c>
      <c r="J15" s="83" t="s">
        <v>2309</v>
      </c>
      <c r="K15" s="83" t="s">
        <v>2310</v>
      </c>
      <c r="L15" s="83" t="s">
        <v>1019</v>
      </c>
      <c r="M15" s="83" t="s">
        <v>2280</v>
      </c>
      <c r="N15" s="83" t="s">
        <v>2311</v>
      </c>
      <c r="O15" s="81"/>
      <c r="P15" s="81" t="s">
        <v>1123</v>
      </c>
      <c r="Q15" s="81">
        <v>2</v>
      </c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88" customHeight="1">
      <c r="A16" s="83" t="s">
        <v>1094</v>
      </c>
      <c r="B16" s="83" t="s">
        <v>2312</v>
      </c>
      <c r="C16" s="83" t="s">
        <v>2313</v>
      </c>
      <c r="D16" s="83" t="s">
        <v>1270</v>
      </c>
      <c r="E16" s="83" t="s">
        <v>2314</v>
      </c>
      <c r="F16" s="83" t="s">
        <v>2315</v>
      </c>
      <c r="G16" s="83" t="s">
        <v>2316</v>
      </c>
      <c r="H16" s="83" t="s">
        <v>2317</v>
      </c>
      <c r="I16" s="83" t="s">
        <v>2318</v>
      </c>
      <c r="J16" s="83" t="s">
        <v>2309</v>
      </c>
      <c r="K16" s="83" t="s">
        <v>2319</v>
      </c>
      <c r="L16" s="83" t="s">
        <v>1019</v>
      </c>
      <c r="M16" s="83" t="s">
        <v>2280</v>
      </c>
      <c r="N16" s="83" t="s">
        <v>2320</v>
      </c>
      <c r="O16" s="81"/>
      <c r="P16" s="81" t="s">
        <v>1153</v>
      </c>
      <c r="Q16" s="81">
        <v>2</v>
      </c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88" customHeight="1">
      <c r="A17" s="83" t="s">
        <v>1111</v>
      </c>
      <c r="B17" s="83" t="s">
        <v>2321</v>
      </c>
      <c r="C17" s="83" t="s">
        <v>2322</v>
      </c>
      <c r="D17" s="83" t="s">
        <v>1264</v>
      </c>
      <c r="E17" s="83" t="s">
        <v>2323</v>
      </c>
      <c r="F17" s="83" t="s">
        <v>2324</v>
      </c>
      <c r="G17" s="83" t="s">
        <v>2325</v>
      </c>
      <c r="H17" s="83" t="s">
        <v>2326</v>
      </c>
      <c r="I17" s="83" t="s">
        <v>2327</v>
      </c>
      <c r="J17" s="83" t="s">
        <v>2328</v>
      </c>
      <c r="K17" s="83" t="s">
        <v>2329</v>
      </c>
      <c r="L17" s="83" t="s">
        <v>1019</v>
      </c>
      <c r="M17" s="83" t="s">
        <v>2280</v>
      </c>
      <c r="N17" s="83" t="s">
        <v>2330</v>
      </c>
      <c r="O17" s="81"/>
      <c r="P17" s="81" t="s">
        <v>1200</v>
      </c>
      <c r="Q17" s="81">
        <v>1</v>
      </c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88" customHeight="1">
      <c r="A18" s="83" t="s">
        <v>1111</v>
      </c>
      <c r="B18" s="83" t="s">
        <v>2331</v>
      </c>
      <c r="C18" s="83" t="s">
        <v>2332</v>
      </c>
      <c r="D18" s="83" t="s">
        <v>2333</v>
      </c>
      <c r="E18" s="83" t="s">
        <v>2334</v>
      </c>
      <c r="F18" s="83" t="s">
        <v>2335</v>
      </c>
      <c r="G18" s="83" t="s">
        <v>2336</v>
      </c>
      <c r="H18" s="83" t="s">
        <v>2337</v>
      </c>
      <c r="I18" s="83" t="s">
        <v>2338</v>
      </c>
      <c r="J18" s="83" t="s">
        <v>2328</v>
      </c>
      <c r="K18" s="83" t="s">
        <v>2339</v>
      </c>
      <c r="L18" s="83" t="s">
        <v>1046</v>
      </c>
      <c r="M18" s="83" t="s">
        <v>2280</v>
      </c>
      <c r="N18" s="83" t="s">
        <v>2340</v>
      </c>
      <c r="O18" s="81"/>
      <c r="P18" s="81" t="s">
        <v>1217</v>
      </c>
      <c r="Q18" s="81">
        <v>1</v>
      </c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88" customHeight="1">
      <c r="A19" s="83" t="s">
        <v>1123</v>
      </c>
      <c r="B19" s="83" t="s">
        <v>2341</v>
      </c>
      <c r="C19" s="83" t="s">
        <v>2342</v>
      </c>
      <c r="D19" s="83" t="s">
        <v>2343</v>
      </c>
      <c r="E19" s="83" t="s">
        <v>2344</v>
      </c>
      <c r="F19" s="83" t="s">
        <v>2345</v>
      </c>
      <c r="G19" s="83" t="s">
        <v>2346</v>
      </c>
      <c r="H19" s="83" t="s">
        <v>2347</v>
      </c>
      <c r="I19" s="83" t="s">
        <v>2348</v>
      </c>
      <c r="J19" s="83" t="s">
        <v>2349</v>
      </c>
      <c r="K19" s="83" t="s">
        <v>2350</v>
      </c>
      <c r="L19" s="83" t="s">
        <v>1046</v>
      </c>
      <c r="M19" s="83" t="s">
        <v>2280</v>
      </c>
      <c r="N19" s="83" t="s">
        <v>1424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88" customHeight="1">
      <c r="A20" s="83" t="s">
        <v>1123</v>
      </c>
      <c r="B20" s="83" t="s">
        <v>2351</v>
      </c>
      <c r="C20" s="83" t="s">
        <v>2352</v>
      </c>
      <c r="D20" s="83" t="s">
        <v>2353</v>
      </c>
      <c r="E20" s="83" t="s">
        <v>2354</v>
      </c>
      <c r="F20" s="83" t="s">
        <v>2355</v>
      </c>
      <c r="G20" s="83" t="s">
        <v>2356</v>
      </c>
      <c r="H20" s="83" t="s">
        <v>2357</v>
      </c>
      <c r="I20" s="83" t="s">
        <v>2358</v>
      </c>
      <c r="J20" s="83" t="s">
        <v>2349</v>
      </c>
      <c r="K20" s="83" t="s">
        <v>2359</v>
      </c>
      <c r="L20" s="83" t="s">
        <v>1046</v>
      </c>
      <c r="M20" s="83" t="s">
        <v>2280</v>
      </c>
      <c r="N20" s="83" t="s">
        <v>2360</v>
      </c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88" customHeight="1">
      <c r="A21" s="83" t="s">
        <v>1153</v>
      </c>
      <c r="B21" s="83" t="s">
        <v>2361</v>
      </c>
      <c r="C21" s="83" t="s">
        <v>2362</v>
      </c>
      <c r="D21" s="83" t="s">
        <v>2363</v>
      </c>
      <c r="E21" s="83" t="s">
        <v>2364</v>
      </c>
      <c r="F21" s="83" t="s">
        <v>2365</v>
      </c>
      <c r="G21" s="83" t="s">
        <v>2366</v>
      </c>
      <c r="H21" s="83" t="s">
        <v>2367</v>
      </c>
      <c r="I21" s="83" t="s">
        <v>2368</v>
      </c>
      <c r="J21" s="83" t="s">
        <v>2369</v>
      </c>
      <c r="K21" s="83" t="s">
        <v>2370</v>
      </c>
      <c r="L21" s="83" t="s">
        <v>1019</v>
      </c>
      <c r="M21" s="83" t="s">
        <v>2280</v>
      </c>
      <c r="N21" s="83" t="s">
        <v>2371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88" customHeight="1">
      <c r="A22" s="83" t="s">
        <v>1153</v>
      </c>
      <c r="B22" s="83" t="s">
        <v>2372</v>
      </c>
      <c r="C22" s="83" t="s">
        <v>2373</v>
      </c>
      <c r="D22" s="83" t="s">
        <v>2374</v>
      </c>
      <c r="E22" s="83" t="s">
        <v>2375</v>
      </c>
      <c r="F22" s="83" t="s">
        <v>2376</v>
      </c>
      <c r="G22" s="83" t="s">
        <v>2377</v>
      </c>
      <c r="H22" s="83" t="s">
        <v>2378</v>
      </c>
      <c r="I22" s="83" t="s">
        <v>2379</v>
      </c>
      <c r="J22" s="83" t="s">
        <v>2380</v>
      </c>
      <c r="K22" s="83" t="s">
        <v>2381</v>
      </c>
      <c r="L22" s="83" t="s">
        <v>1019</v>
      </c>
      <c r="M22" s="83" t="s">
        <v>2280</v>
      </c>
      <c r="N22" s="83" t="s">
        <v>1429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88" customHeight="1">
      <c r="A23" s="83" t="s">
        <v>1200</v>
      </c>
      <c r="B23" s="83" t="s">
        <v>2382</v>
      </c>
      <c r="C23" s="83" t="s">
        <v>2383</v>
      </c>
      <c r="D23" s="83" t="s">
        <v>2384</v>
      </c>
      <c r="E23" s="83" t="s">
        <v>2385</v>
      </c>
      <c r="F23" s="83" t="s">
        <v>2386</v>
      </c>
      <c r="G23" s="83" t="s">
        <v>2387</v>
      </c>
      <c r="H23" s="83" t="s">
        <v>2388</v>
      </c>
      <c r="I23" s="83" t="s">
        <v>2389</v>
      </c>
      <c r="J23" s="83" t="s">
        <v>2390</v>
      </c>
      <c r="K23" s="83" t="s">
        <v>2391</v>
      </c>
      <c r="L23" s="83" t="s">
        <v>1019</v>
      </c>
      <c r="M23" s="83" t="s">
        <v>2280</v>
      </c>
      <c r="N23" s="83" t="s">
        <v>2392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88" customHeight="1">
      <c r="A24" s="83" t="s">
        <v>1217</v>
      </c>
      <c r="B24" s="83" t="s">
        <v>2393</v>
      </c>
      <c r="C24" s="83" t="s">
        <v>2394</v>
      </c>
      <c r="D24" s="83" t="s">
        <v>2395</v>
      </c>
      <c r="E24" s="83" t="s">
        <v>2396</v>
      </c>
      <c r="F24" s="83" t="s">
        <v>2397</v>
      </c>
      <c r="G24" s="83" t="s">
        <v>2398</v>
      </c>
      <c r="H24" s="83" t="s">
        <v>2399</v>
      </c>
      <c r="I24" s="83" t="s">
        <v>2400</v>
      </c>
      <c r="J24" s="83" t="s">
        <v>2401</v>
      </c>
      <c r="K24" s="83" t="s">
        <v>2402</v>
      </c>
      <c r="L24" s="83" t="s">
        <v>1255</v>
      </c>
      <c r="M24" s="83" t="s">
        <v>1222</v>
      </c>
      <c r="N24" s="83" t="s">
        <v>1218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6">
      <c r="A27" s="99" t="s">
        <v>2403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28">
      <c r="A28" s="82" t="s">
        <v>274</v>
      </c>
      <c r="B28" s="82" t="s">
        <v>2404</v>
      </c>
      <c r="C28" s="82" t="s">
        <v>2405</v>
      </c>
      <c r="D28" s="82" t="s">
        <v>2406</v>
      </c>
      <c r="E28" s="82" t="s">
        <v>2407</v>
      </c>
      <c r="F28" s="82" t="s">
        <v>2408</v>
      </c>
      <c r="G28" s="82" t="s">
        <v>2409</v>
      </c>
      <c r="H28" s="81"/>
      <c r="I28" s="82" t="s">
        <v>1345</v>
      </c>
      <c r="J28" s="82" t="s">
        <v>2410</v>
      </c>
      <c r="K28" s="82" t="s">
        <v>2411</v>
      </c>
      <c r="L28" s="82" t="s">
        <v>2412</v>
      </c>
      <c r="M28" s="82" t="s">
        <v>1390</v>
      </c>
      <c r="N28" s="82" t="s">
        <v>1392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61.25" customHeight="1">
      <c r="A29" s="83" t="s">
        <v>2413</v>
      </c>
      <c r="B29" s="83" t="s">
        <v>557</v>
      </c>
      <c r="C29" s="83" t="s">
        <v>2414</v>
      </c>
      <c r="D29" s="83" t="s">
        <v>2415</v>
      </c>
      <c r="E29" s="83" t="s">
        <v>2416</v>
      </c>
      <c r="F29" s="83" t="s">
        <v>2417</v>
      </c>
      <c r="G29" s="83" t="s">
        <v>2418</v>
      </c>
      <c r="H29" s="81"/>
      <c r="I29" s="83" t="s">
        <v>2419</v>
      </c>
      <c r="J29" s="83" t="s">
        <v>2420</v>
      </c>
      <c r="K29" s="83" t="s">
        <v>2421</v>
      </c>
      <c r="L29" s="83" t="s">
        <v>2422</v>
      </c>
      <c r="M29" s="83" t="s">
        <v>2423</v>
      </c>
      <c r="N29" s="83" t="s">
        <v>1398</v>
      </c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61.25" customHeight="1">
      <c r="A30" s="83" t="s">
        <v>2424</v>
      </c>
      <c r="B30" s="83" t="s">
        <v>2425</v>
      </c>
      <c r="C30" s="83" t="s">
        <v>2426</v>
      </c>
      <c r="D30" s="83" t="s">
        <v>2427</v>
      </c>
      <c r="E30" s="83" t="s">
        <v>2428</v>
      </c>
      <c r="F30" s="83" t="s">
        <v>2429</v>
      </c>
      <c r="G30" s="83" t="s">
        <v>2430</v>
      </c>
      <c r="H30" s="81"/>
      <c r="I30" s="83" t="s">
        <v>2431</v>
      </c>
      <c r="J30" s="83" t="s">
        <v>2432</v>
      </c>
      <c r="K30" s="83" t="s">
        <v>2433</v>
      </c>
      <c r="L30" s="83" t="s">
        <v>2434</v>
      </c>
      <c r="M30" s="83" t="s">
        <v>2435</v>
      </c>
      <c r="N30" s="83" t="s">
        <v>1415</v>
      </c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61.25" customHeight="1">
      <c r="A31" s="83" t="s">
        <v>2436</v>
      </c>
      <c r="B31" s="83" t="s">
        <v>2437</v>
      </c>
      <c r="C31" s="83" t="s">
        <v>2438</v>
      </c>
      <c r="D31" s="83" t="s">
        <v>2439</v>
      </c>
      <c r="E31" s="83" t="s">
        <v>2440</v>
      </c>
      <c r="F31" s="83" t="s">
        <v>2441</v>
      </c>
      <c r="G31" s="83" t="s">
        <v>2442</v>
      </c>
      <c r="H31" s="81"/>
      <c r="I31" s="83" t="s">
        <v>2443</v>
      </c>
      <c r="J31" s="83" t="s">
        <v>2444</v>
      </c>
      <c r="K31" s="83" t="s">
        <v>2445</v>
      </c>
      <c r="L31" s="83" t="s">
        <v>2446</v>
      </c>
      <c r="M31" s="83" t="s">
        <v>2447</v>
      </c>
      <c r="N31" s="83" t="s">
        <v>2311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61.25" customHeight="1">
      <c r="A32" s="83" t="s">
        <v>2448</v>
      </c>
      <c r="B32" s="83" t="s">
        <v>2449</v>
      </c>
      <c r="C32" s="83" t="s">
        <v>2450</v>
      </c>
      <c r="D32" s="83" t="s">
        <v>2451</v>
      </c>
      <c r="E32" s="83" t="s">
        <v>2452</v>
      </c>
      <c r="F32" s="83" t="s">
        <v>2453</v>
      </c>
      <c r="G32" s="83" t="s">
        <v>2454</v>
      </c>
      <c r="H32" s="81"/>
      <c r="I32" s="83" t="s">
        <v>2429</v>
      </c>
      <c r="J32" s="83" t="s">
        <v>2455</v>
      </c>
      <c r="K32" s="83" t="s">
        <v>2456</v>
      </c>
      <c r="L32" s="83" t="s">
        <v>2457</v>
      </c>
      <c r="M32" s="83" t="s">
        <v>2458</v>
      </c>
      <c r="N32" s="83" t="s">
        <v>2330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61.25" customHeight="1">
      <c r="A33" s="83" t="s">
        <v>2459</v>
      </c>
      <c r="B33" s="83" t="s">
        <v>2460</v>
      </c>
      <c r="C33" s="83" t="s">
        <v>2461</v>
      </c>
      <c r="D33" s="83" t="s">
        <v>2462</v>
      </c>
      <c r="E33" s="83" t="s">
        <v>2463</v>
      </c>
      <c r="F33" s="83" t="s">
        <v>2464</v>
      </c>
      <c r="G33" s="83" t="s">
        <v>2465</v>
      </c>
      <c r="H33" s="81"/>
      <c r="I33" s="83" t="s">
        <v>2441</v>
      </c>
      <c r="J33" s="83" t="s">
        <v>2466</v>
      </c>
      <c r="K33" s="83" t="s">
        <v>2467</v>
      </c>
      <c r="L33" s="83" t="s">
        <v>2468</v>
      </c>
      <c r="M33" s="83" t="s">
        <v>2469</v>
      </c>
      <c r="N33" s="83" t="s">
        <v>1424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61.25" customHeight="1">
      <c r="A34" s="83" t="s">
        <v>2470</v>
      </c>
      <c r="B34" s="83" t="s">
        <v>2471</v>
      </c>
      <c r="C34" s="83" t="s">
        <v>2472</v>
      </c>
      <c r="D34" s="83" t="s">
        <v>2473</v>
      </c>
      <c r="E34" s="83" t="s">
        <v>2474</v>
      </c>
      <c r="F34" s="83" t="s">
        <v>2475</v>
      </c>
      <c r="G34" s="83" t="s">
        <v>2476</v>
      </c>
      <c r="H34" s="81"/>
      <c r="I34" s="83" t="s">
        <v>2477</v>
      </c>
      <c r="J34" s="83" t="s">
        <v>2478</v>
      </c>
      <c r="K34" s="83" t="s">
        <v>2479</v>
      </c>
      <c r="L34" s="83" t="s">
        <v>2480</v>
      </c>
      <c r="M34" s="83" t="s">
        <v>2481</v>
      </c>
      <c r="N34" s="83" t="s">
        <v>2482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61.25" customHeight="1">
      <c r="A35" s="81"/>
      <c r="B35" s="81"/>
      <c r="C35" s="81"/>
      <c r="D35" s="81"/>
      <c r="E35" s="81"/>
      <c r="F35" s="81"/>
      <c r="G35" s="81"/>
      <c r="H35" s="81"/>
      <c r="I35" s="83" t="s">
        <v>2483</v>
      </c>
      <c r="J35" s="83" t="s">
        <v>2484</v>
      </c>
      <c r="K35" s="83" t="s">
        <v>2485</v>
      </c>
      <c r="L35" s="83" t="s">
        <v>2486</v>
      </c>
      <c r="M35" s="83" t="s">
        <v>2487</v>
      </c>
      <c r="N35" s="83" t="s">
        <v>2488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61.25" customHeight="1">
      <c r="A36" s="81"/>
      <c r="B36" s="81"/>
      <c r="C36" s="81"/>
      <c r="D36" s="81"/>
      <c r="E36" s="81"/>
      <c r="F36" s="81"/>
      <c r="G36" s="81"/>
      <c r="H36" s="81"/>
      <c r="I36" s="83" t="s">
        <v>2464</v>
      </c>
      <c r="J36" s="83" t="s">
        <v>2489</v>
      </c>
      <c r="K36" s="83" t="s">
        <v>2490</v>
      </c>
      <c r="L36" s="83" t="s">
        <v>2491</v>
      </c>
      <c r="M36" s="83" t="s">
        <v>2492</v>
      </c>
      <c r="N36" s="83" t="s">
        <v>2493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61.25" customHeight="1">
      <c r="A37" s="81"/>
      <c r="B37" s="81"/>
      <c r="C37" s="81"/>
      <c r="D37" s="81"/>
      <c r="E37" s="81"/>
      <c r="F37" s="81"/>
      <c r="G37" s="81"/>
      <c r="H37" s="81"/>
      <c r="I37" s="83" t="s">
        <v>2475</v>
      </c>
      <c r="J37" s="83" t="s">
        <v>2494</v>
      </c>
      <c r="K37" s="83" t="s">
        <v>2495</v>
      </c>
      <c r="L37" s="83" t="s">
        <v>2496</v>
      </c>
      <c r="M37" s="83" t="s">
        <v>2497</v>
      </c>
      <c r="N37" s="83" t="s">
        <v>1218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</sheetData>
  <mergeCells count="14">
    <mergeCell ref="A27:N27"/>
    <mergeCell ref="A1:N1"/>
    <mergeCell ref="A2:N3"/>
    <mergeCell ref="A5:N5"/>
    <mergeCell ref="A6:C6"/>
    <mergeCell ref="A7:C7"/>
    <mergeCell ref="D6:F6"/>
    <mergeCell ref="D7:F7"/>
    <mergeCell ref="G6:I6"/>
    <mergeCell ref="G7:I7"/>
    <mergeCell ref="J6:L6"/>
    <mergeCell ref="J7:L7"/>
    <mergeCell ref="M6:N6"/>
    <mergeCell ref="M7:N7"/>
  </mergeCells>
  <conditionalFormatting sqref="L11:L24">
    <cfRule type="expression" dxfId="32" priority="1">
      <formula>L11="P0 Critical"</formula>
    </cfRule>
    <cfRule type="expression" dxfId="31" priority="2">
      <formula>L11="P1 High"</formula>
    </cfRule>
    <cfRule type="expression" dxfId="30" priority="3">
      <formula>L11="P2 Later"</formula>
    </cfRule>
  </conditionalFormatting>
  <conditionalFormatting sqref="M11:M24">
    <cfRule type="expression" dxfId="29" priority="4">
      <formula>M11="Complete"</formula>
    </cfRule>
    <cfRule type="expression" dxfId="28" priority="5">
      <formula>M11="Blocked"</formula>
    </cfRule>
    <cfRule type="expression" dxfId="27" priority="6">
      <formula>M11="In Progress"</formula>
    </cfRule>
  </conditionalFormatting>
  <dataValidations count="2">
    <dataValidation type="list" sqref="L11:L24" xr:uid="{00000000-0002-0000-0A00-000000000000}">
      <formula1>"P0 Critical,P1 High,P2 Later"</formula1>
    </dataValidation>
    <dataValidation type="list" sqref="M11:M24" xr:uid="{00000000-0002-0000-0A00-000001000000}">
      <formula1>"Draft,Planned,Ready,In Progress,Blocked,Complete,Conditional"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Development Governance Matrix</vt:lpstr>
      <vt:lpstr>Treasury Core Capability Stack</vt:lpstr>
      <vt:lpstr>RA DLE</vt:lpstr>
      <vt:lpstr>HR &amp; TEP</vt:lpstr>
      <vt:lpstr>Sheet1</vt:lpstr>
      <vt:lpstr>Supply Chain-Qulaity Cap Block</vt:lpstr>
      <vt:lpstr>Integrated R&amp;D–RA Lifecycle Man</vt:lpstr>
      <vt:lpstr>Software Capability Matrix</vt:lpstr>
      <vt:lpstr>Interface Registry</vt:lpstr>
      <vt:lpstr>Shared Evidence Matrix</vt:lpstr>
      <vt:lpstr>Optimized Master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Natig Yusubov</cp:lastModifiedBy>
  <dcterms:created xsi:type="dcterms:W3CDTF">2026-07-26T18:03:20Z</dcterms:created>
  <dcterms:modified xsi:type="dcterms:W3CDTF">2026-07-26T18:04:00Z</dcterms:modified>
</cp:coreProperties>
</file>